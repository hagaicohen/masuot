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di\Dropbox\תבונות\לקוחות\משואות\"/>
    </mc:Choice>
  </mc:AlternateContent>
  <xr:revisionPtr revIDLastSave="0" documentId="13_ncr:1_{4A0DBF42-D2AA-4AA9-A896-3049E89FF555}" xr6:coauthVersionLast="47" xr6:coauthVersionMax="47" xr10:uidLastSave="{00000000-0000-0000-0000-000000000000}"/>
  <bookViews>
    <workbookView xWindow="28692" yWindow="-36" windowWidth="29016" windowHeight="15696" tabRatio="771" activeTab="12" xr2:uid="{0F052BAB-97D4-441D-99A6-DF7758EBB2F5}"/>
  </bookViews>
  <sheets>
    <sheet name="חברים" sheetId="2" r:id="rId1"/>
    <sheet name="תקציבים מיוחדים" sheetId="1" r:id="rId2"/>
    <sheet name="תקציבים כיום" sheetId="17" r:id="rId3"/>
    <sheet name="פריסת שנים" sheetId="5" r:id="rId4"/>
    <sheet name="בנייה" sheetId="6" r:id="rId5"/>
    <sheet name="מודל רוחב" sheetId="12" state="hidden" r:id="rId6"/>
    <sheet name="ותק חברה 40" sheetId="3" state="hidden" r:id="rId7"/>
    <sheet name="ררל ומדרג" sheetId="13" r:id="rId8"/>
    <sheet name="הנחות עבודה לררל ומדרג" sheetId="14" r:id="rId9"/>
    <sheet name="הנחות" sheetId="4" r:id="rId10"/>
    <sheet name="חישוב דמי עזיבה - 25 שנת 2024" sheetId="7" state="hidden" r:id="rId11"/>
    <sheet name="מדרג שימושים " sheetId="11" r:id="rId12"/>
    <sheet name="מניות חבר" sheetId="15" r:id="rId13"/>
    <sheet name="מורישים" sheetId="16" r:id="rId14"/>
    <sheet name="תקציב צביעה - לקראת השינוי" sheetId="18" r:id="rId15"/>
    <sheet name="סימולציות מדרג" sheetId="8" state="hidden" r:id="rId16"/>
  </sheets>
  <externalReferences>
    <externalReference r:id="rId17"/>
    <externalReference r:id="rId18"/>
    <externalReference r:id="rId19"/>
  </externalReferences>
  <definedNames>
    <definedName name="_xlnm._FilterDatabase" localSheetId="4" hidden="1">בנייה!$A$3:$E$171</definedName>
    <definedName name="_xlnm._FilterDatabase" localSheetId="6" hidden="1">'ותק חברה 40'!$A$1:$AY$333</definedName>
    <definedName name="_xlnm._FilterDatabase" localSheetId="13" hidden="1">מורישים!$A$2:$N$2</definedName>
    <definedName name="_xlnm._FilterDatabase" localSheetId="12" hidden="1">'מניות חבר'!$A$1:$N$288</definedName>
    <definedName name="_xlnm._FilterDatabase" localSheetId="14" hidden="1">'תקציב צביעה - לקראת השינוי'!$B$6:$F$133</definedName>
    <definedName name="_xlnm._FilterDatabase" localSheetId="2" hidden="1">[1]הנחות!$J$2:$K$21</definedName>
    <definedName name="_xlnm._FilterDatabase" localSheetId="1" hidden="1">הנחות!$I$2:$J$21</definedName>
    <definedName name="EMIPRI_ESHBEL_PRIORITY_Tvunot_Eshkol" localSheetId="0" hidden="1">חברים!$A$5:$T$710</definedName>
    <definedName name="GIL" localSheetId="9">הנחות!$F$2:$G$8</definedName>
    <definedName name="GIL" localSheetId="2">[1]חברים!$AV$6:$AW$12</definedName>
    <definedName name="GIL">חברים!$AU$6:$AV$12</definedName>
    <definedName name="_xlnm.Print_Area" localSheetId="10">'חישוב דמי עזיבה - 25 שנת 2024'!$B$1:$F$14</definedName>
    <definedName name="_xlnm.Print_Area" localSheetId="14">'תקציב צביעה - לקראת השינוי'!$B$4:$F$136</definedName>
  </definedNames>
  <calcPr calcId="191029"/>
  <pivotCaches>
    <pivotCache cacheId="3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3" l="1"/>
  <c r="K2" i="13" s="1"/>
  <c r="K21" i="13"/>
  <c r="K22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3" i="13"/>
  <c r="K4" i="13"/>
  <c r="M4" i="5"/>
  <c r="K29" i="5"/>
  <c r="L29" i="5"/>
  <c r="M29" i="5"/>
  <c r="K24" i="5"/>
  <c r="D8" i="1"/>
  <c r="G4" i="13"/>
  <c r="O2" i="13" l="1"/>
  <c r="P2" i="13"/>
  <c r="Q2" i="13"/>
  <c r="AS6" i="2" l="1"/>
  <c r="AS7" i="2"/>
  <c r="AS8" i="2"/>
  <c r="AS12" i="2"/>
  <c r="AS13" i="2"/>
  <c r="AS14" i="2"/>
  <c r="AS19" i="2"/>
  <c r="AS24" i="2"/>
  <c r="AS25" i="2"/>
  <c r="AS26" i="2"/>
  <c r="AS30" i="2"/>
  <c r="AS31" i="2"/>
  <c r="AS32" i="2"/>
  <c r="AS33" i="2"/>
  <c r="AS34" i="2"/>
  <c r="AS35" i="2"/>
  <c r="AS37" i="2"/>
  <c r="AS38" i="2"/>
  <c r="AS39" i="2"/>
  <c r="AS40" i="2"/>
  <c r="AS41" i="2"/>
  <c r="AS42" i="2"/>
  <c r="AS44" i="2"/>
  <c r="AS45" i="2"/>
  <c r="AS46" i="2"/>
  <c r="AS47" i="2"/>
  <c r="AS48" i="2"/>
  <c r="AS49" i="2"/>
  <c r="AS50" i="2"/>
  <c r="AS51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81" i="2"/>
  <c r="AS82" i="2"/>
  <c r="AS84" i="2"/>
  <c r="AS87" i="2"/>
  <c r="AS99" i="2"/>
  <c r="AS100" i="2"/>
  <c r="AS103" i="2"/>
  <c r="AS104" i="2"/>
  <c r="AS106" i="2"/>
  <c r="AS107" i="2"/>
  <c r="AS108" i="2"/>
  <c r="AS109" i="2"/>
  <c r="AS110" i="2"/>
  <c r="AS111" i="2"/>
  <c r="AS114" i="2"/>
  <c r="AS116" i="2"/>
  <c r="AS117" i="2"/>
  <c r="AS118" i="2"/>
  <c r="AS119" i="2"/>
  <c r="AS120" i="2"/>
  <c r="AS123" i="2"/>
  <c r="AS124" i="2"/>
  <c r="AS125" i="2"/>
  <c r="AS126" i="2"/>
  <c r="AS127" i="2"/>
  <c r="AS128" i="2"/>
  <c r="AS135" i="2"/>
  <c r="AS136" i="2"/>
  <c r="AS137" i="2"/>
  <c r="AS138" i="2"/>
  <c r="AS139" i="2"/>
  <c r="AS144" i="2"/>
  <c r="AS145" i="2"/>
  <c r="AS146" i="2"/>
  <c r="AS147" i="2"/>
  <c r="AS148" i="2"/>
  <c r="AS149" i="2"/>
  <c r="AS150" i="2"/>
  <c r="AS151" i="2"/>
  <c r="AS152" i="2"/>
  <c r="AS153" i="2"/>
  <c r="AS154" i="2"/>
  <c r="AS156" i="2"/>
  <c r="AS157" i="2"/>
  <c r="AS158" i="2"/>
  <c r="AS159" i="2"/>
  <c r="AS160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8" i="2"/>
  <c r="AS179" i="2"/>
  <c r="AS180" i="2"/>
  <c r="AS182" i="2"/>
  <c r="AS184" i="2"/>
  <c r="AS186" i="2"/>
  <c r="AS187" i="2"/>
  <c r="AS188" i="2"/>
  <c r="AS189" i="2"/>
  <c r="AS190" i="2"/>
  <c r="AS192" i="2"/>
  <c r="AS193" i="2"/>
  <c r="AS194" i="2"/>
  <c r="AS197" i="2"/>
  <c r="AS200" i="2"/>
  <c r="AS202" i="2"/>
  <c r="AS205" i="2"/>
  <c r="AS206" i="2"/>
  <c r="AS207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7" i="2"/>
  <c r="AS229" i="2"/>
  <c r="AS230" i="2"/>
  <c r="AS231" i="2"/>
  <c r="AS232" i="2"/>
  <c r="AS233" i="2"/>
  <c r="AS237" i="2"/>
  <c r="AS238" i="2"/>
  <c r="AS239" i="2"/>
  <c r="AS240" i="2"/>
  <c r="AS241" i="2"/>
  <c r="AS242" i="2"/>
  <c r="AS243" i="2"/>
  <c r="AS244" i="2"/>
  <c r="AS245" i="2"/>
  <c r="AS246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8" i="2"/>
  <c r="AS272" i="2"/>
  <c r="AS273" i="2"/>
  <c r="AS274" i="2"/>
  <c r="AS275" i="2"/>
  <c r="AS276" i="2"/>
  <c r="AS277" i="2"/>
  <c r="AS278" i="2"/>
  <c r="AS279" i="2"/>
  <c r="AS280" i="2"/>
  <c r="AS281" i="2"/>
  <c r="AS282" i="2"/>
  <c r="AS285" i="2"/>
  <c r="AS286" i="2"/>
  <c r="AS287" i="2"/>
  <c r="AS288" i="2"/>
  <c r="AS289" i="2"/>
  <c r="AS290" i="2"/>
  <c r="AS291" i="2"/>
  <c r="AS292" i="2"/>
  <c r="AS293" i="2"/>
  <c r="AS294" i="2"/>
  <c r="AS295" i="2"/>
  <c r="AS302" i="2"/>
  <c r="AS303" i="2"/>
  <c r="AS304" i="2"/>
  <c r="AS305" i="2"/>
  <c r="AS306" i="2"/>
  <c r="AS309" i="2"/>
  <c r="AS310" i="2"/>
  <c r="AS311" i="2"/>
  <c r="AS312" i="2"/>
  <c r="AS317" i="2"/>
  <c r="AS318" i="2"/>
  <c r="AS319" i="2"/>
  <c r="AS320" i="2"/>
  <c r="AS321" i="2"/>
  <c r="AS322" i="2"/>
  <c r="AS323" i="2"/>
  <c r="AS324" i="2"/>
  <c r="AS325" i="2"/>
  <c r="AS328" i="2"/>
  <c r="AS329" i="2"/>
  <c r="AS330" i="2"/>
  <c r="AS331" i="2"/>
  <c r="AS332" i="2"/>
  <c r="AS334" i="2"/>
  <c r="AS335" i="2"/>
  <c r="AS337" i="2"/>
  <c r="AS338" i="2"/>
  <c r="AS340" i="2"/>
  <c r="AS343" i="2"/>
  <c r="AS347" i="2"/>
  <c r="AS353" i="2"/>
  <c r="AS354" i="2"/>
  <c r="AS355" i="2"/>
  <c r="AS356" i="2"/>
  <c r="AS357" i="2"/>
  <c r="AS358" i="2"/>
  <c r="AS360" i="2"/>
  <c r="AS361" i="2"/>
  <c r="AS362" i="2"/>
  <c r="AS367" i="2"/>
  <c r="AS368" i="2"/>
  <c r="AS369" i="2"/>
  <c r="AS370" i="2"/>
  <c r="AS371" i="2"/>
  <c r="AS373" i="2"/>
  <c r="AS374" i="2"/>
  <c r="AS375" i="2"/>
  <c r="AS376" i="2"/>
  <c r="AS378" i="2"/>
  <c r="AS379" i="2"/>
  <c r="AS380" i="2"/>
  <c r="AS382" i="2"/>
  <c r="AS383" i="2"/>
  <c r="AS384" i="2"/>
  <c r="AS386" i="2"/>
  <c r="AS387" i="2"/>
  <c r="AS388" i="2"/>
  <c r="AS389" i="2"/>
  <c r="AS390" i="2"/>
  <c r="AS391" i="2"/>
  <c r="AS392" i="2"/>
  <c r="AS393" i="2"/>
  <c r="AS394" i="2"/>
  <c r="AS397" i="2"/>
  <c r="AS398" i="2"/>
  <c r="AS399" i="2"/>
  <c r="AS400" i="2"/>
  <c r="AS402" i="2"/>
  <c r="AS403" i="2"/>
  <c r="AS404" i="2"/>
  <c r="AS405" i="2"/>
  <c r="AS406" i="2"/>
  <c r="AS407" i="2"/>
  <c r="AS408" i="2"/>
  <c r="AS409" i="2"/>
  <c r="AS410" i="2"/>
  <c r="AS411" i="2"/>
  <c r="AS412" i="2"/>
  <c r="AS413" i="2"/>
  <c r="AS414" i="2"/>
  <c r="AS415" i="2"/>
  <c r="AS416" i="2"/>
  <c r="AS417" i="2"/>
  <c r="AS418" i="2"/>
  <c r="AS422" i="2"/>
  <c r="AS423" i="2"/>
  <c r="AS424" i="2"/>
  <c r="AS425" i="2"/>
  <c r="AS426" i="2"/>
  <c r="AS427" i="2"/>
  <c r="AS428" i="2"/>
  <c r="AS430" i="2"/>
  <c r="AS431" i="2"/>
  <c r="AS432" i="2"/>
  <c r="AS433" i="2"/>
  <c r="AS434" i="2"/>
  <c r="AS435" i="2"/>
  <c r="AS438" i="2"/>
  <c r="AS439" i="2"/>
  <c r="AS440" i="2"/>
  <c r="AS441" i="2"/>
  <c r="AS446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8" i="2"/>
  <c r="AS469" i="2"/>
  <c r="AS474" i="2"/>
  <c r="AS475" i="2"/>
  <c r="AS476" i="2"/>
  <c r="AS477" i="2"/>
  <c r="AS478" i="2"/>
  <c r="AS480" i="2"/>
  <c r="AS481" i="2"/>
  <c r="AS482" i="2"/>
  <c r="AS483" i="2"/>
  <c r="AS485" i="2"/>
  <c r="AS486" i="2"/>
  <c r="AS487" i="2"/>
  <c r="AS488" i="2"/>
  <c r="AS489" i="2"/>
  <c r="AS491" i="2"/>
  <c r="AS492" i="2"/>
  <c r="AS493" i="2"/>
  <c r="AS495" i="2"/>
  <c r="AS496" i="2"/>
  <c r="AS497" i="2"/>
  <c r="AS498" i="2"/>
  <c r="AS499" i="2"/>
  <c r="AS501" i="2"/>
  <c r="AS502" i="2"/>
  <c r="AS503" i="2"/>
  <c r="AS504" i="2"/>
  <c r="AS505" i="2"/>
  <c r="AS506" i="2"/>
  <c r="AS507" i="2"/>
  <c r="AS508" i="2"/>
  <c r="AS509" i="2"/>
  <c r="AS510" i="2"/>
  <c r="AS511" i="2"/>
  <c r="AS512" i="2"/>
  <c r="AS513" i="2"/>
  <c r="AS514" i="2"/>
  <c r="AS515" i="2"/>
  <c r="AS516" i="2"/>
  <c r="AS517" i="2"/>
  <c r="AS522" i="2"/>
  <c r="AS523" i="2"/>
  <c r="AS524" i="2"/>
  <c r="AS526" i="2"/>
  <c r="AS527" i="2"/>
  <c r="AS533" i="2"/>
  <c r="AS534" i="2"/>
  <c r="AS535" i="2"/>
  <c r="AS536" i="2"/>
  <c r="AS537" i="2"/>
  <c r="AS538" i="2"/>
  <c r="AS539" i="2"/>
  <c r="AS540" i="2"/>
  <c r="AS541" i="2"/>
  <c r="AS542" i="2"/>
  <c r="AS543" i="2"/>
  <c r="AS544" i="2"/>
  <c r="AS545" i="2"/>
  <c r="AS546" i="2"/>
  <c r="AS549" i="2"/>
  <c r="AS550" i="2"/>
  <c r="AS551" i="2"/>
  <c r="AS552" i="2"/>
  <c r="AS553" i="2"/>
  <c r="AS554" i="2"/>
  <c r="AS555" i="2"/>
  <c r="AS556" i="2"/>
  <c r="AS557" i="2"/>
  <c r="AS558" i="2"/>
  <c r="AS559" i="2"/>
  <c r="AS560" i="2"/>
  <c r="AS561" i="2"/>
  <c r="AS562" i="2"/>
  <c r="AS563" i="2"/>
  <c r="AS564" i="2"/>
  <c r="AS565" i="2"/>
  <c r="AS566" i="2"/>
  <c r="AS568" i="2"/>
  <c r="AS569" i="2"/>
  <c r="AS570" i="2"/>
  <c r="AS572" i="2"/>
  <c r="AS573" i="2"/>
  <c r="AS574" i="2"/>
  <c r="AS575" i="2"/>
  <c r="AS576" i="2"/>
  <c r="AS577" i="2"/>
  <c r="AS578" i="2"/>
  <c r="AS579" i="2"/>
  <c r="AS580" i="2"/>
  <c r="AS581" i="2"/>
  <c r="AS582" i="2"/>
  <c r="AS583" i="2"/>
  <c r="AS584" i="2"/>
  <c r="AS585" i="2"/>
  <c r="AS586" i="2"/>
  <c r="AS587" i="2"/>
  <c r="AS588" i="2"/>
  <c r="AS589" i="2"/>
  <c r="AS590" i="2"/>
  <c r="AS591" i="2"/>
  <c r="AS592" i="2"/>
  <c r="AS593" i="2"/>
  <c r="AS594" i="2"/>
  <c r="AS595" i="2"/>
  <c r="AS596" i="2"/>
  <c r="AS597" i="2"/>
  <c r="AS598" i="2"/>
  <c r="AS601" i="2"/>
  <c r="AS603" i="2"/>
  <c r="AS604" i="2"/>
  <c r="AS605" i="2"/>
  <c r="AS606" i="2"/>
  <c r="AS607" i="2"/>
  <c r="AS608" i="2"/>
  <c r="AS609" i="2"/>
  <c r="AS610" i="2"/>
  <c r="AS611" i="2"/>
  <c r="AS612" i="2"/>
  <c r="AS613" i="2"/>
  <c r="AS614" i="2"/>
  <c r="AS615" i="2"/>
  <c r="AS616" i="2"/>
  <c r="AS617" i="2"/>
  <c r="AS618" i="2"/>
  <c r="AS619" i="2"/>
  <c r="AS620" i="2"/>
  <c r="AS621" i="2"/>
  <c r="AS622" i="2"/>
  <c r="AS623" i="2"/>
  <c r="AS624" i="2"/>
  <c r="AS625" i="2"/>
  <c r="AS626" i="2"/>
  <c r="AS627" i="2"/>
  <c r="AS628" i="2"/>
  <c r="AS629" i="2"/>
  <c r="AS630" i="2"/>
  <c r="AS631" i="2"/>
  <c r="AS632" i="2"/>
  <c r="AS633" i="2"/>
  <c r="AS634" i="2"/>
  <c r="AS635" i="2"/>
  <c r="AS636" i="2"/>
  <c r="AS637" i="2"/>
  <c r="AS638" i="2"/>
  <c r="AS639" i="2"/>
  <c r="AS640" i="2"/>
  <c r="AS643" i="2"/>
  <c r="AS644" i="2"/>
  <c r="AS645" i="2"/>
  <c r="AS646" i="2"/>
  <c r="AS647" i="2"/>
  <c r="AS648" i="2"/>
  <c r="AS649" i="2"/>
  <c r="AS650" i="2"/>
  <c r="AS651" i="2"/>
  <c r="AS652" i="2"/>
  <c r="AS653" i="2"/>
  <c r="AS654" i="2"/>
  <c r="AS655" i="2"/>
  <c r="AS656" i="2"/>
  <c r="AS657" i="2"/>
  <c r="AS658" i="2"/>
  <c r="AS659" i="2"/>
  <c r="AS660" i="2"/>
  <c r="AS661" i="2"/>
  <c r="AS662" i="2"/>
  <c r="AS663" i="2"/>
  <c r="AS664" i="2"/>
  <c r="AS665" i="2"/>
  <c r="AS666" i="2"/>
  <c r="AS667" i="2"/>
  <c r="AS668" i="2"/>
  <c r="AS669" i="2"/>
  <c r="AS670" i="2"/>
  <c r="AS671" i="2"/>
  <c r="AS672" i="2"/>
  <c r="AS676" i="2"/>
  <c r="AS677" i="2"/>
  <c r="AS678" i="2"/>
  <c r="AS679" i="2"/>
  <c r="AS680" i="2"/>
  <c r="AS687" i="2"/>
  <c r="AS689" i="2"/>
  <c r="AS690" i="2"/>
  <c r="AS692" i="2"/>
  <c r="AS693" i="2"/>
  <c r="AS695" i="2"/>
  <c r="AS698" i="2"/>
  <c r="AS705" i="2"/>
  <c r="AS707" i="2"/>
  <c r="AS709" i="2"/>
  <c r="AR6" i="2"/>
  <c r="AR7" i="2"/>
  <c r="AR8" i="2"/>
  <c r="AR12" i="2"/>
  <c r="AR13" i="2"/>
  <c r="AR14" i="2"/>
  <c r="AR16" i="2"/>
  <c r="AR17" i="2"/>
  <c r="AR18" i="2"/>
  <c r="AR19" i="2"/>
  <c r="AR24" i="2"/>
  <c r="AR25" i="2"/>
  <c r="AR26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9" i="2"/>
  <c r="AR50" i="2"/>
  <c r="AR51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81" i="2"/>
  <c r="AR82" i="2"/>
  <c r="AR84" i="2"/>
  <c r="AR87" i="2"/>
  <c r="AR88" i="2"/>
  <c r="AR89" i="2"/>
  <c r="AR90" i="2"/>
  <c r="AR91" i="2"/>
  <c r="AR99" i="2"/>
  <c r="AR100" i="2"/>
  <c r="AR101" i="2"/>
  <c r="AR102" i="2"/>
  <c r="AR103" i="2"/>
  <c r="AR104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3" i="2"/>
  <c r="AR124" i="2"/>
  <c r="AR125" i="2"/>
  <c r="AR126" i="2"/>
  <c r="AR129" i="2"/>
  <c r="AR130" i="2"/>
  <c r="AR131" i="2"/>
  <c r="AR133" i="2"/>
  <c r="AR135" i="2"/>
  <c r="AR136" i="2"/>
  <c r="AR137" i="2"/>
  <c r="AR138" i="2"/>
  <c r="AR139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6" i="2"/>
  <c r="AR178" i="2"/>
  <c r="AR179" i="2"/>
  <c r="AR180" i="2"/>
  <c r="AR181" i="2"/>
  <c r="AR182" i="2"/>
  <c r="AR184" i="2"/>
  <c r="AR185" i="2"/>
  <c r="AR186" i="2"/>
  <c r="AR187" i="2"/>
  <c r="AR188" i="2"/>
  <c r="AR189" i="2"/>
  <c r="AR190" i="2"/>
  <c r="AR192" i="2"/>
  <c r="AR193" i="2"/>
  <c r="AR194" i="2"/>
  <c r="AR195" i="2"/>
  <c r="AR197" i="2"/>
  <c r="AR198" i="2"/>
  <c r="AR200" i="2"/>
  <c r="AR201" i="2"/>
  <c r="AR202" i="2"/>
  <c r="AR203" i="2"/>
  <c r="AR204" i="2"/>
  <c r="AR205" i="2"/>
  <c r="AR206" i="2"/>
  <c r="AR207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5" i="2"/>
  <c r="AR226" i="2"/>
  <c r="AR227" i="2"/>
  <c r="AR228" i="2"/>
  <c r="AR229" i="2"/>
  <c r="AR230" i="2"/>
  <c r="AR231" i="2"/>
  <c r="AR232" i="2"/>
  <c r="AR233" i="2"/>
  <c r="AR236" i="2"/>
  <c r="AR237" i="2"/>
  <c r="AR238" i="2"/>
  <c r="AR239" i="2"/>
  <c r="AR240" i="2"/>
  <c r="AR241" i="2"/>
  <c r="AR242" i="2"/>
  <c r="AR243" i="2"/>
  <c r="AR244" i="2"/>
  <c r="AR245" i="2"/>
  <c r="AR246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8" i="2"/>
  <c r="AR299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4" i="2"/>
  <c r="AR335" i="2"/>
  <c r="AR337" i="2"/>
  <c r="AR338" i="2"/>
  <c r="AR339" i="2"/>
  <c r="AR340" i="2"/>
  <c r="AR341" i="2"/>
  <c r="AR343" i="2"/>
  <c r="AR347" i="2"/>
  <c r="AR352" i="2"/>
  <c r="AR353" i="2"/>
  <c r="AR354" i="2"/>
  <c r="AR355" i="2"/>
  <c r="AR356" i="2"/>
  <c r="AR357" i="2"/>
  <c r="AR358" i="2"/>
  <c r="AR360" i="2"/>
  <c r="AR361" i="2"/>
  <c r="AR362" i="2"/>
  <c r="AR365" i="2"/>
  <c r="AR366" i="2"/>
  <c r="AR367" i="2"/>
  <c r="AR368" i="2"/>
  <c r="AR369" i="2"/>
  <c r="AR370" i="2"/>
  <c r="AR371" i="2"/>
  <c r="AR373" i="2"/>
  <c r="AR374" i="2"/>
  <c r="AR375" i="2"/>
  <c r="AR376" i="2"/>
  <c r="AR377" i="2"/>
  <c r="AR378" i="2"/>
  <c r="AR379" i="2"/>
  <c r="AR380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7" i="2"/>
  <c r="AR398" i="2"/>
  <c r="AR399" i="2"/>
  <c r="AR400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8" i="2"/>
  <c r="AR439" i="2"/>
  <c r="AR440" i="2"/>
  <c r="AR441" i="2"/>
  <c r="AR446" i="2"/>
  <c r="AR447" i="2"/>
  <c r="AR448" i="2"/>
  <c r="AR449" i="2"/>
  <c r="AR450" i="2"/>
  <c r="AR451" i="2"/>
  <c r="AR452" i="2"/>
  <c r="AR453" i="2"/>
  <c r="AR454" i="2"/>
  <c r="AR455" i="2"/>
  <c r="AR456" i="2"/>
  <c r="AR458" i="2"/>
  <c r="AR459" i="2"/>
  <c r="AR460" i="2"/>
  <c r="AR461" i="2"/>
  <c r="AR462" i="2"/>
  <c r="AR463" i="2"/>
  <c r="AR464" i="2"/>
  <c r="AR465" i="2"/>
  <c r="AR466" i="2"/>
  <c r="AR467" i="2"/>
  <c r="AR469" i="2"/>
  <c r="AR474" i="2"/>
  <c r="AR475" i="2"/>
  <c r="AR476" i="2"/>
  <c r="AR477" i="2"/>
  <c r="AR478" i="2"/>
  <c r="AR480" i="2"/>
  <c r="AR481" i="2"/>
  <c r="AR482" i="2"/>
  <c r="AR483" i="2"/>
  <c r="AR485" i="2"/>
  <c r="AR486" i="2"/>
  <c r="AR487" i="2"/>
  <c r="AR488" i="2"/>
  <c r="AR489" i="2"/>
  <c r="AR491" i="2"/>
  <c r="AR492" i="2"/>
  <c r="AR493" i="2"/>
  <c r="AR495" i="2"/>
  <c r="AR496" i="2"/>
  <c r="AR497" i="2"/>
  <c r="AR498" i="2"/>
  <c r="AR499" i="2"/>
  <c r="AR501" i="2"/>
  <c r="AR502" i="2"/>
  <c r="AR503" i="2"/>
  <c r="AR504" i="2"/>
  <c r="AR505" i="2"/>
  <c r="AR506" i="2"/>
  <c r="AR507" i="2"/>
  <c r="AR508" i="2"/>
  <c r="AR509" i="2"/>
  <c r="AR510" i="2"/>
  <c r="AR511" i="2"/>
  <c r="AR512" i="2"/>
  <c r="AR513" i="2"/>
  <c r="AR514" i="2"/>
  <c r="AR515" i="2"/>
  <c r="AR516" i="2"/>
  <c r="AR517" i="2"/>
  <c r="AR518" i="2"/>
  <c r="AR519" i="2"/>
  <c r="AR520" i="2"/>
  <c r="AR521" i="2"/>
  <c r="AR522" i="2"/>
  <c r="AR523" i="2"/>
  <c r="AR524" i="2"/>
  <c r="AR525" i="2"/>
  <c r="AR526" i="2"/>
  <c r="AR533" i="2"/>
  <c r="AR534" i="2"/>
  <c r="AR535" i="2"/>
  <c r="AR536" i="2"/>
  <c r="AR537" i="2"/>
  <c r="AR538" i="2"/>
  <c r="AR539" i="2"/>
  <c r="AR540" i="2"/>
  <c r="AR541" i="2"/>
  <c r="AR542" i="2"/>
  <c r="AR543" i="2"/>
  <c r="AR544" i="2"/>
  <c r="AR545" i="2"/>
  <c r="AR546" i="2"/>
  <c r="AR547" i="2"/>
  <c r="AR548" i="2"/>
  <c r="AR549" i="2"/>
  <c r="AR550" i="2"/>
  <c r="AR551" i="2"/>
  <c r="AR552" i="2"/>
  <c r="AR553" i="2"/>
  <c r="AR554" i="2"/>
  <c r="AR555" i="2"/>
  <c r="AR556" i="2"/>
  <c r="AR557" i="2"/>
  <c r="AR558" i="2"/>
  <c r="AR559" i="2"/>
  <c r="AR560" i="2"/>
  <c r="AR561" i="2"/>
  <c r="AR562" i="2"/>
  <c r="AR563" i="2"/>
  <c r="AR564" i="2"/>
  <c r="AR565" i="2"/>
  <c r="AR566" i="2"/>
  <c r="AR567" i="2"/>
  <c r="AR568" i="2"/>
  <c r="AR569" i="2"/>
  <c r="AR570" i="2"/>
  <c r="AR572" i="2"/>
  <c r="AR573" i="2"/>
  <c r="AR574" i="2"/>
  <c r="AR575" i="2"/>
  <c r="AR576" i="2"/>
  <c r="AR577" i="2"/>
  <c r="AR578" i="2"/>
  <c r="AR579" i="2"/>
  <c r="AR580" i="2"/>
  <c r="AR581" i="2"/>
  <c r="AR582" i="2"/>
  <c r="AR583" i="2"/>
  <c r="AR584" i="2"/>
  <c r="AR585" i="2"/>
  <c r="AR586" i="2"/>
  <c r="AR587" i="2"/>
  <c r="AR588" i="2"/>
  <c r="AR589" i="2"/>
  <c r="AR590" i="2"/>
  <c r="AR591" i="2"/>
  <c r="AR592" i="2"/>
  <c r="AR593" i="2"/>
  <c r="AR594" i="2"/>
  <c r="AR595" i="2"/>
  <c r="AR596" i="2"/>
  <c r="AR597" i="2"/>
  <c r="AR598" i="2"/>
  <c r="AR601" i="2"/>
  <c r="AR602" i="2"/>
  <c r="AR603" i="2"/>
  <c r="AR604" i="2"/>
  <c r="AR605" i="2"/>
  <c r="AR606" i="2"/>
  <c r="AR607" i="2"/>
  <c r="AR608" i="2"/>
  <c r="AR609" i="2"/>
  <c r="AR610" i="2"/>
  <c r="AR611" i="2"/>
  <c r="AR612" i="2"/>
  <c r="AR613" i="2"/>
  <c r="AR614" i="2"/>
  <c r="AR615" i="2"/>
  <c r="AR616" i="2"/>
  <c r="AR617" i="2"/>
  <c r="AR618" i="2"/>
  <c r="AR619" i="2"/>
  <c r="AR620" i="2"/>
  <c r="AR621" i="2"/>
  <c r="AR622" i="2"/>
  <c r="AR623" i="2"/>
  <c r="AR624" i="2"/>
  <c r="AR625" i="2"/>
  <c r="AR626" i="2"/>
  <c r="AR627" i="2"/>
  <c r="AR628" i="2"/>
  <c r="AR629" i="2"/>
  <c r="AR630" i="2"/>
  <c r="AR631" i="2"/>
  <c r="AR632" i="2"/>
  <c r="AR633" i="2"/>
  <c r="AR634" i="2"/>
  <c r="AR635" i="2"/>
  <c r="AR636" i="2"/>
  <c r="AR637" i="2"/>
  <c r="AR638" i="2"/>
  <c r="AR639" i="2"/>
  <c r="AR640" i="2"/>
  <c r="AR643" i="2"/>
  <c r="AR644" i="2"/>
  <c r="AR645" i="2"/>
  <c r="AR646" i="2"/>
  <c r="AR647" i="2"/>
  <c r="AR648" i="2"/>
  <c r="AR649" i="2"/>
  <c r="AR650" i="2"/>
  <c r="AR651" i="2"/>
  <c r="AR652" i="2"/>
  <c r="AR655" i="2"/>
  <c r="AR656" i="2"/>
  <c r="AR657" i="2"/>
  <c r="AR658" i="2"/>
  <c r="AR659" i="2"/>
  <c r="AR660" i="2"/>
  <c r="AR661" i="2"/>
  <c r="AR662" i="2"/>
  <c r="AR663" i="2"/>
  <c r="AR664" i="2"/>
  <c r="AR665" i="2"/>
  <c r="AR666" i="2"/>
  <c r="AR667" i="2"/>
  <c r="AR668" i="2"/>
  <c r="AR669" i="2"/>
  <c r="AR670" i="2"/>
  <c r="AR671" i="2"/>
  <c r="AR672" i="2"/>
  <c r="AR673" i="2"/>
  <c r="AR674" i="2"/>
  <c r="AR676" i="2"/>
  <c r="AR677" i="2"/>
  <c r="AR678" i="2"/>
  <c r="AR679" i="2"/>
  <c r="AR689" i="2"/>
  <c r="AR690" i="2"/>
  <c r="AR691" i="2"/>
  <c r="AR692" i="2"/>
  <c r="AR693" i="2"/>
  <c r="AR698" i="2"/>
  <c r="AR700" i="2"/>
  <c r="AR702" i="2"/>
  <c r="AR703" i="2"/>
  <c r="AR704" i="2"/>
  <c r="AR705" i="2"/>
  <c r="AR707" i="2"/>
  <c r="D130" i="18"/>
  <c r="E130" i="18" s="1"/>
  <c r="F130" i="18" s="1"/>
  <c r="D113" i="18"/>
  <c r="E113" i="18" s="1"/>
  <c r="F113" i="18" s="1"/>
  <c r="D110" i="18"/>
  <c r="E110" i="18" s="1"/>
  <c r="F110" i="18" s="1"/>
  <c r="AR484" i="2" s="1"/>
  <c r="D91" i="18"/>
  <c r="E91" i="18" s="1"/>
  <c r="F91" i="18" s="1"/>
  <c r="AR401" i="2" s="1"/>
  <c r="D84" i="18"/>
  <c r="E84" i="18" s="1"/>
  <c r="F84" i="18" s="1"/>
  <c r="AR351" i="2" s="1"/>
  <c r="D83" i="18"/>
  <c r="E83" i="18" s="1"/>
  <c r="F83" i="18" s="1"/>
  <c r="AR527" i="2" s="1"/>
  <c r="D78" i="18"/>
  <c r="E78" i="18" s="1"/>
  <c r="F78" i="18" s="1"/>
  <c r="AR336" i="2" s="1"/>
  <c r="D69" i="18"/>
  <c r="E69" i="18" s="1"/>
  <c r="F69" i="18" s="1"/>
  <c r="AR316" i="2" s="1"/>
  <c r="D64" i="18"/>
  <c r="E64" i="18" s="1"/>
  <c r="F64" i="18" s="1"/>
  <c r="AR296" i="2" s="1"/>
  <c r="D54" i="18"/>
  <c r="E54" i="18" s="1"/>
  <c r="F54" i="18" s="1"/>
  <c r="D48" i="18"/>
  <c r="E48" i="18" s="1"/>
  <c r="F48" i="18" s="1"/>
  <c r="AR208" i="2" s="1"/>
  <c r="D39" i="18"/>
  <c r="E39" i="18" s="1"/>
  <c r="F39" i="18" s="1"/>
  <c r="D33" i="18"/>
  <c r="E33" i="18" s="1"/>
  <c r="F33" i="18" s="1"/>
  <c r="AR457" i="2" s="1"/>
  <c r="D25" i="18"/>
  <c r="E25" i="18" s="1"/>
  <c r="F25" i="18" s="1"/>
  <c r="D17" i="18"/>
  <c r="E17" i="18" s="1"/>
  <c r="F17" i="18" s="1"/>
  <c r="AR52" i="2" s="1"/>
  <c r="D15" i="18"/>
  <c r="E15" i="18" s="1"/>
  <c r="F15" i="18" s="1"/>
  <c r="AR20" i="2" s="1"/>
  <c r="E133" i="18"/>
  <c r="F133" i="18" s="1"/>
  <c r="AR653" i="2" s="1"/>
  <c r="D131" i="18"/>
  <c r="E131" i="18" s="1"/>
  <c r="F131" i="18" s="1"/>
  <c r="D115" i="18"/>
  <c r="E115" i="18" s="1"/>
  <c r="F115" i="18" s="1"/>
  <c r="AR701" i="2" s="1"/>
  <c r="D111" i="18"/>
  <c r="E111" i="18" s="1"/>
  <c r="F111" i="18" s="1"/>
  <c r="AR473" i="2" s="1"/>
  <c r="D109" i="18"/>
  <c r="E109" i="18" s="1"/>
  <c r="F109" i="18" s="1"/>
  <c r="AR479" i="2" s="1"/>
  <c r="D96" i="18"/>
  <c r="E96" i="18" s="1"/>
  <c r="F96" i="18" s="1"/>
  <c r="AR437" i="2" s="1"/>
  <c r="D90" i="18"/>
  <c r="E90" i="18" s="1"/>
  <c r="F90" i="18" s="1"/>
  <c r="D66" i="18"/>
  <c r="E66" i="18" s="1"/>
  <c r="F66" i="18" s="1"/>
  <c r="AR300" i="2" s="1"/>
  <c r="D65" i="18"/>
  <c r="E65" i="18" s="1"/>
  <c r="F65" i="18" s="1"/>
  <c r="E59" i="18"/>
  <c r="F59" i="18" s="1"/>
  <c r="AR682" i="2" s="1"/>
  <c r="D59" i="18"/>
  <c r="AS682" i="2" s="1"/>
  <c r="D55" i="18"/>
  <c r="E55" i="18" s="1"/>
  <c r="F55" i="18" s="1"/>
  <c r="AR234" i="2" s="1"/>
  <c r="D47" i="18"/>
  <c r="E47" i="18" s="1"/>
  <c r="F47" i="18" s="1"/>
  <c r="D45" i="18"/>
  <c r="E45" i="18" s="1"/>
  <c r="F45" i="18" s="1"/>
  <c r="D43" i="18"/>
  <c r="E43" i="18" s="1"/>
  <c r="F43" i="18" s="1"/>
  <c r="AR174" i="2" s="1"/>
  <c r="D41" i="18"/>
  <c r="E41" i="18" s="1"/>
  <c r="F41" i="18" s="1"/>
  <c r="AR224" i="2" s="1"/>
  <c r="D28" i="18"/>
  <c r="E28" i="18" s="1"/>
  <c r="F28" i="18" s="1"/>
  <c r="D18" i="18"/>
  <c r="E18" i="18" s="1"/>
  <c r="F18" i="18" s="1"/>
  <c r="AR85" i="2" s="1"/>
  <c r="D105" i="18"/>
  <c r="E105" i="18" s="1"/>
  <c r="F105" i="18" s="1"/>
  <c r="AR684" i="2" s="1"/>
  <c r="D132" i="18"/>
  <c r="E132" i="18" s="1"/>
  <c r="F132" i="18" s="1"/>
  <c r="AR642" i="2" s="1"/>
  <c r="D129" i="18"/>
  <c r="E129" i="18" s="1"/>
  <c r="F129" i="18" s="1"/>
  <c r="AR600" i="2" s="1"/>
  <c r="D122" i="18"/>
  <c r="E122" i="18" s="1"/>
  <c r="F122" i="18" s="1"/>
  <c r="AR530" i="2" s="1"/>
  <c r="D117" i="18"/>
  <c r="E117" i="18" s="1"/>
  <c r="F117" i="18" s="1"/>
  <c r="D114" i="18"/>
  <c r="E114" i="18" s="1"/>
  <c r="F114" i="18" s="1"/>
  <c r="D112" i="18"/>
  <c r="E112" i="18" s="1"/>
  <c r="F112" i="18" s="1"/>
  <c r="D104" i="18"/>
  <c r="E104" i="18" s="1"/>
  <c r="F104" i="18" s="1"/>
  <c r="AR470" i="2" s="1"/>
  <c r="D98" i="18"/>
  <c r="E98" i="18" s="1"/>
  <c r="F98" i="18" s="1"/>
  <c r="D97" i="18"/>
  <c r="E97" i="18" s="1"/>
  <c r="F97" i="18" s="1"/>
  <c r="D92" i="18"/>
  <c r="E92" i="18" s="1"/>
  <c r="F92" i="18" s="1"/>
  <c r="AR710" i="2" s="1"/>
  <c r="D88" i="18"/>
  <c r="E88" i="18" s="1"/>
  <c r="F88" i="18" s="1"/>
  <c r="AR348" i="2" s="1"/>
  <c r="D87" i="18"/>
  <c r="E87" i="18" s="1"/>
  <c r="F87" i="18" s="1"/>
  <c r="AR350" i="2" s="1"/>
  <c r="D80" i="18"/>
  <c r="E80" i="18" s="1"/>
  <c r="F80" i="18" s="1"/>
  <c r="AR706" i="2" s="1"/>
  <c r="D81" i="18"/>
  <c r="E81" i="18" s="1"/>
  <c r="F81" i="18" s="1"/>
  <c r="AR396" i="2" s="1"/>
  <c r="D74" i="18"/>
  <c r="E74" i="18" s="1"/>
  <c r="F74" i="18" s="1"/>
  <c r="AR363" i="2" s="1"/>
  <c r="D72" i="18"/>
  <c r="E72" i="18" s="1"/>
  <c r="F72" i="18" s="1"/>
  <c r="AR314" i="2" s="1"/>
  <c r="D67" i="18"/>
  <c r="E67" i="18" s="1"/>
  <c r="F67" i="18" s="1"/>
  <c r="D60" i="18"/>
  <c r="E60" i="18" s="1"/>
  <c r="F60" i="18" s="1"/>
  <c r="D56" i="18"/>
  <c r="E56" i="18" s="1"/>
  <c r="F56" i="18" s="1"/>
  <c r="D38" i="18"/>
  <c r="E38" i="18" s="1"/>
  <c r="F38" i="18" s="1"/>
  <c r="D37" i="18"/>
  <c r="E37" i="18" s="1"/>
  <c r="F37" i="18" s="1"/>
  <c r="D36" i="18"/>
  <c r="E36" i="18" s="1"/>
  <c r="F36" i="18" s="1"/>
  <c r="AR444" i="2" s="1"/>
  <c r="D32" i="18"/>
  <c r="E32" i="18" s="1"/>
  <c r="F32" i="18" s="1"/>
  <c r="AR134" i="2" s="1"/>
  <c r="D30" i="18"/>
  <c r="E30" i="18" s="1"/>
  <c r="F30" i="18" s="1"/>
  <c r="AR105" i="2" s="1"/>
  <c r="D29" i="18"/>
  <c r="E29" i="18" s="1"/>
  <c r="F29" i="18" s="1"/>
  <c r="AR75" i="2" s="1"/>
  <c r="D23" i="18"/>
  <c r="E23" i="18" s="1"/>
  <c r="F23" i="18" s="1"/>
  <c r="AR98" i="2" s="1"/>
  <c r="D22" i="18"/>
  <c r="E22" i="18" s="1"/>
  <c r="F22" i="18" s="1"/>
  <c r="AR675" i="2" s="1"/>
  <c r="D21" i="18"/>
  <c r="E21" i="18" s="1"/>
  <c r="F21" i="18" s="1"/>
  <c r="AR94" i="2" s="1"/>
  <c r="D16" i="18"/>
  <c r="E16" i="18" s="1"/>
  <c r="F16" i="18" s="1"/>
  <c r="AR15" i="2" s="1"/>
  <c r="D9" i="18"/>
  <c r="E9" i="18" s="1"/>
  <c r="F9" i="18" s="1"/>
  <c r="AR21" i="2" s="1"/>
  <c r="E8" i="18"/>
  <c r="F8" i="18" s="1"/>
  <c r="AR48" i="2" s="1"/>
  <c r="E125" i="18"/>
  <c r="F125" i="18" s="1"/>
  <c r="D124" i="18"/>
  <c r="E124" i="18" s="1"/>
  <c r="F124" i="18" s="1"/>
  <c r="AR177" i="2" s="1"/>
  <c r="E120" i="18"/>
  <c r="F120" i="18" s="1"/>
  <c r="E118" i="18"/>
  <c r="F118" i="18" s="1"/>
  <c r="D116" i="18"/>
  <c r="E116" i="18" s="1"/>
  <c r="F116" i="18" s="1"/>
  <c r="D85" i="18"/>
  <c r="E85" i="18" s="1"/>
  <c r="F85" i="18" s="1"/>
  <c r="AR344" i="2" s="1"/>
  <c r="E77" i="18"/>
  <c r="F77" i="18" s="1"/>
  <c r="AR687" i="2" s="1"/>
  <c r="D70" i="18"/>
  <c r="E70" i="18" s="1"/>
  <c r="F70" i="18" s="1"/>
  <c r="AR599" i="2" s="1"/>
  <c r="D42" i="18"/>
  <c r="E42" i="18" s="1"/>
  <c r="F42" i="18" s="1"/>
  <c r="AR175" i="2" s="1"/>
  <c r="E35" i="18"/>
  <c r="F35" i="18" s="1"/>
  <c r="AR127" i="2" s="1"/>
  <c r="D106" i="18"/>
  <c r="E106" i="18" s="1"/>
  <c r="F106" i="18" s="1"/>
  <c r="AR472" i="2" s="1"/>
  <c r="D103" i="18"/>
  <c r="E103" i="18" s="1"/>
  <c r="F103" i="18" s="1"/>
  <c r="AR468" i="2" s="1"/>
  <c r="D63" i="18"/>
  <c r="E63" i="18" s="1"/>
  <c r="F63" i="18" s="1"/>
  <c r="D61" i="18"/>
  <c r="E61" i="18" s="1"/>
  <c r="F61" i="18" s="1"/>
  <c r="D57" i="18"/>
  <c r="E57" i="18" s="1"/>
  <c r="F57" i="18" s="1"/>
  <c r="AR247" i="2" s="1"/>
  <c r="D34" i="18"/>
  <c r="E34" i="18" s="1"/>
  <c r="F34" i="18" s="1"/>
  <c r="D128" i="18"/>
  <c r="E128" i="18" s="1"/>
  <c r="F128" i="18" s="1"/>
  <c r="D107" i="18"/>
  <c r="E107" i="18" s="1"/>
  <c r="F107" i="18" s="1"/>
  <c r="D101" i="18"/>
  <c r="E101" i="18" s="1"/>
  <c r="F101" i="18" s="1"/>
  <c r="AR695" i="2" s="1"/>
  <c r="D95" i="18"/>
  <c r="E95" i="18" s="1"/>
  <c r="F95" i="18" s="1"/>
  <c r="AR420" i="2" s="1"/>
  <c r="D89" i="18"/>
  <c r="E89" i="18" s="1"/>
  <c r="F89" i="18" s="1"/>
  <c r="AR359" i="2" s="1"/>
  <c r="D76" i="18"/>
  <c r="E76" i="18" s="1"/>
  <c r="F76" i="18" s="1"/>
  <c r="AR342" i="2" s="1"/>
  <c r="D52" i="18"/>
  <c r="E52" i="18" s="1"/>
  <c r="F52" i="18" s="1"/>
  <c r="AR223" i="2" s="1"/>
  <c r="D27" i="18"/>
  <c r="E27" i="18" s="1"/>
  <c r="F27" i="18" s="1"/>
  <c r="AR92" i="2" s="1"/>
  <c r="D14" i="18"/>
  <c r="E14" i="18" s="1"/>
  <c r="F14" i="18" s="1"/>
  <c r="AR22" i="2" s="1"/>
  <c r="D13" i="18"/>
  <c r="E13" i="18" s="1"/>
  <c r="F13" i="18" s="1"/>
  <c r="AR27" i="2" s="1"/>
  <c r="D7" i="18"/>
  <c r="E7" i="18" s="1"/>
  <c r="F7" i="18" s="1"/>
  <c r="AR29" i="2" s="1"/>
  <c r="D119" i="18"/>
  <c r="E119" i="18" s="1"/>
  <c r="F119" i="18" s="1"/>
  <c r="AR528" i="2" s="1"/>
  <c r="D102" i="18"/>
  <c r="E102" i="18" s="1"/>
  <c r="F102" i="18" s="1"/>
  <c r="D93" i="18"/>
  <c r="E93" i="18" s="1"/>
  <c r="F93" i="18" s="1"/>
  <c r="D82" i="18"/>
  <c r="E82" i="18" s="1"/>
  <c r="F82" i="18" s="1"/>
  <c r="D79" i="18"/>
  <c r="E79" i="18" s="1"/>
  <c r="F79" i="18" s="1"/>
  <c r="AR372" i="2" s="1"/>
  <c r="D75" i="18"/>
  <c r="E75" i="18" s="1"/>
  <c r="F75" i="18" s="1"/>
  <c r="D73" i="18"/>
  <c r="E73" i="18" s="1"/>
  <c r="F73" i="18" s="1"/>
  <c r="AR140" i="2" s="1"/>
  <c r="D71" i="18"/>
  <c r="E71" i="18" s="1"/>
  <c r="F71" i="18" s="1"/>
  <c r="AR686" i="2" s="1"/>
  <c r="D68" i="18"/>
  <c r="E68" i="18" s="1"/>
  <c r="F68" i="18" s="1"/>
  <c r="AR315" i="2" s="1"/>
  <c r="D62" i="18"/>
  <c r="E62" i="18" s="1"/>
  <c r="F62" i="18" s="1"/>
  <c r="D58" i="18"/>
  <c r="E58" i="18" s="1"/>
  <c r="F58" i="18" s="1"/>
  <c r="AR683" i="2" s="1"/>
  <c r="D51" i="18"/>
  <c r="E51" i="18" s="1"/>
  <c r="F51" i="18" s="1"/>
  <c r="AR680" i="2" s="1"/>
  <c r="D49" i="18"/>
  <c r="E49" i="18" s="1"/>
  <c r="F49" i="18" s="1"/>
  <c r="AR191" i="2" s="1"/>
  <c r="D31" i="18"/>
  <c r="E31" i="18" s="1"/>
  <c r="F31" i="18" s="1"/>
  <c r="AR96" i="2" s="1"/>
  <c r="D26" i="18"/>
  <c r="E26" i="18" s="1"/>
  <c r="F26" i="18" s="1"/>
  <c r="D24" i="18"/>
  <c r="E24" i="18" s="1"/>
  <c r="F24" i="18" s="1"/>
  <c r="D19" i="18"/>
  <c r="E19" i="18" s="1"/>
  <c r="F19" i="18" s="1"/>
  <c r="AR121" i="2" s="1"/>
  <c r="D12" i="18"/>
  <c r="E12" i="18" s="1"/>
  <c r="F12" i="18" s="1"/>
  <c r="AR11" i="2" s="1"/>
  <c r="D11" i="18"/>
  <c r="E11" i="18" s="1"/>
  <c r="F11" i="18" s="1"/>
  <c r="D127" i="18"/>
  <c r="E127" i="18" s="1"/>
  <c r="F127" i="18" s="1"/>
  <c r="D126" i="18"/>
  <c r="E126" i="18" s="1"/>
  <c r="F126" i="18" s="1"/>
  <c r="AR697" i="2" s="1"/>
  <c r="D123" i="18"/>
  <c r="E123" i="18" s="1"/>
  <c r="F123" i="18" s="1"/>
  <c r="AR531" i="2" s="1"/>
  <c r="D121" i="18"/>
  <c r="E121" i="18" s="1"/>
  <c r="F121" i="18" s="1"/>
  <c r="AR532" i="2" s="1"/>
  <c r="D108" i="18"/>
  <c r="E108" i="18" s="1"/>
  <c r="F108" i="18" s="1"/>
  <c r="AR708" i="2" s="1"/>
  <c r="D100" i="18"/>
  <c r="E100" i="18" s="1"/>
  <c r="F100" i="18" s="1"/>
  <c r="AR442" i="2" s="1"/>
  <c r="D99" i="18"/>
  <c r="E99" i="18" s="1"/>
  <c r="F99" i="18" s="1"/>
  <c r="AR694" i="2" s="1"/>
  <c r="D94" i="18"/>
  <c r="E94" i="18" s="1"/>
  <c r="F94" i="18" s="1"/>
  <c r="AR419" i="2" s="1"/>
  <c r="D86" i="18"/>
  <c r="E86" i="18" s="1"/>
  <c r="F86" i="18" s="1"/>
  <c r="D53" i="18"/>
  <c r="E53" i="18" s="1"/>
  <c r="F53" i="18" s="1"/>
  <c r="D50" i="18"/>
  <c r="E50" i="18" s="1"/>
  <c r="F50" i="18" s="1"/>
  <c r="D46" i="18"/>
  <c r="E46" i="18" s="1"/>
  <c r="F46" i="18" s="1"/>
  <c r="D44" i="18"/>
  <c r="E44" i="18" s="1"/>
  <c r="F44" i="18" s="1"/>
  <c r="D40" i="18"/>
  <c r="E40" i="18" s="1"/>
  <c r="F40" i="18" s="1"/>
  <c r="AR132" i="2" s="1"/>
  <c r="D20" i="18"/>
  <c r="E20" i="18" s="1"/>
  <c r="F20" i="18" s="1"/>
  <c r="D10" i="18"/>
  <c r="E10" i="18" s="1"/>
  <c r="F10" i="18" s="1"/>
  <c r="I5" i="18"/>
  <c r="AA1" i="13"/>
  <c r="AR76" i="2" l="1"/>
  <c r="AR77" i="2"/>
  <c r="AR128" i="2"/>
  <c r="AR86" i="2"/>
  <c r="AS567" i="2"/>
  <c r="AS525" i="2"/>
  <c r="AS385" i="2"/>
  <c r="AS315" i="2"/>
  <c r="AS301" i="2"/>
  <c r="AS203" i="2"/>
  <c r="AS175" i="2"/>
  <c r="AS161" i="2"/>
  <c r="AS133" i="2"/>
  <c r="AS105" i="2"/>
  <c r="AS91" i="2"/>
  <c r="AS77" i="2"/>
  <c r="AS21" i="2"/>
  <c r="M17" i="5"/>
  <c r="AS342" i="2"/>
  <c r="AS314" i="2"/>
  <c r="AS300" i="2"/>
  <c r="AS174" i="2"/>
  <c r="AS132" i="2"/>
  <c r="AS90" i="2"/>
  <c r="AS76" i="2"/>
  <c r="AS20" i="2"/>
  <c r="M16" i="5"/>
  <c r="AS694" i="2"/>
  <c r="AR436" i="2"/>
  <c r="AS467" i="2"/>
  <c r="AS341" i="2"/>
  <c r="AS327" i="2"/>
  <c r="AS313" i="2"/>
  <c r="AS299" i="2"/>
  <c r="AS271" i="2"/>
  <c r="AS201" i="2"/>
  <c r="AS131" i="2"/>
  <c r="AS89" i="2"/>
  <c r="AS75" i="2"/>
  <c r="M15" i="5"/>
  <c r="AR199" i="2"/>
  <c r="AS494" i="2"/>
  <c r="AS466" i="2"/>
  <c r="AS396" i="2"/>
  <c r="AS326" i="2"/>
  <c r="AS298" i="2"/>
  <c r="AS284" i="2"/>
  <c r="AS270" i="2"/>
  <c r="AS228" i="2"/>
  <c r="AS130" i="2"/>
  <c r="AS102" i="2"/>
  <c r="AS88" i="2"/>
  <c r="AS18" i="2"/>
  <c r="M28" i="5"/>
  <c r="M14" i="5"/>
  <c r="AS681" i="2"/>
  <c r="AS395" i="2"/>
  <c r="AS381" i="2"/>
  <c r="AS339" i="2"/>
  <c r="AS297" i="2"/>
  <c r="AS283" i="2"/>
  <c r="AS269" i="2"/>
  <c r="AS199" i="2"/>
  <c r="AS185" i="2"/>
  <c r="AS143" i="2"/>
  <c r="AS129" i="2"/>
  <c r="AS115" i="2"/>
  <c r="AS101" i="2"/>
  <c r="AS17" i="2"/>
  <c r="M27" i="5"/>
  <c r="M13" i="5"/>
  <c r="AR494" i="2"/>
  <c r="AR395" i="2"/>
  <c r="AR381" i="2"/>
  <c r="AS708" i="2"/>
  <c r="AS436" i="2"/>
  <c r="AS366" i="2"/>
  <c r="AS352" i="2"/>
  <c r="AS296" i="2"/>
  <c r="AS226" i="2"/>
  <c r="AS198" i="2"/>
  <c r="AS142" i="2"/>
  <c r="AS86" i="2"/>
  <c r="AS16" i="2"/>
  <c r="M26" i="5"/>
  <c r="M12" i="5"/>
  <c r="AR297" i="2"/>
  <c r="AR269" i="2"/>
  <c r="AR571" i="2"/>
  <c r="AR529" i="2"/>
  <c r="AR445" i="2"/>
  <c r="AR333" i="2"/>
  <c r="AR235" i="2"/>
  <c r="AR95" i="2"/>
  <c r="AS702" i="2"/>
  <c r="AS688" i="2"/>
  <c r="AS674" i="2"/>
  <c r="AS548" i="2"/>
  <c r="AS520" i="2"/>
  <c r="AR696" i="2"/>
  <c r="AR654" i="2"/>
  <c r="AR500" i="2"/>
  <c r="AR346" i="2"/>
  <c r="AR122" i="2"/>
  <c r="AR80" i="2"/>
  <c r="AR10" i="2"/>
  <c r="AS701" i="2"/>
  <c r="AS673" i="2"/>
  <c r="AS547" i="2"/>
  <c r="AS519" i="2"/>
  <c r="AS421" i="2"/>
  <c r="AS365" i="2"/>
  <c r="AS351" i="2"/>
  <c r="AS267" i="2"/>
  <c r="AS225" i="2"/>
  <c r="AS183" i="2"/>
  <c r="AS155" i="2"/>
  <c r="AS141" i="2"/>
  <c r="AS113" i="2"/>
  <c r="AS85" i="2"/>
  <c r="AS43" i="2"/>
  <c r="AS29" i="2"/>
  <c r="AS15" i="2"/>
  <c r="M25" i="5"/>
  <c r="M11" i="5"/>
  <c r="AS471" i="2"/>
  <c r="AR183" i="2"/>
  <c r="AR490" i="2"/>
  <c r="AR364" i="2"/>
  <c r="AR28" i="2"/>
  <c r="AS691" i="2"/>
  <c r="AR699" i="2"/>
  <c r="AR685" i="2"/>
  <c r="AR349" i="2"/>
  <c r="AR97" i="2"/>
  <c r="AS704" i="2"/>
  <c r="AS703" i="2"/>
  <c r="AS675" i="2"/>
  <c r="AS521" i="2"/>
  <c r="AS479" i="2"/>
  <c r="AS437" i="2"/>
  <c r="AR641" i="2"/>
  <c r="AR709" i="2"/>
  <c r="AR681" i="2"/>
  <c r="AR471" i="2"/>
  <c r="AR443" i="2"/>
  <c r="AR345" i="2"/>
  <c r="AR93" i="2"/>
  <c r="AR79" i="2"/>
  <c r="AR23" i="2"/>
  <c r="AR9" i="2"/>
  <c r="G10" i="1" s="1"/>
  <c r="AS700" i="2"/>
  <c r="AS686" i="2"/>
  <c r="AS602" i="2"/>
  <c r="AS532" i="2"/>
  <c r="AS518" i="2"/>
  <c r="AS490" i="2"/>
  <c r="AS420" i="2"/>
  <c r="AS364" i="2"/>
  <c r="AS350" i="2"/>
  <c r="AS336" i="2"/>
  <c r="AS308" i="2"/>
  <c r="AS224" i="2"/>
  <c r="AS196" i="2"/>
  <c r="AS140" i="2"/>
  <c r="AS112" i="2"/>
  <c r="AS98" i="2"/>
  <c r="AS28" i="2"/>
  <c r="M24" i="5"/>
  <c r="M10" i="5"/>
  <c r="AR688" i="2"/>
  <c r="AS706" i="2"/>
  <c r="F6" i="18"/>
  <c r="AR196" i="2"/>
  <c r="AR83" i="2"/>
  <c r="AR78" i="2"/>
  <c r="AS699" i="2"/>
  <c r="AS685" i="2"/>
  <c r="AS531" i="2"/>
  <c r="AS447" i="2"/>
  <c r="AS419" i="2"/>
  <c r="AS377" i="2"/>
  <c r="AS363" i="2"/>
  <c r="AS349" i="2"/>
  <c r="AS307" i="2"/>
  <c r="AS223" i="2"/>
  <c r="AS195" i="2"/>
  <c r="AS181" i="2"/>
  <c r="AS97" i="2"/>
  <c r="AS83" i="2"/>
  <c r="AS27" i="2"/>
  <c r="M23" i="5"/>
  <c r="M9" i="5"/>
  <c r="AS684" i="2"/>
  <c r="AS642" i="2"/>
  <c r="AS600" i="2"/>
  <c r="AS530" i="2"/>
  <c r="AS348" i="2"/>
  <c r="AS236" i="2"/>
  <c r="AS208" i="2"/>
  <c r="AS96" i="2"/>
  <c r="M22" i="5"/>
  <c r="M8" i="5"/>
  <c r="AS697" i="2"/>
  <c r="AS683" i="2"/>
  <c r="AS641" i="2"/>
  <c r="AS599" i="2"/>
  <c r="AS571" i="2"/>
  <c r="AS529" i="2"/>
  <c r="AS473" i="2"/>
  <c r="AS445" i="2"/>
  <c r="AS333" i="2"/>
  <c r="AS235" i="2"/>
  <c r="AS95" i="2"/>
  <c r="AS11" i="2"/>
  <c r="M21" i="5"/>
  <c r="M7" i="5"/>
  <c r="AS710" i="2"/>
  <c r="AS696" i="2"/>
  <c r="AS528" i="2"/>
  <c r="AS500" i="2"/>
  <c r="AS472" i="2"/>
  <c r="AS444" i="2"/>
  <c r="AS346" i="2"/>
  <c r="AS234" i="2"/>
  <c r="AS122" i="2"/>
  <c r="AS94" i="2"/>
  <c r="AS80" i="2"/>
  <c r="AS52" i="2"/>
  <c r="AS10" i="2"/>
  <c r="M20" i="5"/>
  <c r="M6" i="5"/>
  <c r="AS443" i="2"/>
  <c r="AS429" i="2"/>
  <c r="AS401" i="2"/>
  <c r="AS359" i="2"/>
  <c r="AS345" i="2"/>
  <c r="AS247" i="2"/>
  <c r="AS191" i="2"/>
  <c r="AS177" i="2"/>
  <c r="AS121" i="2"/>
  <c r="AS93" i="2"/>
  <c r="AS79" i="2"/>
  <c r="AS23" i="2"/>
  <c r="AS9" i="2"/>
  <c r="M19" i="5"/>
  <c r="M5" i="5"/>
  <c r="AS484" i="2"/>
  <c r="AS470" i="2"/>
  <c r="AS442" i="2"/>
  <c r="AS372" i="2"/>
  <c r="AS344" i="2"/>
  <c r="AS316" i="2"/>
  <c r="AS204" i="2"/>
  <c r="AS176" i="2"/>
  <c r="AS134" i="2"/>
  <c r="AS92" i="2"/>
  <c r="AS78" i="2"/>
  <c r="AS36" i="2"/>
  <c r="AS22" i="2"/>
  <c r="M18" i="5"/>
  <c r="Y1" i="13"/>
  <c r="L20" i="14"/>
  <c r="L14" i="14"/>
  <c r="I288" i="15"/>
  <c r="AK313" i="2"/>
  <c r="D7" i="1"/>
  <c r="D6" i="1"/>
  <c r="D5" i="1"/>
  <c r="E14" i="17"/>
  <c r="E13" i="17"/>
  <c r="D13" i="17"/>
  <c r="E12" i="17"/>
  <c r="E16" i="17" s="1"/>
  <c r="D12" i="17"/>
  <c r="D16" i="17" s="1"/>
  <c r="C7" i="11"/>
  <c r="C6" i="11"/>
  <c r="K6" i="11" s="1"/>
  <c r="V1" i="15"/>
  <c r="F4" i="14"/>
  <c r="J126" i="16"/>
  <c r="N125" i="16"/>
  <c r="M125" i="16"/>
  <c r="L125" i="16"/>
  <c r="N124" i="16"/>
  <c r="M124" i="16"/>
  <c r="L124" i="16"/>
  <c r="N123" i="16"/>
  <c r="M123" i="16"/>
  <c r="L123" i="16"/>
  <c r="N122" i="16"/>
  <c r="M122" i="16"/>
  <c r="L122" i="16"/>
  <c r="N121" i="16"/>
  <c r="M121" i="16"/>
  <c r="L121" i="16"/>
  <c r="N120" i="16"/>
  <c r="M120" i="16"/>
  <c r="L120" i="16"/>
  <c r="N119" i="16"/>
  <c r="M119" i="16"/>
  <c r="L119" i="16"/>
  <c r="N118" i="16"/>
  <c r="M118" i="16"/>
  <c r="L118" i="16"/>
  <c r="N117" i="16"/>
  <c r="M117" i="16"/>
  <c r="L117" i="16"/>
  <c r="N116" i="16"/>
  <c r="M116" i="16"/>
  <c r="L116" i="16"/>
  <c r="N115" i="16"/>
  <c r="M115" i="16"/>
  <c r="L115" i="16"/>
  <c r="N114" i="16"/>
  <c r="M114" i="16"/>
  <c r="L114" i="16"/>
  <c r="N113" i="16"/>
  <c r="M113" i="16"/>
  <c r="L113" i="16"/>
  <c r="N112" i="16"/>
  <c r="M112" i="16"/>
  <c r="L112" i="16"/>
  <c r="N111" i="16"/>
  <c r="M111" i="16"/>
  <c r="L111" i="16"/>
  <c r="N110" i="16"/>
  <c r="M110" i="16"/>
  <c r="L110" i="16"/>
  <c r="N109" i="16"/>
  <c r="M109" i="16"/>
  <c r="L109" i="16"/>
  <c r="N108" i="16"/>
  <c r="M108" i="16"/>
  <c r="L108" i="16"/>
  <c r="N107" i="16"/>
  <c r="M107" i="16"/>
  <c r="L107" i="16"/>
  <c r="N106" i="16"/>
  <c r="M106" i="16"/>
  <c r="L106" i="16"/>
  <c r="N105" i="16"/>
  <c r="M105" i="16"/>
  <c r="L105" i="16"/>
  <c r="N104" i="16"/>
  <c r="M104" i="16"/>
  <c r="L104" i="16"/>
  <c r="N103" i="16"/>
  <c r="M103" i="16"/>
  <c r="L103" i="16"/>
  <c r="N102" i="16"/>
  <c r="M102" i="16"/>
  <c r="L102" i="16"/>
  <c r="N101" i="16"/>
  <c r="M101" i="16"/>
  <c r="L101" i="16"/>
  <c r="N100" i="16"/>
  <c r="M100" i="16"/>
  <c r="L100" i="16"/>
  <c r="N99" i="16"/>
  <c r="M99" i="16"/>
  <c r="L99" i="16"/>
  <c r="N98" i="16"/>
  <c r="M98" i="16"/>
  <c r="L98" i="16"/>
  <c r="N97" i="16"/>
  <c r="M97" i="16"/>
  <c r="L97" i="16"/>
  <c r="N96" i="16"/>
  <c r="M96" i="16"/>
  <c r="L96" i="16"/>
  <c r="N95" i="16"/>
  <c r="M95" i="16"/>
  <c r="L95" i="16"/>
  <c r="N94" i="16"/>
  <c r="M94" i="16"/>
  <c r="L94" i="16"/>
  <c r="N93" i="16"/>
  <c r="M93" i="16"/>
  <c r="L93" i="16"/>
  <c r="N92" i="16"/>
  <c r="M92" i="16"/>
  <c r="L92" i="16"/>
  <c r="N91" i="16"/>
  <c r="M91" i="16"/>
  <c r="L91" i="16"/>
  <c r="N90" i="16"/>
  <c r="M90" i="16"/>
  <c r="L90" i="16"/>
  <c r="N89" i="16"/>
  <c r="M89" i="16"/>
  <c r="L89" i="16"/>
  <c r="N88" i="16"/>
  <c r="M88" i="16"/>
  <c r="L88" i="16"/>
  <c r="N87" i="16"/>
  <c r="M87" i="16"/>
  <c r="L87" i="16"/>
  <c r="N86" i="16"/>
  <c r="M86" i="16"/>
  <c r="L86" i="16"/>
  <c r="N85" i="16"/>
  <c r="M85" i="16"/>
  <c r="L85" i="16"/>
  <c r="N84" i="16"/>
  <c r="M84" i="16"/>
  <c r="L84" i="16"/>
  <c r="N83" i="16"/>
  <c r="M83" i="16"/>
  <c r="L83" i="16"/>
  <c r="N82" i="16"/>
  <c r="S82" i="16" s="1"/>
  <c r="M82" i="16"/>
  <c r="L82" i="16"/>
  <c r="N81" i="16"/>
  <c r="M81" i="16"/>
  <c r="L81" i="16"/>
  <c r="N80" i="16"/>
  <c r="M80" i="16"/>
  <c r="L80" i="16"/>
  <c r="N79" i="16"/>
  <c r="M79" i="16"/>
  <c r="L79" i="16"/>
  <c r="N78" i="16"/>
  <c r="M78" i="16"/>
  <c r="L78" i="16"/>
  <c r="N77" i="16"/>
  <c r="M77" i="16"/>
  <c r="L77" i="16"/>
  <c r="N76" i="16"/>
  <c r="M76" i="16"/>
  <c r="L76" i="16"/>
  <c r="N75" i="16"/>
  <c r="M75" i="16"/>
  <c r="L75" i="16"/>
  <c r="N74" i="16"/>
  <c r="M74" i="16"/>
  <c r="L74" i="16"/>
  <c r="N73" i="16"/>
  <c r="M73" i="16"/>
  <c r="L73" i="16"/>
  <c r="N72" i="16"/>
  <c r="M72" i="16"/>
  <c r="L72" i="16"/>
  <c r="N71" i="16"/>
  <c r="M71" i="16"/>
  <c r="L71" i="16"/>
  <c r="N70" i="16"/>
  <c r="M70" i="16"/>
  <c r="L70" i="16"/>
  <c r="N69" i="16"/>
  <c r="M69" i="16"/>
  <c r="L69" i="16"/>
  <c r="N68" i="16"/>
  <c r="M68" i="16"/>
  <c r="L68" i="16"/>
  <c r="N67" i="16"/>
  <c r="M67" i="16"/>
  <c r="L67" i="16"/>
  <c r="N66" i="16"/>
  <c r="M66" i="16"/>
  <c r="L66" i="16"/>
  <c r="N65" i="16"/>
  <c r="M65" i="16"/>
  <c r="L65" i="16"/>
  <c r="N64" i="16"/>
  <c r="M64" i="16"/>
  <c r="L64" i="16"/>
  <c r="N63" i="16"/>
  <c r="M63" i="16"/>
  <c r="L63" i="16"/>
  <c r="N62" i="16"/>
  <c r="M62" i="16"/>
  <c r="L62" i="16"/>
  <c r="N61" i="16"/>
  <c r="M61" i="16"/>
  <c r="L61" i="16"/>
  <c r="N60" i="16"/>
  <c r="M60" i="16"/>
  <c r="L60" i="16"/>
  <c r="N59" i="16"/>
  <c r="M59" i="16"/>
  <c r="L59" i="16"/>
  <c r="N58" i="16"/>
  <c r="M58" i="16"/>
  <c r="L58" i="16"/>
  <c r="N57" i="16"/>
  <c r="M57" i="16"/>
  <c r="L57" i="16"/>
  <c r="N56" i="16"/>
  <c r="M56" i="16"/>
  <c r="L56" i="16"/>
  <c r="N55" i="16"/>
  <c r="M55" i="16"/>
  <c r="L55" i="16"/>
  <c r="N54" i="16"/>
  <c r="M54" i="16"/>
  <c r="L54" i="16"/>
  <c r="N53" i="16"/>
  <c r="M53" i="16"/>
  <c r="L53" i="16"/>
  <c r="N52" i="16"/>
  <c r="M52" i="16"/>
  <c r="L52" i="16"/>
  <c r="N51" i="16"/>
  <c r="M51" i="16"/>
  <c r="L51" i="16"/>
  <c r="N50" i="16"/>
  <c r="M50" i="16"/>
  <c r="L50" i="16"/>
  <c r="N49" i="16"/>
  <c r="M49" i="16"/>
  <c r="L49" i="16"/>
  <c r="N48" i="16"/>
  <c r="M48" i="16"/>
  <c r="L48" i="16"/>
  <c r="N47" i="16"/>
  <c r="M47" i="16"/>
  <c r="L47" i="16"/>
  <c r="N46" i="16"/>
  <c r="W46" i="16" s="1"/>
  <c r="M46" i="16"/>
  <c r="L46" i="16"/>
  <c r="N45" i="16"/>
  <c r="M45" i="16"/>
  <c r="L45" i="16"/>
  <c r="N44" i="16"/>
  <c r="M44" i="16"/>
  <c r="L44" i="16"/>
  <c r="N43" i="16"/>
  <c r="M43" i="16"/>
  <c r="L43" i="16"/>
  <c r="N42" i="16"/>
  <c r="M42" i="16"/>
  <c r="L42" i="16"/>
  <c r="N41" i="16"/>
  <c r="Q41" i="16" s="1"/>
  <c r="M41" i="16"/>
  <c r="L41" i="16"/>
  <c r="N40" i="16"/>
  <c r="M40" i="16"/>
  <c r="L40" i="16"/>
  <c r="N39" i="16"/>
  <c r="M39" i="16"/>
  <c r="L39" i="16"/>
  <c r="N38" i="16"/>
  <c r="M38" i="16"/>
  <c r="L38" i="16"/>
  <c r="N37" i="16"/>
  <c r="M37" i="16"/>
  <c r="L37" i="16"/>
  <c r="N36" i="16"/>
  <c r="M36" i="16"/>
  <c r="L36" i="16"/>
  <c r="N35" i="16"/>
  <c r="M35" i="16"/>
  <c r="L35" i="16"/>
  <c r="N34" i="16"/>
  <c r="M34" i="16"/>
  <c r="L34" i="16"/>
  <c r="N33" i="16"/>
  <c r="M33" i="16"/>
  <c r="L33" i="16"/>
  <c r="N32" i="16"/>
  <c r="M32" i="16"/>
  <c r="L32" i="16"/>
  <c r="N31" i="16"/>
  <c r="M31" i="16"/>
  <c r="L31" i="16"/>
  <c r="N30" i="16"/>
  <c r="M30" i="16"/>
  <c r="L30" i="16"/>
  <c r="N29" i="16"/>
  <c r="M29" i="16"/>
  <c r="L29" i="16"/>
  <c r="N28" i="16"/>
  <c r="M28" i="16"/>
  <c r="L28" i="16"/>
  <c r="N27" i="16"/>
  <c r="M27" i="16"/>
  <c r="L27" i="16"/>
  <c r="N26" i="16"/>
  <c r="M26" i="16"/>
  <c r="L26" i="16"/>
  <c r="N25" i="16"/>
  <c r="M25" i="16"/>
  <c r="L25" i="16"/>
  <c r="N24" i="16"/>
  <c r="M24" i="16"/>
  <c r="L24" i="16"/>
  <c r="N23" i="16"/>
  <c r="M23" i="16"/>
  <c r="L23" i="16"/>
  <c r="N22" i="16"/>
  <c r="M22" i="16"/>
  <c r="L22" i="16"/>
  <c r="N21" i="16"/>
  <c r="M21" i="16"/>
  <c r="L21" i="16"/>
  <c r="N20" i="16"/>
  <c r="M20" i="16"/>
  <c r="L20" i="16"/>
  <c r="N19" i="16"/>
  <c r="M19" i="16"/>
  <c r="L19" i="16"/>
  <c r="N18" i="16"/>
  <c r="M18" i="16"/>
  <c r="L18" i="16"/>
  <c r="N17" i="16"/>
  <c r="M17" i="16"/>
  <c r="L17" i="16"/>
  <c r="N16" i="16"/>
  <c r="M16" i="16"/>
  <c r="L16" i="16"/>
  <c r="N15" i="16"/>
  <c r="M15" i="16"/>
  <c r="L15" i="16"/>
  <c r="N14" i="16"/>
  <c r="M14" i="16"/>
  <c r="L14" i="16"/>
  <c r="N13" i="16"/>
  <c r="M13" i="16"/>
  <c r="L13" i="16"/>
  <c r="N12" i="16"/>
  <c r="M12" i="16"/>
  <c r="L12" i="16"/>
  <c r="N11" i="16"/>
  <c r="M11" i="16"/>
  <c r="L11" i="16"/>
  <c r="N10" i="16"/>
  <c r="M10" i="16"/>
  <c r="L10" i="16"/>
  <c r="N9" i="16"/>
  <c r="M9" i="16"/>
  <c r="L9" i="16"/>
  <c r="N8" i="16"/>
  <c r="M8" i="16"/>
  <c r="L8" i="16"/>
  <c r="N7" i="16"/>
  <c r="M7" i="16"/>
  <c r="L7" i="16"/>
  <c r="N6" i="16"/>
  <c r="M6" i="16"/>
  <c r="L6" i="16"/>
  <c r="N5" i="16"/>
  <c r="M5" i="16"/>
  <c r="L5" i="16"/>
  <c r="N4" i="16"/>
  <c r="M4" i="16"/>
  <c r="L4" i="16"/>
  <c r="N3" i="16"/>
  <c r="S3" i="16" s="1"/>
  <c r="M3" i="16"/>
  <c r="L3" i="16"/>
  <c r="J288" i="15"/>
  <c r="N287" i="15"/>
  <c r="M287" i="15"/>
  <c r="L287" i="15"/>
  <c r="N286" i="15"/>
  <c r="M286" i="15"/>
  <c r="L286" i="15"/>
  <c r="N285" i="15"/>
  <c r="M285" i="15"/>
  <c r="L285" i="15"/>
  <c r="N284" i="15"/>
  <c r="M284" i="15"/>
  <c r="L284" i="15"/>
  <c r="N283" i="15"/>
  <c r="M283" i="15"/>
  <c r="L283" i="15"/>
  <c r="N282" i="15"/>
  <c r="M282" i="15"/>
  <c r="L282" i="15"/>
  <c r="N281" i="15"/>
  <c r="M281" i="15"/>
  <c r="L281" i="15"/>
  <c r="N280" i="15"/>
  <c r="M280" i="15"/>
  <c r="L280" i="15"/>
  <c r="N279" i="15"/>
  <c r="M279" i="15"/>
  <c r="L279" i="15"/>
  <c r="N278" i="15"/>
  <c r="M278" i="15"/>
  <c r="L278" i="15"/>
  <c r="N277" i="15"/>
  <c r="M277" i="15"/>
  <c r="L277" i="15"/>
  <c r="N276" i="15"/>
  <c r="M276" i="15"/>
  <c r="L276" i="15"/>
  <c r="N275" i="15"/>
  <c r="M275" i="15"/>
  <c r="L275" i="15"/>
  <c r="N274" i="15"/>
  <c r="M274" i="15"/>
  <c r="L274" i="15"/>
  <c r="N273" i="15"/>
  <c r="M273" i="15"/>
  <c r="L273" i="15"/>
  <c r="N272" i="15"/>
  <c r="M272" i="15"/>
  <c r="L272" i="15"/>
  <c r="N271" i="15"/>
  <c r="M271" i="15"/>
  <c r="L271" i="15"/>
  <c r="N270" i="15"/>
  <c r="M270" i="15"/>
  <c r="L270" i="15"/>
  <c r="N269" i="15"/>
  <c r="M269" i="15"/>
  <c r="L269" i="15"/>
  <c r="N268" i="15"/>
  <c r="M268" i="15"/>
  <c r="L268" i="15"/>
  <c r="N267" i="15"/>
  <c r="M267" i="15"/>
  <c r="L267" i="15"/>
  <c r="N266" i="15"/>
  <c r="M266" i="15"/>
  <c r="L266" i="15"/>
  <c r="N265" i="15"/>
  <c r="M265" i="15"/>
  <c r="L265" i="15"/>
  <c r="N264" i="15"/>
  <c r="M264" i="15"/>
  <c r="L264" i="15"/>
  <c r="N263" i="15"/>
  <c r="M263" i="15"/>
  <c r="L263" i="15"/>
  <c r="N262" i="15"/>
  <c r="M262" i="15"/>
  <c r="L262" i="15"/>
  <c r="N261" i="15"/>
  <c r="M261" i="15"/>
  <c r="L261" i="15"/>
  <c r="N260" i="15"/>
  <c r="M260" i="15"/>
  <c r="L260" i="15"/>
  <c r="N259" i="15"/>
  <c r="M259" i="15"/>
  <c r="L259" i="15"/>
  <c r="N258" i="15"/>
  <c r="M258" i="15"/>
  <c r="L258" i="15"/>
  <c r="N257" i="15"/>
  <c r="M257" i="15"/>
  <c r="L257" i="15"/>
  <c r="N256" i="15"/>
  <c r="M256" i="15"/>
  <c r="L256" i="15"/>
  <c r="N255" i="15"/>
  <c r="M255" i="15"/>
  <c r="L255" i="15"/>
  <c r="N254" i="15"/>
  <c r="M254" i="15"/>
  <c r="L254" i="15"/>
  <c r="N253" i="15"/>
  <c r="M253" i="15"/>
  <c r="L253" i="15"/>
  <c r="N252" i="15"/>
  <c r="M252" i="15"/>
  <c r="L252" i="15"/>
  <c r="N251" i="15"/>
  <c r="M251" i="15"/>
  <c r="L251" i="15"/>
  <c r="N250" i="15"/>
  <c r="M250" i="15"/>
  <c r="L250" i="15"/>
  <c r="N249" i="15"/>
  <c r="M249" i="15"/>
  <c r="L249" i="15"/>
  <c r="N248" i="15"/>
  <c r="M248" i="15"/>
  <c r="L248" i="15"/>
  <c r="N247" i="15"/>
  <c r="M247" i="15"/>
  <c r="L247" i="15"/>
  <c r="N246" i="15"/>
  <c r="M246" i="15"/>
  <c r="L246" i="15"/>
  <c r="N245" i="15"/>
  <c r="M245" i="15"/>
  <c r="L245" i="15"/>
  <c r="N244" i="15"/>
  <c r="M244" i="15"/>
  <c r="L244" i="15"/>
  <c r="N243" i="15"/>
  <c r="M243" i="15"/>
  <c r="L243" i="15"/>
  <c r="N242" i="15"/>
  <c r="M242" i="15"/>
  <c r="L242" i="15"/>
  <c r="N241" i="15"/>
  <c r="M241" i="15"/>
  <c r="L241" i="15"/>
  <c r="N240" i="15"/>
  <c r="M240" i="15"/>
  <c r="L240" i="15"/>
  <c r="N239" i="15"/>
  <c r="M239" i="15"/>
  <c r="L239" i="15"/>
  <c r="N238" i="15"/>
  <c r="M238" i="15"/>
  <c r="L238" i="15"/>
  <c r="N237" i="15"/>
  <c r="M237" i="15"/>
  <c r="L237" i="15"/>
  <c r="N236" i="15"/>
  <c r="M236" i="15"/>
  <c r="L236" i="15"/>
  <c r="N235" i="15"/>
  <c r="M235" i="15"/>
  <c r="L235" i="15"/>
  <c r="N234" i="15"/>
  <c r="M234" i="15"/>
  <c r="L234" i="15"/>
  <c r="N233" i="15"/>
  <c r="M233" i="15"/>
  <c r="L233" i="15"/>
  <c r="N232" i="15"/>
  <c r="M232" i="15"/>
  <c r="L232" i="15"/>
  <c r="N231" i="15"/>
  <c r="M231" i="15"/>
  <c r="L231" i="15"/>
  <c r="N230" i="15"/>
  <c r="M230" i="15"/>
  <c r="L230" i="15"/>
  <c r="N229" i="15"/>
  <c r="M229" i="15"/>
  <c r="L229" i="15"/>
  <c r="N228" i="15"/>
  <c r="M228" i="15"/>
  <c r="L228" i="15"/>
  <c r="N227" i="15"/>
  <c r="M227" i="15"/>
  <c r="L227" i="15"/>
  <c r="N226" i="15"/>
  <c r="M226" i="15"/>
  <c r="L226" i="15"/>
  <c r="N225" i="15"/>
  <c r="M225" i="15"/>
  <c r="L225" i="15"/>
  <c r="N224" i="15"/>
  <c r="M224" i="15"/>
  <c r="L224" i="15"/>
  <c r="N223" i="15"/>
  <c r="M223" i="15"/>
  <c r="L223" i="15"/>
  <c r="N222" i="15"/>
  <c r="M222" i="15"/>
  <c r="L222" i="15"/>
  <c r="N221" i="15"/>
  <c r="M221" i="15"/>
  <c r="L221" i="15"/>
  <c r="N220" i="15"/>
  <c r="M220" i="15"/>
  <c r="L220" i="15"/>
  <c r="N219" i="15"/>
  <c r="M219" i="15"/>
  <c r="L219" i="15"/>
  <c r="N218" i="15"/>
  <c r="M218" i="15"/>
  <c r="L218" i="15"/>
  <c r="N217" i="15"/>
  <c r="M217" i="15"/>
  <c r="L217" i="15"/>
  <c r="N216" i="15"/>
  <c r="M216" i="15"/>
  <c r="L216" i="15"/>
  <c r="N215" i="15"/>
  <c r="M215" i="15"/>
  <c r="L215" i="15"/>
  <c r="N214" i="15"/>
  <c r="M214" i="15"/>
  <c r="L214" i="15"/>
  <c r="N213" i="15"/>
  <c r="M213" i="15"/>
  <c r="L213" i="15"/>
  <c r="N212" i="15"/>
  <c r="M212" i="15"/>
  <c r="L212" i="15"/>
  <c r="P211" i="15"/>
  <c r="N211" i="15"/>
  <c r="M211" i="15"/>
  <c r="L211" i="15"/>
  <c r="N210" i="15"/>
  <c r="M210" i="15"/>
  <c r="L210" i="15"/>
  <c r="N209" i="15"/>
  <c r="M209" i="15"/>
  <c r="L209" i="15"/>
  <c r="N208" i="15"/>
  <c r="M208" i="15"/>
  <c r="L208" i="15"/>
  <c r="N207" i="15"/>
  <c r="M207" i="15"/>
  <c r="L207" i="15"/>
  <c r="N206" i="15"/>
  <c r="M206" i="15"/>
  <c r="L206" i="15"/>
  <c r="N205" i="15"/>
  <c r="M205" i="15"/>
  <c r="L205" i="15"/>
  <c r="N204" i="15"/>
  <c r="M204" i="15"/>
  <c r="L204" i="15"/>
  <c r="N203" i="15"/>
  <c r="M203" i="15"/>
  <c r="L203" i="15"/>
  <c r="N202" i="15"/>
  <c r="M202" i="15"/>
  <c r="L202" i="15"/>
  <c r="N201" i="15"/>
  <c r="M201" i="15"/>
  <c r="L201" i="15"/>
  <c r="N200" i="15"/>
  <c r="M200" i="15"/>
  <c r="L200" i="15"/>
  <c r="N199" i="15"/>
  <c r="M199" i="15"/>
  <c r="L199" i="15"/>
  <c r="N198" i="15"/>
  <c r="M198" i="15"/>
  <c r="L198" i="15"/>
  <c r="N197" i="15"/>
  <c r="M197" i="15"/>
  <c r="L197" i="15"/>
  <c r="N196" i="15"/>
  <c r="M196" i="15"/>
  <c r="L196" i="15"/>
  <c r="N195" i="15"/>
  <c r="M195" i="15"/>
  <c r="L195" i="15"/>
  <c r="N194" i="15"/>
  <c r="M194" i="15"/>
  <c r="L194" i="15"/>
  <c r="N193" i="15"/>
  <c r="M193" i="15"/>
  <c r="L193" i="15"/>
  <c r="N192" i="15"/>
  <c r="M192" i="15"/>
  <c r="L192" i="15"/>
  <c r="N191" i="15"/>
  <c r="M191" i="15"/>
  <c r="L191" i="15"/>
  <c r="N190" i="15"/>
  <c r="M190" i="15"/>
  <c r="L190" i="15"/>
  <c r="N189" i="15"/>
  <c r="M189" i="15"/>
  <c r="L189" i="15"/>
  <c r="N188" i="15"/>
  <c r="M188" i="15"/>
  <c r="L188" i="15"/>
  <c r="N187" i="15"/>
  <c r="M187" i="15"/>
  <c r="L187" i="15"/>
  <c r="N186" i="15"/>
  <c r="M186" i="15"/>
  <c r="L186" i="15"/>
  <c r="N185" i="15"/>
  <c r="M185" i="15"/>
  <c r="L185" i="15"/>
  <c r="N184" i="15"/>
  <c r="M184" i="15"/>
  <c r="L184" i="15"/>
  <c r="N183" i="15"/>
  <c r="M183" i="15"/>
  <c r="L183" i="15"/>
  <c r="N182" i="15"/>
  <c r="M182" i="15"/>
  <c r="L182" i="15"/>
  <c r="N181" i="15"/>
  <c r="M181" i="15"/>
  <c r="L181" i="15"/>
  <c r="N180" i="15"/>
  <c r="M180" i="15"/>
  <c r="L180" i="15"/>
  <c r="N179" i="15"/>
  <c r="M179" i="15"/>
  <c r="L179" i="15"/>
  <c r="N178" i="15"/>
  <c r="M178" i="15"/>
  <c r="L178" i="15"/>
  <c r="N177" i="15"/>
  <c r="M177" i="15"/>
  <c r="L177" i="15"/>
  <c r="N176" i="15"/>
  <c r="M176" i="15"/>
  <c r="L176" i="15"/>
  <c r="N175" i="15"/>
  <c r="M175" i="15"/>
  <c r="L175" i="15"/>
  <c r="N174" i="15"/>
  <c r="M174" i="15"/>
  <c r="L174" i="15"/>
  <c r="N173" i="15"/>
  <c r="M173" i="15"/>
  <c r="L173" i="15"/>
  <c r="N172" i="15"/>
  <c r="M172" i="15"/>
  <c r="L172" i="15"/>
  <c r="N171" i="15"/>
  <c r="M171" i="15"/>
  <c r="L171" i="15"/>
  <c r="N170" i="15"/>
  <c r="M170" i="15"/>
  <c r="L170" i="15"/>
  <c r="N169" i="15"/>
  <c r="M169" i="15"/>
  <c r="L169" i="15"/>
  <c r="N168" i="15"/>
  <c r="M168" i="15"/>
  <c r="L168" i="15"/>
  <c r="N167" i="15"/>
  <c r="M167" i="15"/>
  <c r="L167" i="15"/>
  <c r="N166" i="15"/>
  <c r="M166" i="15"/>
  <c r="L166" i="15"/>
  <c r="N165" i="15"/>
  <c r="M165" i="15"/>
  <c r="L165" i="15"/>
  <c r="N164" i="15"/>
  <c r="M164" i="15"/>
  <c r="L164" i="15"/>
  <c r="N163" i="15"/>
  <c r="M163" i="15"/>
  <c r="L163" i="15"/>
  <c r="N162" i="15"/>
  <c r="M162" i="15"/>
  <c r="L162" i="15"/>
  <c r="N161" i="15"/>
  <c r="M161" i="15"/>
  <c r="L161" i="15"/>
  <c r="N160" i="15"/>
  <c r="M160" i="15"/>
  <c r="L160" i="15"/>
  <c r="N159" i="15"/>
  <c r="M159" i="15"/>
  <c r="L159" i="15"/>
  <c r="N158" i="15"/>
  <c r="M158" i="15"/>
  <c r="L158" i="15"/>
  <c r="N157" i="15"/>
  <c r="M157" i="15"/>
  <c r="L157" i="15"/>
  <c r="N156" i="15"/>
  <c r="M156" i="15"/>
  <c r="L156" i="15"/>
  <c r="N155" i="15"/>
  <c r="M155" i="15"/>
  <c r="L155" i="15"/>
  <c r="N154" i="15"/>
  <c r="M154" i="15"/>
  <c r="L154" i="15"/>
  <c r="N153" i="15"/>
  <c r="M153" i="15"/>
  <c r="L153" i="15"/>
  <c r="N152" i="15"/>
  <c r="M152" i="15"/>
  <c r="L152" i="15"/>
  <c r="N151" i="15"/>
  <c r="M151" i="15"/>
  <c r="L151" i="15"/>
  <c r="N150" i="15"/>
  <c r="M150" i="15"/>
  <c r="L150" i="15"/>
  <c r="N149" i="15"/>
  <c r="M149" i="15"/>
  <c r="L149" i="15"/>
  <c r="N148" i="15"/>
  <c r="M148" i="15"/>
  <c r="L148" i="15"/>
  <c r="N147" i="15"/>
  <c r="M147" i="15"/>
  <c r="L147" i="15"/>
  <c r="N146" i="15"/>
  <c r="M146" i="15"/>
  <c r="L146" i="15"/>
  <c r="N145" i="15"/>
  <c r="M145" i="15"/>
  <c r="L145" i="15"/>
  <c r="N144" i="15"/>
  <c r="M144" i="15"/>
  <c r="L144" i="15"/>
  <c r="N143" i="15"/>
  <c r="M143" i="15"/>
  <c r="L143" i="15"/>
  <c r="N142" i="15"/>
  <c r="M142" i="15"/>
  <c r="L142" i="15"/>
  <c r="N141" i="15"/>
  <c r="M141" i="15"/>
  <c r="L141" i="15"/>
  <c r="N140" i="15"/>
  <c r="M140" i="15"/>
  <c r="L140" i="15"/>
  <c r="N139" i="15"/>
  <c r="M139" i="15"/>
  <c r="L139" i="15"/>
  <c r="N138" i="15"/>
  <c r="M138" i="15"/>
  <c r="L138" i="15"/>
  <c r="N137" i="15"/>
  <c r="M137" i="15"/>
  <c r="L137" i="15"/>
  <c r="N136" i="15"/>
  <c r="M136" i="15"/>
  <c r="L136" i="15"/>
  <c r="N135" i="15"/>
  <c r="M135" i="15"/>
  <c r="L135" i="15"/>
  <c r="N134" i="15"/>
  <c r="M134" i="15"/>
  <c r="L134" i="15"/>
  <c r="N133" i="15"/>
  <c r="M133" i="15"/>
  <c r="L133" i="15"/>
  <c r="N132" i="15"/>
  <c r="M132" i="15"/>
  <c r="L132" i="15"/>
  <c r="N131" i="15"/>
  <c r="M131" i="15"/>
  <c r="L131" i="15"/>
  <c r="N130" i="15"/>
  <c r="M130" i="15"/>
  <c r="L130" i="15"/>
  <c r="N129" i="15"/>
  <c r="M129" i="15"/>
  <c r="L129" i="15"/>
  <c r="N128" i="15"/>
  <c r="M128" i="15"/>
  <c r="L128" i="15"/>
  <c r="N127" i="15"/>
  <c r="M127" i="15"/>
  <c r="L127" i="15"/>
  <c r="N126" i="15"/>
  <c r="M126" i="15"/>
  <c r="L126" i="15"/>
  <c r="N125" i="15"/>
  <c r="M125" i="15"/>
  <c r="L125" i="15"/>
  <c r="N124" i="15"/>
  <c r="M124" i="15"/>
  <c r="L124" i="15"/>
  <c r="N123" i="15"/>
  <c r="M123" i="15"/>
  <c r="L123" i="15"/>
  <c r="N122" i="15"/>
  <c r="M122" i="15"/>
  <c r="L122" i="15"/>
  <c r="N121" i="15"/>
  <c r="M121" i="15"/>
  <c r="L121" i="15"/>
  <c r="N120" i="15"/>
  <c r="M120" i="15"/>
  <c r="L120" i="15"/>
  <c r="N119" i="15"/>
  <c r="M119" i="15"/>
  <c r="L119" i="15"/>
  <c r="N118" i="15"/>
  <c r="M118" i="15"/>
  <c r="L118" i="15"/>
  <c r="N117" i="15"/>
  <c r="M117" i="15"/>
  <c r="L117" i="15"/>
  <c r="N116" i="15"/>
  <c r="M116" i="15"/>
  <c r="L116" i="15"/>
  <c r="N115" i="15"/>
  <c r="M115" i="15"/>
  <c r="L115" i="15"/>
  <c r="N114" i="15"/>
  <c r="M114" i="15"/>
  <c r="L114" i="15"/>
  <c r="N113" i="15"/>
  <c r="M113" i="15"/>
  <c r="L113" i="15"/>
  <c r="N112" i="15"/>
  <c r="M112" i="15"/>
  <c r="L112" i="15"/>
  <c r="N111" i="15"/>
  <c r="M111" i="15"/>
  <c r="L111" i="15"/>
  <c r="N110" i="15"/>
  <c r="M110" i="15"/>
  <c r="L110" i="15"/>
  <c r="N109" i="15"/>
  <c r="M109" i="15"/>
  <c r="L109" i="15"/>
  <c r="N108" i="15"/>
  <c r="M108" i="15"/>
  <c r="L108" i="15"/>
  <c r="N107" i="15"/>
  <c r="M107" i="15"/>
  <c r="L107" i="15"/>
  <c r="N106" i="15"/>
  <c r="M106" i="15"/>
  <c r="L106" i="15"/>
  <c r="N105" i="15"/>
  <c r="M105" i="15"/>
  <c r="L105" i="15"/>
  <c r="N104" i="15"/>
  <c r="M104" i="15"/>
  <c r="L104" i="15"/>
  <c r="N103" i="15"/>
  <c r="M103" i="15"/>
  <c r="L103" i="15"/>
  <c r="N102" i="15"/>
  <c r="M102" i="15"/>
  <c r="L102" i="15"/>
  <c r="N101" i="15"/>
  <c r="M101" i="15"/>
  <c r="L101" i="15"/>
  <c r="N100" i="15"/>
  <c r="M100" i="15"/>
  <c r="L100" i="15"/>
  <c r="N99" i="15"/>
  <c r="M99" i="15"/>
  <c r="L99" i="15"/>
  <c r="N98" i="15"/>
  <c r="M98" i="15"/>
  <c r="L98" i="15"/>
  <c r="N97" i="15"/>
  <c r="M97" i="15"/>
  <c r="L97" i="15"/>
  <c r="N96" i="15"/>
  <c r="M96" i="15"/>
  <c r="L96" i="15"/>
  <c r="N95" i="15"/>
  <c r="M95" i="15"/>
  <c r="L95" i="15"/>
  <c r="N94" i="15"/>
  <c r="M94" i="15"/>
  <c r="L94" i="15"/>
  <c r="N93" i="15"/>
  <c r="M93" i="15"/>
  <c r="L93" i="15"/>
  <c r="N92" i="15"/>
  <c r="M92" i="15"/>
  <c r="L92" i="15"/>
  <c r="N91" i="15"/>
  <c r="M91" i="15"/>
  <c r="L91" i="15"/>
  <c r="N90" i="15"/>
  <c r="M90" i="15"/>
  <c r="L90" i="15"/>
  <c r="N89" i="15"/>
  <c r="M89" i="15"/>
  <c r="L89" i="15"/>
  <c r="N88" i="15"/>
  <c r="M88" i="15"/>
  <c r="L88" i="15"/>
  <c r="N87" i="15"/>
  <c r="M87" i="15"/>
  <c r="L87" i="15"/>
  <c r="N86" i="15"/>
  <c r="M86" i="15"/>
  <c r="L86" i="15"/>
  <c r="N85" i="15"/>
  <c r="M85" i="15"/>
  <c r="L85" i="15"/>
  <c r="N84" i="15"/>
  <c r="M84" i="15"/>
  <c r="L84" i="15"/>
  <c r="N83" i="15"/>
  <c r="M83" i="15"/>
  <c r="L83" i="15"/>
  <c r="N82" i="15"/>
  <c r="M82" i="15"/>
  <c r="L82" i="15"/>
  <c r="N81" i="15"/>
  <c r="M81" i="15"/>
  <c r="L81" i="15"/>
  <c r="N80" i="15"/>
  <c r="M80" i="15"/>
  <c r="L80" i="15"/>
  <c r="N79" i="15"/>
  <c r="M79" i="15"/>
  <c r="L79" i="15"/>
  <c r="N78" i="15"/>
  <c r="M78" i="15"/>
  <c r="L78" i="15"/>
  <c r="N77" i="15"/>
  <c r="M77" i="15"/>
  <c r="L77" i="15"/>
  <c r="N76" i="15"/>
  <c r="M76" i="15"/>
  <c r="L76" i="15"/>
  <c r="N75" i="15"/>
  <c r="M75" i="15"/>
  <c r="L75" i="15"/>
  <c r="N74" i="15"/>
  <c r="M74" i="15"/>
  <c r="L74" i="15"/>
  <c r="N73" i="15"/>
  <c r="M73" i="15"/>
  <c r="L73" i="15"/>
  <c r="N72" i="15"/>
  <c r="M72" i="15"/>
  <c r="L72" i="15"/>
  <c r="N71" i="15"/>
  <c r="M71" i="15"/>
  <c r="L71" i="15"/>
  <c r="N70" i="15"/>
  <c r="M70" i="15"/>
  <c r="L70" i="15"/>
  <c r="N69" i="15"/>
  <c r="M69" i="15"/>
  <c r="L69" i="15"/>
  <c r="N68" i="15"/>
  <c r="M68" i="15"/>
  <c r="L68" i="15"/>
  <c r="N67" i="15"/>
  <c r="M67" i="15"/>
  <c r="L67" i="15"/>
  <c r="N66" i="15"/>
  <c r="M66" i="15"/>
  <c r="L66" i="15"/>
  <c r="N65" i="15"/>
  <c r="M65" i="15"/>
  <c r="L65" i="15"/>
  <c r="N64" i="15"/>
  <c r="M64" i="15"/>
  <c r="L64" i="15"/>
  <c r="N63" i="15"/>
  <c r="M63" i="15"/>
  <c r="L63" i="15"/>
  <c r="N62" i="15"/>
  <c r="M62" i="15"/>
  <c r="L62" i="15"/>
  <c r="N61" i="15"/>
  <c r="M61" i="15"/>
  <c r="L61" i="15"/>
  <c r="N60" i="15"/>
  <c r="M60" i="15"/>
  <c r="L60" i="15"/>
  <c r="N59" i="15"/>
  <c r="M59" i="15"/>
  <c r="L59" i="15"/>
  <c r="N58" i="15"/>
  <c r="M58" i="15"/>
  <c r="L58" i="15"/>
  <c r="N57" i="15"/>
  <c r="M57" i="15"/>
  <c r="L57" i="15"/>
  <c r="N56" i="15"/>
  <c r="M56" i="15"/>
  <c r="L56" i="15"/>
  <c r="N55" i="15"/>
  <c r="M55" i="15"/>
  <c r="L55" i="15"/>
  <c r="N54" i="15"/>
  <c r="M54" i="15"/>
  <c r="L54" i="15"/>
  <c r="N53" i="15"/>
  <c r="M53" i="15"/>
  <c r="L53" i="15"/>
  <c r="N52" i="15"/>
  <c r="M52" i="15"/>
  <c r="L52" i="15"/>
  <c r="N51" i="15"/>
  <c r="M51" i="15"/>
  <c r="L51" i="15"/>
  <c r="N50" i="15"/>
  <c r="M50" i="15"/>
  <c r="L50" i="15"/>
  <c r="N49" i="15"/>
  <c r="M49" i="15"/>
  <c r="L49" i="15"/>
  <c r="N48" i="15"/>
  <c r="M48" i="15"/>
  <c r="L48" i="15"/>
  <c r="N47" i="15"/>
  <c r="M47" i="15"/>
  <c r="L47" i="15"/>
  <c r="N46" i="15"/>
  <c r="M46" i="15"/>
  <c r="L46" i="15"/>
  <c r="N45" i="15"/>
  <c r="M45" i="15"/>
  <c r="L45" i="15"/>
  <c r="N44" i="15"/>
  <c r="M44" i="15"/>
  <c r="L44" i="15"/>
  <c r="N43" i="15"/>
  <c r="M43" i="15"/>
  <c r="L43" i="15"/>
  <c r="N42" i="15"/>
  <c r="M42" i="15"/>
  <c r="L42" i="15"/>
  <c r="N41" i="15"/>
  <c r="M41" i="15"/>
  <c r="L41" i="15"/>
  <c r="N40" i="15"/>
  <c r="M40" i="15"/>
  <c r="L40" i="15"/>
  <c r="N39" i="15"/>
  <c r="M39" i="15"/>
  <c r="L39" i="15"/>
  <c r="N38" i="15"/>
  <c r="M38" i="15"/>
  <c r="L38" i="15"/>
  <c r="N37" i="15"/>
  <c r="M37" i="15"/>
  <c r="L37" i="15"/>
  <c r="N36" i="15"/>
  <c r="M36" i="15"/>
  <c r="L36" i="15"/>
  <c r="N35" i="15"/>
  <c r="M35" i="15"/>
  <c r="L35" i="15"/>
  <c r="N34" i="15"/>
  <c r="M34" i="15"/>
  <c r="L34" i="15"/>
  <c r="N33" i="15"/>
  <c r="M33" i="15"/>
  <c r="L33" i="15"/>
  <c r="N32" i="15"/>
  <c r="M32" i="15"/>
  <c r="L32" i="15"/>
  <c r="N31" i="15"/>
  <c r="M31" i="15"/>
  <c r="L31" i="15"/>
  <c r="N30" i="15"/>
  <c r="M30" i="15"/>
  <c r="L30" i="15"/>
  <c r="N29" i="15"/>
  <c r="M29" i="15"/>
  <c r="L29" i="15"/>
  <c r="N28" i="15"/>
  <c r="M28" i="15"/>
  <c r="L28" i="15"/>
  <c r="N27" i="15"/>
  <c r="M27" i="15"/>
  <c r="L27" i="15"/>
  <c r="N26" i="15"/>
  <c r="M26" i="15"/>
  <c r="L26" i="15"/>
  <c r="N25" i="15"/>
  <c r="M25" i="15"/>
  <c r="L25" i="15"/>
  <c r="N24" i="15"/>
  <c r="M24" i="15"/>
  <c r="L24" i="15"/>
  <c r="N23" i="15"/>
  <c r="M23" i="15"/>
  <c r="L23" i="15"/>
  <c r="N22" i="15"/>
  <c r="M22" i="15"/>
  <c r="L22" i="15"/>
  <c r="N21" i="15"/>
  <c r="M21" i="15"/>
  <c r="L21" i="15"/>
  <c r="N20" i="15"/>
  <c r="M20" i="15"/>
  <c r="L20" i="15"/>
  <c r="N19" i="15"/>
  <c r="M19" i="15"/>
  <c r="L19" i="15"/>
  <c r="N18" i="15"/>
  <c r="M18" i="15"/>
  <c r="L18" i="15"/>
  <c r="N17" i="15"/>
  <c r="M17" i="15"/>
  <c r="L17" i="15"/>
  <c r="N16" i="15"/>
  <c r="M16" i="15"/>
  <c r="L16" i="15"/>
  <c r="N15" i="15"/>
  <c r="M15" i="15"/>
  <c r="L15" i="15"/>
  <c r="N14" i="15"/>
  <c r="M14" i="15"/>
  <c r="L14" i="15"/>
  <c r="N13" i="15"/>
  <c r="M13" i="15"/>
  <c r="L13" i="15"/>
  <c r="N12" i="15"/>
  <c r="M12" i="15"/>
  <c r="L12" i="15"/>
  <c r="N11" i="15"/>
  <c r="M11" i="15"/>
  <c r="L11" i="15"/>
  <c r="N10" i="15"/>
  <c r="M10" i="15"/>
  <c r="L10" i="15"/>
  <c r="N9" i="15"/>
  <c r="M9" i="15"/>
  <c r="L9" i="15"/>
  <c r="N8" i="15"/>
  <c r="M8" i="15"/>
  <c r="L8" i="15"/>
  <c r="N7" i="15"/>
  <c r="M7" i="15"/>
  <c r="L7" i="15"/>
  <c r="N6" i="15"/>
  <c r="M6" i="15"/>
  <c r="L6" i="15"/>
  <c r="N5" i="15"/>
  <c r="M5" i="15"/>
  <c r="L5" i="15"/>
  <c r="N4" i="15"/>
  <c r="M4" i="15"/>
  <c r="L4" i="15"/>
  <c r="N3" i="15"/>
  <c r="M3" i="15"/>
  <c r="L3" i="15"/>
  <c r="N2" i="15"/>
  <c r="M2" i="15"/>
  <c r="L2" i="15"/>
  <c r="Q1" i="15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G44" i="13" s="1"/>
  <c r="B45" i="13"/>
  <c r="G45" i="13" s="1"/>
  <c r="B46" i="13"/>
  <c r="G46" i="13" s="1"/>
  <c r="B47" i="13"/>
  <c r="G47" i="13" s="1"/>
  <c r="B48" i="13"/>
  <c r="G48" i="13" s="1"/>
  <c r="B49" i="13"/>
  <c r="G49" i="13" s="1"/>
  <c r="B50" i="13"/>
  <c r="G50" i="13" s="1"/>
  <c r="B51" i="13"/>
  <c r="G51" i="13" s="1"/>
  <c r="B52" i="13"/>
  <c r="G52" i="13" s="1"/>
  <c r="B53" i="13"/>
  <c r="G53" i="13" s="1"/>
  <c r="B4" i="13"/>
  <c r="B5" i="13"/>
  <c r="G5" i="13" s="1"/>
  <c r="F4" i="13"/>
  <c r="N1" i="13"/>
  <c r="M1" i="13"/>
  <c r="L1" i="13"/>
  <c r="J1" i="13"/>
  <c r="I1" i="13"/>
  <c r="D9" i="12"/>
  <c r="D10" i="12"/>
  <c r="D11" i="12"/>
  <c r="D12" i="12"/>
  <c r="D8" i="12"/>
  <c r="AO5" i="12"/>
  <c r="AP5" i="12"/>
  <c r="AQ5" i="12"/>
  <c r="AR5" i="12"/>
  <c r="AS5" i="12"/>
  <c r="AO6" i="12"/>
  <c r="AP6" i="12"/>
  <c r="AQ6" i="12"/>
  <c r="AR6" i="12"/>
  <c r="AS6" i="12"/>
  <c r="AO7" i="12"/>
  <c r="AP7" i="12"/>
  <c r="AQ7" i="12"/>
  <c r="AR7" i="12"/>
  <c r="AS7" i="12"/>
  <c r="AO13" i="12"/>
  <c r="AP13" i="12"/>
  <c r="AQ13" i="12"/>
  <c r="AR13" i="12"/>
  <c r="AS13" i="12"/>
  <c r="AO14" i="12"/>
  <c r="AP14" i="12"/>
  <c r="AQ14" i="12"/>
  <c r="AR14" i="12"/>
  <c r="AS14" i="12"/>
  <c r="AO15" i="12"/>
  <c r="AP15" i="12"/>
  <c r="AQ15" i="12"/>
  <c r="AR15" i="12"/>
  <c r="AS15" i="12"/>
  <c r="AO16" i="12"/>
  <c r="AO18" i="12" s="1"/>
  <c r="AO19" i="12" s="1"/>
  <c r="AP16" i="12"/>
  <c r="AP18" i="12" s="1"/>
  <c r="AP19" i="12" s="1"/>
  <c r="AQ16" i="12"/>
  <c r="AQ18" i="12" s="1"/>
  <c r="AQ19" i="12" s="1"/>
  <c r="AR16" i="12"/>
  <c r="AR18" i="12" s="1"/>
  <c r="AR19" i="12" s="1"/>
  <c r="AS16" i="12"/>
  <c r="AS18" i="12" s="1"/>
  <c r="AS19" i="12" s="1"/>
  <c r="AO21" i="12"/>
  <c r="AP21" i="12"/>
  <c r="AQ21" i="12"/>
  <c r="AR21" i="12"/>
  <c r="AS21" i="12"/>
  <c r="AO22" i="12"/>
  <c r="AP22" i="12"/>
  <c r="AQ22" i="12"/>
  <c r="AR22" i="12"/>
  <c r="AS22" i="12"/>
  <c r="AJ5" i="12"/>
  <c r="AJ7" i="12" s="1"/>
  <c r="AJ13" i="12" s="1"/>
  <c r="AK5" i="12"/>
  <c r="AL5" i="12"/>
  <c r="AM5" i="12"/>
  <c r="AN5" i="12"/>
  <c r="AJ6" i="12"/>
  <c r="AK6" i="12"/>
  <c r="AL6" i="12"/>
  <c r="AM6" i="12"/>
  <c r="AN6" i="12"/>
  <c r="AK7" i="12"/>
  <c r="AL7" i="12"/>
  <c r="AM7" i="12"/>
  <c r="AN7" i="12"/>
  <c r="AK13" i="12"/>
  <c r="AL13" i="12"/>
  <c r="AM13" i="12"/>
  <c r="AN13" i="12"/>
  <c r="AK14" i="12"/>
  <c r="AL14" i="12"/>
  <c r="AM14" i="12"/>
  <c r="AN14" i="12"/>
  <c r="AK15" i="12"/>
  <c r="AL15" i="12"/>
  <c r="AM15" i="12"/>
  <c r="AN15" i="12"/>
  <c r="AK16" i="12"/>
  <c r="AK18" i="12" s="1"/>
  <c r="AL16" i="12"/>
  <c r="AL18" i="12" s="1"/>
  <c r="AL19" i="12" s="1"/>
  <c r="AM16" i="12"/>
  <c r="AM18" i="12" s="1"/>
  <c r="AM19" i="12" s="1"/>
  <c r="AN16" i="12"/>
  <c r="AN18" i="12" s="1"/>
  <c r="AN19" i="12" s="1"/>
  <c r="AL21" i="12"/>
  <c r="AM21" i="12"/>
  <c r="AN21" i="12"/>
  <c r="AL22" i="12"/>
  <c r="AM22" i="12"/>
  <c r="AN22" i="12"/>
  <c r="K28" i="12"/>
  <c r="AE5" i="12"/>
  <c r="AF5" i="12"/>
  <c r="AG5" i="12"/>
  <c r="AH5" i="12"/>
  <c r="AI5" i="12"/>
  <c r="K27" i="12" s="1"/>
  <c r="R5" i="12"/>
  <c r="S5" i="12"/>
  <c r="T5" i="12"/>
  <c r="U5" i="12"/>
  <c r="V5" i="12"/>
  <c r="W5" i="12"/>
  <c r="X5" i="12"/>
  <c r="Y5" i="12"/>
  <c r="Z5" i="12"/>
  <c r="AA5" i="12"/>
  <c r="AB5" i="12"/>
  <c r="AC5" i="12"/>
  <c r="C34" i="12"/>
  <c r="F6" i="12"/>
  <c r="B34" i="12"/>
  <c r="B33" i="12"/>
  <c r="G6" i="12"/>
  <c r="G5" i="12"/>
  <c r="H5" i="12"/>
  <c r="I5" i="12"/>
  <c r="J5" i="12"/>
  <c r="K5" i="12"/>
  <c r="L5" i="12"/>
  <c r="M5" i="12"/>
  <c r="N5" i="12"/>
  <c r="O5" i="12"/>
  <c r="P5" i="12"/>
  <c r="Q5" i="12"/>
  <c r="AD5" i="12"/>
  <c r="F5" i="12"/>
  <c r="D4" i="6"/>
  <c r="D73" i="6" s="1"/>
  <c r="C31" i="8"/>
  <c r="B24" i="8"/>
  <c r="B23" i="8"/>
  <c r="C21" i="8"/>
  <c r="G6" i="8"/>
  <c r="E6" i="8"/>
  <c r="F6" i="8"/>
  <c r="H6" i="8"/>
  <c r="I6" i="8"/>
  <c r="J6" i="8"/>
  <c r="D6" i="8"/>
  <c r="C13" i="8"/>
  <c r="C14" i="8" s="1"/>
  <c r="AZ42" i="3"/>
  <c r="AZ43" i="3"/>
  <c r="AZ44" i="3"/>
  <c r="AZ45" i="3"/>
  <c r="AZ46" i="3"/>
  <c r="AZ47" i="3"/>
  <c r="AZ53" i="3"/>
  <c r="AZ54" i="3"/>
  <c r="AZ55" i="3"/>
  <c r="AZ56" i="3"/>
  <c r="AZ57" i="3"/>
  <c r="AZ58" i="3"/>
  <c r="BC94" i="3"/>
  <c r="BD94" i="3" s="1"/>
  <c r="BA94" i="3"/>
  <c r="BC266" i="3"/>
  <c r="BD266" i="3" s="1"/>
  <c r="BA266" i="3"/>
  <c r="D5" i="6"/>
  <c r="D80" i="6"/>
  <c r="D98" i="6"/>
  <c r="D112" i="6"/>
  <c r="D126" i="6"/>
  <c r="G6" i="13" l="1"/>
  <c r="G7" i="13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D140" i="6"/>
  <c r="D127" i="6"/>
  <c r="D141" i="6"/>
  <c r="D99" i="6"/>
  <c r="D113" i="6"/>
  <c r="D111" i="6"/>
  <c r="D138" i="6"/>
  <c r="D95" i="6"/>
  <c r="D122" i="6"/>
  <c r="D143" i="6"/>
  <c r="D129" i="6"/>
  <c r="D115" i="6"/>
  <c r="D101" i="6"/>
  <c r="D87" i="6"/>
  <c r="D142" i="6"/>
  <c r="D128" i="6"/>
  <c r="D114" i="6"/>
  <c r="D100" i="6"/>
  <c r="D85" i="6"/>
  <c r="D97" i="6"/>
  <c r="E6" i="11"/>
  <c r="M6" i="11" s="1"/>
  <c r="D109" i="6"/>
  <c r="D150" i="6"/>
  <c r="D108" i="6"/>
  <c r="D121" i="6"/>
  <c r="D148" i="6"/>
  <c r="D134" i="6"/>
  <c r="D120" i="6"/>
  <c r="D106" i="6"/>
  <c r="D92" i="6"/>
  <c r="D139" i="6"/>
  <c r="D149" i="6"/>
  <c r="D147" i="6"/>
  <c r="D133" i="6"/>
  <c r="D119" i="6"/>
  <c r="D105" i="6"/>
  <c r="D91" i="6"/>
  <c r="D96" i="6"/>
  <c r="D137" i="6"/>
  <c r="D136" i="6"/>
  <c r="D107" i="6"/>
  <c r="D146" i="6"/>
  <c r="D132" i="6"/>
  <c r="D118" i="6"/>
  <c r="D104" i="6"/>
  <c r="D90" i="6"/>
  <c r="D124" i="6"/>
  <c r="D123" i="6"/>
  <c r="D94" i="6"/>
  <c r="D93" i="6"/>
  <c r="D145" i="6"/>
  <c r="D131" i="6"/>
  <c r="D117" i="6"/>
  <c r="D103" i="6"/>
  <c r="D89" i="6"/>
  <c r="D125" i="6"/>
  <c r="D110" i="6"/>
  <c r="D135" i="6"/>
  <c r="D144" i="6"/>
  <c r="D130" i="6"/>
  <c r="D116" i="6"/>
  <c r="D102" i="6"/>
  <c r="D88" i="6"/>
  <c r="D71" i="6"/>
  <c r="D86" i="6"/>
  <c r="D84" i="6"/>
  <c r="D83" i="6"/>
  <c r="D82" i="6"/>
  <c r="D81" i="6"/>
  <c r="D79" i="6"/>
  <c r="D78" i="6"/>
  <c r="D77" i="6"/>
  <c r="D75" i="6"/>
  <c r="D74" i="6"/>
  <c r="M1" i="5"/>
  <c r="AR3" i="2"/>
  <c r="I10" i="1" s="1"/>
  <c r="E7" i="11"/>
  <c r="M4" i="13" s="1"/>
  <c r="K7" i="11"/>
  <c r="D70" i="6"/>
  <c r="D76" i="6"/>
  <c r="D160" i="6"/>
  <c r="D72" i="6"/>
  <c r="L7" i="13"/>
  <c r="S4" i="16"/>
  <c r="X4" i="16"/>
  <c r="R125" i="16"/>
  <c r="AH125" i="16"/>
  <c r="AG125" i="16"/>
  <c r="AF125" i="16"/>
  <c r="AE125" i="16"/>
  <c r="AD125" i="16"/>
  <c r="AC125" i="16"/>
  <c r="AB125" i="16"/>
  <c r="AA125" i="16"/>
  <c r="Z125" i="16"/>
  <c r="Y125" i="16"/>
  <c r="X125" i="16"/>
  <c r="W125" i="16"/>
  <c r="V125" i="16"/>
  <c r="U125" i="16"/>
  <c r="T125" i="16"/>
  <c r="S125" i="16"/>
  <c r="O125" i="16"/>
  <c r="Q125" i="16"/>
  <c r="P125" i="16"/>
  <c r="T124" i="16"/>
  <c r="AH124" i="16"/>
  <c r="AG124" i="16"/>
  <c r="AF124" i="16"/>
  <c r="AE124" i="16"/>
  <c r="AD124" i="16"/>
  <c r="AC124" i="16"/>
  <c r="AB124" i="16"/>
  <c r="AA124" i="16"/>
  <c r="Z124" i="16"/>
  <c r="Y124" i="16"/>
  <c r="X124" i="16"/>
  <c r="W124" i="16"/>
  <c r="V124" i="16"/>
  <c r="U124" i="16"/>
  <c r="S124" i="16"/>
  <c r="R124" i="16"/>
  <c r="Q124" i="16"/>
  <c r="P124" i="16"/>
  <c r="O124" i="16"/>
  <c r="O123" i="16"/>
  <c r="AH123" i="16"/>
  <c r="AG123" i="16"/>
  <c r="AF123" i="16"/>
  <c r="AE123" i="16"/>
  <c r="AD123" i="16"/>
  <c r="AC123" i="16"/>
  <c r="AB123" i="16"/>
  <c r="AA123" i="16"/>
  <c r="Z123" i="16"/>
  <c r="Y123" i="16"/>
  <c r="X123" i="16"/>
  <c r="W123" i="16"/>
  <c r="V123" i="16"/>
  <c r="U123" i="16"/>
  <c r="T123" i="16"/>
  <c r="S123" i="16"/>
  <c r="R123" i="16"/>
  <c r="Q123" i="16"/>
  <c r="P123" i="16"/>
  <c r="AD122" i="16"/>
  <c r="AH122" i="16"/>
  <c r="AG122" i="16"/>
  <c r="AF122" i="16"/>
  <c r="AE122" i="16"/>
  <c r="Z122" i="16"/>
  <c r="AC122" i="16"/>
  <c r="U122" i="16"/>
  <c r="T122" i="16"/>
  <c r="S122" i="16"/>
  <c r="R122" i="16"/>
  <c r="Q122" i="16"/>
  <c r="P122" i="16"/>
  <c r="O122" i="16"/>
  <c r="AA122" i="16"/>
  <c r="AB122" i="16"/>
  <c r="V122" i="16"/>
  <c r="W122" i="16"/>
  <c r="X122" i="16"/>
  <c r="Y122" i="16"/>
  <c r="T121" i="16"/>
  <c r="U121" i="16"/>
  <c r="V121" i="16"/>
  <c r="W121" i="16"/>
  <c r="X121" i="16"/>
  <c r="Y121" i="16"/>
  <c r="Z121" i="16"/>
  <c r="AD121" i="16"/>
  <c r="AA121" i="16"/>
  <c r="AB121" i="16"/>
  <c r="AC121" i="16"/>
  <c r="AH121" i="16"/>
  <c r="AG121" i="16"/>
  <c r="AF121" i="16"/>
  <c r="AE121" i="16"/>
  <c r="O121" i="16"/>
  <c r="P121" i="16"/>
  <c r="Q121" i="16"/>
  <c r="R121" i="16"/>
  <c r="S121" i="16"/>
  <c r="AG120" i="16"/>
  <c r="AF120" i="16"/>
  <c r="AE120" i="16"/>
  <c r="W120" i="16"/>
  <c r="AC120" i="16"/>
  <c r="AB120" i="16"/>
  <c r="AA120" i="16"/>
  <c r="Z120" i="16"/>
  <c r="Y120" i="16"/>
  <c r="X120" i="16"/>
  <c r="AH120" i="16"/>
  <c r="V120" i="16"/>
  <c r="U120" i="16"/>
  <c r="T120" i="16"/>
  <c r="S120" i="16"/>
  <c r="R120" i="16"/>
  <c r="Q120" i="16"/>
  <c r="P120" i="16"/>
  <c r="O120" i="16"/>
  <c r="AD120" i="16"/>
  <c r="AA119" i="16"/>
  <c r="Z119" i="16"/>
  <c r="Y119" i="16"/>
  <c r="X119" i="16"/>
  <c r="W119" i="16"/>
  <c r="V119" i="16"/>
  <c r="T119" i="16"/>
  <c r="S119" i="16"/>
  <c r="R119" i="16"/>
  <c r="AB119" i="16"/>
  <c r="U119" i="16"/>
  <c r="O119" i="16"/>
  <c r="Q119" i="16"/>
  <c r="AH119" i="16"/>
  <c r="AG119" i="16"/>
  <c r="P119" i="16"/>
  <c r="AE119" i="16"/>
  <c r="AD119" i="16"/>
  <c r="AC119" i="16"/>
  <c r="AF119" i="16"/>
  <c r="U118" i="16"/>
  <c r="AF118" i="16"/>
  <c r="Y118" i="16"/>
  <c r="V118" i="16"/>
  <c r="AH118" i="16"/>
  <c r="AG118" i="16"/>
  <c r="AE118" i="16"/>
  <c r="AD118" i="16"/>
  <c r="AC118" i="16"/>
  <c r="AB118" i="16"/>
  <c r="AA118" i="16"/>
  <c r="Z118" i="16"/>
  <c r="X118" i="16"/>
  <c r="W118" i="16"/>
  <c r="O118" i="16"/>
  <c r="P118" i="16"/>
  <c r="Q118" i="16"/>
  <c r="R118" i="16"/>
  <c r="S118" i="16"/>
  <c r="T118" i="16"/>
  <c r="O117" i="16"/>
  <c r="AH117" i="16"/>
  <c r="Z117" i="16"/>
  <c r="AG117" i="16"/>
  <c r="AF117" i="16"/>
  <c r="AE117" i="16"/>
  <c r="AD117" i="16"/>
  <c r="AC117" i="16"/>
  <c r="AB117" i="16"/>
  <c r="AA117" i="16"/>
  <c r="Y117" i="16"/>
  <c r="X117" i="16"/>
  <c r="W117" i="16"/>
  <c r="V117" i="16"/>
  <c r="U117" i="16"/>
  <c r="T117" i="16"/>
  <c r="S117" i="16"/>
  <c r="R117" i="16"/>
  <c r="Q117" i="16"/>
  <c r="P117" i="16"/>
  <c r="AH116" i="16"/>
  <c r="O116" i="16"/>
  <c r="P116" i="16"/>
  <c r="Q116" i="16"/>
  <c r="R116" i="16"/>
  <c r="S116" i="16"/>
  <c r="T116" i="16"/>
  <c r="U116" i="16"/>
  <c r="V116" i="16"/>
  <c r="W116" i="16"/>
  <c r="AG116" i="16"/>
  <c r="AF116" i="16"/>
  <c r="AD116" i="16"/>
  <c r="AC116" i="16"/>
  <c r="AE116" i="16"/>
  <c r="X116" i="16"/>
  <c r="AB116" i="16"/>
  <c r="AA116" i="16"/>
  <c r="Z116" i="16"/>
  <c r="Y116" i="16"/>
  <c r="AB115" i="16"/>
  <c r="Q115" i="16"/>
  <c r="AE115" i="16"/>
  <c r="AD115" i="16"/>
  <c r="AC115" i="16"/>
  <c r="AH115" i="16"/>
  <c r="P115" i="16"/>
  <c r="AA115" i="16"/>
  <c r="Z115" i="16"/>
  <c r="Y115" i="16"/>
  <c r="X115" i="16"/>
  <c r="W115" i="16"/>
  <c r="V115" i="16"/>
  <c r="U115" i="16"/>
  <c r="T115" i="16"/>
  <c r="S115" i="16"/>
  <c r="R115" i="16"/>
  <c r="O115" i="16"/>
  <c r="AG115" i="16"/>
  <c r="AF115" i="16"/>
  <c r="AD114" i="16"/>
  <c r="AE114" i="16"/>
  <c r="AF114" i="16"/>
  <c r="AG114" i="16"/>
  <c r="AH114" i="16"/>
  <c r="O114" i="16"/>
  <c r="P114" i="16"/>
  <c r="Q114" i="16"/>
  <c r="R114" i="16"/>
  <c r="S114" i="16"/>
  <c r="T114" i="16"/>
  <c r="U114" i="16"/>
  <c r="V114" i="16"/>
  <c r="X114" i="16"/>
  <c r="Y114" i="16"/>
  <c r="AC114" i="16"/>
  <c r="Z114" i="16"/>
  <c r="AA114" i="16"/>
  <c r="AB114" i="16"/>
  <c r="W114" i="16"/>
  <c r="W113" i="16"/>
  <c r="AB113" i="16"/>
  <c r="Y113" i="16"/>
  <c r="AA113" i="16"/>
  <c r="X113" i="16"/>
  <c r="AC113" i="16"/>
  <c r="AD113" i="16"/>
  <c r="AE113" i="16"/>
  <c r="T113" i="16"/>
  <c r="AF113" i="16"/>
  <c r="AG113" i="16"/>
  <c r="AH113" i="16"/>
  <c r="O113" i="16"/>
  <c r="Z113" i="16"/>
  <c r="Q113" i="16"/>
  <c r="R113" i="16"/>
  <c r="S113" i="16"/>
  <c r="P113" i="16"/>
  <c r="U113" i="16"/>
  <c r="V113" i="16"/>
  <c r="AC112" i="16"/>
  <c r="AD112" i="16"/>
  <c r="AE112" i="16"/>
  <c r="AF112" i="16"/>
  <c r="AG112" i="16"/>
  <c r="AH112" i="16"/>
  <c r="V112" i="16"/>
  <c r="T112" i="16"/>
  <c r="S112" i="16"/>
  <c r="R112" i="16"/>
  <c r="Q112" i="16"/>
  <c r="P112" i="16"/>
  <c r="U112" i="16"/>
  <c r="Y112" i="16"/>
  <c r="Z112" i="16"/>
  <c r="AA112" i="16"/>
  <c r="AB112" i="16"/>
  <c r="W112" i="16"/>
  <c r="O112" i="16"/>
  <c r="X112" i="16"/>
  <c r="R111" i="16"/>
  <c r="Q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P111" i="16"/>
  <c r="O111" i="16"/>
  <c r="U110" i="16"/>
  <c r="T110" i="16"/>
  <c r="S110" i="16"/>
  <c r="P110" i="16"/>
  <c r="O110" i="16"/>
  <c r="R110" i="16"/>
  <c r="Q110" i="16"/>
  <c r="X110" i="16"/>
  <c r="AG110" i="16"/>
  <c r="AF110" i="16"/>
  <c r="AH110" i="16"/>
  <c r="AE110" i="16"/>
  <c r="AD110" i="16"/>
  <c r="AC110" i="16"/>
  <c r="AB110" i="16"/>
  <c r="AA110" i="16"/>
  <c r="Z110" i="16"/>
  <c r="Y110" i="16"/>
  <c r="W110" i="16"/>
  <c r="V110" i="16"/>
  <c r="Q109" i="16"/>
  <c r="O109" i="16"/>
  <c r="AE109" i="16"/>
  <c r="P109" i="16"/>
  <c r="AG109" i="16"/>
  <c r="AF109" i="16"/>
  <c r="AH109" i="16"/>
  <c r="AC109" i="16"/>
  <c r="R109" i="16"/>
  <c r="T109" i="16"/>
  <c r="V109" i="16"/>
  <c r="W109" i="16"/>
  <c r="Y109" i="16"/>
  <c r="Z109" i="16"/>
  <c r="AB109" i="16"/>
  <c r="AD109" i="16"/>
  <c r="AA109" i="16"/>
  <c r="X109" i="16"/>
  <c r="U109" i="16"/>
  <c r="S109" i="16"/>
  <c r="AE108" i="16"/>
  <c r="V108" i="16"/>
  <c r="U108" i="16"/>
  <c r="S108" i="16"/>
  <c r="R108" i="16"/>
  <c r="Q108" i="16"/>
  <c r="P108" i="16"/>
  <c r="O108" i="16"/>
  <c r="AB108" i="16"/>
  <c r="AA108" i="16"/>
  <c r="Z108" i="16"/>
  <c r="Y108" i="16"/>
  <c r="X108" i="16"/>
  <c r="AH108" i="16"/>
  <c r="T108" i="16"/>
  <c r="W108" i="16"/>
  <c r="AG108" i="16"/>
  <c r="AF108" i="16"/>
  <c r="AD108" i="16"/>
  <c r="AC108" i="16"/>
  <c r="O107" i="16"/>
  <c r="Y107" i="16"/>
  <c r="P107" i="16"/>
  <c r="Q107" i="16"/>
  <c r="T107" i="16"/>
  <c r="U107" i="16"/>
  <c r="V107" i="16"/>
  <c r="W107" i="16"/>
  <c r="X107" i="16"/>
  <c r="AF107" i="16"/>
  <c r="R107" i="16"/>
  <c r="Z107" i="16"/>
  <c r="AA107" i="16"/>
  <c r="AB107" i="16"/>
  <c r="AC107" i="16"/>
  <c r="AD107" i="16"/>
  <c r="AE107" i="16"/>
  <c r="AG107" i="16"/>
  <c r="AH107" i="16"/>
  <c r="S107" i="16"/>
  <c r="AF106" i="16"/>
  <c r="AH106" i="16"/>
  <c r="AG106" i="16"/>
  <c r="O106" i="16"/>
  <c r="P106" i="16"/>
  <c r="Q106" i="16"/>
  <c r="R106" i="16"/>
  <c r="S106" i="16"/>
  <c r="T106" i="16"/>
  <c r="U106" i="16"/>
  <c r="W106" i="16"/>
  <c r="X106" i="16"/>
  <c r="Y106" i="16"/>
  <c r="Z106" i="16"/>
  <c r="AA106" i="16"/>
  <c r="AB106" i="16"/>
  <c r="AC106" i="16"/>
  <c r="AD106" i="16"/>
  <c r="AE106" i="16"/>
  <c r="V106" i="16"/>
  <c r="R105" i="16"/>
  <c r="P105" i="16"/>
  <c r="X105" i="16"/>
  <c r="V105" i="16"/>
  <c r="AF105" i="16"/>
  <c r="AD105" i="16"/>
  <c r="AH105" i="16"/>
  <c r="AC105" i="16"/>
  <c r="T105" i="16"/>
  <c r="AB105" i="16"/>
  <c r="AG105" i="16"/>
  <c r="AA105" i="16"/>
  <c r="O105" i="16"/>
  <c r="Q105" i="16"/>
  <c r="S105" i="16"/>
  <c r="U105" i="16"/>
  <c r="W105" i="16"/>
  <c r="Z105" i="16"/>
  <c r="AE105" i="16"/>
  <c r="Y105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O104" i="16"/>
  <c r="P104" i="16"/>
  <c r="AA103" i="16"/>
  <c r="AD103" i="16"/>
  <c r="AF103" i="16"/>
  <c r="AG103" i="16"/>
  <c r="AH103" i="16"/>
  <c r="P103" i="16"/>
  <c r="R103" i="16"/>
  <c r="T103" i="16"/>
  <c r="Z103" i="16"/>
  <c r="AE103" i="16"/>
  <c r="Y103" i="16"/>
  <c r="AB103" i="16"/>
  <c r="AC103" i="16"/>
  <c r="X103" i="16"/>
  <c r="W103" i="16"/>
  <c r="U103" i="16"/>
  <c r="S103" i="16"/>
  <c r="Q103" i="16"/>
  <c r="O103" i="16"/>
  <c r="V103" i="16"/>
  <c r="T102" i="16"/>
  <c r="S102" i="16"/>
  <c r="R102" i="16"/>
  <c r="AE102" i="16"/>
  <c r="Q102" i="16"/>
  <c r="P102" i="16"/>
  <c r="O102" i="16"/>
  <c r="X102" i="16"/>
  <c r="AH102" i="16"/>
  <c r="AG102" i="16"/>
  <c r="AF102" i="16"/>
  <c r="AC102" i="16"/>
  <c r="AD102" i="16"/>
  <c r="AB102" i="16"/>
  <c r="AA102" i="16"/>
  <c r="Z102" i="16"/>
  <c r="Y102" i="16"/>
  <c r="W102" i="16"/>
  <c r="V102" i="16"/>
  <c r="U102" i="16"/>
  <c r="O101" i="16"/>
  <c r="P101" i="16"/>
  <c r="Q101" i="16"/>
  <c r="R101" i="16"/>
  <c r="S101" i="16"/>
  <c r="AC101" i="16"/>
  <c r="T101" i="16"/>
  <c r="AH101" i="16"/>
  <c r="AG101" i="16"/>
  <c r="AF101" i="16"/>
  <c r="AE101" i="16"/>
  <c r="V101" i="16"/>
  <c r="AD101" i="16"/>
  <c r="U101" i="16"/>
  <c r="AB101" i="16"/>
  <c r="AA101" i="16"/>
  <c r="Z101" i="16"/>
  <c r="Y101" i="16"/>
  <c r="X101" i="16"/>
  <c r="W101" i="16"/>
  <c r="Q100" i="16"/>
  <c r="S100" i="16"/>
  <c r="R100" i="16"/>
  <c r="P100" i="16"/>
  <c r="O100" i="16"/>
  <c r="T100" i="16"/>
  <c r="U100" i="16"/>
  <c r="V100" i="16"/>
  <c r="W100" i="16"/>
  <c r="X100" i="16"/>
  <c r="Y100" i="16"/>
  <c r="Z100" i="16"/>
  <c r="AA100" i="16"/>
  <c r="AC100" i="16"/>
  <c r="AE100" i="16"/>
  <c r="AF100" i="16"/>
  <c r="AG100" i="16"/>
  <c r="AD100" i="16"/>
  <c r="AH100" i="16"/>
  <c r="AB100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R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O98" i="16"/>
  <c r="Q98" i="16"/>
  <c r="P98" i="16"/>
  <c r="R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Q97" i="16"/>
  <c r="P97" i="16"/>
  <c r="O97" i="16"/>
  <c r="O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U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T95" i="16"/>
  <c r="S95" i="16"/>
  <c r="R95" i="16"/>
  <c r="Q95" i="16"/>
  <c r="P95" i="16"/>
  <c r="O95" i="16"/>
  <c r="AB94" i="16"/>
  <c r="AH94" i="16"/>
  <c r="AG94" i="16"/>
  <c r="AF94" i="16"/>
  <c r="AE94" i="16"/>
  <c r="AD94" i="16"/>
  <c r="AC94" i="16"/>
  <c r="U94" i="16"/>
  <c r="AA94" i="16"/>
  <c r="Z94" i="16"/>
  <c r="Y94" i="16"/>
  <c r="X94" i="16"/>
  <c r="W94" i="16"/>
  <c r="V94" i="16"/>
  <c r="O94" i="16"/>
  <c r="T94" i="16"/>
  <c r="S94" i="16"/>
  <c r="R94" i="16"/>
  <c r="Q94" i="16"/>
  <c r="P94" i="16"/>
  <c r="O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AH92" i="16"/>
  <c r="AG92" i="16"/>
  <c r="AF92" i="16"/>
  <c r="AE92" i="16"/>
  <c r="AD92" i="16"/>
  <c r="AC92" i="16"/>
  <c r="AB92" i="16"/>
  <c r="AA92" i="16"/>
  <c r="Z92" i="16"/>
  <c r="Y92" i="16"/>
  <c r="X92" i="16"/>
  <c r="W92" i="16"/>
  <c r="V92" i="16"/>
  <c r="U92" i="16"/>
  <c r="T92" i="16"/>
  <c r="S92" i="16"/>
  <c r="R92" i="16"/>
  <c r="Q92" i="16"/>
  <c r="P92" i="16"/>
  <c r="O92" i="16"/>
  <c r="AD91" i="16"/>
  <c r="AH91" i="16"/>
  <c r="AG91" i="16"/>
  <c r="AF91" i="16"/>
  <c r="AE91" i="16"/>
  <c r="AC91" i="16"/>
  <c r="AB91" i="16"/>
  <c r="AA91" i="16"/>
  <c r="Z91" i="16"/>
  <c r="Y91" i="16"/>
  <c r="X91" i="16"/>
  <c r="W91" i="16"/>
  <c r="U91" i="16"/>
  <c r="T91" i="16"/>
  <c r="S91" i="16"/>
  <c r="Q91" i="16"/>
  <c r="P91" i="16"/>
  <c r="O91" i="16"/>
  <c r="R91" i="16"/>
  <c r="V91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AH90" i="16"/>
  <c r="AG90" i="16"/>
  <c r="AF90" i="16"/>
  <c r="AD89" i="16"/>
  <c r="AC89" i="16"/>
  <c r="AB89" i="16"/>
  <c r="AA89" i="16"/>
  <c r="X89" i="16"/>
  <c r="V89" i="16"/>
  <c r="S89" i="16"/>
  <c r="R89" i="16"/>
  <c r="P89" i="16"/>
  <c r="T89" i="16"/>
  <c r="Q89" i="16"/>
  <c r="U89" i="16"/>
  <c r="W89" i="16"/>
  <c r="Y89" i="16"/>
  <c r="Z89" i="16"/>
  <c r="AE89" i="16"/>
  <c r="AH89" i="16"/>
  <c r="AG89" i="16"/>
  <c r="AF89" i="16"/>
  <c r="O89" i="16"/>
  <c r="W88" i="16"/>
  <c r="V88" i="16"/>
  <c r="U88" i="16"/>
  <c r="T88" i="16"/>
  <c r="S88" i="16"/>
  <c r="R88" i="16"/>
  <c r="Q88" i="16"/>
  <c r="P88" i="16"/>
  <c r="O88" i="16"/>
  <c r="AH88" i="16"/>
  <c r="AG88" i="16"/>
  <c r="AF88" i="16"/>
  <c r="AE88" i="16"/>
  <c r="AD88" i="16"/>
  <c r="AC88" i="16"/>
  <c r="AB88" i="16"/>
  <c r="AA88" i="16"/>
  <c r="Z88" i="16"/>
  <c r="Y88" i="16"/>
  <c r="X88" i="16"/>
  <c r="W87" i="16"/>
  <c r="U87" i="16"/>
  <c r="T87" i="16"/>
  <c r="S87" i="16"/>
  <c r="R87" i="16"/>
  <c r="Q87" i="16"/>
  <c r="O87" i="16"/>
  <c r="P87" i="16"/>
  <c r="AG87" i="16"/>
  <c r="X87" i="16"/>
  <c r="AF87" i="16"/>
  <c r="AE87" i="16"/>
  <c r="AD87" i="16"/>
  <c r="AC87" i="16"/>
  <c r="AB87" i="16"/>
  <c r="AA87" i="16"/>
  <c r="Z87" i="16"/>
  <c r="Y87" i="16"/>
  <c r="AH87" i="16"/>
  <c r="V87" i="16"/>
  <c r="U86" i="16"/>
  <c r="T86" i="16"/>
  <c r="S86" i="16"/>
  <c r="R86" i="16"/>
  <c r="Q86" i="16"/>
  <c r="P86" i="16"/>
  <c r="O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5" i="16"/>
  <c r="T85" i="16"/>
  <c r="AH85" i="16"/>
  <c r="R85" i="16"/>
  <c r="Q85" i="16"/>
  <c r="P85" i="16"/>
  <c r="O85" i="16"/>
  <c r="S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4" i="16"/>
  <c r="T84" i="16"/>
  <c r="AH84" i="16"/>
  <c r="R84" i="16"/>
  <c r="Q84" i="16"/>
  <c r="P84" i="16"/>
  <c r="O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S84" i="16"/>
  <c r="U83" i="16"/>
  <c r="T83" i="16"/>
  <c r="S83" i="16"/>
  <c r="R83" i="16"/>
  <c r="Q83" i="16"/>
  <c r="P83" i="16"/>
  <c r="O83" i="16"/>
  <c r="AG83" i="16"/>
  <c r="AH83" i="16"/>
  <c r="AF83" i="16"/>
  <c r="AE83" i="16"/>
  <c r="AD83" i="16"/>
  <c r="AC83" i="16"/>
  <c r="AB83" i="16"/>
  <c r="AA83" i="16"/>
  <c r="Z83" i="16"/>
  <c r="Y83" i="16"/>
  <c r="X83" i="16"/>
  <c r="W83" i="16"/>
  <c r="V83" i="16"/>
  <c r="Q82" i="16"/>
  <c r="P82" i="16"/>
  <c r="O82" i="16"/>
  <c r="AC82" i="16"/>
  <c r="AB82" i="16"/>
  <c r="AA82" i="16"/>
  <c r="Z82" i="16"/>
  <c r="Y82" i="16"/>
  <c r="X82" i="16"/>
  <c r="W82" i="16"/>
  <c r="V82" i="16"/>
  <c r="U82" i="16"/>
  <c r="T82" i="16"/>
  <c r="AG82" i="16"/>
  <c r="AH82" i="16"/>
  <c r="AE82" i="16"/>
  <c r="AD82" i="16"/>
  <c r="R82" i="16"/>
  <c r="AF82" i="16"/>
  <c r="U81" i="16"/>
  <c r="T81" i="16"/>
  <c r="V81" i="16"/>
  <c r="W81" i="16"/>
  <c r="X81" i="16"/>
  <c r="AB81" i="16"/>
  <c r="AC81" i="16"/>
  <c r="AD81" i="16"/>
  <c r="Z81" i="16"/>
  <c r="AF81" i="16"/>
  <c r="AG81" i="16"/>
  <c r="AH81" i="16"/>
  <c r="S81" i="16"/>
  <c r="R81" i="16"/>
  <c r="Q81" i="16"/>
  <c r="Y81" i="16"/>
  <c r="P81" i="16"/>
  <c r="O81" i="16"/>
  <c r="AA81" i="16"/>
  <c r="AE81" i="16"/>
  <c r="AG80" i="16"/>
  <c r="R80" i="16"/>
  <c r="S80" i="16"/>
  <c r="T80" i="16"/>
  <c r="U80" i="16"/>
  <c r="V80" i="16"/>
  <c r="W80" i="16"/>
  <c r="X80" i="16"/>
  <c r="Y80" i="16"/>
  <c r="Z80" i="16"/>
  <c r="AA80" i="16"/>
  <c r="AB80" i="16"/>
  <c r="AH80" i="16"/>
  <c r="AC80" i="16"/>
  <c r="AD80" i="16"/>
  <c r="AF80" i="16"/>
  <c r="AE80" i="16"/>
  <c r="O80" i="16"/>
  <c r="P80" i="16"/>
  <c r="Q80" i="16"/>
  <c r="X79" i="16"/>
  <c r="AA79" i="16"/>
  <c r="AH79" i="16"/>
  <c r="AE79" i="16"/>
  <c r="AB79" i="16"/>
  <c r="Z79" i="16"/>
  <c r="V79" i="16"/>
  <c r="T79" i="16"/>
  <c r="P79" i="16"/>
  <c r="Y79" i="16"/>
  <c r="AF79" i="16"/>
  <c r="Q79" i="16"/>
  <c r="S79" i="16"/>
  <c r="U79" i="16"/>
  <c r="R79" i="16"/>
  <c r="W79" i="16"/>
  <c r="AG79" i="16"/>
  <c r="AD79" i="16"/>
  <c r="AC79" i="16"/>
  <c r="O79" i="16"/>
  <c r="Q78" i="16"/>
  <c r="O78" i="16"/>
  <c r="AB78" i="16"/>
  <c r="V78" i="16"/>
  <c r="AG78" i="16"/>
  <c r="AE78" i="16"/>
  <c r="AD78" i="16"/>
  <c r="Z78" i="16"/>
  <c r="X78" i="16"/>
  <c r="U78" i="16"/>
  <c r="AH78" i="16"/>
  <c r="P78" i="16"/>
  <c r="R78" i="16"/>
  <c r="AF78" i="16"/>
  <c r="AC78" i="16"/>
  <c r="AA78" i="16"/>
  <c r="Y78" i="16"/>
  <c r="W78" i="16"/>
  <c r="T78" i="16"/>
  <c r="S78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AC77" i="16"/>
  <c r="O77" i="16"/>
  <c r="AG77" i="16"/>
  <c r="AH77" i="16"/>
  <c r="AF77" i="16"/>
  <c r="AD77" i="16"/>
  <c r="AB77" i="16"/>
  <c r="AE77" i="16"/>
  <c r="AH76" i="16"/>
  <c r="AG76" i="16"/>
  <c r="AF76" i="16"/>
  <c r="AD76" i="16"/>
  <c r="AC76" i="16"/>
  <c r="X76" i="16"/>
  <c r="V76" i="16"/>
  <c r="T76" i="16"/>
  <c r="R76" i="16"/>
  <c r="AA76" i="16"/>
  <c r="AE76" i="16"/>
  <c r="W76" i="16"/>
  <c r="O76" i="16"/>
  <c r="AB76" i="16"/>
  <c r="Z76" i="16"/>
  <c r="Y76" i="16"/>
  <c r="U76" i="16"/>
  <c r="S76" i="16"/>
  <c r="Q76" i="16"/>
  <c r="P76" i="16"/>
  <c r="Z75" i="16"/>
  <c r="Q75" i="16"/>
  <c r="S75" i="16"/>
  <c r="V75" i="16"/>
  <c r="X75" i="16"/>
  <c r="P75" i="16"/>
  <c r="AD75" i="16"/>
  <c r="Y75" i="16"/>
  <c r="AF75" i="16"/>
  <c r="O75" i="16"/>
  <c r="AE75" i="16"/>
  <c r="AC75" i="16"/>
  <c r="AA75" i="16"/>
  <c r="AB75" i="16"/>
  <c r="U75" i="16"/>
  <c r="T75" i="16"/>
  <c r="R75" i="16"/>
  <c r="AH75" i="16"/>
  <c r="AG75" i="16"/>
  <c r="W75" i="16"/>
  <c r="X74" i="16"/>
  <c r="AD74" i="16"/>
  <c r="AB74" i="16"/>
  <c r="Z74" i="16"/>
  <c r="V74" i="16"/>
  <c r="T74" i="16"/>
  <c r="R74" i="16"/>
  <c r="AH74" i="16"/>
  <c r="AG74" i="16"/>
  <c r="AF74" i="16"/>
  <c r="AE74" i="16"/>
  <c r="AC74" i="16"/>
  <c r="P74" i="16"/>
  <c r="Y74" i="16"/>
  <c r="W74" i="16"/>
  <c r="U74" i="16"/>
  <c r="S74" i="16"/>
  <c r="Q74" i="16"/>
  <c r="O74" i="16"/>
  <c r="AA74" i="16"/>
  <c r="AF73" i="16"/>
  <c r="P73" i="16"/>
  <c r="O73" i="16"/>
  <c r="Q73" i="16"/>
  <c r="S73" i="16"/>
  <c r="U73" i="16"/>
  <c r="V73" i="16"/>
  <c r="X73" i="16"/>
  <c r="Y73" i="16"/>
  <c r="AA73" i="16"/>
  <c r="AC73" i="16"/>
  <c r="AE73" i="16"/>
  <c r="AG73" i="16"/>
  <c r="AH73" i="16"/>
  <c r="AD73" i="16"/>
  <c r="AB73" i="16"/>
  <c r="Z73" i="16"/>
  <c r="W73" i="16"/>
  <c r="T73" i="16"/>
  <c r="R73" i="16"/>
  <c r="AH72" i="16"/>
  <c r="AG72" i="16"/>
  <c r="AB72" i="16"/>
  <c r="Y72" i="16"/>
  <c r="W72" i="16"/>
  <c r="U72" i="16"/>
  <c r="S72" i="16"/>
  <c r="Q72" i="16"/>
  <c r="V72" i="16"/>
  <c r="T72" i="16"/>
  <c r="R72" i="16"/>
  <c r="P72" i="16"/>
  <c r="AF72" i="16"/>
  <c r="AE72" i="16"/>
  <c r="AD72" i="16"/>
  <c r="AC72" i="16"/>
  <c r="AA72" i="16"/>
  <c r="Z72" i="16"/>
  <c r="X72" i="16"/>
  <c r="O72" i="16"/>
  <c r="T71" i="16"/>
  <c r="V71" i="16"/>
  <c r="X71" i="16"/>
  <c r="Z71" i="16"/>
  <c r="AB71" i="16"/>
  <c r="AD71" i="16"/>
  <c r="AF71" i="16"/>
  <c r="AG71" i="16"/>
  <c r="AE71" i="16"/>
  <c r="AC71" i="16"/>
  <c r="AA71" i="16"/>
  <c r="Y71" i="16"/>
  <c r="W71" i="16"/>
  <c r="U71" i="16"/>
  <c r="S71" i="16"/>
  <c r="Q71" i="16"/>
  <c r="O71" i="16"/>
  <c r="P71" i="16"/>
  <c r="AH71" i="16"/>
  <c r="R71" i="16"/>
  <c r="AD70" i="16"/>
  <c r="O70" i="16"/>
  <c r="AF70" i="16"/>
  <c r="AG70" i="16"/>
  <c r="AC70" i="16"/>
  <c r="Z70" i="16"/>
  <c r="W70" i="16"/>
  <c r="U70" i="16"/>
  <c r="AH70" i="16"/>
  <c r="Q70" i="16"/>
  <c r="S70" i="16"/>
  <c r="AE70" i="16"/>
  <c r="AB70" i="16"/>
  <c r="AA70" i="16"/>
  <c r="Y70" i="16"/>
  <c r="X70" i="16"/>
  <c r="V70" i="16"/>
  <c r="T70" i="16"/>
  <c r="R70" i="16"/>
  <c r="P70" i="16"/>
  <c r="O69" i="16"/>
  <c r="R69" i="16"/>
  <c r="T69" i="16"/>
  <c r="V69" i="16"/>
  <c r="X69" i="16"/>
  <c r="AA69" i="16"/>
  <c r="AD69" i="16"/>
  <c r="AG69" i="16"/>
  <c r="AE69" i="16"/>
  <c r="AC69" i="16"/>
  <c r="AB69" i="16"/>
  <c r="Z69" i="16"/>
  <c r="Y69" i="16"/>
  <c r="W69" i="16"/>
  <c r="S69" i="16"/>
  <c r="Q69" i="16"/>
  <c r="P69" i="16"/>
  <c r="AH69" i="16"/>
  <c r="AF69" i="16"/>
  <c r="U69" i="16"/>
  <c r="W68" i="16"/>
  <c r="AA68" i="16"/>
  <c r="AD68" i="16"/>
  <c r="AG68" i="16"/>
  <c r="P68" i="16"/>
  <c r="R68" i="16"/>
  <c r="T68" i="16"/>
  <c r="V68" i="16"/>
  <c r="X68" i="16"/>
  <c r="Z68" i="16"/>
  <c r="AC68" i="16"/>
  <c r="AF68" i="16"/>
  <c r="AH68" i="16"/>
  <c r="AE68" i="16"/>
  <c r="AB68" i="16"/>
  <c r="Y68" i="16"/>
  <c r="U68" i="16"/>
  <c r="Q68" i="16"/>
  <c r="O68" i="16"/>
  <c r="S68" i="16"/>
  <c r="AH67" i="16"/>
  <c r="T67" i="16"/>
  <c r="R67" i="16"/>
  <c r="AD67" i="16"/>
  <c r="AA67" i="16"/>
  <c r="V67" i="16"/>
  <c r="S67" i="16"/>
  <c r="X67" i="16"/>
  <c r="P67" i="16"/>
  <c r="Q67" i="16"/>
  <c r="Z67" i="16"/>
  <c r="Y67" i="16"/>
  <c r="AF67" i="16"/>
  <c r="AG67" i="16"/>
  <c r="O67" i="16"/>
  <c r="W67" i="16"/>
  <c r="U67" i="16"/>
  <c r="AB67" i="16"/>
  <c r="AC67" i="16"/>
  <c r="AE67" i="16"/>
  <c r="AB66" i="16"/>
  <c r="AC66" i="16"/>
  <c r="AE66" i="16"/>
  <c r="AG66" i="16"/>
  <c r="AH66" i="16"/>
  <c r="AF66" i="16"/>
  <c r="Q66" i="16"/>
  <c r="S66" i="16"/>
  <c r="U66" i="16"/>
  <c r="W66" i="16"/>
  <c r="Y66" i="16"/>
  <c r="AA66" i="16"/>
  <c r="AD66" i="16"/>
  <c r="T66" i="16"/>
  <c r="V66" i="16"/>
  <c r="X66" i="16"/>
  <c r="Z66" i="16"/>
  <c r="R66" i="16"/>
  <c r="P66" i="16"/>
  <c r="O66" i="16"/>
  <c r="R65" i="16"/>
  <c r="P65" i="16"/>
  <c r="O65" i="16"/>
  <c r="S65" i="16"/>
  <c r="AG65" i="16"/>
  <c r="AH65" i="16"/>
  <c r="Q65" i="16"/>
  <c r="AF65" i="16"/>
  <c r="AE65" i="16"/>
  <c r="AA65" i="16"/>
  <c r="X65" i="16"/>
  <c r="AC65" i="16"/>
  <c r="V65" i="16"/>
  <c r="T65" i="16"/>
  <c r="AD65" i="16"/>
  <c r="AB65" i="16"/>
  <c r="Z65" i="16"/>
  <c r="Y65" i="16"/>
  <c r="W65" i="16"/>
  <c r="U65" i="16"/>
  <c r="AC64" i="16"/>
  <c r="P64" i="16"/>
  <c r="AH64" i="16"/>
  <c r="AE64" i="16"/>
  <c r="AB64" i="16"/>
  <c r="Y64" i="16"/>
  <c r="W64" i="16"/>
  <c r="U64" i="16"/>
  <c r="Q64" i="16"/>
  <c r="O64" i="16"/>
  <c r="R64" i="16"/>
  <c r="V64" i="16"/>
  <c r="Z64" i="16"/>
  <c r="S64" i="16"/>
  <c r="AF64" i="16"/>
  <c r="AG64" i="16"/>
  <c r="AD64" i="16"/>
  <c r="AA64" i="16"/>
  <c r="X64" i="16"/>
  <c r="T64" i="16"/>
  <c r="Y63" i="16"/>
  <c r="P63" i="16"/>
  <c r="AG63" i="16"/>
  <c r="AB63" i="16"/>
  <c r="Z63" i="16"/>
  <c r="X63" i="16"/>
  <c r="V63" i="16"/>
  <c r="T63" i="16"/>
  <c r="AH63" i="16"/>
  <c r="AD63" i="16"/>
  <c r="R63" i="16"/>
  <c r="AF63" i="16"/>
  <c r="AE63" i="16"/>
  <c r="AC63" i="16"/>
  <c r="AA63" i="16"/>
  <c r="O63" i="16"/>
  <c r="Q63" i="16"/>
  <c r="S63" i="16"/>
  <c r="U63" i="16"/>
  <c r="W63" i="16"/>
  <c r="AE62" i="16"/>
  <c r="T62" i="16"/>
  <c r="V62" i="16"/>
  <c r="X62" i="16"/>
  <c r="Z62" i="16"/>
  <c r="AA62" i="16"/>
  <c r="AB62" i="16"/>
  <c r="Y62" i="16"/>
  <c r="W62" i="16"/>
  <c r="U62" i="16"/>
  <c r="S62" i="16"/>
  <c r="AD62" i="16"/>
  <c r="AF62" i="16"/>
  <c r="AC62" i="16"/>
  <c r="Q62" i="16"/>
  <c r="O62" i="16"/>
  <c r="P62" i="16"/>
  <c r="R62" i="16"/>
  <c r="AH62" i="16"/>
  <c r="AG62" i="16"/>
  <c r="R61" i="16"/>
  <c r="T61" i="16"/>
  <c r="V61" i="16"/>
  <c r="Y61" i="16"/>
  <c r="AB61" i="16"/>
  <c r="AC61" i="16"/>
  <c r="AE61" i="16"/>
  <c r="AG61" i="16"/>
  <c r="AH61" i="16"/>
  <c r="AF61" i="16"/>
  <c r="AD61" i="16"/>
  <c r="O61" i="16"/>
  <c r="Q61" i="16"/>
  <c r="S61" i="16"/>
  <c r="U61" i="16"/>
  <c r="W61" i="16"/>
  <c r="X61" i="16"/>
  <c r="Z61" i="16"/>
  <c r="AA61" i="16"/>
  <c r="P61" i="16"/>
  <c r="X60" i="16"/>
  <c r="W60" i="16"/>
  <c r="Y60" i="16"/>
  <c r="Z60" i="16"/>
  <c r="AB60" i="16"/>
  <c r="AG60" i="16"/>
  <c r="AF60" i="16"/>
  <c r="Q60" i="16"/>
  <c r="AD60" i="16"/>
  <c r="AC60" i="16"/>
  <c r="T60" i="16"/>
  <c r="O60" i="16"/>
  <c r="AH60" i="16"/>
  <c r="AE60" i="16"/>
  <c r="AA60" i="16"/>
  <c r="V60" i="16"/>
  <c r="S60" i="16"/>
  <c r="P60" i="16"/>
  <c r="R60" i="16"/>
  <c r="U60" i="16"/>
  <c r="U59" i="16"/>
  <c r="W59" i="16"/>
  <c r="Z59" i="16"/>
  <c r="V59" i="16"/>
  <c r="AC59" i="16"/>
  <c r="AD59" i="16"/>
  <c r="AE59" i="16"/>
  <c r="AF59" i="16"/>
  <c r="AG59" i="16"/>
  <c r="AH59" i="16"/>
  <c r="O59" i="16"/>
  <c r="P59" i="16"/>
  <c r="S59" i="16"/>
  <c r="AB59" i="16"/>
  <c r="AA59" i="16"/>
  <c r="Y59" i="16"/>
  <c r="X59" i="16"/>
  <c r="T59" i="16"/>
  <c r="R59" i="16"/>
  <c r="Q59" i="16"/>
  <c r="T58" i="16"/>
  <c r="R58" i="16"/>
  <c r="V58" i="16"/>
  <c r="X58" i="16"/>
  <c r="Z58" i="16"/>
  <c r="P58" i="16"/>
  <c r="AB58" i="16"/>
  <c r="AE58" i="16"/>
  <c r="AA58" i="16"/>
  <c r="AH58" i="16"/>
  <c r="AG58" i="16"/>
  <c r="AF58" i="16"/>
  <c r="AD58" i="16"/>
  <c r="AC58" i="16"/>
  <c r="Y58" i="16"/>
  <c r="W58" i="16"/>
  <c r="U58" i="16"/>
  <c r="S58" i="16"/>
  <c r="Q58" i="16"/>
  <c r="O58" i="16"/>
  <c r="Q57" i="16"/>
  <c r="O57" i="16"/>
  <c r="AF57" i="16"/>
  <c r="P57" i="16"/>
  <c r="S57" i="16"/>
  <c r="U57" i="16"/>
  <c r="W57" i="16"/>
  <c r="Y57" i="16"/>
  <c r="AB57" i="16"/>
  <c r="AH57" i="16"/>
  <c r="AG57" i="16"/>
  <c r="AE57" i="16"/>
  <c r="AD57" i="16"/>
  <c r="AC57" i="16"/>
  <c r="AA57" i="16"/>
  <c r="Z57" i="16"/>
  <c r="X57" i="16"/>
  <c r="V57" i="16"/>
  <c r="T57" i="16"/>
  <c r="R57" i="16"/>
  <c r="Q56" i="16"/>
  <c r="O56" i="16"/>
  <c r="AE56" i="16"/>
  <c r="AB56" i="16"/>
  <c r="Z56" i="16"/>
  <c r="X56" i="16"/>
  <c r="V56" i="16"/>
  <c r="T56" i="16"/>
  <c r="R56" i="16"/>
  <c r="P56" i="16"/>
  <c r="AA56" i="16"/>
  <c r="AH56" i="16"/>
  <c r="AG56" i="16"/>
  <c r="AF56" i="16"/>
  <c r="AD56" i="16"/>
  <c r="AC56" i="16"/>
  <c r="Y56" i="16"/>
  <c r="W56" i="16"/>
  <c r="U56" i="16"/>
  <c r="S56" i="16"/>
  <c r="AG55" i="16"/>
  <c r="AH55" i="16"/>
  <c r="P55" i="16"/>
  <c r="R55" i="16"/>
  <c r="V55" i="16"/>
  <c r="Y55" i="16"/>
  <c r="AA55" i="16"/>
  <c r="AE55" i="16"/>
  <c r="Q55" i="16"/>
  <c r="S55" i="16"/>
  <c r="AD55" i="16"/>
  <c r="AC55" i="16"/>
  <c r="Z55" i="16"/>
  <c r="W55" i="16"/>
  <c r="U55" i="16"/>
  <c r="O55" i="16"/>
  <c r="T55" i="16"/>
  <c r="X55" i="16"/>
  <c r="AB55" i="16"/>
  <c r="AF55" i="16"/>
  <c r="AG54" i="16"/>
  <c r="AH54" i="16"/>
  <c r="Z54" i="16"/>
  <c r="AC54" i="16"/>
  <c r="O54" i="16"/>
  <c r="Q54" i="16"/>
  <c r="V54" i="16"/>
  <c r="S54" i="16"/>
  <c r="U54" i="16"/>
  <c r="W54" i="16"/>
  <c r="AA54" i="16"/>
  <c r="AB54" i="16"/>
  <c r="AD54" i="16"/>
  <c r="AE54" i="16"/>
  <c r="Y54" i="16"/>
  <c r="AF54" i="16"/>
  <c r="P54" i="16"/>
  <c r="R54" i="16"/>
  <c r="T54" i="16"/>
  <c r="X54" i="16"/>
  <c r="AG53" i="16"/>
  <c r="AD53" i="16"/>
  <c r="V53" i="16"/>
  <c r="S53" i="16"/>
  <c r="Q53" i="16"/>
  <c r="T53" i="16"/>
  <c r="U53" i="16"/>
  <c r="W53" i="16"/>
  <c r="X53" i="16"/>
  <c r="Y53" i="16"/>
  <c r="AA53" i="16"/>
  <c r="AF53" i="16"/>
  <c r="P53" i="16"/>
  <c r="R53" i="16"/>
  <c r="Z53" i="16"/>
  <c r="AC53" i="16"/>
  <c r="AE53" i="16"/>
  <c r="AH53" i="16"/>
  <c r="AB53" i="16"/>
  <c r="O53" i="16"/>
  <c r="AE52" i="16"/>
  <c r="AB52" i="16"/>
  <c r="Z52" i="16"/>
  <c r="X52" i="16"/>
  <c r="V52" i="16"/>
  <c r="T52" i="16"/>
  <c r="R52" i="16"/>
  <c r="AG52" i="16"/>
  <c r="AF52" i="16"/>
  <c r="AD52" i="16"/>
  <c r="AC52" i="16"/>
  <c r="AA52" i="16"/>
  <c r="W52" i="16"/>
  <c r="Y52" i="16"/>
  <c r="O52" i="16"/>
  <c r="Q52" i="16"/>
  <c r="S52" i="16"/>
  <c r="U52" i="16"/>
  <c r="P52" i="16"/>
  <c r="AH52" i="16"/>
  <c r="AB51" i="16"/>
  <c r="Z51" i="16"/>
  <c r="X51" i="16"/>
  <c r="V51" i="16"/>
  <c r="T51" i="16"/>
  <c r="Q51" i="16"/>
  <c r="O51" i="16"/>
  <c r="S51" i="16"/>
  <c r="U51" i="16"/>
  <c r="W51" i="16"/>
  <c r="Y51" i="16"/>
  <c r="AA51" i="16"/>
  <c r="AC51" i="16"/>
  <c r="AD51" i="16"/>
  <c r="AH51" i="16"/>
  <c r="AF51" i="16"/>
  <c r="AG51" i="16"/>
  <c r="R51" i="16"/>
  <c r="AE51" i="16"/>
  <c r="P51" i="16"/>
  <c r="AD50" i="16"/>
  <c r="Z50" i="16"/>
  <c r="V50" i="16"/>
  <c r="Q50" i="16"/>
  <c r="W50" i="16"/>
  <c r="AG50" i="16"/>
  <c r="Y50" i="16"/>
  <c r="AC50" i="16"/>
  <c r="T50" i="16"/>
  <c r="S50" i="16"/>
  <c r="O50" i="16"/>
  <c r="R50" i="16"/>
  <c r="P50" i="16"/>
  <c r="X50" i="16"/>
  <c r="AF50" i="16"/>
  <c r="AE50" i="16"/>
  <c r="AH50" i="16"/>
  <c r="AA50" i="16"/>
  <c r="AB50" i="16"/>
  <c r="U50" i="16"/>
  <c r="AE49" i="16"/>
  <c r="AB49" i="16"/>
  <c r="X49" i="16"/>
  <c r="V49" i="16"/>
  <c r="T49" i="16"/>
  <c r="R49" i="16"/>
  <c r="P49" i="16"/>
  <c r="AC49" i="16"/>
  <c r="AD49" i="16"/>
  <c r="AF49" i="16"/>
  <c r="Z49" i="16"/>
  <c r="AH49" i="16"/>
  <c r="AA49" i="16"/>
  <c r="AG49" i="16"/>
  <c r="O49" i="16"/>
  <c r="Q49" i="16"/>
  <c r="S49" i="16"/>
  <c r="U49" i="16"/>
  <c r="Y49" i="16"/>
  <c r="W49" i="16"/>
  <c r="R48" i="16"/>
  <c r="T48" i="16"/>
  <c r="V48" i="16"/>
  <c r="X48" i="16"/>
  <c r="Z48" i="16"/>
  <c r="U48" i="16"/>
  <c r="W48" i="16"/>
  <c r="Y48" i="16"/>
  <c r="AH48" i="16"/>
  <c r="O48" i="16"/>
  <c r="AA48" i="16"/>
  <c r="AF48" i="16"/>
  <c r="Q48" i="16"/>
  <c r="AD48" i="16"/>
  <c r="S48" i="16"/>
  <c r="AC48" i="16"/>
  <c r="AE48" i="16"/>
  <c r="AG48" i="16"/>
  <c r="P48" i="16"/>
  <c r="AB48" i="16"/>
  <c r="AH47" i="16"/>
  <c r="AE47" i="16"/>
  <c r="AC47" i="16"/>
  <c r="Z47" i="16"/>
  <c r="Q47" i="16"/>
  <c r="T47" i="16"/>
  <c r="AF47" i="16"/>
  <c r="AA47" i="16"/>
  <c r="X47" i="16"/>
  <c r="U47" i="16"/>
  <c r="R47" i="16"/>
  <c r="P47" i="16"/>
  <c r="W47" i="16"/>
  <c r="AG47" i="16"/>
  <c r="AD47" i="16"/>
  <c r="AB47" i="16"/>
  <c r="Y47" i="16"/>
  <c r="V47" i="16"/>
  <c r="S47" i="16"/>
  <c r="O47" i="16"/>
  <c r="V46" i="16"/>
  <c r="Z46" i="16"/>
  <c r="AH46" i="16"/>
  <c r="Q46" i="16"/>
  <c r="R46" i="16"/>
  <c r="X46" i="16"/>
  <c r="S46" i="16"/>
  <c r="T46" i="16"/>
  <c r="Y46" i="16"/>
  <c r="AE46" i="16"/>
  <c r="AA46" i="16"/>
  <c r="AC46" i="16"/>
  <c r="O46" i="16"/>
  <c r="AD46" i="16"/>
  <c r="AB46" i="16"/>
  <c r="P46" i="16"/>
  <c r="AF46" i="16"/>
  <c r="U46" i="16"/>
  <c r="AG46" i="16"/>
  <c r="U45" i="16"/>
  <c r="Q45" i="16"/>
  <c r="T45" i="16"/>
  <c r="W45" i="16"/>
  <c r="P45" i="16"/>
  <c r="R45" i="16"/>
  <c r="V45" i="16"/>
  <c r="X45" i="16"/>
  <c r="Y45" i="16"/>
  <c r="AA45" i="16"/>
  <c r="Z45" i="16"/>
  <c r="S45" i="16"/>
  <c r="O45" i="16"/>
  <c r="AE45" i="16"/>
  <c r="AF45" i="16"/>
  <c r="AG45" i="16"/>
  <c r="AH45" i="16"/>
  <c r="AB45" i="16"/>
  <c r="AC45" i="16"/>
  <c r="AD45" i="16"/>
  <c r="AD44" i="16"/>
  <c r="AA44" i="16"/>
  <c r="AH44" i="16"/>
  <c r="AG44" i="16"/>
  <c r="AF44" i="16"/>
  <c r="O44" i="16"/>
  <c r="P44" i="16"/>
  <c r="Q44" i="16"/>
  <c r="R44" i="16"/>
  <c r="S44" i="16"/>
  <c r="T44" i="16"/>
  <c r="U44" i="16"/>
  <c r="V44" i="16"/>
  <c r="W44" i="16"/>
  <c r="X44" i="16"/>
  <c r="Y44" i="16"/>
  <c r="Z44" i="16"/>
  <c r="AB44" i="16"/>
  <c r="AC44" i="16"/>
  <c r="AE44" i="16"/>
  <c r="AA43" i="16"/>
  <c r="AD43" i="16"/>
  <c r="AB43" i="16"/>
  <c r="Z43" i="16"/>
  <c r="Y43" i="16"/>
  <c r="V43" i="16"/>
  <c r="T43" i="16"/>
  <c r="AH43" i="16"/>
  <c r="R43" i="16"/>
  <c r="Q43" i="16"/>
  <c r="X43" i="16"/>
  <c r="O43" i="16"/>
  <c r="P43" i="16"/>
  <c r="W43" i="16"/>
  <c r="U43" i="16"/>
  <c r="S43" i="16"/>
  <c r="AF43" i="16"/>
  <c r="AG43" i="16"/>
  <c r="AE43" i="16"/>
  <c r="AC43" i="16"/>
  <c r="AC42" i="16"/>
  <c r="O42" i="16"/>
  <c r="Y42" i="16"/>
  <c r="AA42" i="16"/>
  <c r="AG42" i="16"/>
  <c r="AE42" i="16"/>
  <c r="S42" i="16"/>
  <c r="AH42" i="16"/>
  <c r="AF42" i="16"/>
  <c r="AD42" i="16"/>
  <c r="T42" i="16"/>
  <c r="Q42" i="16"/>
  <c r="AB42" i="16"/>
  <c r="X42" i="16"/>
  <c r="U42" i="16"/>
  <c r="R42" i="16"/>
  <c r="P42" i="16"/>
  <c r="Z42" i="16"/>
  <c r="W42" i="16"/>
  <c r="V42" i="16"/>
  <c r="Y41" i="16"/>
  <c r="AD41" i="16"/>
  <c r="AE41" i="16"/>
  <c r="AF41" i="16"/>
  <c r="Z41" i="16"/>
  <c r="AH41" i="16"/>
  <c r="X41" i="16"/>
  <c r="V41" i="16"/>
  <c r="AC41" i="16"/>
  <c r="AB41" i="16"/>
  <c r="AA41" i="16"/>
  <c r="AG41" i="16"/>
  <c r="O41" i="16"/>
  <c r="T41" i="16"/>
  <c r="P41" i="16"/>
  <c r="W41" i="16"/>
  <c r="U41" i="16"/>
  <c r="R41" i="16"/>
  <c r="S41" i="16"/>
  <c r="AE40" i="16"/>
  <c r="AC40" i="16"/>
  <c r="AH40" i="16"/>
  <c r="AG40" i="16"/>
  <c r="AF40" i="16"/>
  <c r="AD40" i="16"/>
  <c r="AB40" i="16"/>
  <c r="Z40" i="16"/>
  <c r="X40" i="16"/>
  <c r="V40" i="16"/>
  <c r="T40" i="16"/>
  <c r="R40" i="16"/>
  <c r="P40" i="16"/>
  <c r="AA40" i="16"/>
  <c r="Y40" i="16"/>
  <c r="W40" i="16"/>
  <c r="U40" i="16"/>
  <c r="S40" i="16"/>
  <c r="Q40" i="16"/>
  <c r="O40" i="16"/>
  <c r="AH39" i="16"/>
  <c r="V39" i="16"/>
  <c r="Y39" i="16"/>
  <c r="R39" i="16"/>
  <c r="S39" i="16"/>
  <c r="AA39" i="16"/>
  <c r="U39" i="16"/>
  <c r="W39" i="16"/>
  <c r="X39" i="16"/>
  <c r="Z39" i="16"/>
  <c r="AB39" i="16"/>
  <c r="AD39" i="16"/>
  <c r="AG39" i="16"/>
  <c r="AF39" i="16"/>
  <c r="AE39" i="16"/>
  <c r="AC39" i="16"/>
  <c r="P39" i="16"/>
  <c r="O39" i="16"/>
  <c r="Q39" i="16"/>
  <c r="T39" i="16"/>
  <c r="Z38" i="16"/>
  <c r="AA38" i="16"/>
  <c r="AB38" i="16"/>
  <c r="AD38" i="16"/>
  <c r="AE38" i="16"/>
  <c r="AF38" i="16"/>
  <c r="AG38" i="16"/>
  <c r="AH38" i="16"/>
  <c r="Q38" i="16"/>
  <c r="P38" i="16"/>
  <c r="S38" i="16"/>
  <c r="T38" i="16"/>
  <c r="AC38" i="16"/>
  <c r="Y38" i="16"/>
  <c r="W38" i="16"/>
  <c r="U38" i="16"/>
  <c r="O38" i="16"/>
  <c r="R38" i="16"/>
  <c r="V38" i="16"/>
  <c r="X38" i="16"/>
  <c r="AG37" i="16"/>
  <c r="P37" i="16"/>
  <c r="AC37" i="16"/>
  <c r="AA37" i="16"/>
  <c r="Y37" i="16"/>
  <c r="W37" i="16"/>
  <c r="V37" i="16"/>
  <c r="Q37" i="16"/>
  <c r="S37" i="16"/>
  <c r="AF37" i="16"/>
  <c r="Z37" i="16"/>
  <c r="AH37" i="16"/>
  <c r="AB37" i="16"/>
  <c r="U37" i="16"/>
  <c r="AE37" i="16"/>
  <c r="O37" i="16"/>
  <c r="X37" i="16"/>
  <c r="T37" i="16"/>
  <c r="R37" i="16"/>
  <c r="AD37" i="16"/>
  <c r="U36" i="16"/>
  <c r="S36" i="16"/>
  <c r="Q36" i="16"/>
  <c r="O36" i="16"/>
  <c r="P36" i="16"/>
  <c r="R36" i="16"/>
  <c r="AG36" i="16"/>
  <c r="V36" i="16"/>
  <c r="X36" i="16"/>
  <c r="AA36" i="16"/>
  <c r="AD36" i="16"/>
  <c r="AE36" i="16"/>
  <c r="AF36" i="16"/>
  <c r="AC36" i="16"/>
  <c r="Z36" i="16"/>
  <c r="Y36" i="16"/>
  <c r="W36" i="16"/>
  <c r="AH36" i="16"/>
  <c r="AB36" i="16"/>
  <c r="T36" i="16"/>
  <c r="X35" i="16"/>
  <c r="AF35" i="16"/>
  <c r="AE35" i="16"/>
  <c r="AC35" i="16"/>
  <c r="S35" i="16"/>
  <c r="AA35" i="16"/>
  <c r="Y35" i="16"/>
  <c r="W35" i="16"/>
  <c r="AH35" i="16"/>
  <c r="T35" i="16"/>
  <c r="R35" i="16"/>
  <c r="P35" i="16"/>
  <c r="U35" i="16"/>
  <c r="O35" i="16"/>
  <c r="Z35" i="16"/>
  <c r="AB35" i="16"/>
  <c r="V35" i="16"/>
  <c r="AD35" i="16"/>
  <c r="AG35" i="16"/>
  <c r="Q35" i="16"/>
  <c r="T34" i="16"/>
  <c r="S34" i="16"/>
  <c r="Q34" i="16"/>
  <c r="O34" i="16"/>
  <c r="R34" i="16"/>
  <c r="P34" i="16"/>
  <c r="V34" i="16"/>
  <c r="AH34" i="16"/>
  <c r="AG34" i="16"/>
  <c r="AE34" i="16"/>
  <c r="AC34" i="16"/>
  <c r="AA34" i="16"/>
  <c r="Y34" i="16"/>
  <c r="AF34" i="16"/>
  <c r="AD34" i="16"/>
  <c r="AB34" i="16"/>
  <c r="Z34" i="16"/>
  <c r="X34" i="16"/>
  <c r="W34" i="16"/>
  <c r="U34" i="16"/>
  <c r="AA33" i="16"/>
  <c r="X33" i="16"/>
  <c r="V33" i="16"/>
  <c r="T33" i="16"/>
  <c r="R33" i="16"/>
  <c r="P33" i="16"/>
  <c r="AD33" i="16"/>
  <c r="AE33" i="16"/>
  <c r="AF33" i="16"/>
  <c r="AG33" i="16"/>
  <c r="AH33" i="16"/>
  <c r="Z33" i="16"/>
  <c r="Y33" i="16"/>
  <c r="W33" i="16"/>
  <c r="U33" i="16"/>
  <c r="S33" i="16"/>
  <c r="Q33" i="16"/>
  <c r="O33" i="16"/>
  <c r="AB33" i="16"/>
  <c r="AC33" i="16"/>
  <c r="AG32" i="16"/>
  <c r="AE32" i="16"/>
  <c r="AC32" i="16"/>
  <c r="Z32" i="16"/>
  <c r="Y32" i="16"/>
  <c r="W32" i="16"/>
  <c r="U32" i="16"/>
  <c r="S32" i="16"/>
  <c r="R32" i="16"/>
  <c r="P32" i="16"/>
  <c r="Q32" i="16"/>
  <c r="AD32" i="16"/>
  <c r="O32" i="16"/>
  <c r="AH32" i="16"/>
  <c r="AF32" i="16"/>
  <c r="AB32" i="16"/>
  <c r="AA32" i="16"/>
  <c r="X32" i="16"/>
  <c r="V32" i="16"/>
  <c r="T32" i="16"/>
  <c r="AH31" i="16"/>
  <c r="AC31" i="16"/>
  <c r="AG31" i="16"/>
  <c r="AF31" i="16"/>
  <c r="AD31" i="16"/>
  <c r="AB31" i="16"/>
  <c r="Y31" i="16"/>
  <c r="X31" i="16"/>
  <c r="V31" i="16"/>
  <c r="T31" i="16"/>
  <c r="S31" i="16"/>
  <c r="Q31" i="16"/>
  <c r="O31" i="16"/>
  <c r="AE31" i="16"/>
  <c r="P31" i="16"/>
  <c r="R31" i="16"/>
  <c r="U31" i="16"/>
  <c r="W31" i="16"/>
  <c r="Z31" i="16"/>
  <c r="AA31" i="16"/>
  <c r="T30" i="16"/>
  <c r="R30" i="16"/>
  <c r="P30" i="16"/>
  <c r="AG30" i="16"/>
  <c r="O30" i="16"/>
  <c r="Q30" i="16"/>
  <c r="S30" i="16"/>
  <c r="U30" i="16"/>
  <c r="W30" i="16"/>
  <c r="V30" i="16"/>
  <c r="AA30" i="16"/>
  <c r="AC30" i="16"/>
  <c r="AF30" i="16"/>
  <c r="AH30" i="16"/>
  <c r="AE30" i="16"/>
  <c r="AD30" i="16"/>
  <c r="AB30" i="16"/>
  <c r="Z30" i="16"/>
  <c r="X30" i="16"/>
  <c r="Y30" i="16"/>
  <c r="T29" i="16"/>
  <c r="R29" i="16"/>
  <c r="P29" i="16"/>
  <c r="AG29" i="16"/>
  <c r="AF29" i="16"/>
  <c r="AD29" i="16"/>
  <c r="AB29" i="16"/>
  <c r="AA29" i="16"/>
  <c r="X29" i="16"/>
  <c r="W29" i="16"/>
  <c r="U29" i="16"/>
  <c r="S29" i="16"/>
  <c r="Q29" i="16"/>
  <c r="O29" i="16"/>
  <c r="AH29" i="16"/>
  <c r="AE29" i="16"/>
  <c r="AC29" i="16"/>
  <c r="Z29" i="16"/>
  <c r="Y29" i="16"/>
  <c r="V29" i="16"/>
  <c r="AG28" i="16"/>
  <c r="AF28" i="16"/>
  <c r="AC28" i="16"/>
  <c r="AA28" i="16"/>
  <c r="Y28" i="16"/>
  <c r="T28" i="16"/>
  <c r="V28" i="16"/>
  <c r="AD28" i="16"/>
  <c r="R28" i="16"/>
  <c r="P28" i="16"/>
  <c r="W28" i="16"/>
  <c r="AE28" i="16"/>
  <c r="AB28" i="16"/>
  <c r="Z28" i="16"/>
  <c r="X28" i="16"/>
  <c r="U28" i="16"/>
  <c r="S28" i="16"/>
  <c r="Q28" i="16"/>
  <c r="O28" i="16"/>
  <c r="AH28" i="16"/>
  <c r="AD27" i="16"/>
  <c r="AH27" i="16"/>
  <c r="AG27" i="16"/>
  <c r="AF27" i="16"/>
  <c r="AE27" i="16"/>
  <c r="AC27" i="16"/>
  <c r="AA27" i="16"/>
  <c r="Y27" i="16"/>
  <c r="W27" i="16"/>
  <c r="U27" i="16"/>
  <c r="S27" i="16"/>
  <c r="AB27" i="16"/>
  <c r="Z27" i="16"/>
  <c r="X27" i="16"/>
  <c r="V27" i="16"/>
  <c r="T27" i="16"/>
  <c r="R27" i="16"/>
  <c r="P27" i="16"/>
  <c r="O27" i="16"/>
  <c r="Q27" i="16"/>
  <c r="AH26" i="16"/>
  <c r="AG26" i="16"/>
  <c r="AF26" i="16"/>
  <c r="AD26" i="16"/>
  <c r="AB26" i="16"/>
  <c r="AA26" i="16"/>
  <c r="X26" i="16"/>
  <c r="W26" i="16"/>
  <c r="V26" i="16"/>
  <c r="T26" i="16"/>
  <c r="S26" i="16"/>
  <c r="P26" i="16"/>
  <c r="O26" i="16"/>
  <c r="Q26" i="16"/>
  <c r="R26" i="16"/>
  <c r="Y26" i="16"/>
  <c r="Z26" i="16"/>
  <c r="AC26" i="16"/>
  <c r="AE26" i="16"/>
  <c r="U26" i="16"/>
  <c r="AB25" i="16"/>
  <c r="P25" i="16"/>
  <c r="AF25" i="16"/>
  <c r="AC25" i="16"/>
  <c r="AA25" i="16"/>
  <c r="Z25" i="16"/>
  <c r="W25" i="16"/>
  <c r="AH25" i="16"/>
  <c r="AG25" i="16"/>
  <c r="AE25" i="16"/>
  <c r="AD25" i="16"/>
  <c r="V25" i="16"/>
  <c r="Y25" i="16"/>
  <c r="X25" i="16"/>
  <c r="U25" i="16"/>
  <c r="T25" i="16"/>
  <c r="R25" i="16"/>
  <c r="S25" i="16"/>
  <c r="Q25" i="16"/>
  <c r="O25" i="16"/>
  <c r="R24" i="16"/>
  <c r="Q24" i="16"/>
  <c r="W24" i="16"/>
  <c r="Z24" i="16"/>
  <c r="O24" i="16"/>
  <c r="AB24" i="16"/>
  <c r="P24" i="16"/>
  <c r="S24" i="16"/>
  <c r="AE24" i="16"/>
  <c r="AH24" i="16"/>
  <c r="T24" i="16"/>
  <c r="AF24" i="16"/>
  <c r="AD24" i="16"/>
  <c r="AC24" i="16"/>
  <c r="AG24" i="16"/>
  <c r="AA24" i="16"/>
  <c r="Y24" i="16"/>
  <c r="X24" i="16"/>
  <c r="V24" i="16"/>
  <c r="U24" i="16"/>
  <c r="Z23" i="16"/>
  <c r="P23" i="16"/>
  <c r="T23" i="16"/>
  <c r="U23" i="16"/>
  <c r="W23" i="16"/>
  <c r="Y23" i="16"/>
  <c r="AD23" i="16"/>
  <c r="AB23" i="16"/>
  <c r="AC23" i="16"/>
  <c r="AE23" i="16"/>
  <c r="AF23" i="16"/>
  <c r="AA23" i="16"/>
  <c r="AH23" i="16"/>
  <c r="AG23" i="16"/>
  <c r="V23" i="16"/>
  <c r="R23" i="16"/>
  <c r="O23" i="16"/>
  <c r="Q23" i="16"/>
  <c r="S23" i="16"/>
  <c r="X23" i="16"/>
  <c r="Q22" i="16"/>
  <c r="O22" i="16"/>
  <c r="W22" i="16"/>
  <c r="R22" i="16"/>
  <c r="U22" i="16"/>
  <c r="P22" i="16"/>
  <c r="T22" i="16"/>
  <c r="V22" i="16"/>
  <c r="X22" i="16"/>
  <c r="Y22" i="16"/>
  <c r="AA22" i="16"/>
  <c r="AC22" i="16"/>
  <c r="Z22" i="16"/>
  <c r="AB22" i="16"/>
  <c r="AD22" i="16"/>
  <c r="AE22" i="16"/>
  <c r="AF22" i="16"/>
  <c r="AG22" i="16"/>
  <c r="AH22" i="16"/>
  <c r="S22" i="16"/>
  <c r="P21" i="16"/>
  <c r="AH21" i="16"/>
  <c r="AG21" i="16"/>
  <c r="AF21" i="16"/>
  <c r="AD21" i="16"/>
  <c r="AC21" i="16"/>
  <c r="X21" i="16"/>
  <c r="V21" i="16"/>
  <c r="U21" i="16"/>
  <c r="R21" i="16"/>
  <c r="O21" i="16"/>
  <c r="S21" i="16"/>
  <c r="AE21" i="16"/>
  <c r="AB21" i="16"/>
  <c r="AA21" i="16"/>
  <c r="Y21" i="16"/>
  <c r="W21" i="16"/>
  <c r="T21" i="16"/>
  <c r="Q21" i="16"/>
  <c r="Z21" i="16"/>
  <c r="Z20" i="16"/>
  <c r="AB20" i="16"/>
  <c r="AF20" i="16"/>
  <c r="AD20" i="16"/>
  <c r="AG20" i="16"/>
  <c r="Y20" i="16"/>
  <c r="W20" i="16"/>
  <c r="U20" i="16"/>
  <c r="S20" i="16"/>
  <c r="O20" i="16"/>
  <c r="AH20" i="16"/>
  <c r="Q20" i="16"/>
  <c r="AC20" i="16"/>
  <c r="P20" i="16"/>
  <c r="R20" i="16"/>
  <c r="T20" i="16"/>
  <c r="V20" i="16"/>
  <c r="X20" i="16"/>
  <c r="AE20" i="16"/>
  <c r="AA20" i="16"/>
  <c r="AF19" i="16"/>
  <c r="Q19" i="16"/>
  <c r="O19" i="16"/>
  <c r="R19" i="16"/>
  <c r="X19" i="16"/>
  <c r="Y19" i="16"/>
  <c r="AH19" i="16"/>
  <c r="AG19" i="16"/>
  <c r="AD19" i="16"/>
  <c r="AC19" i="16"/>
  <c r="AA19" i="16"/>
  <c r="Z19" i="16"/>
  <c r="W19" i="16"/>
  <c r="U19" i="16"/>
  <c r="S19" i="16"/>
  <c r="P19" i="16"/>
  <c r="AE19" i="16"/>
  <c r="AB19" i="16"/>
  <c r="V19" i="16"/>
  <c r="T19" i="16"/>
  <c r="AG18" i="16"/>
  <c r="V18" i="16"/>
  <c r="Y18" i="16"/>
  <c r="AB18" i="16"/>
  <c r="Q18" i="16"/>
  <c r="Z18" i="16"/>
  <c r="AH18" i="16"/>
  <c r="P18" i="16"/>
  <c r="AF18" i="16"/>
  <c r="O18" i="16"/>
  <c r="R18" i="16"/>
  <c r="AE18" i="16"/>
  <c r="U18" i="16"/>
  <c r="W18" i="16"/>
  <c r="X18" i="16"/>
  <c r="AC18" i="16"/>
  <c r="AD18" i="16"/>
  <c r="T18" i="16"/>
  <c r="AA18" i="16"/>
  <c r="S18" i="16"/>
  <c r="AE17" i="16"/>
  <c r="AB17" i="16"/>
  <c r="Y17" i="16"/>
  <c r="U17" i="16"/>
  <c r="Q17" i="16"/>
  <c r="T17" i="16"/>
  <c r="W17" i="16"/>
  <c r="Z17" i="16"/>
  <c r="AC17" i="16"/>
  <c r="P17" i="16"/>
  <c r="O17" i="16"/>
  <c r="V17" i="16"/>
  <c r="X17" i="16"/>
  <c r="AA17" i="16"/>
  <c r="AD17" i="16"/>
  <c r="AF17" i="16"/>
  <c r="S17" i="16"/>
  <c r="R17" i="16"/>
  <c r="AH17" i="16"/>
  <c r="AG17" i="16"/>
  <c r="AC16" i="16"/>
  <c r="Z16" i="16"/>
  <c r="V16" i="16"/>
  <c r="S16" i="16"/>
  <c r="AB16" i="16"/>
  <c r="X16" i="16"/>
  <c r="AE16" i="16"/>
  <c r="AG16" i="16"/>
  <c r="AF16" i="16"/>
  <c r="U16" i="16"/>
  <c r="AD16" i="16"/>
  <c r="T16" i="16"/>
  <c r="O16" i="16"/>
  <c r="R16" i="16"/>
  <c r="P16" i="16"/>
  <c r="AA16" i="16"/>
  <c r="Y16" i="16"/>
  <c r="W16" i="16"/>
  <c r="AH16" i="16"/>
  <c r="Q16" i="16"/>
  <c r="X15" i="16"/>
  <c r="P15" i="16"/>
  <c r="T15" i="16"/>
  <c r="V15" i="16"/>
  <c r="Y15" i="16"/>
  <c r="AB15" i="16"/>
  <c r="AE15" i="16"/>
  <c r="AH15" i="16"/>
  <c r="O15" i="16"/>
  <c r="R15" i="16"/>
  <c r="U15" i="16"/>
  <c r="W15" i="16"/>
  <c r="Z15" i="16"/>
  <c r="AD15" i="16"/>
  <c r="Q15" i="16"/>
  <c r="AG15" i="16"/>
  <c r="AF15" i="16"/>
  <c r="AC15" i="16"/>
  <c r="AA15" i="16"/>
  <c r="S15" i="16"/>
  <c r="R14" i="16"/>
  <c r="Z14" i="16"/>
  <c r="X14" i="16"/>
  <c r="U14" i="16"/>
  <c r="AH14" i="16"/>
  <c r="O14" i="16"/>
  <c r="AD14" i="16"/>
  <c r="S14" i="16"/>
  <c r="AF14" i="16"/>
  <c r="Q14" i="16"/>
  <c r="AC14" i="16"/>
  <c r="AA14" i="16"/>
  <c r="Y14" i="16"/>
  <c r="W14" i="16"/>
  <c r="V14" i="16"/>
  <c r="P14" i="16"/>
  <c r="T14" i="16"/>
  <c r="AB14" i="16"/>
  <c r="AE14" i="16"/>
  <c r="AG14" i="16"/>
  <c r="X13" i="16"/>
  <c r="T13" i="16"/>
  <c r="W13" i="16"/>
  <c r="O13" i="16"/>
  <c r="S13" i="16"/>
  <c r="U13" i="16"/>
  <c r="AA13" i="16"/>
  <c r="AC13" i="16"/>
  <c r="AF13" i="16"/>
  <c r="AH13" i="16"/>
  <c r="AB13" i="16"/>
  <c r="AD13" i="16"/>
  <c r="AG13" i="16"/>
  <c r="AE13" i="16"/>
  <c r="Z13" i="16"/>
  <c r="Y13" i="16"/>
  <c r="V13" i="16"/>
  <c r="R13" i="16"/>
  <c r="Q13" i="16"/>
  <c r="P13" i="16"/>
  <c r="AF12" i="16"/>
  <c r="AH12" i="16"/>
  <c r="AG12" i="16"/>
  <c r="AE12" i="16"/>
  <c r="AC12" i="16"/>
  <c r="P12" i="16"/>
  <c r="Z12" i="16"/>
  <c r="V12" i="16"/>
  <c r="S12" i="16"/>
  <c r="AD12" i="16"/>
  <c r="T12" i="16"/>
  <c r="Q12" i="16"/>
  <c r="AA12" i="16"/>
  <c r="W12" i="16"/>
  <c r="O12" i="16"/>
  <c r="R12" i="16"/>
  <c r="U12" i="16"/>
  <c r="X12" i="16"/>
  <c r="Y12" i="16"/>
  <c r="AB12" i="16"/>
  <c r="X11" i="16"/>
  <c r="AA11" i="16"/>
  <c r="AD11" i="16"/>
  <c r="AF11" i="16"/>
  <c r="O11" i="16"/>
  <c r="S11" i="16"/>
  <c r="AB11" i="16"/>
  <c r="Y11" i="16"/>
  <c r="V11" i="16"/>
  <c r="W11" i="16"/>
  <c r="T11" i="16"/>
  <c r="Z11" i="16"/>
  <c r="AG11" i="16"/>
  <c r="AC11" i="16"/>
  <c r="AE11" i="16"/>
  <c r="AH11" i="16"/>
  <c r="Q11" i="16"/>
  <c r="P11" i="16"/>
  <c r="R11" i="16"/>
  <c r="U11" i="16"/>
  <c r="T10" i="16"/>
  <c r="Q10" i="16"/>
  <c r="P10" i="16"/>
  <c r="AH10" i="16"/>
  <c r="AF10" i="16"/>
  <c r="AC10" i="16"/>
  <c r="AA10" i="16"/>
  <c r="X10" i="16"/>
  <c r="U10" i="16"/>
  <c r="R10" i="16"/>
  <c r="AG10" i="16"/>
  <c r="O10" i="16"/>
  <c r="S10" i="16"/>
  <c r="V10" i="16"/>
  <c r="Y10" i="16"/>
  <c r="AD10" i="16"/>
  <c r="AE10" i="16"/>
  <c r="AB10" i="16"/>
  <c r="Z10" i="16"/>
  <c r="W10" i="16"/>
  <c r="S9" i="16"/>
  <c r="O9" i="16"/>
  <c r="Y9" i="16"/>
  <c r="R9" i="16"/>
  <c r="V9" i="16"/>
  <c r="AD9" i="16"/>
  <c r="Z9" i="16"/>
  <c r="W9" i="16"/>
  <c r="T9" i="16"/>
  <c r="P9" i="16"/>
  <c r="Q9" i="16"/>
  <c r="U9" i="16"/>
  <c r="X9" i="16"/>
  <c r="AC9" i="16"/>
  <c r="AE9" i="16"/>
  <c r="AG9" i="16"/>
  <c r="AB9" i="16"/>
  <c r="AH9" i="16"/>
  <c r="AF9" i="16"/>
  <c r="AA9" i="16"/>
  <c r="AH8" i="16"/>
  <c r="R8" i="16"/>
  <c r="AG8" i="16"/>
  <c r="V8" i="16"/>
  <c r="Y8" i="16"/>
  <c r="O8" i="16"/>
  <c r="Q8" i="16"/>
  <c r="T8" i="16"/>
  <c r="W8" i="16"/>
  <c r="Z8" i="16"/>
  <c r="AC8" i="16"/>
  <c r="S8" i="16"/>
  <c r="P8" i="16"/>
  <c r="U8" i="16"/>
  <c r="X8" i="16"/>
  <c r="AA8" i="16"/>
  <c r="AD8" i="16"/>
  <c r="AF8" i="16"/>
  <c r="AB8" i="16"/>
  <c r="AE8" i="16"/>
  <c r="W7" i="16"/>
  <c r="O7" i="16"/>
  <c r="S7" i="16"/>
  <c r="V7" i="16"/>
  <c r="R7" i="16"/>
  <c r="AB7" i="16"/>
  <c r="AH7" i="16"/>
  <c r="X7" i="16"/>
  <c r="AA7" i="16"/>
  <c r="P7" i="16"/>
  <c r="AG7" i="16"/>
  <c r="AD7" i="16"/>
  <c r="Z7" i="16"/>
  <c r="AF7" i="16"/>
  <c r="T7" i="16"/>
  <c r="Q7" i="16"/>
  <c r="U7" i="16"/>
  <c r="Y7" i="16"/>
  <c r="AC7" i="16"/>
  <c r="AE7" i="16"/>
  <c r="AD6" i="16"/>
  <c r="AA6" i="16"/>
  <c r="X6" i="16"/>
  <c r="U6" i="16"/>
  <c r="R6" i="16"/>
  <c r="AC6" i="16"/>
  <c r="AB6" i="16"/>
  <c r="Y6" i="16"/>
  <c r="V6" i="16"/>
  <c r="S6" i="16"/>
  <c r="Q6" i="16"/>
  <c r="T6" i="16"/>
  <c r="W6" i="16"/>
  <c r="Z6" i="16"/>
  <c r="AH6" i="16"/>
  <c r="AG6" i="16"/>
  <c r="AE6" i="16"/>
  <c r="P6" i="16"/>
  <c r="AF6" i="16"/>
  <c r="O6" i="16"/>
  <c r="S5" i="16"/>
  <c r="P5" i="16"/>
  <c r="Y5" i="16"/>
  <c r="AA5" i="16"/>
  <c r="AD5" i="16"/>
  <c r="AF5" i="16"/>
  <c r="AH5" i="16"/>
  <c r="Z5" i="16"/>
  <c r="AG5" i="16"/>
  <c r="AE5" i="16"/>
  <c r="AC5" i="16"/>
  <c r="W5" i="16"/>
  <c r="T5" i="16"/>
  <c r="R5" i="16"/>
  <c r="O5" i="16"/>
  <c r="Q5" i="16"/>
  <c r="V5" i="16"/>
  <c r="AB5" i="16"/>
  <c r="X5" i="16"/>
  <c r="U5" i="16"/>
  <c r="AG4" i="16"/>
  <c r="V4" i="16"/>
  <c r="U4" i="16"/>
  <c r="T4" i="16"/>
  <c r="R4" i="16"/>
  <c r="Q4" i="16"/>
  <c r="P4" i="16"/>
  <c r="O4" i="16"/>
  <c r="AB4" i="16"/>
  <c r="Y4" i="16"/>
  <c r="AH4" i="16"/>
  <c r="AF4" i="16"/>
  <c r="AE4" i="16"/>
  <c r="AC4" i="16"/>
  <c r="Z4" i="16"/>
  <c r="W4" i="16"/>
  <c r="AA4" i="16"/>
  <c r="AD4" i="16"/>
  <c r="AC3" i="16"/>
  <c r="AF3" i="16"/>
  <c r="AE3" i="16"/>
  <c r="U3" i="16"/>
  <c r="AD3" i="16"/>
  <c r="O3" i="16"/>
  <c r="P3" i="16"/>
  <c r="Q3" i="16"/>
  <c r="R3" i="16"/>
  <c r="T3" i="16"/>
  <c r="AB3" i="16"/>
  <c r="AA3" i="16"/>
  <c r="Z3" i="16"/>
  <c r="Y3" i="16"/>
  <c r="X3" i="16"/>
  <c r="W3" i="16"/>
  <c r="V3" i="16"/>
  <c r="AH3" i="16"/>
  <c r="AG3" i="16"/>
  <c r="P48" i="15"/>
  <c r="F15" i="14" s="1"/>
  <c r="P54" i="15"/>
  <c r="P62" i="15"/>
  <c r="P66" i="15"/>
  <c r="P77" i="15"/>
  <c r="P79" i="15"/>
  <c r="P81" i="15"/>
  <c r="P89" i="15"/>
  <c r="P255" i="15"/>
  <c r="P254" i="15"/>
  <c r="P210" i="15"/>
  <c r="P209" i="15"/>
  <c r="P208" i="15"/>
  <c r="P207" i="15"/>
  <c r="P206" i="15"/>
  <c r="P204" i="15"/>
  <c r="P203" i="15"/>
  <c r="P202" i="15"/>
  <c r="P199" i="15"/>
  <c r="P198" i="15"/>
  <c r="P195" i="15"/>
  <c r="P193" i="15"/>
  <c r="P192" i="15"/>
  <c r="P189" i="15"/>
  <c r="P188" i="15"/>
  <c r="P187" i="15"/>
  <c r="P185" i="15"/>
  <c r="P183" i="15"/>
  <c r="P180" i="15"/>
  <c r="P175" i="15"/>
  <c r="P174" i="15"/>
  <c r="P171" i="15"/>
  <c r="P169" i="15"/>
  <c r="P168" i="15"/>
  <c r="P163" i="15"/>
  <c r="P162" i="15"/>
  <c r="P160" i="15"/>
  <c r="P159" i="15"/>
  <c r="P287" i="15"/>
  <c r="P286" i="15"/>
  <c r="F17" i="14" s="1"/>
  <c r="L7" i="14" s="1"/>
  <c r="L13" i="14" s="1"/>
  <c r="L19" i="14" s="1"/>
  <c r="P282" i="15"/>
  <c r="P275" i="15"/>
  <c r="P266" i="15"/>
  <c r="P200" i="15"/>
  <c r="P194" i="15"/>
  <c r="P186" i="15"/>
  <c r="P184" i="15"/>
  <c r="P181" i="15"/>
  <c r="P176" i="15"/>
  <c r="P173" i="15"/>
  <c r="P164" i="15"/>
  <c r="P158" i="15"/>
  <c r="P157" i="15"/>
  <c r="P147" i="15"/>
  <c r="P137" i="15"/>
  <c r="P133" i="15"/>
  <c r="P126" i="15"/>
  <c r="P123" i="15"/>
  <c r="P119" i="15"/>
  <c r="P114" i="15"/>
  <c r="P111" i="15"/>
  <c r="P104" i="15"/>
  <c r="P102" i="15"/>
  <c r="P100" i="15"/>
  <c r="P88" i="15"/>
  <c r="P80" i="15"/>
  <c r="P76" i="15"/>
  <c r="F16" i="14" s="1"/>
  <c r="P68" i="15"/>
  <c r="P61" i="15"/>
  <c r="P59" i="15"/>
  <c r="P57" i="15"/>
  <c r="P53" i="15"/>
  <c r="P51" i="15"/>
  <c r="F14" i="14" s="1"/>
  <c r="L6" i="14" s="1"/>
  <c r="L12" i="14" s="1"/>
  <c r="L18" i="14" s="1"/>
  <c r="P25" i="15"/>
  <c r="P21" i="15"/>
  <c r="P10" i="15"/>
  <c r="P6" i="15"/>
  <c r="P2" i="15"/>
  <c r="F11" i="14" s="1"/>
  <c r="L5" i="14" s="1"/>
  <c r="L11" i="14" s="1"/>
  <c r="L17" i="14" s="1"/>
  <c r="P156" i="15"/>
  <c r="P155" i="15"/>
  <c r="P151" i="15"/>
  <c r="P148" i="15"/>
  <c r="P146" i="15"/>
  <c r="P144" i="15"/>
  <c r="P143" i="15"/>
  <c r="P142" i="15"/>
  <c r="P140" i="15"/>
  <c r="P135" i="15"/>
  <c r="P131" i="15"/>
  <c r="P130" i="15"/>
  <c r="P129" i="15"/>
  <c r="P128" i="15"/>
  <c r="P124" i="15"/>
  <c r="P122" i="15"/>
  <c r="P121" i="15"/>
  <c r="P120" i="15"/>
  <c r="P118" i="15"/>
  <c r="P117" i="15"/>
  <c r="P115" i="15"/>
  <c r="P107" i="15"/>
  <c r="P106" i="15"/>
  <c r="P105" i="15"/>
  <c r="P97" i="15"/>
  <c r="P95" i="15"/>
  <c r="P94" i="15"/>
  <c r="P91" i="15"/>
  <c r="P90" i="15"/>
  <c r="P87" i="15"/>
  <c r="P86" i="15"/>
  <c r="P85" i="15"/>
  <c r="P83" i="15"/>
  <c r="P205" i="15"/>
  <c r="P196" i="15"/>
  <c r="P190" i="15"/>
  <c r="P182" i="15"/>
  <c r="P166" i="15"/>
  <c r="P154" i="15"/>
  <c r="P152" i="15"/>
  <c r="P149" i="15"/>
  <c r="P145" i="15"/>
  <c r="P138" i="15"/>
  <c r="P136" i="15"/>
  <c r="P132" i="15"/>
  <c r="P127" i="15"/>
  <c r="P125" i="15"/>
  <c r="P113" i="15"/>
  <c r="P109" i="15"/>
  <c r="P108" i="15"/>
  <c r="P103" i="15"/>
  <c r="P98" i="15"/>
  <c r="P92" i="15"/>
  <c r="P84" i="15"/>
  <c r="P82" i="15"/>
  <c r="P65" i="15"/>
  <c r="P58" i="15"/>
  <c r="P56" i="15"/>
  <c r="P52" i="15"/>
  <c r="P50" i="15"/>
  <c r="P46" i="15"/>
  <c r="P39" i="15"/>
  <c r="P38" i="15"/>
  <c r="P33" i="15"/>
  <c r="P31" i="15"/>
  <c r="P28" i="15"/>
  <c r="P26" i="15"/>
  <c r="P24" i="15"/>
  <c r="P17" i="15"/>
  <c r="P15" i="15"/>
  <c r="P9" i="15"/>
  <c r="F13" i="14" s="1"/>
  <c r="P7" i="15"/>
  <c r="P3" i="15"/>
  <c r="F12" i="14" s="1"/>
  <c r="P201" i="15"/>
  <c r="P178" i="15"/>
  <c r="P96" i="15"/>
  <c r="P69" i="15"/>
  <c r="P64" i="15"/>
  <c r="P244" i="15"/>
  <c r="P29" i="15"/>
  <c r="P5" i="15"/>
  <c r="P78" i="15"/>
  <c r="P75" i="15"/>
  <c r="P74" i="15"/>
  <c r="P73" i="15"/>
  <c r="P72" i="15"/>
  <c r="P71" i="15"/>
  <c r="P70" i="15"/>
  <c r="P67" i="15"/>
  <c r="P63" i="15"/>
  <c r="P60" i="15"/>
  <c r="P49" i="15"/>
  <c r="P47" i="15"/>
  <c r="P45" i="15"/>
  <c r="P44" i="15"/>
  <c r="P43" i="15"/>
  <c r="P42" i="15"/>
  <c r="P41" i="15"/>
  <c r="P40" i="15"/>
  <c r="P35" i="15"/>
  <c r="P32" i="15"/>
  <c r="P27" i="15"/>
  <c r="P23" i="15"/>
  <c r="P20" i="15"/>
  <c r="P19" i="15"/>
  <c r="P18" i="15"/>
  <c r="P16" i="15"/>
  <c r="P14" i="15"/>
  <c r="P13" i="15"/>
  <c r="P12" i="15"/>
  <c r="P11" i="15"/>
  <c r="P8" i="15"/>
  <c r="P259" i="15"/>
  <c r="P260" i="15"/>
  <c r="P261" i="15"/>
  <c r="P262" i="15"/>
  <c r="P263" i="15"/>
  <c r="P264" i="15"/>
  <c r="P265" i="15"/>
  <c r="P267" i="15"/>
  <c r="P268" i="15"/>
  <c r="P270" i="15"/>
  <c r="P271" i="15"/>
  <c r="P272" i="15"/>
  <c r="P273" i="15"/>
  <c r="P274" i="15"/>
  <c r="P276" i="15"/>
  <c r="P277" i="15"/>
  <c r="P279" i="15"/>
  <c r="P281" i="15"/>
  <c r="P283" i="15"/>
  <c r="P284" i="15"/>
  <c r="P285" i="15"/>
  <c r="P245" i="15"/>
  <c r="P246" i="15"/>
  <c r="P247" i="15"/>
  <c r="P248" i="15"/>
  <c r="P249" i="15"/>
  <c r="P250" i="15"/>
  <c r="P251" i="15"/>
  <c r="P252" i="15"/>
  <c r="P253" i="15"/>
  <c r="P4" i="15"/>
  <c r="P280" i="15"/>
  <c r="P278" i="15"/>
  <c r="P258" i="15"/>
  <c r="P269" i="15"/>
  <c r="P257" i="15"/>
  <c r="P256" i="15"/>
  <c r="P197" i="15"/>
  <c r="P191" i="15"/>
  <c r="P179" i="15"/>
  <c r="P177" i="15"/>
  <c r="P172" i="15"/>
  <c r="P170" i="15"/>
  <c r="P167" i="15"/>
  <c r="P165" i="15"/>
  <c r="P161" i="15"/>
  <c r="P153" i="15"/>
  <c r="P150" i="15"/>
  <c r="P141" i="15"/>
  <c r="P139" i="15"/>
  <c r="P134" i="15"/>
  <c r="P116" i="15"/>
  <c r="P112" i="15"/>
  <c r="P110" i="15"/>
  <c r="P101" i="15"/>
  <c r="P99" i="15"/>
  <c r="P22" i="15"/>
  <c r="P212" i="15"/>
  <c r="P213" i="15"/>
  <c r="P214" i="15"/>
  <c r="P215" i="15"/>
  <c r="P216" i="15"/>
  <c r="P217" i="15"/>
  <c r="P218" i="15"/>
  <c r="P219" i="15"/>
  <c r="P220" i="15"/>
  <c r="P221" i="15"/>
  <c r="P222" i="15"/>
  <c r="P223" i="15"/>
  <c r="P224" i="15"/>
  <c r="P225" i="15"/>
  <c r="P226" i="15"/>
  <c r="P227" i="15"/>
  <c r="P30" i="15"/>
  <c r="P34" i="15"/>
  <c r="P36" i="15"/>
  <c r="P37" i="15"/>
  <c r="P228" i="15"/>
  <c r="P229" i="15"/>
  <c r="P230" i="15"/>
  <c r="P231" i="15"/>
  <c r="P232" i="15"/>
  <c r="P233" i="15"/>
  <c r="P234" i="15"/>
  <c r="P235" i="15"/>
  <c r="P236" i="15"/>
  <c r="P237" i="15"/>
  <c r="P238" i="15"/>
  <c r="P239" i="15"/>
  <c r="P93" i="15"/>
  <c r="P240" i="15"/>
  <c r="P241" i="15"/>
  <c r="P242" i="15"/>
  <c r="P243" i="15"/>
  <c r="P55" i="15"/>
  <c r="D4" i="13"/>
  <c r="H4" i="13" s="1"/>
  <c r="F53" i="13"/>
  <c r="D53" i="13"/>
  <c r="F5" i="13"/>
  <c r="AJ14" i="12"/>
  <c r="AJ15" i="12"/>
  <c r="AJ16" i="12" s="1"/>
  <c r="AJ18" i="12" s="1"/>
  <c r="AJ21" i="12"/>
  <c r="AJ22" i="12" s="1"/>
  <c r="AJ19" i="12"/>
  <c r="AK21" i="12"/>
  <c r="AK22" i="12" s="1"/>
  <c r="AK19" i="12"/>
  <c r="G27" i="12"/>
  <c r="H27" i="12"/>
  <c r="I27" i="12"/>
  <c r="J27" i="12"/>
  <c r="F7" i="12"/>
  <c r="F27" i="12"/>
  <c r="G7" i="12"/>
  <c r="H6" i="12"/>
  <c r="E20" i="8"/>
  <c r="E23" i="8"/>
  <c r="F20" i="8"/>
  <c r="F23" i="8"/>
  <c r="H20" i="8"/>
  <c r="H23" i="8"/>
  <c r="I20" i="8"/>
  <c r="I23" i="8"/>
  <c r="J20" i="8"/>
  <c r="J23" i="8"/>
  <c r="D20" i="8"/>
  <c r="D23" i="8"/>
  <c r="G20" i="8"/>
  <c r="G23" i="8"/>
  <c r="D64" i="6"/>
  <c r="D66" i="6"/>
  <c r="D67" i="6"/>
  <c r="D37" i="6"/>
  <c r="D69" i="6"/>
  <c r="D55" i="6"/>
  <c r="D38" i="6"/>
  <c r="D65" i="6"/>
  <c r="D68" i="6"/>
  <c r="D151" i="6"/>
  <c r="D152" i="6"/>
  <c r="D153" i="6"/>
  <c r="D154" i="6"/>
  <c r="D155" i="6"/>
  <c r="D156" i="6"/>
  <c r="D157" i="6"/>
  <c r="D158" i="6"/>
  <c r="D159" i="6"/>
  <c r="D162" i="6"/>
  <c r="D163" i="6"/>
  <c r="D164" i="6"/>
  <c r="D165" i="6"/>
  <c r="D166" i="6"/>
  <c r="D10" i="6"/>
  <c r="D11" i="6"/>
  <c r="D12" i="6"/>
  <c r="D13" i="6"/>
  <c r="D14" i="6"/>
  <c r="D15" i="6"/>
  <c r="D16" i="6"/>
  <c r="D7" i="6"/>
  <c r="D8" i="6"/>
  <c r="D9" i="6"/>
  <c r="D17" i="6"/>
  <c r="D18" i="6"/>
  <c r="D19" i="6"/>
  <c r="D20" i="6"/>
  <c r="D21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9" i="6"/>
  <c r="D40" i="6"/>
  <c r="D41" i="6"/>
  <c r="D42" i="6"/>
  <c r="D43" i="6"/>
  <c r="D44" i="6"/>
  <c r="D45" i="6"/>
  <c r="D47" i="6"/>
  <c r="D48" i="6"/>
  <c r="D50" i="6"/>
  <c r="D51" i="6"/>
  <c r="D52" i="6"/>
  <c r="D53" i="6"/>
  <c r="D54" i="6"/>
  <c r="D49" i="6"/>
  <c r="D56" i="6"/>
  <c r="D58" i="6"/>
  <c r="D59" i="6"/>
  <c r="D60" i="6"/>
  <c r="D61" i="6"/>
  <c r="D62" i="6"/>
  <c r="D63" i="6"/>
  <c r="G8" i="8"/>
  <c r="G11" i="8"/>
  <c r="G12" i="8"/>
  <c r="G13" i="8"/>
  <c r="G9" i="8"/>
  <c r="G10" i="8"/>
  <c r="E10" i="8"/>
  <c r="E12" i="8"/>
  <c r="E13" i="8"/>
  <c r="E11" i="8"/>
  <c r="E9" i="8"/>
  <c r="E8" i="8"/>
  <c r="F12" i="8"/>
  <c r="F8" i="8"/>
  <c r="F9" i="8"/>
  <c r="F10" i="8"/>
  <c r="F13" i="8"/>
  <c r="F11" i="8"/>
  <c r="H13" i="8"/>
  <c r="H8" i="8"/>
  <c r="H12" i="8"/>
  <c r="H11" i="8"/>
  <c r="H10" i="8"/>
  <c r="H9" i="8"/>
  <c r="I12" i="8"/>
  <c r="I10" i="8"/>
  <c r="I9" i="8"/>
  <c r="I13" i="8"/>
  <c r="I8" i="8"/>
  <c r="I11" i="8"/>
  <c r="J13" i="8"/>
  <c r="J9" i="8"/>
  <c r="J10" i="8"/>
  <c r="J8" i="8"/>
  <c r="J11" i="8"/>
  <c r="J12" i="8"/>
  <c r="D10" i="8"/>
  <c r="D11" i="8"/>
  <c r="D8" i="8"/>
  <c r="D13" i="8"/>
  <c r="D9" i="8"/>
  <c r="D12" i="8"/>
  <c r="AE2" i="2"/>
  <c r="AE3" i="2"/>
  <c r="AE4" i="2"/>
  <c r="AP9" i="2"/>
  <c r="AP10" i="2"/>
  <c r="AP11" i="2"/>
  <c r="AP12" i="2"/>
  <c r="AP79" i="2"/>
  <c r="AP80" i="2"/>
  <c r="AP466" i="2"/>
  <c r="AP467" i="2"/>
  <c r="AP599" i="2"/>
  <c r="AP600" i="2"/>
  <c r="AP601" i="2"/>
  <c r="AP673" i="2"/>
  <c r="AP677" i="2"/>
  <c r="AP678" i="2"/>
  <c r="AP679" i="2"/>
  <c r="AP680" i="2"/>
  <c r="AP681" i="2"/>
  <c r="AP682" i="2"/>
  <c r="AP683" i="2"/>
  <c r="AP684" i="2"/>
  <c r="AP685" i="2"/>
  <c r="AP687" i="2"/>
  <c r="AP688" i="2"/>
  <c r="AP689" i="2"/>
  <c r="AP695" i="2"/>
  <c r="AP696" i="2"/>
  <c r="AP697" i="2"/>
  <c r="AP698" i="2"/>
  <c r="AP699" i="2"/>
  <c r="AP703" i="2"/>
  <c r="AP704" i="2"/>
  <c r="AP705" i="2"/>
  <c r="AP706" i="2"/>
  <c r="AP707" i="2"/>
  <c r="AP708" i="2"/>
  <c r="O6" i="2"/>
  <c r="O7" i="2"/>
  <c r="O8" i="2"/>
  <c r="O9" i="2"/>
  <c r="W9" i="2" s="1"/>
  <c r="O10" i="2"/>
  <c r="W10" i="2" s="1"/>
  <c r="O11" i="2"/>
  <c r="O12" i="2"/>
  <c r="O13" i="2"/>
  <c r="O14" i="2"/>
  <c r="O15" i="2"/>
  <c r="O16" i="2"/>
  <c r="O17" i="2"/>
  <c r="W17" i="2" s="1"/>
  <c r="O18" i="2"/>
  <c r="W18" i="2" s="1"/>
  <c r="O19" i="2"/>
  <c r="O20" i="2"/>
  <c r="W20" i="2" s="1"/>
  <c r="O21" i="2"/>
  <c r="W21" i="2" s="1"/>
  <c r="O22" i="2"/>
  <c r="O23" i="2"/>
  <c r="O24" i="2"/>
  <c r="O25" i="2"/>
  <c r="O26" i="2"/>
  <c r="O27" i="2"/>
  <c r="W27" i="2" s="1"/>
  <c r="O28" i="2"/>
  <c r="W28" i="2" s="1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W48" i="2" s="1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W76" i="2" s="1"/>
  <c r="O77" i="2"/>
  <c r="W77" i="2" s="1"/>
  <c r="O78" i="2"/>
  <c r="O79" i="2"/>
  <c r="W79" i="2" s="1"/>
  <c r="O80" i="2"/>
  <c r="W80" i="2" s="1"/>
  <c r="O81" i="2"/>
  <c r="O82" i="2"/>
  <c r="O83" i="2"/>
  <c r="O84" i="2"/>
  <c r="O85" i="2"/>
  <c r="W85" i="2" s="1"/>
  <c r="O86" i="2"/>
  <c r="O87" i="2"/>
  <c r="O88" i="2"/>
  <c r="W88" i="2" s="1"/>
  <c r="O89" i="2"/>
  <c r="O90" i="2"/>
  <c r="W90" i="2" s="1"/>
  <c r="O91" i="2"/>
  <c r="W91" i="2" s="1"/>
  <c r="O92" i="2"/>
  <c r="W92" i="2" s="1"/>
  <c r="O93" i="2"/>
  <c r="W93" i="2" s="1"/>
  <c r="O94" i="2"/>
  <c r="W94" i="2" s="1"/>
  <c r="O95" i="2"/>
  <c r="W95" i="2" s="1"/>
  <c r="O96" i="2"/>
  <c r="W96" i="2" s="1"/>
  <c r="O97" i="2"/>
  <c r="W97" i="2" s="1"/>
  <c r="O98" i="2"/>
  <c r="W98" i="2" s="1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W127" i="2" s="1"/>
  <c r="O128" i="2"/>
  <c r="W128" i="2" s="1"/>
  <c r="O129" i="2"/>
  <c r="O130" i="2"/>
  <c r="O131" i="2"/>
  <c r="W131" i="2" s="1"/>
  <c r="O132" i="2"/>
  <c r="W132" i="2" s="1"/>
  <c r="O133" i="2"/>
  <c r="O134" i="2"/>
  <c r="O135" i="2"/>
  <c r="O136" i="2"/>
  <c r="O137" i="2"/>
  <c r="O138" i="2"/>
  <c r="O139" i="2"/>
  <c r="O140" i="2"/>
  <c r="O141" i="2"/>
  <c r="W141" i="2" s="1"/>
  <c r="O142" i="2"/>
  <c r="W142" i="2" s="1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W174" i="2" s="1"/>
  <c r="O175" i="2"/>
  <c r="O176" i="2"/>
  <c r="O177" i="2"/>
  <c r="O178" i="2"/>
  <c r="O179" i="2"/>
  <c r="O180" i="2"/>
  <c r="O181" i="2"/>
  <c r="W181" i="2" s="1"/>
  <c r="O182" i="2"/>
  <c r="O183" i="2"/>
  <c r="W183" i="2" s="1"/>
  <c r="O184" i="2"/>
  <c r="O185" i="2"/>
  <c r="O186" i="2"/>
  <c r="O187" i="2"/>
  <c r="O188" i="2"/>
  <c r="O189" i="2"/>
  <c r="O190" i="2"/>
  <c r="O191" i="2"/>
  <c r="O192" i="2"/>
  <c r="O193" i="2"/>
  <c r="O194" i="2"/>
  <c r="O195" i="2"/>
  <c r="W195" i="2" s="1"/>
  <c r="O196" i="2"/>
  <c r="W196" i="2" s="1"/>
  <c r="O197" i="2"/>
  <c r="O198" i="2"/>
  <c r="W198" i="2" s="1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W223" i="2" s="1"/>
  <c r="O224" i="2"/>
  <c r="O225" i="2"/>
  <c r="O226" i="2"/>
  <c r="W226" i="2" s="1"/>
  <c r="O227" i="2"/>
  <c r="O228" i="2"/>
  <c r="W228" i="2" s="1"/>
  <c r="O229" i="2"/>
  <c r="W229" i="2" s="1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W269" i="2" s="1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W296" i="2" s="1"/>
  <c r="O297" i="2"/>
  <c r="W297" i="2" s="1"/>
  <c r="O298" i="2"/>
  <c r="O299" i="2"/>
  <c r="W299" i="2" s="1"/>
  <c r="O300" i="2"/>
  <c r="W300" i="2" s="1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W314" i="2" s="1"/>
  <c r="O315" i="2"/>
  <c r="W315" i="2" s="1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W342" i="2" s="1"/>
  <c r="O343" i="2"/>
  <c r="O344" i="2"/>
  <c r="W344" i="2" s="1"/>
  <c r="O345" i="2"/>
  <c r="W345" i="2" s="1"/>
  <c r="O346" i="2"/>
  <c r="O347" i="2"/>
  <c r="O348" i="2"/>
  <c r="W348" i="2" s="1"/>
  <c r="O349" i="2"/>
  <c r="W349" i="2" s="1"/>
  <c r="O350" i="2"/>
  <c r="O351" i="2"/>
  <c r="W351" i="2" s="1"/>
  <c r="O352" i="2"/>
  <c r="O353" i="2"/>
  <c r="O354" i="2"/>
  <c r="O355" i="2"/>
  <c r="O356" i="2"/>
  <c r="O357" i="2"/>
  <c r="O358" i="2"/>
  <c r="O359" i="2"/>
  <c r="W359" i="2" s="1"/>
  <c r="O360" i="2"/>
  <c r="O361" i="2"/>
  <c r="O362" i="2"/>
  <c r="O363" i="2"/>
  <c r="W363" i="2" s="1"/>
  <c r="O364" i="2"/>
  <c r="W364" i="2" s="1"/>
  <c r="O365" i="2"/>
  <c r="W365" i="2" s="1"/>
  <c r="O366" i="2"/>
  <c r="W366" i="2" s="1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W419" i="2" s="1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W436" i="2" s="1"/>
  <c r="O437" i="2"/>
  <c r="W437" i="2" s="1"/>
  <c r="O438" i="2"/>
  <c r="O439" i="2"/>
  <c r="O440" i="2"/>
  <c r="O441" i="2"/>
  <c r="O442" i="2"/>
  <c r="W442" i="2" s="1"/>
  <c r="O443" i="2"/>
  <c r="O444" i="2"/>
  <c r="O445" i="2"/>
  <c r="W445" i="2" s="1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W467" i="2" s="1"/>
  <c r="O468" i="2"/>
  <c r="W468" i="2" s="1"/>
  <c r="O469" i="2"/>
  <c r="O470" i="2"/>
  <c r="O471" i="2"/>
  <c r="W471" i="2" s="1"/>
  <c r="O472" i="2"/>
  <c r="W472" i="2" s="1"/>
  <c r="O473" i="2"/>
  <c r="O474" i="2"/>
  <c r="O475" i="2"/>
  <c r="O476" i="2"/>
  <c r="O477" i="2"/>
  <c r="O478" i="2"/>
  <c r="W478" i="2" s="1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W518" i="2" s="1"/>
  <c r="O519" i="2"/>
  <c r="W519" i="2" s="1"/>
  <c r="O520" i="2"/>
  <c r="O521" i="2"/>
  <c r="O522" i="2"/>
  <c r="O523" i="2"/>
  <c r="O524" i="2"/>
  <c r="O525" i="2"/>
  <c r="W525" i="2" s="1"/>
  <c r="O526" i="2"/>
  <c r="O527" i="2"/>
  <c r="O528" i="2"/>
  <c r="W528" i="2" s="1"/>
  <c r="O529" i="2"/>
  <c r="W529" i="2" s="1"/>
  <c r="O530" i="2"/>
  <c r="W530" i="2" s="1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W543" i="2" s="1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W600" i="2" s="1"/>
  <c r="O601" i="2"/>
  <c r="O602" i="2"/>
  <c r="W602" i="2" s="1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W673" i="2" s="1"/>
  <c r="O674" i="2"/>
  <c r="O675" i="2"/>
  <c r="W675" i="2" s="1"/>
  <c r="O676" i="2"/>
  <c r="W676" i="2" s="1"/>
  <c r="O677" i="2"/>
  <c r="W677" i="2" s="1"/>
  <c r="O678" i="2"/>
  <c r="W678" i="2" s="1"/>
  <c r="O679" i="2"/>
  <c r="O680" i="2"/>
  <c r="W680" i="2" s="1"/>
  <c r="O681" i="2"/>
  <c r="W681" i="2" s="1"/>
  <c r="O682" i="2"/>
  <c r="W682" i="2" s="1"/>
  <c r="O683" i="2"/>
  <c r="W683" i="2" s="1"/>
  <c r="O684" i="2"/>
  <c r="W684" i="2" s="1"/>
  <c r="O685" i="2"/>
  <c r="W685" i="2" s="1"/>
  <c r="O686" i="2"/>
  <c r="W686" i="2" s="1"/>
  <c r="O687" i="2"/>
  <c r="W687" i="2" s="1"/>
  <c r="O688" i="2"/>
  <c r="W688" i="2" s="1"/>
  <c r="O689" i="2"/>
  <c r="O690" i="2"/>
  <c r="W690" i="2" s="1"/>
  <c r="O691" i="2"/>
  <c r="W691" i="2" s="1"/>
  <c r="O692" i="2"/>
  <c r="W692" i="2" s="1"/>
  <c r="O693" i="2"/>
  <c r="O694" i="2"/>
  <c r="O695" i="2"/>
  <c r="W695" i="2" s="1"/>
  <c r="O696" i="2"/>
  <c r="W696" i="2" s="1"/>
  <c r="O697" i="2"/>
  <c r="W697" i="2" s="1"/>
  <c r="O698" i="2"/>
  <c r="O699" i="2"/>
  <c r="O700" i="2"/>
  <c r="W700" i="2" s="1"/>
  <c r="O701" i="2"/>
  <c r="O702" i="2"/>
  <c r="W702" i="2" s="1"/>
  <c r="O703" i="2"/>
  <c r="W703" i="2" s="1"/>
  <c r="O704" i="2"/>
  <c r="W704" i="2" s="1"/>
  <c r="O705" i="2"/>
  <c r="O706" i="2"/>
  <c r="W706" i="2" s="1"/>
  <c r="O707" i="2"/>
  <c r="W707" i="2" s="1"/>
  <c r="O708" i="2"/>
  <c r="O709" i="2"/>
  <c r="O710" i="2"/>
  <c r="W710" i="2" s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W6" i="2"/>
  <c r="W7" i="2"/>
  <c r="W8" i="2"/>
  <c r="W11" i="2"/>
  <c r="W12" i="2"/>
  <c r="W13" i="2"/>
  <c r="W14" i="2"/>
  <c r="W15" i="2"/>
  <c r="W16" i="2"/>
  <c r="W19" i="2"/>
  <c r="W22" i="2"/>
  <c r="W23" i="2"/>
  <c r="W24" i="2"/>
  <c r="W25" i="2"/>
  <c r="W26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8" i="2"/>
  <c r="W81" i="2"/>
  <c r="W82" i="2"/>
  <c r="W83" i="2"/>
  <c r="W84" i="2"/>
  <c r="W86" i="2"/>
  <c r="W87" i="2"/>
  <c r="W89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9" i="2"/>
  <c r="W130" i="2"/>
  <c r="W133" i="2"/>
  <c r="W134" i="2"/>
  <c r="W135" i="2"/>
  <c r="W136" i="2"/>
  <c r="W137" i="2"/>
  <c r="W138" i="2"/>
  <c r="W139" i="2"/>
  <c r="W140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5" i="2"/>
  <c r="W176" i="2"/>
  <c r="W177" i="2"/>
  <c r="W178" i="2"/>
  <c r="W179" i="2"/>
  <c r="W180" i="2"/>
  <c r="W182" i="2"/>
  <c r="W184" i="2"/>
  <c r="W185" i="2"/>
  <c r="W186" i="2"/>
  <c r="W187" i="2"/>
  <c r="W188" i="2"/>
  <c r="W189" i="2"/>
  <c r="W190" i="2"/>
  <c r="W191" i="2"/>
  <c r="W192" i="2"/>
  <c r="W193" i="2"/>
  <c r="W194" i="2"/>
  <c r="W197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4" i="2"/>
  <c r="W225" i="2"/>
  <c r="W227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8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3" i="2"/>
  <c r="W346" i="2"/>
  <c r="W347" i="2"/>
  <c r="W350" i="2"/>
  <c r="W352" i="2"/>
  <c r="W353" i="2"/>
  <c r="W354" i="2"/>
  <c r="W355" i="2"/>
  <c r="W356" i="2"/>
  <c r="W357" i="2"/>
  <c r="W358" i="2"/>
  <c r="W360" i="2"/>
  <c r="W361" i="2"/>
  <c r="W362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8" i="2"/>
  <c r="W439" i="2"/>
  <c r="W440" i="2"/>
  <c r="W441" i="2"/>
  <c r="W443" i="2"/>
  <c r="W444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9" i="2"/>
  <c r="W470" i="2"/>
  <c r="W473" i="2"/>
  <c r="W474" i="2"/>
  <c r="W475" i="2"/>
  <c r="W476" i="2"/>
  <c r="W477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20" i="2"/>
  <c r="W521" i="2"/>
  <c r="W522" i="2"/>
  <c r="W523" i="2"/>
  <c r="W524" i="2"/>
  <c r="W526" i="2"/>
  <c r="W527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1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4" i="2"/>
  <c r="W679" i="2"/>
  <c r="W689" i="2"/>
  <c r="W693" i="2"/>
  <c r="W694" i="2"/>
  <c r="W698" i="2"/>
  <c r="W699" i="2"/>
  <c r="W701" i="2"/>
  <c r="W705" i="2"/>
  <c r="W708" i="2"/>
  <c r="W709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Z6" i="2"/>
  <c r="AF6" i="2" s="1"/>
  <c r="Z7" i="2"/>
  <c r="AF7" i="2" s="1"/>
  <c r="AG7" i="2" s="1"/>
  <c r="Z8" i="2"/>
  <c r="AF8" i="2" s="1"/>
  <c r="AG8" i="2" s="1"/>
  <c r="Z9" i="2"/>
  <c r="AF9" i="2" s="1"/>
  <c r="AG9" i="2" s="1"/>
  <c r="Z10" i="2"/>
  <c r="AF10" i="2" s="1"/>
  <c r="AG10" i="2" s="1"/>
  <c r="Z11" i="2"/>
  <c r="AF11" i="2" s="1"/>
  <c r="AG11" i="2" s="1"/>
  <c r="Z12" i="2"/>
  <c r="AF12" i="2" s="1"/>
  <c r="AG12" i="2" s="1"/>
  <c r="Z13" i="2"/>
  <c r="Z14" i="2"/>
  <c r="AF14" i="2" s="1"/>
  <c r="AG14" i="2" s="1"/>
  <c r="Z15" i="2"/>
  <c r="AF15" i="2" s="1"/>
  <c r="AG15" i="2" s="1"/>
  <c r="Z16" i="2"/>
  <c r="AF16" i="2" s="1"/>
  <c r="AG16" i="2" s="1"/>
  <c r="Z17" i="2"/>
  <c r="AF17" i="2" s="1"/>
  <c r="AG17" i="2" s="1"/>
  <c r="Z18" i="2"/>
  <c r="AF18" i="2" s="1"/>
  <c r="AG18" i="2" s="1"/>
  <c r="Z19" i="2"/>
  <c r="AF19" i="2" s="1"/>
  <c r="AG19" i="2" s="1"/>
  <c r="Z20" i="2"/>
  <c r="AF20" i="2" s="1"/>
  <c r="AG20" i="2" s="1"/>
  <c r="Z21" i="2"/>
  <c r="AF21" i="2" s="1"/>
  <c r="AG21" i="2" s="1"/>
  <c r="Z22" i="2"/>
  <c r="AF22" i="2" s="1"/>
  <c r="AG22" i="2" s="1"/>
  <c r="Z23" i="2"/>
  <c r="AF23" i="2" s="1"/>
  <c r="AG23" i="2" s="1"/>
  <c r="Z24" i="2"/>
  <c r="Z25" i="2"/>
  <c r="AF25" i="2" s="1"/>
  <c r="AG25" i="2" s="1"/>
  <c r="Z26" i="2"/>
  <c r="Z27" i="2"/>
  <c r="AF27" i="2" s="1"/>
  <c r="AG27" i="2" s="1"/>
  <c r="Z28" i="2"/>
  <c r="AF28" i="2" s="1"/>
  <c r="AG28" i="2" s="1"/>
  <c r="Z29" i="2"/>
  <c r="AF29" i="2" s="1"/>
  <c r="AG29" i="2" s="1"/>
  <c r="Z30" i="2"/>
  <c r="AF30" i="2" s="1"/>
  <c r="AG30" i="2" s="1"/>
  <c r="Z31" i="2"/>
  <c r="Z32" i="2"/>
  <c r="AF32" i="2" s="1"/>
  <c r="AG32" i="2" s="1"/>
  <c r="Z33" i="2"/>
  <c r="AF33" i="2" s="1"/>
  <c r="AG33" i="2" s="1"/>
  <c r="Z34" i="2"/>
  <c r="AF34" i="2" s="1"/>
  <c r="AG34" i="2" s="1"/>
  <c r="Z35" i="2"/>
  <c r="AF35" i="2" s="1"/>
  <c r="AG35" i="2" s="1"/>
  <c r="Z36" i="2"/>
  <c r="AF36" i="2" s="1"/>
  <c r="AG36" i="2" s="1"/>
  <c r="Z37" i="2"/>
  <c r="AF37" i="2" s="1"/>
  <c r="AG37" i="2" s="1"/>
  <c r="Z38" i="2"/>
  <c r="AF38" i="2" s="1"/>
  <c r="AG38" i="2" s="1"/>
  <c r="Z39" i="2"/>
  <c r="AF39" i="2" s="1"/>
  <c r="AG39" i="2" s="1"/>
  <c r="Z40" i="2"/>
  <c r="AF40" i="2" s="1"/>
  <c r="AG40" i="2" s="1"/>
  <c r="Z41" i="2"/>
  <c r="AF41" i="2" s="1"/>
  <c r="AG41" i="2" s="1"/>
  <c r="Z42" i="2"/>
  <c r="AF42" i="2" s="1"/>
  <c r="AG42" i="2" s="1"/>
  <c r="Z43" i="2"/>
  <c r="AF43" i="2" s="1"/>
  <c r="AG43" i="2" s="1"/>
  <c r="Z44" i="2"/>
  <c r="Z45" i="2"/>
  <c r="Z46" i="2"/>
  <c r="AF46" i="2" s="1"/>
  <c r="AG46" i="2" s="1"/>
  <c r="Z47" i="2"/>
  <c r="Z48" i="2"/>
  <c r="AF48" i="2" s="1"/>
  <c r="AG48" i="2" s="1"/>
  <c r="Z49" i="2"/>
  <c r="AF49" i="2" s="1"/>
  <c r="AG49" i="2" s="1"/>
  <c r="Z50" i="2"/>
  <c r="AF50" i="2" s="1"/>
  <c r="AG50" i="2" s="1"/>
  <c r="Z51" i="2"/>
  <c r="AF51" i="2" s="1"/>
  <c r="AG51" i="2" s="1"/>
  <c r="Z52" i="2"/>
  <c r="AF52" i="2" s="1"/>
  <c r="AG52" i="2" s="1"/>
  <c r="Z53" i="2"/>
  <c r="Z54" i="2"/>
  <c r="Z55" i="2"/>
  <c r="Z56" i="2"/>
  <c r="Z57" i="2"/>
  <c r="AF57" i="2" s="1"/>
  <c r="AG57" i="2" s="1"/>
  <c r="Z58" i="2"/>
  <c r="Z59" i="2"/>
  <c r="Z60" i="2"/>
  <c r="Z61" i="2"/>
  <c r="Z62" i="2"/>
  <c r="Z63" i="2"/>
  <c r="AF63" i="2" s="1"/>
  <c r="AG63" i="2" s="1"/>
  <c r="Z64" i="2"/>
  <c r="AF64" i="2" s="1"/>
  <c r="AG64" i="2" s="1"/>
  <c r="Z65" i="2"/>
  <c r="AF65" i="2" s="1"/>
  <c r="AG65" i="2" s="1"/>
  <c r="Z66" i="2"/>
  <c r="Z67" i="2"/>
  <c r="AF67" i="2" s="1"/>
  <c r="AG67" i="2" s="1"/>
  <c r="Z68" i="2"/>
  <c r="Z69" i="2"/>
  <c r="Z70" i="2"/>
  <c r="Z71" i="2"/>
  <c r="AF71" i="2" s="1"/>
  <c r="AG71" i="2" s="1"/>
  <c r="Z72" i="2"/>
  <c r="AF72" i="2" s="1"/>
  <c r="AG72" i="2" s="1"/>
  <c r="Z73" i="2"/>
  <c r="AF73" i="2" s="1"/>
  <c r="AG73" i="2" s="1"/>
  <c r="Z74" i="2"/>
  <c r="Z75" i="2"/>
  <c r="AF75" i="2" s="1"/>
  <c r="AG75" i="2" s="1"/>
  <c r="Z76" i="2"/>
  <c r="AF76" i="2" s="1"/>
  <c r="AG76" i="2" s="1"/>
  <c r="Z77" i="2"/>
  <c r="AF77" i="2" s="1"/>
  <c r="AG77" i="2" s="1"/>
  <c r="Z78" i="2"/>
  <c r="AF78" i="2" s="1"/>
  <c r="AG78" i="2" s="1"/>
  <c r="Z79" i="2"/>
  <c r="AF79" i="2" s="1"/>
  <c r="AG79" i="2" s="1"/>
  <c r="Z80" i="2"/>
  <c r="AF80" i="2" s="1"/>
  <c r="AG80" i="2" s="1"/>
  <c r="Z81" i="2"/>
  <c r="Z82" i="2"/>
  <c r="Z83" i="2"/>
  <c r="AF83" i="2" s="1"/>
  <c r="AG83" i="2" s="1"/>
  <c r="Z84" i="2"/>
  <c r="Z85" i="2"/>
  <c r="AF85" i="2" s="1"/>
  <c r="AG85" i="2" s="1"/>
  <c r="Z86" i="2"/>
  <c r="AF86" i="2" s="1"/>
  <c r="AG86" i="2" s="1"/>
  <c r="Z87" i="2"/>
  <c r="Z88" i="2"/>
  <c r="AF88" i="2" s="1"/>
  <c r="AG88" i="2" s="1"/>
  <c r="Z89" i="2"/>
  <c r="AF89" i="2" s="1"/>
  <c r="AG89" i="2" s="1"/>
  <c r="Z90" i="2"/>
  <c r="AF90" i="2" s="1"/>
  <c r="AG90" i="2" s="1"/>
  <c r="Z91" i="2"/>
  <c r="AF91" i="2" s="1"/>
  <c r="AG91" i="2" s="1"/>
  <c r="Z92" i="2"/>
  <c r="AF92" i="2" s="1"/>
  <c r="AG92" i="2" s="1"/>
  <c r="Z93" i="2"/>
  <c r="AF93" i="2" s="1"/>
  <c r="AG93" i="2" s="1"/>
  <c r="Z94" i="2"/>
  <c r="AF94" i="2" s="1"/>
  <c r="AG94" i="2" s="1"/>
  <c r="Z95" i="2"/>
  <c r="Z96" i="2"/>
  <c r="AF96" i="2" s="1"/>
  <c r="AG96" i="2" s="1"/>
  <c r="Z97" i="2"/>
  <c r="AF97" i="2" s="1"/>
  <c r="AG97" i="2" s="1"/>
  <c r="Z98" i="2"/>
  <c r="AF98" i="2" s="1"/>
  <c r="AG98" i="2" s="1"/>
  <c r="Z99" i="2"/>
  <c r="AF99" i="2" s="1"/>
  <c r="AG99" i="2" s="1"/>
  <c r="Z100" i="2"/>
  <c r="Z101" i="2"/>
  <c r="AF101" i="2" s="1"/>
  <c r="AG101" i="2" s="1"/>
  <c r="Z102" i="2"/>
  <c r="AF102" i="2" s="1"/>
  <c r="AG102" i="2" s="1"/>
  <c r="Z103" i="2"/>
  <c r="Z104" i="2"/>
  <c r="Z105" i="2"/>
  <c r="Z106" i="2"/>
  <c r="Z107" i="2"/>
  <c r="Z108" i="2"/>
  <c r="Z109" i="2"/>
  <c r="Z110" i="2"/>
  <c r="Z111" i="2"/>
  <c r="Z112" i="2"/>
  <c r="Z113" i="2"/>
  <c r="AF113" i="2" s="1"/>
  <c r="AG113" i="2" s="1"/>
  <c r="Z114" i="2"/>
  <c r="Z115" i="2"/>
  <c r="AF115" i="2" s="1"/>
  <c r="AG115" i="2" s="1"/>
  <c r="Z116" i="2"/>
  <c r="Z117" i="2"/>
  <c r="Z118" i="2"/>
  <c r="AF118" i="2" s="1"/>
  <c r="AG118" i="2" s="1"/>
  <c r="Z119" i="2"/>
  <c r="Z120" i="2"/>
  <c r="Z121" i="2"/>
  <c r="AF121" i="2" s="1"/>
  <c r="AG121" i="2" s="1"/>
  <c r="Z122" i="2"/>
  <c r="AF122" i="2" s="1"/>
  <c r="AG122" i="2" s="1"/>
  <c r="Z123" i="2"/>
  <c r="Z124" i="2"/>
  <c r="Z125" i="2"/>
  <c r="Z126" i="2"/>
  <c r="Z127" i="2"/>
  <c r="AF127" i="2" s="1"/>
  <c r="AG127" i="2" s="1"/>
  <c r="Z128" i="2"/>
  <c r="AF128" i="2" s="1"/>
  <c r="AG128" i="2" s="1"/>
  <c r="Z129" i="2"/>
  <c r="AF129" i="2" s="1"/>
  <c r="AG129" i="2" s="1"/>
  <c r="Z130" i="2"/>
  <c r="AF130" i="2" s="1"/>
  <c r="AG130" i="2" s="1"/>
  <c r="Z131" i="2"/>
  <c r="AF131" i="2" s="1"/>
  <c r="AG131" i="2" s="1"/>
  <c r="Z132" i="2"/>
  <c r="AF132" i="2" s="1"/>
  <c r="AG132" i="2" s="1"/>
  <c r="Z133" i="2"/>
  <c r="AF133" i="2" s="1"/>
  <c r="AG133" i="2" s="1"/>
  <c r="Z134" i="2"/>
  <c r="AF134" i="2" s="1"/>
  <c r="AG134" i="2" s="1"/>
  <c r="Z135" i="2"/>
  <c r="AF135" i="2" s="1"/>
  <c r="AG135" i="2" s="1"/>
  <c r="Z136" i="2"/>
  <c r="AF136" i="2" s="1"/>
  <c r="AG136" i="2" s="1"/>
  <c r="Z137" i="2"/>
  <c r="Z138" i="2"/>
  <c r="Z139" i="2"/>
  <c r="Z140" i="2"/>
  <c r="AF140" i="2" s="1"/>
  <c r="AG140" i="2" s="1"/>
  <c r="Z141" i="2"/>
  <c r="Z142" i="2"/>
  <c r="AF142" i="2" s="1"/>
  <c r="AG142" i="2" s="1"/>
  <c r="Z143" i="2"/>
  <c r="AF143" i="2" s="1"/>
  <c r="AG143" i="2" s="1"/>
  <c r="Z144" i="2"/>
  <c r="Z145" i="2"/>
  <c r="Z146" i="2"/>
  <c r="Z147" i="2"/>
  <c r="Z148" i="2"/>
  <c r="Z149" i="2"/>
  <c r="Z150" i="2"/>
  <c r="Z151" i="2"/>
  <c r="Z152" i="2"/>
  <c r="AF152" i="2" s="1"/>
  <c r="AG152" i="2" s="1"/>
  <c r="Z153" i="2"/>
  <c r="AF153" i="2" s="1"/>
  <c r="AG153" i="2" s="1"/>
  <c r="Z154" i="2"/>
  <c r="AF154" i="2" s="1"/>
  <c r="AG154" i="2" s="1"/>
  <c r="Z155" i="2"/>
  <c r="AF155" i="2" s="1"/>
  <c r="AG155" i="2" s="1"/>
  <c r="Z156" i="2"/>
  <c r="Z157" i="2"/>
  <c r="Z158" i="2"/>
  <c r="Z159" i="2"/>
  <c r="AF159" i="2" s="1"/>
  <c r="AG159" i="2" s="1"/>
  <c r="Z160" i="2"/>
  <c r="AF160" i="2" s="1"/>
  <c r="AG160" i="2" s="1"/>
  <c r="Z161" i="2"/>
  <c r="AF161" i="2" s="1"/>
  <c r="AG161" i="2" s="1"/>
  <c r="Z162" i="2"/>
  <c r="Z163" i="2"/>
  <c r="Z164" i="2"/>
  <c r="Z165" i="2"/>
  <c r="Z166" i="2"/>
  <c r="Z167" i="2"/>
  <c r="AF167" i="2" s="1"/>
  <c r="AG167" i="2" s="1"/>
  <c r="Z168" i="2"/>
  <c r="AF168" i="2" s="1"/>
  <c r="AG168" i="2" s="1"/>
  <c r="Z169" i="2"/>
  <c r="Z170" i="2"/>
  <c r="Z171" i="2"/>
  <c r="Z172" i="2"/>
  <c r="Z173" i="2"/>
  <c r="Z174" i="2"/>
  <c r="AF174" i="2" s="1"/>
  <c r="AG174" i="2" s="1"/>
  <c r="Z175" i="2"/>
  <c r="AF175" i="2" s="1"/>
  <c r="AG175" i="2" s="1"/>
  <c r="Z176" i="2"/>
  <c r="AF176" i="2" s="1"/>
  <c r="AG176" i="2" s="1"/>
  <c r="Z177" i="2"/>
  <c r="AF177" i="2" s="1"/>
  <c r="AG177" i="2" s="1"/>
  <c r="Z178" i="2"/>
  <c r="Z179" i="2"/>
  <c r="Z180" i="2"/>
  <c r="Z181" i="2"/>
  <c r="AF181" i="2" s="1"/>
  <c r="AG181" i="2" s="1"/>
  <c r="Z182" i="2"/>
  <c r="AF182" i="2" s="1"/>
  <c r="AG182" i="2" s="1"/>
  <c r="Z183" i="2"/>
  <c r="AF183" i="2" s="1"/>
  <c r="AG183" i="2" s="1"/>
  <c r="Z184" i="2"/>
  <c r="AF184" i="2" s="1"/>
  <c r="AG184" i="2" s="1"/>
  <c r="Z185" i="2"/>
  <c r="AF185" i="2" s="1"/>
  <c r="AG185" i="2" s="1"/>
  <c r="Z186" i="2"/>
  <c r="Z187" i="2"/>
  <c r="Z188" i="2"/>
  <c r="AF188" i="2" s="1"/>
  <c r="AG188" i="2" s="1"/>
  <c r="Z189" i="2"/>
  <c r="Z190" i="2"/>
  <c r="Z191" i="2"/>
  <c r="AF191" i="2" s="1"/>
  <c r="AG191" i="2" s="1"/>
  <c r="Z192" i="2"/>
  <c r="AF192" i="2" s="1"/>
  <c r="AG192" i="2" s="1"/>
  <c r="Z193" i="2"/>
  <c r="Z194" i="2"/>
  <c r="Z195" i="2"/>
  <c r="AF195" i="2" s="1"/>
  <c r="AG195" i="2" s="1"/>
  <c r="Z196" i="2"/>
  <c r="AF196" i="2" s="1"/>
  <c r="AG196" i="2" s="1"/>
  <c r="Z197" i="2"/>
  <c r="AF197" i="2" s="1"/>
  <c r="AG197" i="2" s="1"/>
  <c r="Z198" i="2"/>
  <c r="AF198" i="2" s="1"/>
  <c r="AG198" i="2" s="1"/>
  <c r="Z199" i="2"/>
  <c r="AF199" i="2" s="1"/>
  <c r="AG199" i="2" s="1"/>
  <c r="Z200" i="2"/>
  <c r="AF200" i="2" s="1"/>
  <c r="AG200" i="2" s="1"/>
  <c r="Z201" i="2"/>
  <c r="AF201" i="2" s="1"/>
  <c r="AG201" i="2" s="1"/>
  <c r="Z202" i="2"/>
  <c r="Z203" i="2"/>
  <c r="AF203" i="2" s="1"/>
  <c r="AG203" i="2" s="1"/>
  <c r="Z204" i="2"/>
  <c r="AF204" i="2" s="1"/>
  <c r="AG204" i="2" s="1"/>
  <c r="Z205" i="2"/>
  <c r="Z206" i="2"/>
  <c r="Z207" i="2"/>
  <c r="Z208" i="2"/>
  <c r="AF208" i="2" s="1"/>
  <c r="AG208" i="2" s="1"/>
  <c r="Z209" i="2"/>
  <c r="Z210" i="2"/>
  <c r="Z211" i="2"/>
  <c r="Z212" i="2"/>
  <c r="Z213" i="2"/>
  <c r="AF213" i="2" s="1"/>
  <c r="AG213" i="2" s="1"/>
  <c r="Z214" i="2"/>
  <c r="Z215" i="2"/>
  <c r="AF215" i="2" s="1"/>
  <c r="AG215" i="2" s="1"/>
  <c r="Z216" i="2"/>
  <c r="AF216" i="2" s="1"/>
  <c r="AG216" i="2" s="1"/>
  <c r="Z217" i="2"/>
  <c r="Z218" i="2"/>
  <c r="Z219" i="2"/>
  <c r="Z220" i="2"/>
  <c r="Z221" i="2"/>
  <c r="AF221" i="2" s="1"/>
  <c r="AG221" i="2" s="1"/>
  <c r="Z222" i="2"/>
  <c r="AF222" i="2" s="1"/>
  <c r="AG222" i="2" s="1"/>
  <c r="Z223" i="2"/>
  <c r="AF223" i="2" s="1"/>
  <c r="AG223" i="2" s="1"/>
  <c r="Z224" i="2"/>
  <c r="AF224" i="2" s="1"/>
  <c r="AG224" i="2" s="1"/>
  <c r="Z225" i="2"/>
  <c r="AF225" i="2" s="1"/>
  <c r="AG225" i="2" s="1"/>
  <c r="Z226" i="2"/>
  <c r="AF226" i="2" s="1"/>
  <c r="AG226" i="2" s="1"/>
  <c r="Z227" i="2"/>
  <c r="AF227" i="2" s="1"/>
  <c r="AG227" i="2" s="1"/>
  <c r="Z228" i="2"/>
  <c r="AF228" i="2" s="1"/>
  <c r="AG228" i="2" s="1"/>
  <c r="Z229" i="2"/>
  <c r="AF229" i="2" s="1"/>
  <c r="AG229" i="2" s="1"/>
  <c r="Z230" i="2"/>
  <c r="AF230" i="2" s="1"/>
  <c r="AG230" i="2" s="1"/>
  <c r="Z231" i="2"/>
  <c r="AF231" i="2" s="1"/>
  <c r="AG231" i="2" s="1"/>
  <c r="Z232" i="2"/>
  <c r="Z233" i="2"/>
  <c r="AF233" i="2" s="1"/>
  <c r="AG233" i="2" s="1"/>
  <c r="Z234" i="2"/>
  <c r="AF234" i="2" s="1"/>
  <c r="AG234" i="2" s="1"/>
  <c r="Z235" i="2"/>
  <c r="AF235" i="2" s="1"/>
  <c r="AG235" i="2" s="1"/>
  <c r="Z236" i="2"/>
  <c r="AF236" i="2" s="1"/>
  <c r="AG236" i="2" s="1"/>
  <c r="Z237" i="2"/>
  <c r="Z238" i="2"/>
  <c r="Z239" i="2"/>
  <c r="Z240" i="2"/>
  <c r="Z241" i="2"/>
  <c r="Z242" i="2"/>
  <c r="Z243" i="2"/>
  <c r="AF243" i="2" s="1"/>
  <c r="AG243" i="2" s="1"/>
  <c r="Z244" i="2"/>
  <c r="Z245" i="2"/>
  <c r="Z246" i="2"/>
  <c r="Z247" i="2"/>
  <c r="AF247" i="2" s="1"/>
  <c r="AG247" i="2" s="1"/>
  <c r="Z248" i="2"/>
  <c r="Z249" i="2"/>
  <c r="AF249" i="2" s="1"/>
  <c r="AG249" i="2" s="1"/>
  <c r="Z250" i="2"/>
  <c r="Z251" i="2"/>
  <c r="Z252" i="2"/>
  <c r="Z253" i="2"/>
  <c r="AF253" i="2" s="1"/>
  <c r="AG253" i="2" s="1"/>
  <c r="Z254" i="2"/>
  <c r="Z255" i="2"/>
  <c r="AF255" i="2" s="1"/>
  <c r="AG255" i="2" s="1"/>
  <c r="Z256" i="2"/>
  <c r="AF256" i="2" s="1"/>
  <c r="AG256" i="2" s="1"/>
  <c r="Z257" i="2"/>
  <c r="AF257" i="2" s="1"/>
  <c r="AG257" i="2" s="1"/>
  <c r="Z258" i="2"/>
  <c r="AF258" i="2" s="1"/>
  <c r="AG258" i="2" s="1"/>
  <c r="Z259" i="2"/>
  <c r="AF259" i="2" s="1"/>
  <c r="AG259" i="2" s="1"/>
  <c r="Z260" i="2"/>
  <c r="Z261" i="2"/>
  <c r="Z262" i="2"/>
  <c r="Z263" i="2"/>
  <c r="Z264" i="2"/>
  <c r="Z265" i="2"/>
  <c r="Z266" i="2"/>
  <c r="AF266" i="2" s="1"/>
  <c r="AG266" i="2" s="1"/>
  <c r="Z267" i="2"/>
  <c r="AF267" i="2" s="1"/>
  <c r="AG267" i="2" s="1"/>
  <c r="Z268" i="2"/>
  <c r="AF268" i="2" s="1"/>
  <c r="AG268" i="2" s="1"/>
  <c r="Z269" i="2"/>
  <c r="AF269" i="2" s="1"/>
  <c r="AG269" i="2" s="1"/>
  <c r="Z270" i="2"/>
  <c r="AF270" i="2" s="1"/>
  <c r="AG270" i="2" s="1"/>
  <c r="Z271" i="2"/>
  <c r="AF271" i="2" s="1"/>
  <c r="AG271" i="2" s="1"/>
  <c r="Z272" i="2"/>
  <c r="Z273" i="2"/>
  <c r="Z274" i="2"/>
  <c r="Z275" i="2"/>
  <c r="Z276" i="2"/>
  <c r="Z277" i="2"/>
  <c r="Z278" i="2"/>
  <c r="Z279" i="2"/>
  <c r="AF279" i="2" s="1"/>
  <c r="AG279" i="2" s="1"/>
  <c r="Z280" i="2"/>
  <c r="Z281" i="2"/>
  <c r="Z282" i="2"/>
  <c r="Z283" i="2"/>
  <c r="AF283" i="2" s="1"/>
  <c r="AG283" i="2" s="1"/>
  <c r="Z284" i="2"/>
  <c r="AF284" i="2" s="1"/>
  <c r="AG284" i="2" s="1"/>
  <c r="Z285" i="2"/>
  <c r="Z286" i="2"/>
  <c r="Z287" i="2"/>
  <c r="Z288" i="2"/>
  <c r="Z289" i="2"/>
  <c r="Z290" i="2"/>
  <c r="AF290" i="2" s="1"/>
  <c r="AG290" i="2" s="1"/>
  <c r="Z291" i="2"/>
  <c r="AF291" i="2" s="1"/>
  <c r="AG291" i="2" s="1"/>
  <c r="Z292" i="2"/>
  <c r="AF292" i="2" s="1"/>
  <c r="AG292" i="2" s="1"/>
  <c r="Z293" i="2"/>
  <c r="AF293" i="2" s="1"/>
  <c r="AG293" i="2" s="1"/>
  <c r="Z294" i="2"/>
  <c r="AF294" i="2" s="1"/>
  <c r="AG294" i="2" s="1"/>
  <c r="Z295" i="2"/>
  <c r="AF295" i="2" s="1"/>
  <c r="AG295" i="2" s="1"/>
  <c r="Z296" i="2"/>
  <c r="AF296" i="2" s="1"/>
  <c r="AG296" i="2" s="1"/>
  <c r="Z297" i="2"/>
  <c r="Z298" i="2"/>
  <c r="AF298" i="2" s="1"/>
  <c r="AG298" i="2" s="1"/>
  <c r="Z299" i="2"/>
  <c r="AF299" i="2" s="1"/>
  <c r="AG299" i="2" s="1"/>
  <c r="Z300" i="2"/>
  <c r="AF300" i="2" s="1"/>
  <c r="AG300" i="2" s="1"/>
  <c r="Z301" i="2"/>
  <c r="AF301" i="2" s="1"/>
  <c r="AG301" i="2" s="1"/>
  <c r="Z302" i="2"/>
  <c r="Z303" i="2"/>
  <c r="Z304" i="2"/>
  <c r="Z305" i="2"/>
  <c r="Z306" i="2"/>
  <c r="Z307" i="2"/>
  <c r="AF307" i="2" s="1"/>
  <c r="AG307" i="2" s="1"/>
  <c r="Z308" i="2"/>
  <c r="AF308" i="2" s="1"/>
  <c r="AG308" i="2" s="1"/>
  <c r="Z309" i="2"/>
  <c r="Z310" i="2"/>
  <c r="Z311" i="2"/>
  <c r="Z312" i="2"/>
  <c r="Z313" i="2"/>
  <c r="AF313" i="2" s="1"/>
  <c r="AG313" i="2" s="1"/>
  <c r="Z314" i="2"/>
  <c r="AF314" i="2" s="1"/>
  <c r="AG314" i="2" s="1"/>
  <c r="Z315" i="2"/>
  <c r="AF315" i="2" s="1"/>
  <c r="AG315" i="2" s="1"/>
  <c r="Z316" i="2"/>
  <c r="AF316" i="2" s="1"/>
  <c r="AG316" i="2" s="1"/>
  <c r="Z317" i="2"/>
  <c r="Z318" i="2"/>
  <c r="Z319" i="2"/>
  <c r="Z320" i="2"/>
  <c r="Z321" i="2"/>
  <c r="Z322" i="2"/>
  <c r="AF322" i="2" s="1"/>
  <c r="AG322" i="2" s="1"/>
  <c r="Z323" i="2"/>
  <c r="AF323" i="2" s="1"/>
  <c r="AG323" i="2" s="1"/>
  <c r="Z324" i="2"/>
  <c r="AF324" i="2" s="1"/>
  <c r="AG324" i="2" s="1"/>
  <c r="Z325" i="2"/>
  <c r="Z326" i="2"/>
  <c r="AF326" i="2" s="1"/>
  <c r="AG326" i="2" s="1"/>
  <c r="Z327" i="2"/>
  <c r="AF327" i="2" s="1"/>
  <c r="AG327" i="2" s="1"/>
  <c r="Z328" i="2"/>
  <c r="Z329" i="2"/>
  <c r="Z330" i="2"/>
  <c r="AF330" i="2" s="1"/>
  <c r="AG330" i="2" s="1"/>
  <c r="Z331" i="2"/>
  <c r="Z332" i="2"/>
  <c r="Z333" i="2"/>
  <c r="AF333" i="2" s="1"/>
  <c r="AG333" i="2" s="1"/>
  <c r="Z334" i="2"/>
  <c r="Z335" i="2"/>
  <c r="Z336" i="2"/>
  <c r="AF336" i="2" s="1"/>
  <c r="AG336" i="2" s="1"/>
  <c r="Z337" i="2"/>
  <c r="AF337" i="2" s="1"/>
  <c r="AG337" i="2" s="1"/>
  <c r="Z338" i="2"/>
  <c r="AF338" i="2" s="1"/>
  <c r="AG338" i="2" s="1"/>
  <c r="Z339" i="2"/>
  <c r="AF339" i="2" s="1"/>
  <c r="AG339" i="2" s="1"/>
  <c r="Z340" i="2"/>
  <c r="AF340" i="2" s="1"/>
  <c r="AG340" i="2" s="1"/>
  <c r="Z341" i="2"/>
  <c r="AF341" i="2" s="1"/>
  <c r="AG341" i="2" s="1"/>
  <c r="Z342" i="2"/>
  <c r="AF342" i="2" s="1"/>
  <c r="AG342" i="2" s="1"/>
  <c r="Z343" i="2"/>
  <c r="AF343" i="2" s="1"/>
  <c r="AG343" i="2" s="1"/>
  <c r="Z344" i="2"/>
  <c r="AF344" i="2" s="1"/>
  <c r="AG344" i="2" s="1"/>
  <c r="Z345" i="2"/>
  <c r="AF345" i="2" s="1"/>
  <c r="AG345" i="2" s="1"/>
  <c r="Z346" i="2"/>
  <c r="AF346" i="2" s="1"/>
  <c r="AG346" i="2" s="1"/>
  <c r="Z347" i="2"/>
  <c r="AF347" i="2" s="1"/>
  <c r="AG347" i="2" s="1"/>
  <c r="Z348" i="2"/>
  <c r="AF348" i="2" s="1"/>
  <c r="AG348" i="2" s="1"/>
  <c r="Z349" i="2"/>
  <c r="AF349" i="2" s="1"/>
  <c r="AG349" i="2" s="1"/>
  <c r="Z350" i="2"/>
  <c r="Z351" i="2"/>
  <c r="AF351" i="2" s="1"/>
  <c r="AG351" i="2" s="1"/>
  <c r="Z352" i="2"/>
  <c r="AF352" i="2" s="1"/>
  <c r="AG352" i="2" s="1"/>
  <c r="Z353" i="2"/>
  <c r="AF353" i="2" s="1"/>
  <c r="AG353" i="2" s="1"/>
  <c r="Z354" i="2"/>
  <c r="Z355" i="2"/>
  <c r="Z356" i="2"/>
  <c r="Z357" i="2"/>
  <c r="Z358" i="2"/>
  <c r="Z359" i="2"/>
  <c r="AF359" i="2" s="1"/>
  <c r="AG359" i="2" s="1"/>
  <c r="Z360" i="2"/>
  <c r="Z361" i="2"/>
  <c r="Z362" i="2"/>
  <c r="Z363" i="2"/>
  <c r="AF363" i="2" s="1"/>
  <c r="AG363" i="2" s="1"/>
  <c r="Z364" i="2"/>
  <c r="AF364" i="2" s="1"/>
  <c r="AG364" i="2" s="1"/>
  <c r="Z365" i="2"/>
  <c r="AF365" i="2" s="1"/>
  <c r="AG365" i="2" s="1"/>
  <c r="Z366" i="2"/>
  <c r="Z367" i="2"/>
  <c r="Z368" i="2"/>
  <c r="Z369" i="2"/>
  <c r="Z370" i="2"/>
  <c r="Z371" i="2"/>
  <c r="Z372" i="2"/>
  <c r="AF372" i="2" s="1"/>
  <c r="AG372" i="2" s="1"/>
  <c r="Z373" i="2"/>
  <c r="Z374" i="2"/>
  <c r="Z375" i="2"/>
  <c r="Z376" i="2"/>
  <c r="Z377" i="2"/>
  <c r="AF377" i="2" s="1"/>
  <c r="AG377" i="2" s="1"/>
  <c r="Z378" i="2"/>
  <c r="Z379" i="2"/>
  <c r="Z380" i="2"/>
  <c r="Z381" i="2"/>
  <c r="AF381" i="2" s="1"/>
  <c r="AG381" i="2" s="1"/>
  <c r="Z382" i="2"/>
  <c r="Z383" i="2"/>
  <c r="AF383" i="2" s="1"/>
  <c r="AG383" i="2" s="1"/>
  <c r="Z384" i="2"/>
  <c r="AF384" i="2" s="1"/>
  <c r="AG384" i="2" s="1"/>
  <c r="Z385" i="2"/>
  <c r="AF385" i="2" s="1"/>
  <c r="AG385" i="2" s="1"/>
  <c r="Z386" i="2"/>
  <c r="Z387" i="2"/>
  <c r="Z388" i="2"/>
  <c r="AF388" i="2" s="1"/>
  <c r="AG388" i="2" s="1"/>
  <c r="Z389" i="2"/>
  <c r="Z390" i="2"/>
  <c r="Z391" i="2"/>
  <c r="Z392" i="2"/>
  <c r="Z393" i="2"/>
  <c r="Z394" i="2"/>
  <c r="Z395" i="2"/>
  <c r="AF395" i="2" s="1"/>
  <c r="AG395" i="2" s="1"/>
  <c r="Z396" i="2"/>
  <c r="AF396" i="2" s="1"/>
  <c r="AG396" i="2" s="1"/>
  <c r="Z397" i="2"/>
  <c r="Z398" i="2"/>
  <c r="Z399" i="2"/>
  <c r="Z400" i="2"/>
  <c r="Z401" i="2"/>
  <c r="AF401" i="2" s="1"/>
  <c r="AG401" i="2" s="1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AF414" i="2" s="1"/>
  <c r="AG414" i="2" s="1"/>
  <c r="Z415" i="2"/>
  <c r="Z416" i="2"/>
  <c r="Z417" i="2"/>
  <c r="Z418" i="2"/>
  <c r="Z419" i="2"/>
  <c r="AF419" i="2" s="1"/>
  <c r="AG419" i="2" s="1"/>
  <c r="Z420" i="2"/>
  <c r="AF420" i="2" s="1"/>
  <c r="AG420" i="2" s="1"/>
  <c r="Z421" i="2"/>
  <c r="AF421" i="2" s="1"/>
  <c r="AG421" i="2" s="1"/>
  <c r="Z422" i="2"/>
  <c r="AF422" i="2" s="1"/>
  <c r="AG422" i="2" s="1"/>
  <c r="Z423" i="2"/>
  <c r="Z424" i="2"/>
  <c r="Z425" i="2"/>
  <c r="AF425" i="2" s="1"/>
  <c r="AG425" i="2" s="1"/>
  <c r="Z426" i="2"/>
  <c r="Z427" i="2"/>
  <c r="AF427" i="2" s="1"/>
  <c r="AG427" i="2" s="1"/>
  <c r="Z428" i="2"/>
  <c r="Z429" i="2"/>
  <c r="AF429" i="2" s="1"/>
  <c r="AG429" i="2" s="1"/>
  <c r="Z430" i="2"/>
  <c r="Z431" i="2"/>
  <c r="Z432" i="2"/>
  <c r="AF432" i="2" s="1"/>
  <c r="AG432" i="2" s="1"/>
  <c r="Z433" i="2"/>
  <c r="Z434" i="2"/>
  <c r="Z435" i="2"/>
  <c r="Z436" i="2"/>
  <c r="AF436" i="2" s="1"/>
  <c r="AG436" i="2" s="1"/>
  <c r="Z437" i="2"/>
  <c r="AF437" i="2" s="1"/>
  <c r="AG437" i="2" s="1"/>
  <c r="Z438" i="2"/>
  <c r="AF438" i="2" s="1"/>
  <c r="AG438" i="2" s="1"/>
  <c r="Z439" i="2"/>
  <c r="Z440" i="2"/>
  <c r="Z441" i="2"/>
  <c r="AF441" i="2" s="1"/>
  <c r="AG441" i="2" s="1"/>
  <c r="Z442" i="2"/>
  <c r="AF442" i="2" s="1"/>
  <c r="AG442" i="2" s="1"/>
  <c r="Z443" i="2"/>
  <c r="AF443" i="2" s="1"/>
  <c r="AG443" i="2" s="1"/>
  <c r="Z444" i="2"/>
  <c r="AF444" i="2" s="1"/>
  <c r="AG444" i="2" s="1"/>
  <c r="Z445" i="2"/>
  <c r="AF445" i="2" s="1"/>
  <c r="AG445" i="2" s="1"/>
  <c r="Z446" i="2"/>
  <c r="Z447" i="2"/>
  <c r="AF447" i="2" s="1"/>
  <c r="AG447" i="2" s="1"/>
  <c r="Z448" i="2"/>
  <c r="AF448" i="2" s="1"/>
  <c r="AG448" i="2" s="1"/>
  <c r="Z449" i="2"/>
  <c r="AF449" i="2" s="1"/>
  <c r="AG449" i="2" s="1"/>
  <c r="Z450" i="2"/>
  <c r="AF450" i="2" s="1"/>
  <c r="AG450" i="2" s="1"/>
  <c r="Z451" i="2"/>
  <c r="AF451" i="2" s="1"/>
  <c r="AG451" i="2" s="1"/>
  <c r="Z452" i="2"/>
  <c r="Z453" i="2"/>
  <c r="AF453" i="2" s="1"/>
  <c r="AG453" i="2" s="1"/>
  <c r="Z454" i="2"/>
  <c r="AF454" i="2" s="1"/>
  <c r="AG454" i="2" s="1"/>
  <c r="Z455" i="2"/>
  <c r="Z456" i="2"/>
  <c r="Z457" i="2"/>
  <c r="AF457" i="2" s="1"/>
  <c r="AG457" i="2" s="1"/>
  <c r="Z458" i="2"/>
  <c r="Z459" i="2"/>
  <c r="Z460" i="2"/>
  <c r="Z461" i="2"/>
  <c r="Z462" i="2"/>
  <c r="Z463" i="2"/>
  <c r="AF463" i="2" s="1"/>
  <c r="AG463" i="2" s="1"/>
  <c r="Z464" i="2"/>
  <c r="AF464" i="2" s="1"/>
  <c r="AG464" i="2" s="1"/>
  <c r="Z465" i="2"/>
  <c r="AF465" i="2" s="1"/>
  <c r="AG465" i="2" s="1"/>
  <c r="Z466" i="2"/>
  <c r="AF466" i="2" s="1"/>
  <c r="AG466" i="2" s="1"/>
  <c r="Z467" i="2"/>
  <c r="AF467" i="2" s="1"/>
  <c r="AG467" i="2" s="1"/>
  <c r="Z468" i="2"/>
  <c r="AF468" i="2" s="1"/>
  <c r="AG468" i="2" s="1"/>
  <c r="Z469" i="2"/>
  <c r="AF469" i="2" s="1"/>
  <c r="AG469" i="2" s="1"/>
  <c r="Z470" i="2"/>
  <c r="AF470" i="2" s="1"/>
  <c r="AG470" i="2" s="1"/>
  <c r="Z471" i="2"/>
  <c r="AF471" i="2" s="1"/>
  <c r="AG471" i="2" s="1"/>
  <c r="Z472" i="2"/>
  <c r="AF472" i="2" s="1"/>
  <c r="AG472" i="2" s="1"/>
  <c r="Z473" i="2"/>
  <c r="AF473" i="2" s="1"/>
  <c r="AG473" i="2" s="1"/>
  <c r="Z474" i="2"/>
  <c r="AF474" i="2" s="1"/>
  <c r="AG474" i="2" s="1"/>
  <c r="Z475" i="2"/>
  <c r="Z476" i="2"/>
  <c r="Z477" i="2"/>
  <c r="AF477" i="2" s="1"/>
  <c r="AG477" i="2" s="1"/>
  <c r="Z478" i="2"/>
  <c r="AF478" i="2" s="1"/>
  <c r="AG478" i="2" s="1"/>
  <c r="Z479" i="2"/>
  <c r="AF479" i="2" s="1"/>
  <c r="AG479" i="2" s="1"/>
  <c r="Z480" i="2"/>
  <c r="Z481" i="2"/>
  <c r="Z482" i="2"/>
  <c r="Z483" i="2"/>
  <c r="Z484" i="2"/>
  <c r="AF484" i="2" s="1"/>
  <c r="AG484" i="2" s="1"/>
  <c r="Z485" i="2"/>
  <c r="Z486" i="2"/>
  <c r="Z487" i="2"/>
  <c r="Z488" i="2"/>
  <c r="Z489" i="2"/>
  <c r="Z490" i="2"/>
  <c r="AF490" i="2" s="1"/>
  <c r="AG490" i="2" s="1"/>
  <c r="Z491" i="2"/>
  <c r="Z492" i="2"/>
  <c r="Z493" i="2"/>
  <c r="Z494" i="2"/>
  <c r="AF494" i="2" s="1"/>
  <c r="AG494" i="2" s="1"/>
  <c r="Z495" i="2"/>
  <c r="Z496" i="2"/>
  <c r="Z497" i="2"/>
  <c r="Z498" i="2"/>
  <c r="Z499" i="2"/>
  <c r="Z500" i="2"/>
  <c r="AF500" i="2" s="1"/>
  <c r="AG500" i="2" s="1"/>
  <c r="Z501" i="2"/>
  <c r="Z502" i="2"/>
  <c r="Z503" i="2"/>
  <c r="Z504" i="2"/>
  <c r="Z505" i="2"/>
  <c r="Z506" i="2"/>
  <c r="AF506" i="2" s="1"/>
  <c r="AG506" i="2" s="1"/>
  <c r="Z507" i="2"/>
  <c r="Z508" i="2"/>
  <c r="Z509" i="2"/>
  <c r="AF509" i="2" s="1"/>
  <c r="AG509" i="2" s="1"/>
  <c r="Z510" i="2"/>
  <c r="Z511" i="2"/>
  <c r="Z512" i="2"/>
  <c r="Z513" i="2"/>
  <c r="Z514" i="2"/>
  <c r="Z515" i="2"/>
  <c r="Z516" i="2"/>
  <c r="Z517" i="2"/>
  <c r="AF517" i="2" s="1"/>
  <c r="AG517" i="2" s="1"/>
  <c r="Z518" i="2"/>
  <c r="AF518" i="2" s="1"/>
  <c r="AG518" i="2" s="1"/>
  <c r="Z519" i="2"/>
  <c r="Z520" i="2"/>
  <c r="AF520" i="2" s="1"/>
  <c r="AG520" i="2" s="1"/>
  <c r="Z521" i="2"/>
  <c r="AF521" i="2" s="1"/>
  <c r="AG521" i="2" s="1"/>
  <c r="Z522" i="2"/>
  <c r="Z523" i="2"/>
  <c r="AF523" i="2" s="1"/>
  <c r="AG523" i="2" s="1"/>
  <c r="Z524" i="2"/>
  <c r="Z525" i="2"/>
  <c r="AF525" i="2" s="1"/>
  <c r="AG525" i="2" s="1"/>
  <c r="Z526" i="2"/>
  <c r="AF526" i="2" s="1"/>
  <c r="AG526" i="2" s="1"/>
  <c r="Z527" i="2"/>
  <c r="AF527" i="2" s="1"/>
  <c r="AG527" i="2" s="1"/>
  <c r="Z528" i="2"/>
  <c r="AF528" i="2" s="1"/>
  <c r="AG528" i="2" s="1"/>
  <c r="Z529" i="2"/>
  <c r="AF529" i="2" s="1"/>
  <c r="AG529" i="2" s="1"/>
  <c r="Z530" i="2"/>
  <c r="AF530" i="2" s="1"/>
  <c r="AG530" i="2" s="1"/>
  <c r="Z531" i="2"/>
  <c r="AF531" i="2" s="1"/>
  <c r="AG531" i="2" s="1"/>
  <c r="Z532" i="2"/>
  <c r="AF532" i="2" s="1"/>
  <c r="AG532" i="2" s="1"/>
  <c r="Z533" i="2"/>
  <c r="Z534" i="2"/>
  <c r="AF534" i="2" s="1"/>
  <c r="AG534" i="2" s="1"/>
  <c r="Z535" i="2"/>
  <c r="Z536" i="2"/>
  <c r="Z537" i="2"/>
  <c r="Z538" i="2"/>
  <c r="AF538" i="2" s="1"/>
  <c r="AG538" i="2" s="1"/>
  <c r="Z539" i="2"/>
  <c r="AF539" i="2" s="1"/>
  <c r="AG539" i="2" s="1"/>
  <c r="Z540" i="2"/>
  <c r="AF540" i="2" s="1"/>
  <c r="AG540" i="2" s="1"/>
  <c r="Z541" i="2"/>
  <c r="AF541" i="2" s="1"/>
  <c r="AG541" i="2" s="1"/>
  <c r="Z542" i="2"/>
  <c r="Z543" i="2"/>
  <c r="Z544" i="2"/>
  <c r="AF544" i="2" s="1"/>
  <c r="AG544" i="2" s="1"/>
  <c r="Z545" i="2"/>
  <c r="Z546" i="2"/>
  <c r="Z547" i="2"/>
  <c r="AF547" i="2" s="1"/>
  <c r="AG547" i="2" s="1"/>
  <c r="Z548" i="2"/>
  <c r="AF548" i="2" s="1"/>
  <c r="AG548" i="2" s="1"/>
  <c r="Z549" i="2"/>
  <c r="AF549" i="2" s="1"/>
  <c r="AG549" i="2" s="1"/>
  <c r="Z550" i="2"/>
  <c r="AF550" i="2" s="1"/>
  <c r="AG550" i="2" s="1"/>
  <c r="Z551" i="2"/>
  <c r="Z552" i="2"/>
  <c r="Z553" i="2"/>
  <c r="AF553" i="2" s="1"/>
  <c r="AG553" i="2" s="1"/>
  <c r="Z554" i="2"/>
  <c r="Z555" i="2"/>
  <c r="Z556" i="2"/>
  <c r="AF556" i="2" s="1"/>
  <c r="AG556" i="2" s="1"/>
  <c r="Z557" i="2"/>
  <c r="Z558" i="2"/>
  <c r="Z559" i="2"/>
  <c r="Z560" i="2"/>
  <c r="Z561" i="2"/>
  <c r="Z562" i="2"/>
  <c r="Z563" i="2"/>
  <c r="Z564" i="2"/>
  <c r="AF564" i="2" s="1"/>
  <c r="AG564" i="2" s="1"/>
  <c r="Z565" i="2"/>
  <c r="AF565" i="2" s="1"/>
  <c r="AG565" i="2" s="1"/>
  <c r="Z566" i="2"/>
  <c r="AF566" i="2" s="1"/>
  <c r="AG566" i="2" s="1"/>
  <c r="Z567" i="2"/>
  <c r="AF567" i="2" s="1"/>
  <c r="AG567" i="2" s="1"/>
  <c r="Z568" i="2"/>
  <c r="Z569" i="2"/>
  <c r="Z570" i="2"/>
  <c r="Z571" i="2"/>
  <c r="AF571" i="2" s="1"/>
  <c r="AG571" i="2" s="1"/>
  <c r="Z572" i="2"/>
  <c r="Z573" i="2"/>
  <c r="Z574" i="2"/>
  <c r="Z575" i="2"/>
  <c r="Z576" i="2"/>
  <c r="Z577" i="2"/>
  <c r="AF577" i="2" s="1"/>
  <c r="AG577" i="2" s="1"/>
  <c r="Z578" i="2"/>
  <c r="Z579" i="2"/>
  <c r="Z580" i="2"/>
  <c r="Z581" i="2"/>
  <c r="Z582" i="2"/>
  <c r="Z583" i="2"/>
  <c r="Z584" i="2"/>
  <c r="Z585" i="2"/>
  <c r="AF585" i="2" s="1"/>
  <c r="AG585" i="2" s="1"/>
  <c r="Z586" i="2"/>
  <c r="AF586" i="2" s="1"/>
  <c r="AG586" i="2" s="1"/>
  <c r="Z587" i="2"/>
  <c r="AF587" i="2" s="1"/>
  <c r="AG587" i="2" s="1"/>
  <c r="Z588" i="2"/>
  <c r="Z589" i="2"/>
  <c r="Z590" i="2"/>
  <c r="Z591" i="2"/>
  <c r="AF591" i="2" s="1"/>
  <c r="AG591" i="2" s="1"/>
  <c r="Z592" i="2"/>
  <c r="AF592" i="2" s="1"/>
  <c r="AG592" i="2" s="1"/>
  <c r="Z593" i="2"/>
  <c r="Z594" i="2"/>
  <c r="Z595" i="2"/>
  <c r="Z596" i="2"/>
  <c r="Z597" i="2"/>
  <c r="Z598" i="2"/>
  <c r="Z599" i="2"/>
  <c r="AF599" i="2" s="1"/>
  <c r="AG599" i="2" s="1"/>
  <c r="Z600" i="2"/>
  <c r="AF600" i="2" s="1"/>
  <c r="AG600" i="2" s="1"/>
  <c r="Z601" i="2"/>
  <c r="AF601" i="2" s="1"/>
  <c r="AG601" i="2" s="1"/>
  <c r="Z602" i="2"/>
  <c r="AF602" i="2" s="1"/>
  <c r="AG602" i="2" s="1"/>
  <c r="Z603" i="2"/>
  <c r="AF603" i="2" s="1"/>
  <c r="AG603" i="2" s="1"/>
  <c r="Z604" i="2"/>
  <c r="AF604" i="2" s="1"/>
  <c r="AG604" i="2" s="1"/>
  <c r="Z605" i="2"/>
  <c r="AF605" i="2" s="1"/>
  <c r="AG605" i="2" s="1"/>
  <c r="Z606" i="2"/>
  <c r="Z607" i="2"/>
  <c r="AF607" i="2" s="1"/>
  <c r="AG607" i="2" s="1"/>
  <c r="Z608" i="2"/>
  <c r="AF608" i="2" s="1"/>
  <c r="AG608" i="2" s="1"/>
  <c r="Z609" i="2"/>
  <c r="Z610" i="2"/>
  <c r="Z611" i="2"/>
  <c r="Z612" i="2"/>
  <c r="Z613" i="2"/>
  <c r="Z614" i="2"/>
  <c r="AF614" i="2" s="1"/>
  <c r="AG614" i="2" s="1"/>
  <c r="Z615" i="2"/>
  <c r="Z616" i="2"/>
  <c r="Z617" i="2"/>
  <c r="Z618" i="2"/>
  <c r="Z619" i="2"/>
  <c r="Z620" i="2"/>
  <c r="Z621" i="2"/>
  <c r="Z622" i="2"/>
  <c r="Z623" i="2"/>
  <c r="AF623" i="2" s="1"/>
  <c r="AG623" i="2" s="1"/>
  <c r="Z624" i="2"/>
  <c r="Z625" i="2"/>
  <c r="Z626" i="2"/>
  <c r="Z627" i="2"/>
  <c r="Z628" i="2"/>
  <c r="Z629" i="2"/>
  <c r="AF629" i="2" s="1"/>
  <c r="AG629" i="2" s="1"/>
  <c r="Z630" i="2"/>
  <c r="AF630" i="2" s="1"/>
  <c r="AG630" i="2" s="1"/>
  <c r="Z631" i="2"/>
  <c r="AF631" i="2" s="1"/>
  <c r="AG631" i="2" s="1"/>
  <c r="Z632" i="2"/>
  <c r="AF632" i="2" s="1"/>
  <c r="AG632" i="2" s="1"/>
  <c r="Z633" i="2"/>
  <c r="AF633" i="2" s="1"/>
  <c r="AG633" i="2" s="1"/>
  <c r="Z634" i="2"/>
  <c r="AF634" i="2" s="1"/>
  <c r="AG634" i="2" s="1"/>
  <c r="Z635" i="2"/>
  <c r="AF635" i="2" s="1"/>
  <c r="AG635" i="2" s="1"/>
  <c r="Z636" i="2"/>
  <c r="AF636" i="2" s="1"/>
  <c r="AG636" i="2" s="1"/>
  <c r="Z637" i="2"/>
  <c r="AF637" i="2" s="1"/>
  <c r="AG637" i="2" s="1"/>
  <c r="Z638" i="2"/>
  <c r="Z639" i="2"/>
  <c r="Z640" i="2"/>
  <c r="Z641" i="2"/>
  <c r="AF641" i="2" s="1"/>
  <c r="AG641" i="2" s="1"/>
  <c r="Z642" i="2"/>
  <c r="AF642" i="2" s="1"/>
  <c r="AG642" i="2" s="1"/>
  <c r="Z643" i="2"/>
  <c r="Z644" i="2"/>
  <c r="Z645" i="2"/>
  <c r="Z646" i="2"/>
  <c r="Z647" i="2"/>
  <c r="Z648" i="2"/>
  <c r="AF648" i="2" s="1"/>
  <c r="AG648" i="2" s="1"/>
  <c r="Z649" i="2"/>
  <c r="AF649" i="2" s="1"/>
  <c r="AG649" i="2" s="1"/>
  <c r="Z650" i="2"/>
  <c r="AF650" i="2" s="1"/>
  <c r="AG650" i="2" s="1"/>
  <c r="Z651" i="2"/>
  <c r="AF651" i="2" s="1"/>
  <c r="AG651" i="2" s="1"/>
  <c r="Z652" i="2"/>
  <c r="AF652" i="2" s="1"/>
  <c r="AG652" i="2" s="1"/>
  <c r="Z653" i="2"/>
  <c r="AF653" i="2" s="1"/>
  <c r="AG653" i="2" s="1"/>
  <c r="Z654" i="2"/>
  <c r="AF654" i="2" s="1"/>
  <c r="AG654" i="2" s="1"/>
  <c r="Z655" i="2"/>
  <c r="Z656" i="2"/>
  <c r="AF656" i="2" s="1"/>
  <c r="AG656" i="2" s="1"/>
  <c r="Z657" i="2"/>
  <c r="AF657" i="2" s="1"/>
  <c r="AG657" i="2" s="1"/>
  <c r="Z658" i="2"/>
  <c r="Z659" i="2"/>
  <c r="AF659" i="2" s="1"/>
  <c r="AG659" i="2" s="1"/>
  <c r="Z660" i="2"/>
  <c r="AF660" i="2" s="1"/>
  <c r="AG660" i="2" s="1"/>
  <c r="Z661" i="2"/>
  <c r="AF661" i="2" s="1"/>
  <c r="AG661" i="2" s="1"/>
  <c r="Z662" i="2"/>
  <c r="AF662" i="2" s="1"/>
  <c r="AG662" i="2" s="1"/>
  <c r="Z663" i="2"/>
  <c r="AF663" i="2" s="1"/>
  <c r="AG663" i="2" s="1"/>
  <c r="Z664" i="2"/>
  <c r="AF664" i="2" s="1"/>
  <c r="AG664" i="2" s="1"/>
  <c r="Z665" i="2"/>
  <c r="AF665" i="2" s="1"/>
  <c r="AG665" i="2" s="1"/>
  <c r="Z666" i="2"/>
  <c r="AF666" i="2" s="1"/>
  <c r="AG666" i="2" s="1"/>
  <c r="Z667" i="2"/>
  <c r="AF667" i="2" s="1"/>
  <c r="AG667" i="2" s="1"/>
  <c r="Z668" i="2"/>
  <c r="AF668" i="2" s="1"/>
  <c r="AG668" i="2" s="1"/>
  <c r="Z669" i="2"/>
  <c r="AF669" i="2" s="1"/>
  <c r="AG669" i="2" s="1"/>
  <c r="Z670" i="2"/>
  <c r="AF670" i="2" s="1"/>
  <c r="AG670" i="2" s="1"/>
  <c r="Z671" i="2"/>
  <c r="AF671" i="2" s="1"/>
  <c r="AG671" i="2" s="1"/>
  <c r="Z672" i="2"/>
  <c r="AF672" i="2" s="1"/>
  <c r="AG672" i="2" s="1"/>
  <c r="Z673" i="2"/>
  <c r="AF673" i="2" s="1"/>
  <c r="AG673" i="2" s="1"/>
  <c r="Z674" i="2"/>
  <c r="AF674" i="2" s="1"/>
  <c r="AG674" i="2" s="1"/>
  <c r="Z675" i="2"/>
  <c r="AF675" i="2" s="1"/>
  <c r="AG675" i="2" s="1"/>
  <c r="Z676" i="2"/>
  <c r="AF676" i="2" s="1"/>
  <c r="AG676" i="2" s="1"/>
  <c r="Z677" i="2"/>
  <c r="AF677" i="2" s="1"/>
  <c r="AG677" i="2" s="1"/>
  <c r="Z678" i="2"/>
  <c r="AF678" i="2" s="1"/>
  <c r="AG678" i="2" s="1"/>
  <c r="Z679" i="2"/>
  <c r="AF679" i="2" s="1"/>
  <c r="AG679" i="2" s="1"/>
  <c r="Z680" i="2"/>
  <c r="AF680" i="2" s="1"/>
  <c r="AG680" i="2" s="1"/>
  <c r="Z681" i="2"/>
  <c r="AF681" i="2" s="1"/>
  <c r="AG681" i="2" s="1"/>
  <c r="Z682" i="2"/>
  <c r="AF682" i="2" s="1"/>
  <c r="AG682" i="2" s="1"/>
  <c r="Z683" i="2"/>
  <c r="AF683" i="2" s="1"/>
  <c r="AG683" i="2" s="1"/>
  <c r="Z684" i="2"/>
  <c r="AF684" i="2" s="1"/>
  <c r="AG684" i="2" s="1"/>
  <c r="Z685" i="2"/>
  <c r="AF685" i="2" s="1"/>
  <c r="AG685" i="2" s="1"/>
  <c r="Z686" i="2"/>
  <c r="Z687" i="2"/>
  <c r="AF687" i="2" s="1"/>
  <c r="AG687" i="2" s="1"/>
  <c r="Z688" i="2"/>
  <c r="AF688" i="2" s="1"/>
  <c r="AG688" i="2" s="1"/>
  <c r="Z689" i="2"/>
  <c r="AF689" i="2" s="1"/>
  <c r="AG689" i="2" s="1"/>
  <c r="Z690" i="2"/>
  <c r="AF690" i="2" s="1"/>
  <c r="AG690" i="2" s="1"/>
  <c r="Z691" i="2"/>
  <c r="AF691" i="2" s="1"/>
  <c r="AG691" i="2" s="1"/>
  <c r="Z692" i="2"/>
  <c r="AF692" i="2" s="1"/>
  <c r="AG692" i="2" s="1"/>
  <c r="Z693" i="2"/>
  <c r="AF693" i="2" s="1"/>
  <c r="AG693" i="2" s="1"/>
  <c r="Z694" i="2"/>
  <c r="AF694" i="2" s="1"/>
  <c r="AG694" i="2" s="1"/>
  <c r="Z695" i="2"/>
  <c r="AF695" i="2" s="1"/>
  <c r="AG695" i="2" s="1"/>
  <c r="Z696" i="2"/>
  <c r="AF696" i="2" s="1"/>
  <c r="AG696" i="2" s="1"/>
  <c r="Z697" i="2"/>
  <c r="AF697" i="2" s="1"/>
  <c r="AG697" i="2" s="1"/>
  <c r="Z698" i="2"/>
  <c r="AF698" i="2" s="1"/>
  <c r="AG698" i="2" s="1"/>
  <c r="Z699" i="2"/>
  <c r="AF699" i="2" s="1"/>
  <c r="AG699" i="2" s="1"/>
  <c r="Z700" i="2"/>
  <c r="AF700" i="2" s="1"/>
  <c r="AG700" i="2" s="1"/>
  <c r="Z701" i="2"/>
  <c r="AF701" i="2" s="1"/>
  <c r="AG701" i="2" s="1"/>
  <c r="Z702" i="2"/>
  <c r="Z703" i="2"/>
  <c r="AF703" i="2" s="1"/>
  <c r="AG703" i="2" s="1"/>
  <c r="Z704" i="2"/>
  <c r="AF704" i="2" s="1"/>
  <c r="AG704" i="2" s="1"/>
  <c r="Z705" i="2"/>
  <c r="AF705" i="2" s="1"/>
  <c r="AG705" i="2" s="1"/>
  <c r="Z706" i="2"/>
  <c r="AF706" i="2" s="1"/>
  <c r="AG706" i="2" s="1"/>
  <c r="Z707" i="2"/>
  <c r="AF707" i="2" s="1"/>
  <c r="AG707" i="2" s="1"/>
  <c r="Z708" i="2"/>
  <c r="AF708" i="2" s="1"/>
  <c r="AG708" i="2" s="1"/>
  <c r="Z709" i="2"/>
  <c r="AF709" i="2" s="1"/>
  <c r="AG709" i="2" s="1"/>
  <c r="Z710" i="2"/>
  <c r="AF710" i="2" s="1"/>
  <c r="AG710" i="2" s="1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K6" i="2"/>
  <c r="AN6" i="2" s="1"/>
  <c r="AO6" i="2" s="1"/>
  <c r="AK7" i="2"/>
  <c r="AK8" i="2"/>
  <c r="AN8" i="2" s="1"/>
  <c r="AO8" i="2" s="1"/>
  <c r="AK9" i="2"/>
  <c r="AK10" i="2"/>
  <c r="AN10" i="2" s="1"/>
  <c r="AO10" i="2" s="1"/>
  <c r="AK11" i="2"/>
  <c r="AK12" i="2"/>
  <c r="AP46" i="2" s="1"/>
  <c r="AK13" i="2"/>
  <c r="AN13" i="2" s="1"/>
  <c r="AO13" i="2" s="1"/>
  <c r="AK14" i="2"/>
  <c r="AK15" i="2"/>
  <c r="AK16" i="2"/>
  <c r="AN16" i="2" s="1"/>
  <c r="AO16" i="2" s="1"/>
  <c r="AK17" i="2"/>
  <c r="AK18" i="2"/>
  <c r="AL18" i="2" s="1"/>
  <c r="AM18" i="2" s="1"/>
  <c r="AK19" i="2"/>
  <c r="AN19" i="2" s="1"/>
  <c r="AO19" i="2" s="1"/>
  <c r="AK20" i="2"/>
  <c r="AN20" i="2" s="1"/>
  <c r="AO20" i="2" s="1"/>
  <c r="AK21" i="2"/>
  <c r="AK22" i="2"/>
  <c r="AK23" i="2"/>
  <c r="AL23" i="2" s="1"/>
  <c r="AM23" i="2" s="1"/>
  <c r="AK24" i="2"/>
  <c r="AK25" i="2"/>
  <c r="AK26" i="2"/>
  <c r="AN26" i="2" s="1"/>
  <c r="AO26" i="2" s="1"/>
  <c r="AK27" i="2"/>
  <c r="AN27" i="2" s="1"/>
  <c r="AO27" i="2" s="1"/>
  <c r="AK28" i="2"/>
  <c r="AL28" i="2" s="1"/>
  <c r="AM28" i="2" s="1"/>
  <c r="AK29" i="2"/>
  <c r="AK30" i="2"/>
  <c r="AK31" i="2"/>
  <c r="AK32" i="2"/>
  <c r="AK33" i="2"/>
  <c r="AL33" i="2" s="1"/>
  <c r="AM33" i="2" s="1"/>
  <c r="AK34" i="2"/>
  <c r="AK35" i="2"/>
  <c r="AN35" i="2" s="1"/>
  <c r="AO35" i="2" s="1"/>
  <c r="AK36" i="2"/>
  <c r="AL36" i="2" s="1"/>
  <c r="AM36" i="2" s="1"/>
  <c r="AK37" i="2"/>
  <c r="AK38" i="2"/>
  <c r="AL38" i="2" s="1"/>
  <c r="AM38" i="2" s="1"/>
  <c r="AK39" i="2"/>
  <c r="AL39" i="2" s="1"/>
  <c r="AM39" i="2" s="1"/>
  <c r="AK40" i="2"/>
  <c r="AN40" i="2" s="1"/>
  <c r="AO40" i="2" s="1"/>
  <c r="AK41" i="2"/>
  <c r="AK42" i="2"/>
  <c r="AN42" i="2" s="1"/>
  <c r="AO42" i="2" s="1"/>
  <c r="AK43" i="2"/>
  <c r="AL43" i="2" s="1"/>
  <c r="AM43" i="2" s="1"/>
  <c r="AK44" i="2"/>
  <c r="AL44" i="2" s="1"/>
  <c r="AM44" i="2" s="1"/>
  <c r="AK45" i="2"/>
  <c r="AK46" i="2"/>
  <c r="AL46" i="2" s="1"/>
  <c r="AM46" i="2" s="1"/>
  <c r="AK47" i="2"/>
  <c r="AK48" i="2"/>
  <c r="AP48" i="2" s="1"/>
  <c r="AK49" i="2"/>
  <c r="AN49" i="2" s="1"/>
  <c r="AO49" i="2" s="1"/>
  <c r="AK50" i="2"/>
  <c r="AN50" i="2" s="1"/>
  <c r="AO50" i="2" s="1"/>
  <c r="AK51" i="2"/>
  <c r="AK52" i="2"/>
  <c r="AK53" i="2"/>
  <c r="AK54" i="2"/>
  <c r="AK55" i="2"/>
  <c r="AN55" i="2" s="1"/>
  <c r="AO55" i="2" s="1"/>
  <c r="AK56" i="2"/>
  <c r="AL56" i="2" s="1"/>
  <c r="AM56" i="2" s="1"/>
  <c r="AK57" i="2"/>
  <c r="AK58" i="2"/>
  <c r="AN58" i="2" s="1"/>
  <c r="AO58" i="2" s="1"/>
  <c r="AK59" i="2"/>
  <c r="AL59" i="2" s="1"/>
  <c r="AM59" i="2" s="1"/>
  <c r="AK60" i="2"/>
  <c r="AK61" i="2"/>
  <c r="AK62" i="2"/>
  <c r="AN62" i="2" s="1"/>
  <c r="AO62" i="2" s="1"/>
  <c r="AK63" i="2"/>
  <c r="AK64" i="2"/>
  <c r="AK65" i="2"/>
  <c r="AN65" i="2" s="1"/>
  <c r="AO65" i="2" s="1"/>
  <c r="AK66" i="2"/>
  <c r="AN66" i="2" s="1"/>
  <c r="AO66" i="2" s="1"/>
  <c r="AK67" i="2"/>
  <c r="AN67" i="2" s="1"/>
  <c r="AO67" i="2" s="1"/>
  <c r="AK68" i="2"/>
  <c r="AK69" i="2"/>
  <c r="AK70" i="2"/>
  <c r="AL70" i="2" s="1"/>
  <c r="AM70" i="2" s="1"/>
  <c r="AK71" i="2"/>
  <c r="AK72" i="2"/>
  <c r="AK73" i="2"/>
  <c r="AK74" i="2"/>
  <c r="AK75" i="2"/>
  <c r="AK76" i="2"/>
  <c r="AL76" i="2" s="1"/>
  <c r="AM76" i="2" s="1"/>
  <c r="AK77" i="2"/>
  <c r="AK78" i="2"/>
  <c r="AN78" i="2" s="1"/>
  <c r="AO78" i="2" s="1"/>
  <c r="AK79" i="2"/>
  <c r="AK80" i="2"/>
  <c r="AL80" i="2" s="1"/>
  <c r="AM80" i="2" s="1"/>
  <c r="AK81" i="2"/>
  <c r="AN81" i="2" s="1"/>
  <c r="AO81" i="2" s="1"/>
  <c r="AK82" i="2"/>
  <c r="AK83" i="2"/>
  <c r="AN83" i="2" s="1"/>
  <c r="AO83" i="2" s="1"/>
  <c r="AK84" i="2"/>
  <c r="AL84" i="2" s="1"/>
  <c r="AM84" i="2" s="1"/>
  <c r="AK85" i="2"/>
  <c r="AL85" i="2" s="1"/>
  <c r="AM85" i="2" s="1"/>
  <c r="AK86" i="2"/>
  <c r="AK87" i="2"/>
  <c r="AL87" i="2" s="1"/>
  <c r="AM87" i="2" s="1"/>
  <c r="AK88" i="2"/>
  <c r="AL88" i="2" s="1"/>
  <c r="AM88" i="2" s="1"/>
  <c r="AK89" i="2"/>
  <c r="AK90" i="2"/>
  <c r="AN90" i="2" s="1"/>
  <c r="AO90" i="2" s="1"/>
  <c r="AK91" i="2"/>
  <c r="AL91" i="2" s="1"/>
  <c r="AM91" i="2" s="1"/>
  <c r="AK92" i="2"/>
  <c r="AL92" i="2" s="1"/>
  <c r="AM92" i="2" s="1"/>
  <c r="AK93" i="2"/>
  <c r="AK94" i="2"/>
  <c r="AN94" i="2" s="1"/>
  <c r="AO94" i="2" s="1"/>
  <c r="AK95" i="2"/>
  <c r="AK96" i="2"/>
  <c r="AK97" i="2"/>
  <c r="AK98" i="2"/>
  <c r="AK99" i="2"/>
  <c r="AN99" i="2" s="1"/>
  <c r="AO99" i="2" s="1"/>
  <c r="AK100" i="2"/>
  <c r="AL100" i="2" s="1"/>
  <c r="AM100" i="2" s="1"/>
  <c r="AK101" i="2"/>
  <c r="AN101" i="2" s="1"/>
  <c r="AO101" i="2" s="1"/>
  <c r="AK102" i="2"/>
  <c r="AK103" i="2"/>
  <c r="AK104" i="2"/>
  <c r="AK105" i="2"/>
  <c r="AN105" i="2" s="1"/>
  <c r="AO105" i="2" s="1"/>
  <c r="AK106" i="2"/>
  <c r="AK107" i="2"/>
  <c r="AK108" i="2"/>
  <c r="AN108" i="2" s="1"/>
  <c r="AO108" i="2" s="1"/>
  <c r="AK109" i="2"/>
  <c r="AL109" i="2" s="1"/>
  <c r="AM109" i="2" s="1"/>
  <c r="AK110" i="2"/>
  <c r="AL110" i="2" s="1"/>
  <c r="AM110" i="2" s="1"/>
  <c r="AK111" i="2"/>
  <c r="AK112" i="2"/>
  <c r="AK113" i="2"/>
  <c r="AK114" i="2"/>
  <c r="AL114" i="2" s="1"/>
  <c r="AM114" i="2" s="1"/>
  <c r="AK115" i="2"/>
  <c r="AN115" i="2" s="1"/>
  <c r="AO115" i="2" s="1"/>
  <c r="AK116" i="2"/>
  <c r="AK117" i="2"/>
  <c r="AL117" i="2" s="1"/>
  <c r="AM117" i="2" s="1"/>
  <c r="AK118" i="2"/>
  <c r="AK119" i="2"/>
  <c r="AL119" i="2" s="1"/>
  <c r="AM119" i="2" s="1"/>
  <c r="AK120" i="2"/>
  <c r="AK121" i="2"/>
  <c r="AK122" i="2"/>
  <c r="AK123" i="2"/>
  <c r="AN123" i="2" s="1"/>
  <c r="AO123" i="2" s="1"/>
  <c r="AK124" i="2"/>
  <c r="AN124" i="2" s="1"/>
  <c r="AO124" i="2" s="1"/>
  <c r="AK125" i="2"/>
  <c r="AN125" i="2" s="1"/>
  <c r="AO125" i="2" s="1"/>
  <c r="AK126" i="2"/>
  <c r="AN126" i="2" s="1"/>
  <c r="AO126" i="2" s="1"/>
  <c r="AK127" i="2"/>
  <c r="AN127" i="2" s="1"/>
  <c r="AO127" i="2" s="1"/>
  <c r="AK128" i="2"/>
  <c r="AL128" i="2" s="1"/>
  <c r="AM128" i="2" s="1"/>
  <c r="AK129" i="2"/>
  <c r="AL129" i="2" s="1"/>
  <c r="AM129" i="2" s="1"/>
  <c r="AK130" i="2"/>
  <c r="AK131" i="2"/>
  <c r="AN131" i="2" s="1"/>
  <c r="AO131" i="2" s="1"/>
  <c r="AK132" i="2"/>
  <c r="AK133" i="2"/>
  <c r="AK134" i="2"/>
  <c r="AK135" i="2"/>
  <c r="AN135" i="2" s="1"/>
  <c r="AO135" i="2" s="1"/>
  <c r="AK136" i="2"/>
  <c r="AL136" i="2" s="1"/>
  <c r="AM136" i="2" s="1"/>
  <c r="AK137" i="2"/>
  <c r="AK138" i="2"/>
  <c r="AN138" i="2" s="1"/>
  <c r="AO138" i="2" s="1"/>
  <c r="AK139" i="2"/>
  <c r="AN139" i="2" s="1"/>
  <c r="AO139" i="2" s="1"/>
  <c r="AK140" i="2"/>
  <c r="AK141" i="2"/>
  <c r="AK142" i="2"/>
  <c r="AL142" i="2" s="1"/>
  <c r="AM142" i="2" s="1"/>
  <c r="AK143" i="2"/>
  <c r="AK144" i="2"/>
  <c r="AL144" i="2" s="1"/>
  <c r="AM144" i="2" s="1"/>
  <c r="AK145" i="2"/>
  <c r="AL145" i="2" s="1"/>
  <c r="AM145" i="2" s="1"/>
  <c r="AK146" i="2"/>
  <c r="AN146" i="2" s="1"/>
  <c r="AO146" i="2" s="1"/>
  <c r="AK147" i="2"/>
  <c r="AL147" i="2" s="1"/>
  <c r="AM147" i="2" s="1"/>
  <c r="AK148" i="2"/>
  <c r="AK149" i="2"/>
  <c r="AK150" i="2"/>
  <c r="AL150" i="2" s="1"/>
  <c r="AM150" i="2" s="1"/>
  <c r="AK151" i="2"/>
  <c r="AL151" i="2" s="1"/>
  <c r="AM151" i="2" s="1"/>
  <c r="AK152" i="2"/>
  <c r="AL152" i="2" s="1"/>
  <c r="AM152" i="2" s="1"/>
  <c r="AK153" i="2"/>
  <c r="AL153" i="2" s="1"/>
  <c r="AM153" i="2" s="1"/>
  <c r="AK154" i="2"/>
  <c r="AN154" i="2" s="1"/>
  <c r="AO154" i="2" s="1"/>
  <c r="AK155" i="2"/>
  <c r="AK156" i="2"/>
  <c r="AN156" i="2" s="1"/>
  <c r="AO156" i="2" s="1"/>
  <c r="AK157" i="2"/>
  <c r="AK158" i="2"/>
  <c r="AK159" i="2"/>
  <c r="AK160" i="2"/>
  <c r="AL160" i="2" s="1"/>
  <c r="AM160" i="2" s="1"/>
  <c r="AK161" i="2"/>
  <c r="AN161" i="2" s="1"/>
  <c r="AO161" i="2" s="1"/>
  <c r="AK162" i="2"/>
  <c r="AK163" i="2"/>
  <c r="AK164" i="2"/>
  <c r="AK165" i="2"/>
  <c r="AK166" i="2"/>
  <c r="AK167" i="2"/>
  <c r="AK168" i="2"/>
  <c r="AK169" i="2"/>
  <c r="AN169" i="2" s="1"/>
  <c r="AO169" i="2" s="1"/>
  <c r="AK170" i="2"/>
  <c r="AK171" i="2"/>
  <c r="AL171" i="2" s="1"/>
  <c r="AM171" i="2" s="1"/>
  <c r="AK172" i="2"/>
  <c r="AL172" i="2" s="1"/>
  <c r="AM172" i="2" s="1"/>
  <c r="AK173" i="2"/>
  <c r="AK174" i="2"/>
  <c r="AK175" i="2"/>
  <c r="AL175" i="2" s="1"/>
  <c r="AM175" i="2" s="1"/>
  <c r="AK176" i="2"/>
  <c r="AK177" i="2"/>
  <c r="AK178" i="2"/>
  <c r="AN178" i="2" s="1"/>
  <c r="AO178" i="2" s="1"/>
  <c r="AK179" i="2"/>
  <c r="AK180" i="2"/>
  <c r="AK181" i="2"/>
  <c r="AK182" i="2"/>
  <c r="AK183" i="2"/>
  <c r="AK184" i="2"/>
  <c r="AK185" i="2"/>
  <c r="AL185" i="2" s="1"/>
  <c r="AM185" i="2" s="1"/>
  <c r="AK186" i="2"/>
  <c r="AN186" i="2" s="1"/>
  <c r="AO186" i="2" s="1"/>
  <c r="AK187" i="2"/>
  <c r="AK188" i="2"/>
  <c r="AK189" i="2"/>
  <c r="AL189" i="2" s="1"/>
  <c r="AM189" i="2" s="1"/>
  <c r="AK190" i="2"/>
  <c r="AN190" i="2" s="1"/>
  <c r="AO190" i="2" s="1"/>
  <c r="AK191" i="2"/>
  <c r="AK192" i="2"/>
  <c r="AL192" i="2" s="1"/>
  <c r="AM192" i="2" s="1"/>
  <c r="AK193" i="2"/>
  <c r="AK194" i="2"/>
  <c r="AK195" i="2"/>
  <c r="AP195" i="2" s="1"/>
  <c r="AK196" i="2"/>
  <c r="AL196" i="2" s="1"/>
  <c r="AM196" i="2" s="1"/>
  <c r="AK197" i="2"/>
  <c r="AK198" i="2"/>
  <c r="AK199" i="2"/>
  <c r="AK200" i="2"/>
  <c r="AL200" i="2" s="1"/>
  <c r="AM200" i="2" s="1"/>
  <c r="AK201" i="2"/>
  <c r="AK202" i="2"/>
  <c r="AN202" i="2" s="1"/>
  <c r="AO202" i="2" s="1"/>
  <c r="AK203" i="2"/>
  <c r="AK204" i="2"/>
  <c r="AN204" i="2" s="1"/>
  <c r="AO204" i="2" s="1"/>
  <c r="AK205" i="2"/>
  <c r="AK206" i="2"/>
  <c r="AK207" i="2"/>
  <c r="AL207" i="2" s="1"/>
  <c r="AM207" i="2" s="1"/>
  <c r="AK208" i="2"/>
  <c r="AN208" i="2" s="1"/>
  <c r="AO208" i="2" s="1"/>
  <c r="AK209" i="2"/>
  <c r="AL209" i="2" s="1"/>
  <c r="AM209" i="2" s="1"/>
  <c r="AK210" i="2"/>
  <c r="AK211" i="2"/>
  <c r="AK212" i="2"/>
  <c r="AL212" i="2" s="1"/>
  <c r="AM212" i="2" s="1"/>
  <c r="AK213" i="2"/>
  <c r="AL213" i="2" s="1"/>
  <c r="AM213" i="2" s="1"/>
  <c r="AK214" i="2"/>
  <c r="AK215" i="2"/>
  <c r="AK216" i="2"/>
  <c r="AK217" i="2"/>
  <c r="AL217" i="2" s="1"/>
  <c r="AM217" i="2" s="1"/>
  <c r="AK218" i="2"/>
  <c r="AK219" i="2"/>
  <c r="AK220" i="2"/>
  <c r="AN220" i="2" s="1"/>
  <c r="AO220" i="2" s="1"/>
  <c r="AK221" i="2"/>
  <c r="AL221" i="2" s="1"/>
  <c r="AM221" i="2" s="1"/>
  <c r="AK222" i="2"/>
  <c r="AK223" i="2"/>
  <c r="AN223" i="2" s="1"/>
  <c r="AO223" i="2" s="1"/>
  <c r="AK224" i="2"/>
  <c r="AN224" i="2" s="1"/>
  <c r="AO224" i="2" s="1"/>
  <c r="AK225" i="2"/>
  <c r="AK226" i="2"/>
  <c r="AL226" i="2" s="1"/>
  <c r="AM226" i="2" s="1"/>
  <c r="AK227" i="2"/>
  <c r="AL227" i="2" s="1"/>
  <c r="AM227" i="2" s="1"/>
  <c r="AK228" i="2"/>
  <c r="AK229" i="2"/>
  <c r="AK230" i="2"/>
  <c r="AL230" i="2" s="1"/>
  <c r="AM230" i="2" s="1"/>
  <c r="AK231" i="2"/>
  <c r="AK232" i="2"/>
  <c r="AK233" i="2"/>
  <c r="AN233" i="2" s="1"/>
  <c r="AO233" i="2" s="1"/>
  <c r="AK234" i="2"/>
  <c r="AK235" i="2"/>
  <c r="AN235" i="2" s="1"/>
  <c r="AO235" i="2" s="1"/>
  <c r="AK236" i="2"/>
  <c r="AK237" i="2"/>
  <c r="AK238" i="2"/>
  <c r="AN238" i="2" s="1"/>
  <c r="AO238" i="2" s="1"/>
  <c r="AK239" i="2"/>
  <c r="AK240" i="2"/>
  <c r="AN240" i="2" s="1"/>
  <c r="AO240" i="2" s="1"/>
  <c r="AK241" i="2"/>
  <c r="AL241" i="2" s="1"/>
  <c r="AM241" i="2" s="1"/>
  <c r="AK242" i="2"/>
  <c r="AK243" i="2"/>
  <c r="AK244" i="2"/>
  <c r="AL244" i="2" s="1"/>
  <c r="AM244" i="2" s="1"/>
  <c r="AK245" i="2"/>
  <c r="AL245" i="2" s="1"/>
  <c r="AM245" i="2" s="1"/>
  <c r="AK246" i="2"/>
  <c r="AK247" i="2"/>
  <c r="AK248" i="2"/>
  <c r="AN248" i="2" s="1"/>
  <c r="AO248" i="2" s="1"/>
  <c r="AK249" i="2"/>
  <c r="AK250" i="2"/>
  <c r="AK251" i="2"/>
  <c r="AN251" i="2" s="1"/>
  <c r="AO251" i="2" s="1"/>
  <c r="AK252" i="2"/>
  <c r="AN252" i="2" s="1"/>
  <c r="AO252" i="2" s="1"/>
  <c r="AK253" i="2"/>
  <c r="AL253" i="2" s="1"/>
  <c r="AM253" i="2" s="1"/>
  <c r="AK254" i="2"/>
  <c r="AN254" i="2" s="1"/>
  <c r="AO254" i="2" s="1"/>
  <c r="AK255" i="2"/>
  <c r="AL255" i="2" s="1"/>
  <c r="AM255" i="2" s="1"/>
  <c r="AK256" i="2"/>
  <c r="AL256" i="2" s="1"/>
  <c r="AM256" i="2" s="1"/>
  <c r="AK257" i="2"/>
  <c r="AL257" i="2" s="1"/>
  <c r="AM257" i="2" s="1"/>
  <c r="AK258" i="2"/>
  <c r="AK259" i="2"/>
  <c r="AN259" i="2" s="1"/>
  <c r="AO259" i="2" s="1"/>
  <c r="AK260" i="2"/>
  <c r="AL260" i="2" s="1"/>
  <c r="AM260" i="2" s="1"/>
  <c r="AK261" i="2"/>
  <c r="AK262" i="2"/>
  <c r="AL262" i="2" s="1"/>
  <c r="AM262" i="2" s="1"/>
  <c r="AK263" i="2"/>
  <c r="AL263" i="2" s="1"/>
  <c r="AM263" i="2" s="1"/>
  <c r="AK264" i="2"/>
  <c r="AK265" i="2"/>
  <c r="AN265" i="2" s="1"/>
  <c r="AO265" i="2" s="1"/>
  <c r="AK266" i="2"/>
  <c r="AK267" i="2"/>
  <c r="AN267" i="2" s="1"/>
  <c r="AO267" i="2" s="1"/>
  <c r="AK268" i="2"/>
  <c r="AK269" i="2"/>
  <c r="AK270" i="2"/>
  <c r="AL270" i="2" s="1"/>
  <c r="AM270" i="2" s="1"/>
  <c r="AK271" i="2"/>
  <c r="AK272" i="2"/>
  <c r="AN272" i="2" s="1"/>
  <c r="AO272" i="2" s="1"/>
  <c r="AK273" i="2"/>
  <c r="AK274" i="2"/>
  <c r="AL274" i="2" s="1"/>
  <c r="AM274" i="2" s="1"/>
  <c r="AK275" i="2"/>
  <c r="AK276" i="2"/>
  <c r="AK277" i="2"/>
  <c r="AK278" i="2"/>
  <c r="AK279" i="2"/>
  <c r="AK280" i="2"/>
  <c r="AL280" i="2" s="1"/>
  <c r="AM280" i="2" s="1"/>
  <c r="AK281" i="2"/>
  <c r="AL281" i="2" s="1"/>
  <c r="AM281" i="2" s="1"/>
  <c r="AK282" i="2"/>
  <c r="AN282" i="2" s="1"/>
  <c r="AO282" i="2" s="1"/>
  <c r="AK283" i="2"/>
  <c r="AK284" i="2"/>
  <c r="AK285" i="2"/>
  <c r="AK286" i="2"/>
  <c r="AK287" i="2"/>
  <c r="AN287" i="2" s="1"/>
  <c r="AO287" i="2" s="1"/>
  <c r="AK288" i="2"/>
  <c r="AN288" i="2" s="1"/>
  <c r="AO288" i="2" s="1"/>
  <c r="AK289" i="2"/>
  <c r="AN289" i="2" s="1"/>
  <c r="AO289" i="2" s="1"/>
  <c r="AK290" i="2"/>
  <c r="AK291" i="2"/>
  <c r="AK292" i="2"/>
  <c r="AK293" i="2"/>
  <c r="AK294" i="2"/>
  <c r="AK295" i="2"/>
  <c r="AK296" i="2"/>
  <c r="AL296" i="2" s="1"/>
  <c r="AM296" i="2" s="1"/>
  <c r="AK297" i="2"/>
  <c r="AL297" i="2" s="1"/>
  <c r="AM297" i="2" s="1"/>
  <c r="AK298" i="2"/>
  <c r="AK299" i="2"/>
  <c r="AN299" i="2" s="1"/>
  <c r="AO299" i="2" s="1"/>
  <c r="AK300" i="2"/>
  <c r="AL300" i="2" s="1"/>
  <c r="AM300" i="2" s="1"/>
  <c r="AK301" i="2"/>
  <c r="AK302" i="2"/>
  <c r="AL302" i="2" s="1"/>
  <c r="AM302" i="2" s="1"/>
  <c r="AK303" i="2"/>
  <c r="AL303" i="2" s="1"/>
  <c r="AM303" i="2" s="1"/>
  <c r="AK304" i="2"/>
  <c r="AK305" i="2"/>
  <c r="AK306" i="2"/>
  <c r="AN306" i="2" s="1"/>
  <c r="AO306" i="2" s="1"/>
  <c r="AK307" i="2"/>
  <c r="AL307" i="2" s="1"/>
  <c r="AM307" i="2" s="1"/>
  <c r="AK308" i="2"/>
  <c r="AK309" i="2"/>
  <c r="AL309" i="2" s="1"/>
  <c r="AM309" i="2" s="1"/>
  <c r="AK310" i="2"/>
  <c r="AL310" i="2" s="1"/>
  <c r="AM310" i="2" s="1"/>
  <c r="AK311" i="2"/>
  <c r="AL311" i="2" s="1"/>
  <c r="AM311" i="2" s="1"/>
  <c r="AK312" i="2"/>
  <c r="AL312" i="2" s="1"/>
  <c r="AM312" i="2" s="1"/>
  <c r="AP313" i="2"/>
  <c r="AK314" i="2"/>
  <c r="AN314" i="2" s="1"/>
  <c r="AO314" i="2" s="1"/>
  <c r="AK315" i="2"/>
  <c r="AL315" i="2" s="1"/>
  <c r="AM315" i="2" s="1"/>
  <c r="AK316" i="2"/>
  <c r="AK317" i="2"/>
  <c r="AN317" i="2" s="1"/>
  <c r="AO317" i="2" s="1"/>
  <c r="AK318" i="2"/>
  <c r="AN318" i="2" s="1"/>
  <c r="AO318" i="2" s="1"/>
  <c r="AK319" i="2"/>
  <c r="AK320" i="2"/>
  <c r="AK321" i="2"/>
  <c r="AL321" i="2" s="1"/>
  <c r="AM321" i="2" s="1"/>
  <c r="AK322" i="2"/>
  <c r="AL322" i="2" s="1"/>
  <c r="AM322" i="2" s="1"/>
  <c r="AK323" i="2"/>
  <c r="AK324" i="2"/>
  <c r="AK325" i="2"/>
  <c r="AK326" i="2"/>
  <c r="AK327" i="2"/>
  <c r="AK328" i="2"/>
  <c r="AK329" i="2"/>
  <c r="AK330" i="2"/>
  <c r="AN330" i="2" s="1"/>
  <c r="AO330" i="2" s="1"/>
  <c r="AK331" i="2"/>
  <c r="AN331" i="2" s="1"/>
  <c r="AO331" i="2" s="1"/>
  <c r="AK332" i="2"/>
  <c r="AL332" i="2" s="1"/>
  <c r="AM332" i="2" s="1"/>
  <c r="AK333" i="2"/>
  <c r="AN333" i="2" s="1"/>
  <c r="AO333" i="2" s="1"/>
  <c r="AK334" i="2"/>
  <c r="AN334" i="2" s="1"/>
  <c r="AO334" i="2" s="1"/>
  <c r="AK335" i="2"/>
  <c r="AK336" i="2"/>
  <c r="AL336" i="2" s="1"/>
  <c r="AM336" i="2" s="1"/>
  <c r="AK337" i="2"/>
  <c r="AL337" i="2" s="1"/>
  <c r="AM337" i="2" s="1"/>
  <c r="AK338" i="2"/>
  <c r="AN338" i="2" s="1"/>
  <c r="AO338" i="2" s="1"/>
  <c r="AK339" i="2"/>
  <c r="AK340" i="2"/>
  <c r="AK341" i="2"/>
  <c r="AN341" i="2" s="1"/>
  <c r="AO341" i="2" s="1"/>
  <c r="AK342" i="2"/>
  <c r="AK343" i="2"/>
  <c r="AK344" i="2"/>
  <c r="AN344" i="2" s="1"/>
  <c r="AO344" i="2" s="1"/>
  <c r="AK345" i="2"/>
  <c r="AK346" i="2"/>
  <c r="AN346" i="2" s="1"/>
  <c r="AO346" i="2" s="1"/>
  <c r="AK347" i="2"/>
  <c r="AK348" i="2"/>
  <c r="AN348" i="2" s="1"/>
  <c r="AO348" i="2" s="1"/>
  <c r="AK349" i="2"/>
  <c r="AL349" i="2" s="1"/>
  <c r="AM349" i="2" s="1"/>
  <c r="AK350" i="2"/>
  <c r="AL350" i="2" s="1"/>
  <c r="AM350" i="2" s="1"/>
  <c r="AK351" i="2"/>
  <c r="AL351" i="2" s="1"/>
  <c r="AM351" i="2" s="1"/>
  <c r="AK352" i="2"/>
  <c r="AL352" i="2" s="1"/>
  <c r="AM352" i="2" s="1"/>
  <c r="AK353" i="2"/>
  <c r="AK354" i="2"/>
  <c r="AL354" i="2" s="1"/>
  <c r="AM354" i="2" s="1"/>
  <c r="AK355" i="2"/>
  <c r="AL355" i="2" s="1"/>
  <c r="AM355" i="2" s="1"/>
  <c r="AK356" i="2"/>
  <c r="AL356" i="2" s="1"/>
  <c r="AM356" i="2" s="1"/>
  <c r="AK357" i="2"/>
  <c r="AL357" i="2" s="1"/>
  <c r="AM357" i="2" s="1"/>
  <c r="AK358" i="2"/>
  <c r="AL358" i="2" s="1"/>
  <c r="AM358" i="2" s="1"/>
  <c r="AK359" i="2"/>
  <c r="AK360" i="2"/>
  <c r="AK361" i="2"/>
  <c r="AL361" i="2" s="1"/>
  <c r="AM361" i="2" s="1"/>
  <c r="AK362" i="2"/>
  <c r="AK363" i="2"/>
  <c r="AL363" i="2" s="1"/>
  <c r="AM363" i="2" s="1"/>
  <c r="AK364" i="2"/>
  <c r="AL364" i="2" s="1"/>
  <c r="AM364" i="2" s="1"/>
  <c r="AK365" i="2"/>
  <c r="AN365" i="2" s="1"/>
  <c r="AO365" i="2" s="1"/>
  <c r="AK366" i="2"/>
  <c r="AK367" i="2"/>
  <c r="AN367" i="2" s="1"/>
  <c r="AO367" i="2" s="1"/>
  <c r="AK368" i="2"/>
  <c r="AL368" i="2" s="1"/>
  <c r="AM368" i="2" s="1"/>
  <c r="AK369" i="2"/>
  <c r="AL369" i="2" s="1"/>
  <c r="AM369" i="2" s="1"/>
  <c r="AK370" i="2"/>
  <c r="AL370" i="2" s="1"/>
  <c r="AM370" i="2" s="1"/>
  <c r="AK371" i="2"/>
  <c r="AK372" i="2"/>
  <c r="AK373" i="2"/>
  <c r="AK374" i="2"/>
  <c r="AK375" i="2"/>
  <c r="AK376" i="2"/>
  <c r="AL376" i="2" s="1"/>
  <c r="AM376" i="2" s="1"/>
  <c r="AK377" i="2"/>
  <c r="AK378" i="2"/>
  <c r="AK379" i="2"/>
  <c r="AK380" i="2"/>
  <c r="AL380" i="2" s="1"/>
  <c r="AM380" i="2" s="1"/>
  <c r="AK381" i="2"/>
  <c r="AK382" i="2"/>
  <c r="AK383" i="2"/>
  <c r="AK384" i="2"/>
  <c r="AK385" i="2"/>
  <c r="AK386" i="2"/>
  <c r="AN386" i="2" s="1"/>
  <c r="AO386" i="2" s="1"/>
  <c r="AK387" i="2"/>
  <c r="AK388" i="2"/>
  <c r="AL388" i="2" s="1"/>
  <c r="AM388" i="2" s="1"/>
  <c r="AK389" i="2"/>
  <c r="AK390" i="2"/>
  <c r="AN390" i="2" s="1"/>
  <c r="AO390" i="2" s="1"/>
  <c r="AK391" i="2"/>
  <c r="AN391" i="2" s="1"/>
  <c r="AO391" i="2" s="1"/>
  <c r="AK392" i="2"/>
  <c r="AL392" i="2" s="1"/>
  <c r="AM392" i="2" s="1"/>
  <c r="AK393" i="2"/>
  <c r="AL393" i="2" s="1"/>
  <c r="AM393" i="2" s="1"/>
  <c r="AK394" i="2"/>
  <c r="AK395" i="2"/>
  <c r="AN395" i="2" s="1"/>
  <c r="AO395" i="2" s="1"/>
  <c r="AK396" i="2"/>
  <c r="AK397" i="2"/>
  <c r="AK398" i="2"/>
  <c r="AL398" i="2" s="1"/>
  <c r="AM398" i="2" s="1"/>
  <c r="AK399" i="2"/>
  <c r="AL399" i="2" s="1"/>
  <c r="AM399" i="2" s="1"/>
  <c r="AK400" i="2"/>
  <c r="AL400" i="2" s="1"/>
  <c r="AM400" i="2" s="1"/>
  <c r="AK401" i="2"/>
  <c r="AK402" i="2"/>
  <c r="AL402" i="2" s="1"/>
  <c r="AM402" i="2" s="1"/>
  <c r="AK403" i="2"/>
  <c r="AK404" i="2"/>
  <c r="AK405" i="2"/>
  <c r="AL405" i="2" s="1"/>
  <c r="AM405" i="2" s="1"/>
  <c r="AK406" i="2"/>
  <c r="AK407" i="2"/>
  <c r="AL407" i="2" s="1"/>
  <c r="AM407" i="2" s="1"/>
  <c r="AK408" i="2"/>
  <c r="AK409" i="2"/>
  <c r="AK410" i="2"/>
  <c r="AK411" i="2"/>
  <c r="AK412" i="2"/>
  <c r="AL412" i="2" s="1"/>
  <c r="AM412" i="2" s="1"/>
  <c r="AK413" i="2"/>
  <c r="AK414" i="2"/>
  <c r="AK415" i="2"/>
  <c r="AK416" i="2"/>
  <c r="AL416" i="2" s="1"/>
  <c r="AM416" i="2" s="1"/>
  <c r="AK417" i="2"/>
  <c r="AK418" i="2"/>
  <c r="AK419" i="2"/>
  <c r="AN419" i="2" s="1"/>
  <c r="AO419" i="2" s="1"/>
  <c r="AK420" i="2"/>
  <c r="AL420" i="2" s="1"/>
  <c r="AM420" i="2" s="1"/>
  <c r="AK421" i="2"/>
  <c r="AL421" i="2" s="1"/>
  <c r="AM421" i="2" s="1"/>
  <c r="AK422" i="2"/>
  <c r="AK423" i="2"/>
  <c r="AN423" i="2" s="1"/>
  <c r="AO423" i="2" s="1"/>
  <c r="AK424" i="2"/>
  <c r="AL424" i="2" s="1"/>
  <c r="AM424" i="2" s="1"/>
  <c r="AK425" i="2"/>
  <c r="AK426" i="2"/>
  <c r="AN426" i="2" s="1"/>
  <c r="AO426" i="2" s="1"/>
  <c r="AK427" i="2"/>
  <c r="AL427" i="2" s="1"/>
  <c r="AM427" i="2" s="1"/>
  <c r="AK428" i="2"/>
  <c r="AK429" i="2"/>
  <c r="AL429" i="2" s="1"/>
  <c r="AM429" i="2" s="1"/>
  <c r="AK430" i="2"/>
  <c r="AK431" i="2"/>
  <c r="AK432" i="2"/>
  <c r="AK433" i="2"/>
  <c r="AN433" i="2" s="1"/>
  <c r="AO433" i="2" s="1"/>
  <c r="AK434" i="2"/>
  <c r="AL434" i="2" s="1"/>
  <c r="AM434" i="2" s="1"/>
  <c r="AK435" i="2"/>
  <c r="AL435" i="2" s="1"/>
  <c r="AM435" i="2" s="1"/>
  <c r="AK436" i="2"/>
  <c r="AL436" i="2" s="1"/>
  <c r="AM436" i="2" s="1"/>
  <c r="AK437" i="2"/>
  <c r="AN437" i="2" s="1"/>
  <c r="AO437" i="2" s="1"/>
  <c r="AK438" i="2"/>
  <c r="AK439" i="2"/>
  <c r="AL439" i="2" s="1"/>
  <c r="AM439" i="2" s="1"/>
  <c r="AK440" i="2"/>
  <c r="AN440" i="2" s="1"/>
  <c r="AO440" i="2" s="1"/>
  <c r="AK441" i="2"/>
  <c r="AK442" i="2"/>
  <c r="AN442" i="2" s="1"/>
  <c r="AO442" i="2" s="1"/>
  <c r="AK443" i="2"/>
  <c r="AK444" i="2"/>
  <c r="AK445" i="2"/>
  <c r="AK446" i="2"/>
  <c r="AN446" i="2" s="1"/>
  <c r="AO446" i="2" s="1"/>
  <c r="AK447" i="2"/>
  <c r="AK448" i="2"/>
  <c r="AL448" i="2" s="1"/>
  <c r="AM448" i="2" s="1"/>
  <c r="AK449" i="2"/>
  <c r="AN449" i="2" s="1"/>
  <c r="AO449" i="2" s="1"/>
  <c r="AK450" i="2"/>
  <c r="AN450" i="2" s="1"/>
  <c r="AO450" i="2" s="1"/>
  <c r="AK451" i="2"/>
  <c r="AN451" i="2" s="1"/>
  <c r="AO451" i="2" s="1"/>
  <c r="AK452" i="2"/>
  <c r="AK453" i="2"/>
  <c r="AN453" i="2" s="1"/>
  <c r="AO453" i="2" s="1"/>
  <c r="AK454" i="2"/>
  <c r="AK455" i="2"/>
  <c r="AK456" i="2"/>
  <c r="AK457" i="2"/>
  <c r="AK458" i="2"/>
  <c r="AK459" i="2"/>
  <c r="AL459" i="2" s="1"/>
  <c r="AM459" i="2" s="1"/>
  <c r="AK460" i="2"/>
  <c r="AL460" i="2" s="1"/>
  <c r="AM460" i="2" s="1"/>
  <c r="AK461" i="2"/>
  <c r="AL461" i="2" s="1"/>
  <c r="AM461" i="2" s="1"/>
  <c r="AK462" i="2"/>
  <c r="AL462" i="2" s="1"/>
  <c r="AM462" i="2" s="1"/>
  <c r="AK463" i="2"/>
  <c r="AL463" i="2" s="1"/>
  <c r="AM463" i="2" s="1"/>
  <c r="AK464" i="2"/>
  <c r="AL464" i="2" s="1"/>
  <c r="AM464" i="2" s="1"/>
  <c r="AK465" i="2"/>
  <c r="AL465" i="2" s="1"/>
  <c r="AM465" i="2" s="1"/>
  <c r="AK466" i="2"/>
  <c r="AK467" i="2"/>
  <c r="AL467" i="2" s="1"/>
  <c r="AM467" i="2" s="1"/>
  <c r="AK468" i="2"/>
  <c r="AL468" i="2" s="1"/>
  <c r="AM468" i="2" s="1"/>
  <c r="AK469" i="2"/>
  <c r="AK470" i="2"/>
  <c r="AK471" i="2"/>
  <c r="AL471" i="2" s="1"/>
  <c r="AM471" i="2" s="1"/>
  <c r="AK472" i="2"/>
  <c r="AL472" i="2" s="1"/>
  <c r="AM472" i="2" s="1"/>
  <c r="AK473" i="2"/>
  <c r="AK474" i="2"/>
  <c r="AN474" i="2" s="1"/>
  <c r="AO474" i="2" s="1"/>
  <c r="AK475" i="2"/>
  <c r="AN475" i="2" s="1"/>
  <c r="AO475" i="2" s="1"/>
  <c r="AK476" i="2"/>
  <c r="AL476" i="2" s="1"/>
  <c r="AM476" i="2" s="1"/>
  <c r="AK477" i="2"/>
  <c r="AN477" i="2" s="1"/>
  <c r="AO477" i="2" s="1"/>
  <c r="AK478" i="2"/>
  <c r="AL478" i="2" s="1"/>
  <c r="AM478" i="2" s="1"/>
  <c r="AK479" i="2"/>
  <c r="AK480" i="2"/>
  <c r="AN480" i="2" s="1"/>
  <c r="AO480" i="2" s="1"/>
  <c r="AK481" i="2"/>
  <c r="AN481" i="2" s="1"/>
  <c r="AO481" i="2" s="1"/>
  <c r="AK482" i="2"/>
  <c r="AN482" i="2" s="1"/>
  <c r="AO482" i="2" s="1"/>
  <c r="AK483" i="2"/>
  <c r="AK484" i="2"/>
  <c r="AL484" i="2" s="1"/>
  <c r="AM484" i="2" s="1"/>
  <c r="AK485" i="2"/>
  <c r="AL485" i="2" s="1"/>
  <c r="AM485" i="2" s="1"/>
  <c r="AK486" i="2"/>
  <c r="AK487" i="2"/>
  <c r="AK488" i="2"/>
  <c r="AL488" i="2" s="1"/>
  <c r="AM488" i="2" s="1"/>
  <c r="AK489" i="2"/>
  <c r="AN489" i="2" s="1"/>
  <c r="AO489" i="2" s="1"/>
  <c r="AK490" i="2"/>
  <c r="AK491" i="2"/>
  <c r="AL491" i="2" s="1"/>
  <c r="AM491" i="2" s="1"/>
  <c r="AK492" i="2"/>
  <c r="AL492" i="2" s="1"/>
  <c r="AM492" i="2" s="1"/>
  <c r="AK493" i="2"/>
  <c r="AK494" i="2"/>
  <c r="AN494" i="2" s="1"/>
  <c r="AO494" i="2" s="1"/>
  <c r="AK495" i="2"/>
  <c r="AL495" i="2" s="1"/>
  <c r="AM495" i="2" s="1"/>
  <c r="AK496" i="2"/>
  <c r="AL496" i="2" s="1"/>
  <c r="AM496" i="2" s="1"/>
  <c r="AK497" i="2"/>
  <c r="AK498" i="2"/>
  <c r="AN498" i="2" s="1"/>
  <c r="AO498" i="2" s="1"/>
  <c r="AK499" i="2"/>
  <c r="AL499" i="2" s="1"/>
  <c r="AM499" i="2" s="1"/>
  <c r="AK500" i="2"/>
  <c r="AK501" i="2"/>
  <c r="AK502" i="2"/>
  <c r="AK503" i="2"/>
  <c r="AL503" i="2" s="1"/>
  <c r="AM503" i="2" s="1"/>
  <c r="AK504" i="2"/>
  <c r="AK505" i="2"/>
  <c r="AK506" i="2"/>
  <c r="AN506" i="2" s="1"/>
  <c r="AO506" i="2" s="1"/>
  <c r="AK507" i="2"/>
  <c r="AK508" i="2"/>
  <c r="AL508" i="2" s="1"/>
  <c r="AM508" i="2" s="1"/>
  <c r="AK509" i="2"/>
  <c r="AK510" i="2"/>
  <c r="AK511" i="2"/>
  <c r="AK512" i="2"/>
  <c r="AL512" i="2" s="1"/>
  <c r="AM512" i="2" s="1"/>
  <c r="AK513" i="2"/>
  <c r="AL513" i="2" s="1"/>
  <c r="AM513" i="2" s="1"/>
  <c r="AK514" i="2"/>
  <c r="AN514" i="2" s="1"/>
  <c r="AO514" i="2" s="1"/>
  <c r="AK515" i="2"/>
  <c r="AK516" i="2"/>
  <c r="AL516" i="2" s="1"/>
  <c r="AM516" i="2" s="1"/>
  <c r="AK517" i="2"/>
  <c r="AL517" i="2" s="1"/>
  <c r="AM517" i="2" s="1"/>
  <c r="AK518" i="2"/>
  <c r="AL518" i="2" s="1"/>
  <c r="AM518" i="2" s="1"/>
  <c r="AK519" i="2"/>
  <c r="AL519" i="2" s="1"/>
  <c r="AM519" i="2" s="1"/>
  <c r="AK520" i="2"/>
  <c r="AK521" i="2"/>
  <c r="AK522" i="2"/>
  <c r="AN522" i="2" s="1"/>
  <c r="AO522" i="2" s="1"/>
  <c r="AK523" i="2"/>
  <c r="AL523" i="2" s="1"/>
  <c r="AM523" i="2" s="1"/>
  <c r="AK524" i="2"/>
  <c r="AK525" i="2"/>
  <c r="AN525" i="2" s="1"/>
  <c r="AO525" i="2" s="1"/>
  <c r="AK526" i="2"/>
  <c r="AK527" i="2"/>
  <c r="AK528" i="2"/>
  <c r="AL528" i="2" s="1"/>
  <c r="AM528" i="2" s="1"/>
  <c r="AK529" i="2"/>
  <c r="AN529" i="2" s="1"/>
  <c r="AO529" i="2" s="1"/>
  <c r="AK530" i="2"/>
  <c r="AL530" i="2" s="1"/>
  <c r="AM530" i="2" s="1"/>
  <c r="AK531" i="2"/>
  <c r="AK532" i="2"/>
  <c r="AL532" i="2" s="1"/>
  <c r="AM532" i="2" s="1"/>
  <c r="AK533" i="2"/>
  <c r="AN533" i="2" s="1"/>
  <c r="AO533" i="2" s="1"/>
  <c r="AK534" i="2"/>
  <c r="AK535" i="2"/>
  <c r="AK536" i="2"/>
  <c r="AL536" i="2" s="1"/>
  <c r="AM536" i="2" s="1"/>
  <c r="AK537" i="2"/>
  <c r="AK538" i="2"/>
  <c r="AN538" i="2" s="1"/>
  <c r="AO538" i="2" s="1"/>
  <c r="AK539" i="2"/>
  <c r="AK540" i="2"/>
  <c r="AL540" i="2" s="1"/>
  <c r="AM540" i="2" s="1"/>
  <c r="AK541" i="2"/>
  <c r="AN541" i="2" s="1"/>
  <c r="AO541" i="2" s="1"/>
  <c r="AK542" i="2"/>
  <c r="AL542" i="2" s="1"/>
  <c r="AM542" i="2" s="1"/>
  <c r="AK543" i="2"/>
  <c r="AN543" i="2" s="1"/>
  <c r="AO543" i="2" s="1"/>
  <c r="AK544" i="2"/>
  <c r="AN544" i="2" s="1"/>
  <c r="AO544" i="2" s="1"/>
  <c r="AK545" i="2"/>
  <c r="AN545" i="2" s="1"/>
  <c r="AO545" i="2" s="1"/>
  <c r="AK546" i="2"/>
  <c r="AL546" i="2" s="1"/>
  <c r="AM546" i="2" s="1"/>
  <c r="AK547" i="2"/>
  <c r="AL547" i="2" s="1"/>
  <c r="AM547" i="2" s="1"/>
  <c r="AK548" i="2"/>
  <c r="AL548" i="2" s="1"/>
  <c r="AM548" i="2" s="1"/>
  <c r="AK549" i="2"/>
  <c r="AL549" i="2" s="1"/>
  <c r="AM549" i="2" s="1"/>
  <c r="AK550" i="2"/>
  <c r="AL550" i="2" s="1"/>
  <c r="AM550" i="2" s="1"/>
  <c r="AK551" i="2"/>
  <c r="AK552" i="2"/>
  <c r="AK553" i="2"/>
  <c r="AL553" i="2" s="1"/>
  <c r="AM553" i="2" s="1"/>
  <c r="AK554" i="2"/>
  <c r="AK555" i="2"/>
  <c r="AL555" i="2" s="1"/>
  <c r="AM555" i="2" s="1"/>
  <c r="AK556" i="2"/>
  <c r="AL556" i="2" s="1"/>
  <c r="AM556" i="2" s="1"/>
  <c r="AK557" i="2"/>
  <c r="AK558" i="2"/>
  <c r="AK559" i="2"/>
  <c r="AN559" i="2" s="1"/>
  <c r="AO559" i="2" s="1"/>
  <c r="AK560" i="2"/>
  <c r="AL560" i="2" s="1"/>
  <c r="AM560" i="2" s="1"/>
  <c r="AK561" i="2"/>
  <c r="AN561" i="2" s="1"/>
  <c r="AO561" i="2" s="1"/>
  <c r="AK562" i="2"/>
  <c r="AK563" i="2"/>
  <c r="AL563" i="2" s="1"/>
  <c r="AM563" i="2" s="1"/>
  <c r="AK564" i="2"/>
  <c r="AL564" i="2" s="1"/>
  <c r="AM564" i="2" s="1"/>
  <c r="AK565" i="2"/>
  <c r="AN565" i="2" s="1"/>
  <c r="AO565" i="2" s="1"/>
  <c r="AK566" i="2"/>
  <c r="AL566" i="2" s="1"/>
  <c r="AM566" i="2" s="1"/>
  <c r="AK567" i="2"/>
  <c r="AK568" i="2"/>
  <c r="AN568" i="2" s="1"/>
  <c r="AO568" i="2" s="1"/>
  <c r="AK569" i="2"/>
  <c r="AL569" i="2" s="1"/>
  <c r="AM569" i="2" s="1"/>
  <c r="AK570" i="2"/>
  <c r="AK571" i="2"/>
  <c r="AK572" i="2"/>
  <c r="AN572" i="2" s="1"/>
  <c r="AO572" i="2" s="1"/>
  <c r="AK573" i="2"/>
  <c r="AL573" i="2" s="1"/>
  <c r="AM573" i="2" s="1"/>
  <c r="AK574" i="2"/>
  <c r="AN574" i="2" s="1"/>
  <c r="AO574" i="2" s="1"/>
  <c r="AK575" i="2"/>
  <c r="AL575" i="2" s="1"/>
  <c r="AM575" i="2" s="1"/>
  <c r="AK576" i="2"/>
  <c r="AL576" i="2" s="1"/>
  <c r="AM576" i="2" s="1"/>
  <c r="AK577" i="2"/>
  <c r="AK578" i="2"/>
  <c r="AK579" i="2"/>
  <c r="AL579" i="2" s="1"/>
  <c r="AM579" i="2" s="1"/>
  <c r="AK580" i="2"/>
  <c r="AK581" i="2"/>
  <c r="AN581" i="2" s="1"/>
  <c r="AO581" i="2" s="1"/>
  <c r="AK582" i="2"/>
  <c r="AL582" i="2" s="1"/>
  <c r="AM582" i="2" s="1"/>
  <c r="AK583" i="2"/>
  <c r="AK584" i="2"/>
  <c r="AL584" i="2" s="1"/>
  <c r="AM584" i="2" s="1"/>
  <c r="AK585" i="2"/>
  <c r="AK586" i="2"/>
  <c r="AK587" i="2"/>
  <c r="AK588" i="2"/>
  <c r="AK589" i="2"/>
  <c r="AN589" i="2" s="1"/>
  <c r="AO589" i="2" s="1"/>
  <c r="AK590" i="2"/>
  <c r="AN590" i="2" s="1"/>
  <c r="AO590" i="2" s="1"/>
  <c r="AK591" i="2"/>
  <c r="AK592" i="2"/>
  <c r="AK593" i="2"/>
  <c r="AL593" i="2" s="1"/>
  <c r="AM593" i="2" s="1"/>
  <c r="AK594" i="2"/>
  <c r="AN594" i="2" s="1"/>
  <c r="AO594" i="2" s="1"/>
  <c r="AK595" i="2"/>
  <c r="AN595" i="2" s="1"/>
  <c r="AO595" i="2" s="1"/>
  <c r="AK596" i="2"/>
  <c r="AL596" i="2" s="1"/>
  <c r="AM596" i="2" s="1"/>
  <c r="AK597" i="2"/>
  <c r="AL597" i="2" s="1"/>
  <c r="AM597" i="2" s="1"/>
  <c r="AK598" i="2"/>
  <c r="AK599" i="2"/>
  <c r="AK600" i="2"/>
  <c r="AL600" i="2" s="1"/>
  <c r="AM600" i="2" s="1"/>
  <c r="AK601" i="2"/>
  <c r="AL601" i="2" s="1"/>
  <c r="AM601" i="2" s="1"/>
  <c r="AK602" i="2"/>
  <c r="AN602" i="2" s="1"/>
  <c r="AO602" i="2" s="1"/>
  <c r="AK603" i="2"/>
  <c r="AK604" i="2"/>
  <c r="AK605" i="2"/>
  <c r="AK606" i="2"/>
  <c r="AK607" i="2"/>
  <c r="AL607" i="2" s="1"/>
  <c r="AM607" i="2" s="1"/>
  <c r="AK608" i="2"/>
  <c r="AN608" i="2" s="1"/>
  <c r="AO608" i="2" s="1"/>
  <c r="AK609" i="2"/>
  <c r="AL609" i="2" s="1"/>
  <c r="AM609" i="2" s="1"/>
  <c r="AK610" i="2"/>
  <c r="AN610" i="2" s="1"/>
  <c r="AO610" i="2" s="1"/>
  <c r="AK611" i="2"/>
  <c r="AK612" i="2"/>
  <c r="AL612" i="2" s="1"/>
  <c r="AM612" i="2" s="1"/>
  <c r="AK613" i="2"/>
  <c r="AK614" i="2"/>
  <c r="AK615" i="2"/>
  <c r="AK616" i="2"/>
  <c r="AK617" i="2"/>
  <c r="AK618" i="2"/>
  <c r="AN618" i="2" s="1"/>
  <c r="AO618" i="2" s="1"/>
  <c r="AK619" i="2"/>
  <c r="AK620" i="2"/>
  <c r="AL620" i="2" s="1"/>
  <c r="AM620" i="2" s="1"/>
  <c r="AK621" i="2"/>
  <c r="AL621" i="2" s="1"/>
  <c r="AM621" i="2" s="1"/>
  <c r="AK622" i="2"/>
  <c r="AL622" i="2" s="1"/>
  <c r="AM622" i="2" s="1"/>
  <c r="AK623" i="2"/>
  <c r="AN623" i="2" s="1"/>
  <c r="AO623" i="2" s="1"/>
  <c r="AK624" i="2"/>
  <c r="AL624" i="2" s="1"/>
  <c r="AM624" i="2" s="1"/>
  <c r="AK625" i="2"/>
  <c r="AN625" i="2" s="1"/>
  <c r="AO625" i="2" s="1"/>
  <c r="AK626" i="2"/>
  <c r="AL626" i="2" s="1"/>
  <c r="AM626" i="2" s="1"/>
  <c r="AK627" i="2"/>
  <c r="AN627" i="2" s="1"/>
  <c r="AO627" i="2" s="1"/>
  <c r="AK628" i="2"/>
  <c r="AK629" i="2"/>
  <c r="AN629" i="2" s="1"/>
  <c r="AO629" i="2" s="1"/>
  <c r="AK630" i="2"/>
  <c r="AK631" i="2"/>
  <c r="AL631" i="2" s="1"/>
  <c r="AM631" i="2" s="1"/>
  <c r="AK632" i="2"/>
  <c r="AK633" i="2"/>
  <c r="AL633" i="2" s="1"/>
  <c r="AM633" i="2" s="1"/>
  <c r="AK634" i="2"/>
  <c r="AK635" i="2"/>
  <c r="AK636" i="2"/>
  <c r="AL636" i="2" s="1"/>
  <c r="AM636" i="2" s="1"/>
  <c r="AK637" i="2"/>
  <c r="AK638" i="2"/>
  <c r="AN638" i="2" s="1"/>
  <c r="AO638" i="2" s="1"/>
  <c r="AK639" i="2"/>
  <c r="AL639" i="2" s="1"/>
  <c r="AM639" i="2" s="1"/>
  <c r="AK640" i="2"/>
  <c r="AK641" i="2"/>
  <c r="AN641" i="2" s="1"/>
  <c r="AO641" i="2" s="1"/>
  <c r="AK642" i="2"/>
  <c r="AN642" i="2" s="1"/>
  <c r="AO642" i="2" s="1"/>
  <c r="AK643" i="2"/>
  <c r="AL643" i="2" s="1"/>
  <c r="AM643" i="2" s="1"/>
  <c r="AK644" i="2"/>
  <c r="AL644" i="2" s="1"/>
  <c r="AM644" i="2" s="1"/>
  <c r="AK645" i="2"/>
  <c r="AL645" i="2" s="1"/>
  <c r="AM645" i="2" s="1"/>
  <c r="AK646" i="2"/>
  <c r="AK647" i="2"/>
  <c r="AL647" i="2" s="1"/>
  <c r="AM647" i="2" s="1"/>
  <c r="AK648" i="2"/>
  <c r="AL648" i="2" s="1"/>
  <c r="AM648" i="2" s="1"/>
  <c r="AK649" i="2"/>
  <c r="AL649" i="2" s="1"/>
  <c r="AM649" i="2" s="1"/>
  <c r="AK650" i="2"/>
  <c r="AL650" i="2" s="1"/>
  <c r="AM650" i="2" s="1"/>
  <c r="AK651" i="2"/>
  <c r="AK652" i="2"/>
  <c r="AL652" i="2" s="1"/>
  <c r="AM652" i="2" s="1"/>
  <c r="AK653" i="2"/>
  <c r="AK654" i="2"/>
  <c r="AK655" i="2"/>
  <c r="AL655" i="2" s="1"/>
  <c r="AM655" i="2" s="1"/>
  <c r="AK656" i="2"/>
  <c r="AK657" i="2"/>
  <c r="AK658" i="2"/>
  <c r="AN658" i="2" s="1"/>
  <c r="AO658" i="2" s="1"/>
  <c r="AK659" i="2"/>
  <c r="AK660" i="2"/>
  <c r="AL660" i="2" s="1"/>
  <c r="AM660" i="2" s="1"/>
  <c r="AK661" i="2"/>
  <c r="AL661" i="2" s="1"/>
  <c r="AM661" i="2" s="1"/>
  <c r="AK662" i="2"/>
  <c r="AK663" i="2"/>
  <c r="AK664" i="2"/>
  <c r="AK665" i="2"/>
  <c r="AK666" i="2"/>
  <c r="AK667" i="2"/>
  <c r="AK668" i="2"/>
  <c r="AN668" i="2" s="1"/>
  <c r="AO668" i="2" s="1"/>
  <c r="AK669" i="2"/>
  <c r="AL669" i="2" s="1"/>
  <c r="AM669" i="2" s="1"/>
  <c r="AK670" i="2"/>
  <c r="AK671" i="2"/>
  <c r="AK672" i="2"/>
  <c r="AP672" i="2" s="1"/>
  <c r="AK673" i="2"/>
  <c r="AN673" i="2" s="1"/>
  <c r="AO673" i="2" s="1"/>
  <c r="AK674" i="2"/>
  <c r="AK675" i="2"/>
  <c r="AL675" i="2" s="1"/>
  <c r="AM675" i="2" s="1"/>
  <c r="AK676" i="2"/>
  <c r="AN676" i="2" s="1"/>
  <c r="AO676" i="2" s="1"/>
  <c r="AK677" i="2"/>
  <c r="AL677" i="2" s="1"/>
  <c r="AM677" i="2" s="1"/>
  <c r="AK678" i="2"/>
  <c r="AL678" i="2" s="1"/>
  <c r="AM678" i="2" s="1"/>
  <c r="AK679" i="2"/>
  <c r="AK680" i="2"/>
  <c r="AK681" i="2"/>
  <c r="AL681" i="2" s="1"/>
  <c r="AM681" i="2" s="1"/>
  <c r="AK682" i="2"/>
  <c r="AL682" i="2" s="1"/>
  <c r="AM682" i="2" s="1"/>
  <c r="AK683" i="2"/>
  <c r="AK684" i="2"/>
  <c r="AL684" i="2" s="1"/>
  <c r="AM684" i="2" s="1"/>
  <c r="AK685" i="2"/>
  <c r="AN685" i="2" s="1"/>
  <c r="AO685" i="2" s="1"/>
  <c r="AK686" i="2"/>
  <c r="AN686" i="2" s="1"/>
  <c r="AO686" i="2" s="1"/>
  <c r="AK687" i="2"/>
  <c r="AL687" i="2" s="1"/>
  <c r="AM687" i="2" s="1"/>
  <c r="AK688" i="2"/>
  <c r="AN688" i="2" s="1"/>
  <c r="AO688" i="2" s="1"/>
  <c r="AK689" i="2"/>
  <c r="AK690" i="2"/>
  <c r="AN690" i="2" s="1"/>
  <c r="AO690" i="2" s="1"/>
  <c r="AK691" i="2"/>
  <c r="AL691" i="2" s="1"/>
  <c r="AM691" i="2" s="1"/>
  <c r="AK692" i="2"/>
  <c r="AL692" i="2" s="1"/>
  <c r="AM692" i="2" s="1"/>
  <c r="AK693" i="2"/>
  <c r="AL693" i="2" s="1"/>
  <c r="AM693" i="2" s="1"/>
  <c r="AK694" i="2"/>
  <c r="AL694" i="2" s="1"/>
  <c r="AM694" i="2" s="1"/>
  <c r="AK695" i="2"/>
  <c r="AL695" i="2" s="1"/>
  <c r="AM695" i="2" s="1"/>
  <c r="AK696" i="2"/>
  <c r="AL696" i="2" s="1"/>
  <c r="AM696" i="2" s="1"/>
  <c r="AK697" i="2"/>
  <c r="AL697" i="2" s="1"/>
  <c r="AM697" i="2" s="1"/>
  <c r="AK698" i="2"/>
  <c r="AL698" i="2" s="1"/>
  <c r="AM698" i="2" s="1"/>
  <c r="AK699" i="2"/>
  <c r="AK700" i="2"/>
  <c r="AK701" i="2"/>
  <c r="AK702" i="2"/>
  <c r="AL702" i="2" s="1"/>
  <c r="AM702" i="2" s="1"/>
  <c r="AK703" i="2"/>
  <c r="AK704" i="2"/>
  <c r="AL704" i="2" s="1"/>
  <c r="AM704" i="2" s="1"/>
  <c r="AK705" i="2"/>
  <c r="AL705" i="2" s="1"/>
  <c r="AM705" i="2" s="1"/>
  <c r="AK706" i="2"/>
  <c r="AK707" i="2"/>
  <c r="AL707" i="2" s="1"/>
  <c r="AM707" i="2" s="1"/>
  <c r="AK708" i="2"/>
  <c r="AL708" i="2" s="1"/>
  <c r="AM708" i="2" s="1"/>
  <c r="AK709" i="2"/>
  <c r="AK710" i="2"/>
  <c r="AN710" i="2" s="1"/>
  <c r="AO710" i="2" s="1"/>
  <c r="AL480" i="2"/>
  <c r="AM480" i="2" s="1"/>
  <c r="AL501" i="2"/>
  <c r="AM501" i="2" s="1"/>
  <c r="AL515" i="2"/>
  <c r="AM515" i="2" s="1"/>
  <c r="AL610" i="2"/>
  <c r="AM610" i="2" s="1"/>
  <c r="AL611" i="2"/>
  <c r="AM611" i="2" s="1"/>
  <c r="AL613" i="2"/>
  <c r="AM613" i="2" s="1"/>
  <c r="AL627" i="2"/>
  <c r="AM627" i="2" s="1"/>
  <c r="AL629" i="2"/>
  <c r="AM629" i="2" s="1"/>
  <c r="AL658" i="2"/>
  <c r="AM658" i="2" s="1"/>
  <c r="AL659" i="2"/>
  <c r="AM659" i="2" s="1"/>
  <c r="AL709" i="2"/>
  <c r="AM709" i="2" s="1"/>
  <c r="AN470" i="2"/>
  <c r="AO470" i="2" s="1"/>
  <c r="AN485" i="2"/>
  <c r="AO485" i="2" s="1"/>
  <c r="AN499" i="2"/>
  <c r="AO499" i="2" s="1"/>
  <c r="AN500" i="2"/>
  <c r="AO500" i="2" s="1"/>
  <c r="AN501" i="2"/>
  <c r="AO501" i="2" s="1"/>
  <c r="AN515" i="2"/>
  <c r="AO515" i="2" s="1"/>
  <c r="AN517" i="2"/>
  <c r="AO517" i="2" s="1"/>
  <c r="AN542" i="2"/>
  <c r="AO542" i="2" s="1"/>
  <c r="AN569" i="2"/>
  <c r="AO569" i="2" s="1"/>
  <c r="AN579" i="2"/>
  <c r="AO579" i="2" s="1"/>
  <c r="AN582" i="2"/>
  <c r="AO582" i="2" s="1"/>
  <c r="AN584" i="2"/>
  <c r="AO584" i="2" s="1"/>
  <c r="AN611" i="2"/>
  <c r="AO611" i="2" s="1"/>
  <c r="AN613" i="2"/>
  <c r="AO613" i="2" s="1"/>
  <c r="AN643" i="2"/>
  <c r="AO643" i="2" s="1"/>
  <c r="AN644" i="2"/>
  <c r="AO644" i="2" s="1"/>
  <c r="AN645" i="2"/>
  <c r="AO645" i="2" s="1"/>
  <c r="AN659" i="2"/>
  <c r="AO659" i="2" s="1"/>
  <c r="AN669" i="2"/>
  <c r="AO669" i="2" s="1"/>
  <c r="AN677" i="2"/>
  <c r="AO677" i="2" s="1"/>
  <c r="AN684" i="2"/>
  <c r="AO684" i="2" s="1"/>
  <c r="AN691" i="2"/>
  <c r="AO691" i="2" s="1"/>
  <c r="H16" i="7"/>
  <c r="J13" i="7"/>
  <c r="H14" i="7" s="1"/>
  <c r="J12" i="7"/>
  <c r="C7" i="7"/>
  <c r="C8" i="7" s="1"/>
  <c r="AI4" i="2"/>
  <c r="AF4" i="2"/>
  <c r="AC4" i="2"/>
  <c r="G2" i="13" l="1"/>
  <c r="H10" i="12"/>
  <c r="G10" i="12"/>
  <c r="L6" i="13"/>
  <c r="M10" i="12"/>
  <c r="N10" i="12"/>
  <c r="L10" i="12"/>
  <c r="I10" i="12"/>
  <c r="F10" i="12"/>
  <c r="L9" i="13"/>
  <c r="O10" i="12"/>
  <c r="L8" i="13"/>
  <c r="K10" i="12"/>
  <c r="G32" i="12" s="1"/>
  <c r="J10" i="12"/>
  <c r="L4" i="13"/>
  <c r="L5" i="13"/>
  <c r="L13" i="13"/>
  <c r="L11" i="13"/>
  <c r="L10" i="13"/>
  <c r="L12" i="13"/>
  <c r="H53" i="13"/>
  <c r="R53" i="13" s="1"/>
  <c r="AG6" i="2"/>
  <c r="AL137" i="2"/>
  <c r="AM137" i="2" s="1"/>
  <c r="AN137" i="2"/>
  <c r="AO137" i="2" s="1"/>
  <c r="AL148" i="2"/>
  <c r="AM148" i="2" s="1"/>
  <c r="AN148" i="2"/>
  <c r="AO148" i="2" s="1"/>
  <c r="AL149" i="2"/>
  <c r="AM149" i="2" s="1"/>
  <c r="AN149" i="2"/>
  <c r="AO149" i="2" s="1"/>
  <c r="AL163" i="2"/>
  <c r="AM163" i="2" s="1"/>
  <c r="AN163" i="2"/>
  <c r="AO163" i="2" s="1"/>
  <c r="AL164" i="2"/>
  <c r="AM164" i="2" s="1"/>
  <c r="AN164" i="2"/>
  <c r="AO164" i="2" s="1"/>
  <c r="AN165" i="2"/>
  <c r="AO165" i="2" s="1"/>
  <c r="AL165" i="2"/>
  <c r="AM165" i="2" s="1"/>
  <c r="AN179" i="2"/>
  <c r="AO179" i="2" s="1"/>
  <c r="AL179" i="2"/>
  <c r="AM179" i="2" s="1"/>
  <c r="AN181" i="2"/>
  <c r="AO181" i="2" s="1"/>
  <c r="AL181" i="2"/>
  <c r="AM181" i="2" s="1"/>
  <c r="AN197" i="2"/>
  <c r="AO197" i="2" s="1"/>
  <c r="AL197" i="2"/>
  <c r="AM197" i="2" s="1"/>
  <c r="AN210" i="2"/>
  <c r="AO210" i="2" s="1"/>
  <c r="AL210" i="2"/>
  <c r="AM210" i="2" s="1"/>
  <c r="AN211" i="2"/>
  <c r="AO211" i="2" s="1"/>
  <c r="AL211" i="2"/>
  <c r="AM211" i="2" s="1"/>
  <c r="AN222" i="2"/>
  <c r="AO222" i="2" s="1"/>
  <c r="AL222" i="2"/>
  <c r="AM222" i="2" s="1"/>
  <c r="AL261" i="2"/>
  <c r="AM261" i="2" s="1"/>
  <c r="AN261" i="2"/>
  <c r="AO261" i="2" s="1"/>
  <c r="AN9" i="2"/>
  <c r="AO9" i="2" s="1"/>
  <c r="AL9" i="2"/>
  <c r="AM9" i="2" s="1"/>
  <c r="AN14" i="2"/>
  <c r="AO14" i="2" s="1"/>
  <c r="AL14" i="2"/>
  <c r="AM14" i="2" s="1"/>
  <c r="AN37" i="2"/>
  <c r="AO37" i="2" s="1"/>
  <c r="AL37" i="2"/>
  <c r="AM37" i="2" s="1"/>
  <c r="AL51" i="2"/>
  <c r="AM51" i="2" s="1"/>
  <c r="AN51" i="2"/>
  <c r="AO51" i="2" s="1"/>
  <c r="AL53" i="2"/>
  <c r="AM53" i="2" s="1"/>
  <c r="AN53" i="2"/>
  <c r="AO53" i="2" s="1"/>
  <c r="AN60" i="2"/>
  <c r="AO60" i="2" s="1"/>
  <c r="AL60" i="2"/>
  <c r="AM60" i="2" s="1"/>
  <c r="AL69" i="2"/>
  <c r="AM69" i="2" s="1"/>
  <c r="AN69" i="2"/>
  <c r="AO69" i="2" s="1"/>
  <c r="AN82" i="2"/>
  <c r="AO82" i="2" s="1"/>
  <c r="AL82" i="2"/>
  <c r="AM82" i="2" s="1"/>
  <c r="AL116" i="2"/>
  <c r="AM116" i="2" s="1"/>
  <c r="AN116" i="2"/>
  <c r="AO116" i="2" s="1"/>
  <c r="AN275" i="2"/>
  <c r="AO275" i="2" s="1"/>
  <c r="AL275" i="2"/>
  <c r="AM275" i="2" s="1"/>
  <c r="AN277" i="2"/>
  <c r="AO277" i="2" s="1"/>
  <c r="AL277" i="2"/>
  <c r="AM277" i="2" s="1"/>
  <c r="AL290" i="2"/>
  <c r="AM290" i="2" s="1"/>
  <c r="AN290" i="2"/>
  <c r="AO290" i="2" s="1"/>
  <c r="AL291" i="2"/>
  <c r="AM291" i="2" s="1"/>
  <c r="AN291" i="2"/>
  <c r="AO291" i="2" s="1"/>
  <c r="AL292" i="2"/>
  <c r="AM292" i="2" s="1"/>
  <c r="AN292" i="2"/>
  <c r="AO292" i="2" s="1"/>
  <c r="AL293" i="2"/>
  <c r="AM293" i="2" s="1"/>
  <c r="AN293" i="2"/>
  <c r="AO293" i="2" s="1"/>
  <c r="AN323" i="2"/>
  <c r="AO323" i="2" s="1"/>
  <c r="AL323" i="2"/>
  <c r="AM323" i="2" s="1"/>
  <c r="AL345" i="2"/>
  <c r="AM345" i="2" s="1"/>
  <c r="AN345" i="2"/>
  <c r="AO345" i="2" s="1"/>
  <c r="AN371" i="2"/>
  <c r="AO371" i="2" s="1"/>
  <c r="AL371" i="2"/>
  <c r="AM371" i="2" s="1"/>
  <c r="AL373" i="2"/>
  <c r="AM373" i="2" s="1"/>
  <c r="AN373" i="2"/>
  <c r="AO373" i="2" s="1"/>
  <c r="AL382" i="2"/>
  <c r="AM382" i="2" s="1"/>
  <c r="AN382" i="2"/>
  <c r="AO382" i="2" s="1"/>
  <c r="AL387" i="2"/>
  <c r="AM387" i="2" s="1"/>
  <c r="AN387" i="2"/>
  <c r="AO387" i="2" s="1"/>
  <c r="AL389" i="2"/>
  <c r="AM389" i="2" s="1"/>
  <c r="AN389" i="2"/>
  <c r="AO389" i="2" s="1"/>
  <c r="AN403" i="2"/>
  <c r="AO403" i="2" s="1"/>
  <c r="AL403" i="2"/>
  <c r="AM403" i="2" s="1"/>
  <c r="AL406" i="2"/>
  <c r="AM406" i="2" s="1"/>
  <c r="AN406" i="2"/>
  <c r="AO406" i="2" s="1"/>
  <c r="AN430" i="2"/>
  <c r="AO430" i="2" s="1"/>
  <c r="AL430" i="2"/>
  <c r="AM430" i="2" s="1"/>
  <c r="AL445" i="2"/>
  <c r="AM445" i="2" s="1"/>
  <c r="AN445" i="2"/>
  <c r="AO445" i="2" s="1"/>
  <c r="AL452" i="2"/>
  <c r="AM452" i="2" s="1"/>
  <c r="AN452" i="2"/>
  <c r="AO452" i="2" s="1"/>
  <c r="M7" i="11"/>
  <c r="F11" i="12"/>
  <c r="N11" i="12"/>
  <c r="M11" i="12"/>
  <c r="K11" i="12"/>
  <c r="J11" i="12"/>
  <c r="G11" i="12"/>
  <c r="M5" i="13"/>
  <c r="M13" i="13"/>
  <c r="M12" i="13"/>
  <c r="M11" i="13"/>
  <c r="M10" i="13"/>
  <c r="M9" i="13"/>
  <c r="M8" i="13"/>
  <c r="M6" i="13"/>
  <c r="H11" i="12"/>
  <c r="M7" i="13"/>
  <c r="O11" i="12"/>
  <c r="L11" i="12"/>
  <c r="I11" i="12"/>
  <c r="S126" i="16"/>
  <c r="P288" i="15"/>
  <c r="AC126" i="16"/>
  <c r="AF126" i="16"/>
  <c r="AE126" i="16"/>
  <c r="U126" i="16"/>
  <c r="AD126" i="16"/>
  <c r="O126" i="16"/>
  <c r="P126" i="16"/>
  <c r="Q126" i="16"/>
  <c r="R126" i="16"/>
  <c r="T126" i="16"/>
  <c r="AB126" i="16"/>
  <c r="AA126" i="16"/>
  <c r="Z126" i="16"/>
  <c r="Y126" i="16"/>
  <c r="X126" i="16"/>
  <c r="W126" i="16"/>
  <c r="V126" i="16"/>
  <c r="AH126" i="16"/>
  <c r="AG126" i="16"/>
  <c r="D5" i="13"/>
  <c r="H5" i="13" s="1"/>
  <c r="F6" i="13"/>
  <c r="H7" i="12"/>
  <c r="I6" i="12"/>
  <c r="E14" i="8"/>
  <c r="G14" i="8"/>
  <c r="E19" i="8"/>
  <c r="E17" i="8"/>
  <c r="E18" i="8"/>
  <c r="E16" i="8"/>
  <c r="D14" i="8"/>
  <c r="AN516" i="2"/>
  <c r="AO516" i="2" s="1"/>
  <c r="AN356" i="2"/>
  <c r="AO356" i="2" s="1"/>
  <c r="AN245" i="2"/>
  <c r="AO245" i="2" s="1"/>
  <c r="AL437" i="2"/>
  <c r="AM437" i="2" s="1"/>
  <c r="AL35" i="2"/>
  <c r="AM35" i="2" s="1"/>
  <c r="AN467" i="2"/>
  <c r="AO467" i="2" s="1"/>
  <c r="AN243" i="2"/>
  <c r="AO243" i="2" s="1"/>
  <c r="AN469" i="2"/>
  <c r="AO469" i="2" s="1"/>
  <c r="AN566" i="2"/>
  <c r="AO566" i="2" s="1"/>
  <c r="AL453" i="2"/>
  <c r="AM453" i="2" s="1"/>
  <c r="AN34" i="2"/>
  <c r="AO34" i="2" s="1"/>
  <c r="AL265" i="2"/>
  <c r="AM265" i="2" s="1"/>
  <c r="AL131" i="2"/>
  <c r="AM131" i="2" s="1"/>
  <c r="AN707" i="2"/>
  <c r="AO707" i="2" s="1"/>
  <c r="AN405" i="2"/>
  <c r="AO405" i="2" s="1"/>
  <c r="AN217" i="2"/>
  <c r="AO217" i="2" s="1"/>
  <c r="AN119" i="2"/>
  <c r="AO119" i="2" s="1"/>
  <c r="AL531" i="2"/>
  <c r="AM531" i="2" s="1"/>
  <c r="AL125" i="2"/>
  <c r="AM125" i="2" s="1"/>
  <c r="AL48" i="2"/>
  <c r="AM48" i="2" s="1"/>
  <c r="AN357" i="2"/>
  <c r="AO357" i="2" s="1"/>
  <c r="AN258" i="2"/>
  <c r="AO258" i="2" s="1"/>
  <c r="AN147" i="2"/>
  <c r="AO147" i="2" s="1"/>
  <c r="AL440" i="2"/>
  <c r="AM440" i="2" s="1"/>
  <c r="AN244" i="2"/>
  <c r="AO244" i="2" s="1"/>
  <c r="AN46" i="2"/>
  <c r="AO46" i="2" s="1"/>
  <c r="AN130" i="2"/>
  <c r="AO130" i="2" s="1"/>
  <c r="AL565" i="2"/>
  <c r="AM565" i="2" s="1"/>
  <c r="AN399" i="2"/>
  <c r="AO399" i="2" s="1"/>
  <c r="AN216" i="2"/>
  <c r="AO216" i="2" s="1"/>
  <c r="AN118" i="2"/>
  <c r="AO118" i="2" s="1"/>
  <c r="AL525" i="2"/>
  <c r="AM525" i="2" s="1"/>
  <c r="AL259" i="2"/>
  <c r="AM259" i="2" s="1"/>
  <c r="AL123" i="2"/>
  <c r="AM123" i="2" s="1"/>
  <c r="AN355" i="2"/>
  <c r="AO355" i="2" s="1"/>
  <c r="AL19" i="2"/>
  <c r="AM19" i="2" s="1"/>
  <c r="AN349" i="2"/>
  <c r="AO349" i="2" s="1"/>
  <c r="AL146" i="2"/>
  <c r="AM146" i="2" s="1"/>
  <c r="AL533" i="2"/>
  <c r="AM533" i="2" s="1"/>
  <c r="AL390" i="2"/>
  <c r="AM390" i="2" s="1"/>
  <c r="AN340" i="2"/>
  <c r="AO340" i="2" s="1"/>
  <c r="AN692" i="2"/>
  <c r="AO692" i="2" s="1"/>
  <c r="AN398" i="2"/>
  <c r="AO398" i="2" s="1"/>
  <c r="AN195" i="2"/>
  <c r="AO195" i="2" s="1"/>
  <c r="AN117" i="2"/>
  <c r="AO117" i="2" s="1"/>
  <c r="AN18" i="2"/>
  <c r="AO18" i="2" s="1"/>
  <c r="AL105" i="2"/>
  <c r="AM105" i="2" s="1"/>
  <c r="AN564" i="2"/>
  <c r="AO564" i="2" s="1"/>
  <c r="AN461" i="2"/>
  <c r="AO461" i="2" s="1"/>
  <c r="AL301" i="2"/>
  <c r="AM301" i="2" s="1"/>
  <c r="AL195" i="2"/>
  <c r="AM195" i="2" s="1"/>
  <c r="AL49" i="2"/>
  <c r="AM49" i="2" s="1"/>
  <c r="AN468" i="2"/>
  <c r="AO468" i="2" s="1"/>
  <c r="AN370" i="2"/>
  <c r="AO370" i="2" s="1"/>
  <c r="AN436" i="2"/>
  <c r="AO436" i="2" s="1"/>
  <c r="AL99" i="2"/>
  <c r="AM99" i="2" s="1"/>
  <c r="AN612" i="2"/>
  <c r="AO612" i="2" s="1"/>
  <c r="AN563" i="2"/>
  <c r="AO563" i="2" s="1"/>
  <c r="AN435" i="2"/>
  <c r="AO435" i="2" s="1"/>
  <c r="AN260" i="2"/>
  <c r="AO260" i="2" s="1"/>
  <c r="AN57" i="2"/>
  <c r="AO57" i="2" s="1"/>
  <c r="AL482" i="2"/>
  <c r="AM482" i="2" s="1"/>
  <c r="AL178" i="2"/>
  <c r="AM178" i="2" s="1"/>
  <c r="AL6" i="2"/>
  <c r="AM6" i="2" s="1"/>
  <c r="AL169" i="2"/>
  <c r="AM169" i="2" s="1"/>
  <c r="AN472" i="2"/>
  <c r="AO472" i="2" s="1"/>
  <c r="AN388" i="2"/>
  <c r="AO388" i="2" s="1"/>
  <c r="AN253" i="2"/>
  <c r="AO253" i="2" s="1"/>
  <c r="AN52" i="2"/>
  <c r="AO52" i="2" s="1"/>
  <c r="AL595" i="2"/>
  <c r="AM595" i="2" s="1"/>
  <c r="AL477" i="2"/>
  <c r="AM477" i="2" s="1"/>
  <c r="AL386" i="2"/>
  <c r="AM386" i="2" s="1"/>
  <c r="AN213" i="2"/>
  <c r="AO213" i="2" s="1"/>
  <c r="AN605" i="2"/>
  <c r="AO605" i="2" s="1"/>
  <c r="AN73" i="2"/>
  <c r="AO73" i="2" s="1"/>
  <c r="AL115" i="2"/>
  <c r="AM115" i="2" s="1"/>
  <c r="AN420" i="2"/>
  <c r="AO420" i="2" s="1"/>
  <c r="AN308" i="2"/>
  <c r="AO308" i="2" s="1"/>
  <c r="AL589" i="2"/>
  <c r="AM589" i="2" s="1"/>
  <c r="AN281" i="2"/>
  <c r="AO281" i="2" s="1"/>
  <c r="AN675" i="2"/>
  <c r="AO675" i="2" s="1"/>
  <c r="AN596" i="2"/>
  <c r="AO596" i="2" s="1"/>
  <c r="AL365" i="2"/>
  <c r="AM365" i="2" s="1"/>
  <c r="AN409" i="2"/>
  <c r="AO409" i="2" s="1"/>
  <c r="AN381" i="2"/>
  <c r="AO381" i="2" s="1"/>
  <c r="AN100" i="2"/>
  <c r="AO100" i="2" s="1"/>
  <c r="AL685" i="2"/>
  <c r="AM685" i="2" s="1"/>
  <c r="AL581" i="2"/>
  <c r="AM581" i="2" s="1"/>
  <c r="AL254" i="2"/>
  <c r="AM254" i="2" s="1"/>
  <c r="AL133" i="2"/>
  <c r="AM133" i="2" s="1"/>
  <c r="AL50" i="2"/>
  <c r="AM50" i="2" s="1"/>
  <c r="AN661" i="2"/>
  <c r="AO661" i="2" s="1"/>
  <c r="AN530" i="2"/>
  <c r="AO530" i="2" s="1"/>
  <c r="AN408" i="2"/>
  <c r="AO408" i="2" s="1"/>
  <c r="AN302" i="2"/>
  <c r="AO302" i="2" s="1"/>
  <c r="AN85" i="2"/>
  <c r="AO85" i="2" s="1"/>
  <c r="AL451" i="2"/>
  <c r="AM451" i="2" s="1"/>
  <c r="AN339" i="2"/>
  <c r="AO339" i="2" s="1"/>
  <c r="AN184" i="2"/>
  <c r="AO184" i="2" s="1"/>
  <c r="AN322" i="2"/>
  <c r="AO322" i="2" s="1"/>
  <c r="AL590" i="2"/>
  <c r="AM590" i="2" s="1"/>
  <c r="AN660" i="2"/>
  <c r="AO660" i="2" s="1"/>
  <c r="AN518" i="2"/>
  <c r="AO518" i="2" s="1"/>
  <c r="AN462" i="2"/>
  <c r="AO462" i="2" s="1"/>
  <c r="AN407" i="2"/>
  <c r="AO407" i="2" s="1"/>
  <c r="AN227" i="2"/>
  <c r="AO227" i="2" s="1"/>
  <c r="AN84" i="2"/>
  <c r="AO84" i="2" s="1"/>
  <c r="AL126" i="2"/>
  <c r="AM126" i="2" s="1"/>
  <c r="AN212" i="2"/>
  <c r="AO212" i="2" s="1"/>
  <c r="AN392" i="2"/>
  <c r="AO392" i="2" s="1"/>
  <c r="AL395" i="2"/>
  <c r="AM395" i="2" s="1"/>
  <c r="AL101" i="2"/>
  <c r="AM101" i="2" s="1"/>
  <c r="AN196" i="2"/>
  <c r="AO196" i="2" s="1"/>
  <c r="AL8" i="2"/>
  <c r="AM8" i="2" s="1"/>
  <c r="AN337" i="2"/>
  <c r="AO337" i="2" s="1"/>
  <c r="AN160" i="2"/>
  <c r="AO160" i="2" s="1"/>
  <c r="AL521" i="2"/>
  <c r="AM521" i="2" s="1"/>
  <c r="AL433" i="2"/>
  <c r="AM433" i="2" s="1"/>
  <c r="AL161" i="2"/>
  <c r="AM161" i="2" s="1"/>
  <c r="AL81" i="2"/>
  <c r="AM81" i="2" s="1"/>
  <c r="AN448" i="2"/>
  <c r="AO448" i="2" s="1"/>
  <c r="AN369" i="2"/>
  <c r="AO369" i="2" s="1"/>
  <c r="AN207" i="2"/>
  <c r="AO207" i="2" s="1"/>
  <c r="AN48" i="2"/>
  <c r="AO48" i="2" s="1"/>
  <c r="AN417" i="2"/>
  <c r="AO417" i="2" s="1"/>
  <c r="AL417" i="2"/>
  <c r="AM417" i="2" s="1"/>
  <c r="AN640" i="2"/>
  <c r="AO640" i="2" s="1"/>
  <c r="AL640" i="2"/>
  <c r="AM640" i="2" s="1"/>
  <c r="AL479" i="2"/>
  <c r="AM479" i="2" s="1"/>
  <c r="AN479" i="2"/>
  <c r="AO479" i="2" s="1"/>
  <c r="AN416" i="2"/>
  <c r="AO416" i="2" s="1"/>
  <c r="AL16" i="2"/>
  <c r="AM16" i="2" s="1"/>
  <c r="AL537" i="2"/>
  <c r="AM537" i="2" s="1"/>
  <c r="AN537" i="2"/>
  <c r="AO537" i="2" s="1"/>
  <c r="AN25" i="2"/>
  <c r="AO25" i="2" s="1"/>
  <c r="AL25" i="2"/>
  <c r="AM25" i="2" s="1"/>
  <c r="AN609" i="2"/>
  <c r="AO609" i="2" s="1"/>
  <c r="AN512" i="2"/>
  <c r="AO512" i="2" s="1"/>
  <c r="AN209" i="2"/>
  <c r="AO209" i="2" s="1"/>
  <c r="AN113" i="2"/>
  <c r="AO113" i="2" s="1"/>
  <c r="AN257" i="2"/>
  <c r="AO257" i="2" s="1"/>
  <c r="AL594" i="2"/>
  <c r="AM594" i="2" s="1"/>
  <c r="AL55" i="2"/>
  <c r="AM55" i="2" s="1"/>
  <c r="AL229" i="2"/>
  <c r="AM229" i="2" s="1"/>
  <c r="AN229" i="2"/>
  <c r="AO229" i="2" s="1"/>
  <c r="AN649" i="2"/>
  <c r="AO649" i="2" s="1"/>
  <c r="AN560" i="2"/>
  <c r="AO560" i="2" s="1"/>
  <c r="AN402" i="2"/>
  <c r="AO402" i="2" s="1"/>
  <c r="AN364" i="2"/>
  <c r="AO364" i="2" s="1"/>
  <c r="AN309" i="2"/>
  <c r="AO309" i="2" s="1"/>
  <c r="AN256" i="2"/>
  <c r="AO256" i="2" s="1"/>
  <c r="AN201" i="2"/>
  <c r="AO201" i="2" s="1"/>
  <c r="AL313" i="2"/>
  <c r="AM313" i="2" s="1"/>
  <c r="AL220" i="2"/>
  <c r="AM220" i="2" s="1"/>
  <c r="AL628" i="2"/>
  <c r="AM628" i="2" s="1"/>
  <c r="AN628" i="2"/>
  <c r="AO628" i="2" s="1"/>
  <c r="AL580" i="2"/>
  <c r="AM580" i="2" s="1"/>
  <c r="AN580" i="2"/>
  <c r="AO580" i="2" s="1"/>
  <c r="AL404" i="2"/>
  <c r="AM404" i="2" s="1"/>
  <c r="AN404" i="2"/>
  <c r="AO404" i="2" s="1"/>
  <c r="AL372" i="2"/>
  <c r="AM372" i="2" s="1"/>
  <c r="AN372" i="2"/>
  <c r="AO372" i="2" s="1"/>
  <c r="AL324" i="2"/>
  <c r="AM324" i="2" s="1"/>
  <c r="AN324" i="2"/>
  <c r="AO324" i="2" s="1"/>
  <c r="AL228" i="2"/>
  <c r="AM228" i="2" s="1"/>
  <c r="AN228" i="2"/>
  <c r="AO228" i="2" s="1"/>
  <c r="AL180" i="2"/>
  <c r="AM180" i="2" s="1"/>
  <c r="AN180" i="2"/>
  <c r="AO180" i="2" s="1"/>
  <c r="AL132" i="2"/>
  <c r="AM132" i="2" s="1"/>
  <c r="AN132" i="2"/>
  <c r="AO132" i="2" s="1"/>
  <c r="AF569" i="2"/>
  <c r="AG569" i="2" s="1"/>
  <c r="AF409" i="2"/>
  <c r="AG409" i="2" s="1"/>
  <c r="AF297" i="2"/>
  <c r="AG297" i="2" s="1"/>
  <c r="AF105" i="2"/>
  <c r="AG105" i="2" s="1"/>
  <c r="AN33" i="2"/>
  <c r="AO33" i="2" s="1"/>
  <c r="AL561" i="2"/>
  <c r="AM561" i="2" s="1"/>
  <c r="AN335" i="2"/>
  <c r="AO335" i="2" s="1"/>
  <c r="AL335" i="2"/>
  <c r="AM335" i="2" s="1"/>
  <c r="AN575" i="2"/>
  <c r="AO575" i="2" s="1"/>
  <c r="AL89" i="2"/>
  <c r="AM89" i="2" s="1"/>
  <c r="AN513" i="2"/>
  <c r="AO513" i="2" s="1"/>
  <c r="AL688" i="2"/>
  <c r="AM688" i="2" s="1"/>
  <c r="AN313" i="2"/>
  <c r="AO313" i="2" s="1"/>
  <c r="AN650" i="2"/>
  <c r="AO650" i="2" s="1"/>
  <c r="AN310" i="2"/>
  <c r="AO310" i="2" s="1"/>
  <c r="AN112" i="2"/>
  <c r="AO112" i="2" s="1"/>
  <c r="AL423" i="2"/>
  <c r="AM423" i="2" s="1"/>
  <c r="AN325" i="2"/>
  <c r="AO325" i="2" s="1"/>
  <c r="AL325" i="2"/>
  <c r="AM325" i="2" s="1"/>
  <c r="AP21" i="2"/>
  <c r="AL21" i="2"/>
  <c r="AM21" i="2" s="1"/>
  <c r="AN697" i="2"/>
  <c r="AO697" i="2" s="1"/>
  <c r="AN648" i="2"/>
  <c r="AO648" i="2" s="1"/>
  <c r="AN597" i="2"/>
  <c r="AO597" i="2" s="1"/>
  <c r="AN553" i="2"/>
  <c r="AO553" i="2" s="1"/>
  <c r="AN401" i="2"/>
  <c r="AO401" i="2" s="1"/>
  <c r="AN361" i="2"/>
  <c r="AO361" i="2" s="1"/>
  <c r="AN255" i="2"/>
  <c r="AO255" i="2" s="1"/>
  <c r="AN145" i="2"/>
  <c r="AO145" i="2" s="1"/>
  <c r="AL673" i="2"/>
  <c r="AM673" i="2" s="1"/>
  <c r="AL498" i="2"/>
  <c r="AM498" i="2" s="1"/>
  <c r="AL127" i="2"/>
  <c r="AM127" i="2" s="1"/>
  <c r="AL483" i="2"/>
  <c r="AM483" i="2" s="1"/>
  <c r="AN483" i="2"/>
  <c r="AO483" i="2" s="1"/>
  <c r="AP419" i="2"/>
  <c r="AL419" i="2"/>
  <c r="AM419" i="2" s="1"/>
  <c r="AL441" i="2"/>
  <c r="AM441" i="2" s="1"/>
  <c r="AN441" i="2"/>
  <c r="AO441" i="2" s="1"/>
  <c r="AN321" i="2"/>
  <c r="AO321" i="2" s="1"/>
  <c r="AN153" i="2"/>
  <c r="AO153" i="2" s="1"/>
  <c r="AN647" i="2"/>
  <c r="AO647" i="2" s="1"/>
  <c r="AN400" i="2"/>
  <c r="AO400" i="2" s="1"/>
  <c r="AN143" i="2"/>
  <c r="AO143" i="2" s="1"/>
  <c r="AL489" i="2"/>
  <c r="AM489" i="2" s="1"/>
  <c r="AL674" i="2"/>
  <c r="AM674" i="2" s="1"/>
  <c r="AN562" i="2"/>
  <c r="AO562" i="2" s="1"/>
  <c r="AL562" i="2"/>
  <c r="AM562" i="2" s="1"/>
  <c r="AN162" i="2"/>
  <c r="AO162" i="2" s="1"/>
  <c r="AL162" i="2"/>
  <c r="AM162" i="2" s="1"/>
  <c r="AF408" i="2"/>
  <c r="AG408" i="2" s="1"/>
  <c r="AN639" i="2"/>
  <c r="AO639" i="2" s="1"/>
  <c r="AN241" i="2"/>
  <c r="AO241" i="2" s="1"/>
  <c r="AN682" i="2"/>
  <c r="AO682" i="2" s="1"/>
  <c r="AF66" i="2"/>
  <c r="AG66" i="2" s="1"/>
  <c r="AN96" i="2"/>
  <c r="AO96" i="2" s="1"/>
  <c r="AL96" i="2"/>
  <c r="AM96" i="2" s="1"/>
  <c r="AL671" i="2"/>
  <c r="AM671" i="2" s="1"/>
  <c r="AN671" i="2"/>
  <c r="AO671" i="2" s="1"/>
  <c r="AL641" i="2"/>
  <c r="AM641" i="2" s="1"/>
  <c r="AL545" i="2"/>
  <c r="AM545" i="2" s="1"/>
  <c r="AL289" i="2"/>
  <c r="AM289" i="2" s="1"/>
  <c r="AN681" i="2"/>
  <c r="AO681" i="2" s="1"/>
  <c r="AN633" i="2"/>
  <c r="AO633" i="2" s="1"/>
  <c r="AL543" i="2"/>
  <c r="AM543" i="2" s="1"/>
  <c r="AL26" i="2"/>
  <c r="AM26" i="2" s="1"/>
  <c r="AN577" i="2"/>
  <c r="AO577" i="2" s="1"/>
  <c r="AN519" i="2"/>
  <c r="AO519" i="2" s="1"/>
  <c r="AF112" i="2"/>
  <c r="AG112" i="2" s="1"/>
  <c r="AN463" i="2"/>
  <c r="AO463" i="2" s="1"/>
  <c r="AN271" i="2"/>
  <c r="AO271" i="2" s="1"/>
  <c r="AL623" i="2"/>
  <c r="AM623" i="2" s="1"/>
  <c r="AN624" i="2"/>
  <c r="AO624" i="2" s="1"/>
  <c r="AN465" i="2"/>
  <c r="AO465" i="2" s="1"/>
  <c r="AL625" i="2"/>
  <c r="AM625" i="2" s="1"/>
  <c r="AL272" i="2"/>
  <c r="AM272" i="2" s="1"/>
  <c r="AN415" i="2"/>
  <c r="AO415" i="2" s="1"/>
  <c r="AL529" i="2"/>
  <c r="AM529" i="2" s="1"/>
  <c r="AF141" i="2"/>
  <c r="AG141" i="2" s="1"/>
  <c r="AL638" i="2"/>
  <c r="AM638" i="2" s="1"/>
  <c r="AN128" i="2"/>
  <c r="AO128" i="2" s="1"/>
  <c r="AN56" i="2"/>
  <c r="AO56" i="2" s="1"/>
  <c r="AL572" i="2"/>
  <c r="AM572" i="2" s="1"/>
  <c r="AL224" i="2"/>
  <c r="AM224" i="2" s="1"/>
  <c r="AL511" i="2"/>
  <c r="AM511" i="2" s="1"/>
  <c r="AN511" i="2"/>
  <c r="AO511" i="2" s="1"/>
  <c r="AL319" i="2"/>
  <c r="AM319" i="2" s="1"/>
  <c r="AN319" i="2"/>
  <c r="AO319" i="2" s="1"/>
  <c r="AN626" i="2"/>
  <c r="AO626" i="2" s="1"/>
  <c r="AN460" i="2"/>
  <c r="AO460" i="2" s="1"/>
  <c r="AN297" i="2"/>
  <c r="AO297" i="2" s="1"/>
  <c r="AL568" i="2"/>
  <c r="AM568" i="2" s="1"/>
  <c r="AL223" i="2"/>
  <c r="AM223" i="2" s="1"/>
  <c r="AL664" i="2"/>
  <c r="AM664" i="2" s="1"/>
  <c r="AN664" i="2"/>
  <c r="AO664" i="2" s="1"/>
  <c r="AL264" i="2"/>
  <c r="AM264" i="2" s="1"/>
  <c r="AN264" i="2"/>
  <c r="AO264" i="2" s="1"/>
  <c r="AN424" i="2"/>
  <c r="AO424" i="2" s="1"/>
  <c r="AN92" i="2"/>
  <c r="AO92" i="2" s="1"/>
  <c r="AL348" i="2"/>
  <c r="AM348" i="2" s="1"/>
  <c r="AN656" i="2"/>
  <c r="AO656" i="2" s="1"/>
  <c r="AL656" i="2"/>
  <c r="AM656" i="2" s="1"/>
  <c r="AL384" i="2"/>
  <c r="AM384" i="2" s="1"/>
  <c r="AN384" i="2"/>
  <c r="AO384" i="2" s="1"/>
  <c r="AN300" i="2"/>
  <c r="AO300" i="2" s="1"/>
  <c r="AN192" i="2"/>
  <c r="AO192" i="2" s="1"/>
  <c r="AL703" i="2"/>
  <c r="AM703" i="2" s="1"/>
  <c r="AN703" i="2"/>
  <c r="AO703" i="2" s="1"/>
  <c r="AL383" i="2"/>
  <c r="AM383" i="2" s="1"/>
  <c r="AN383" i="2"/>
  <c r="AO383" i="2" s="1"/>
  <c r="AN593" i="2"/>
  <c r="AO593" i="2" s="1"/>
  <c r="AN488" i="2"/>
  <c r="AO488" i="2" s="1"/>
  <c r="AN188" i="2"/>
  <c r="AO188" i="2" s="1"/>
  <c r="AN152" i="2"/>
  <c r="AO152" i="2" s="1"/>
  <c r="AN88" i="2"/>
  <c r="AO88" i="2" s="1"/>
  <c r="AL690" i="2"/>
  <c r="AM690" i="2" s="1"/>
  <c r="AL450" i="2"/>
  <c r="AM450" i="2" s="1"/>
  <c r="AN687" i="2"/>
  <c r="AO687" i="2" s="1"/>
  <c r="AN652" i="2"/>
  <c r="AO652" i="2" s="1"/>
  <c r="AN592" i="2"/>
  <c r="AO592" i="2" s="1"/>
  <c r="AN528" i="2"/>
  <c r="AO528" i="2" s="1"/>
  <c r="AN393" i="2"/>
  <c r="AO393" i="2" s="1"/>
  <c r="AN368" i="2"/>
  <c r="AO368" i="2" s="1"/>
  <c r="AN332" i="2"/>
  <c r="AO332" i="2" s="1"/>
  <c r="AN296" i="2"/>
  <c r="AO296" i="2" s="1"/>
  <c r="AN87" i="2"/>
  <c r="AO87" i="2" s="1"/>
  <c r="AL689" i="2"/>
  <c r="AM689" i="2" s="1"/>
  <c r="AL514" i="2"/>
  <c r="AM514" i="2" s="1"/>
  <c r="AL449" i="2"/>
  <c r="AM449" i="2" s="1"/>
  <c r="AL288" i="2"/>
  <c r="AM288" i="2" s="1"/>
  <c r="AL124" i="2"/>
  <c r="AM124" i="2" s="1"/>
  <c r="AL65" i="2"/>
  <c r="AM65" i="2" s="1"/>
  <c r="AL588" i="2"/>
  <c r="AM588" i="2" s="1"/>
  <c r="AN588" i="2"/>
  <c r="AO588" i="2" s="1"/>
  <c r="AL428" i="2"/>
  <c r="AM428" i="2" s="1"/>
  <c r="AN428" i="2"/>
  <c r="AO428" i="2" s="1"/>
  <c r="AL12" i="2"/>
  <c r="AM12" i="2" s="1"/>
  <c r="AL666" i="2"/>
  <c r="AM666" i="2" s="1"/>
  <c r="AN666" i="2"/>
  <c r="AO666" i="2" s="1"/>
  <c r="AN476" i="2"/>
  <c r="AO476" i="2" s="1"/>
  <c r="AN144" i="2"/>
  <c r="AO144" i="2" s="1"/>
  <c r="AN80" i="2"/>
  <c r="AO80" i="2" s="1"/>
  <c r="AL665" i="2"/>
  <c r="AM665" i="2" s="1"/>
  <c r="AN665" i="2"/>
  <c r="AO665" i="2" s="1"/>
  <c r="AL585" i="2"/>
  <c r="AM585" i="2" s="1"/>
  <c r="AN585" i="2"/>
  <c r="AO585" i="2" s="1"/>
  <c r="AN505" i="2"/>
  <c r="AO505" i="2" s="1"/>
  <c r="AL505" i="2"/>
  <c r="AM505" i="2" s="1"/>
  <c r="AL457" i="2"/>
  <c r="AM457" i="2" s="1"/>
  <c r="AN457" i="2"/>
  <c r="AO457" i="2" s="1"/>
  <c r="AL425" i="2"/>
  <c r="AM425" i="2" s="1"/>
  <c r="AN425" i="2"/>
  <c r="AO425" i="2" s="1"/>
  <c r="AL377" i="2"/>
  <c r="AM377" i="2" s="1"/>
  <c r="AL329" i="2"/>
  <c r="AM329" i="2" s="1"/>
  <c r="AN329" i="2"/>
  <c r="AO329" i="2" s="1"/>
  <c r="AL41" i="2"/>
  <c r="AM41" i="2" s="1"/>
  <c r="AN41" i="2"/>
  <c r="AO41" i="2" s="1"/>
  <c r="AL603" i="2"/>
  <c r="AM603" i="2" s="1"/>
  <c r="AN603" i="2"/>
  <c r="AO603" i="2" s="1"/>
  <c r="AL552" i="2"/>
  <c r="AM552" i="2" s="1"/>
  <c r="AN552" i="2"/>
  <c r="AO552" i="2" s="1"/>
  <c r="AN284" i="2"/>
  <c r="AO284" i="2" s="1"/>
  <c r="AN172" i="2"/>
  <c r="AO172" i="2" s="1"/>
  <c r="AN140" i="2"/>
  <c r="AO140" i="2" s="1"/>
  <c r="AN76" i="2"/>
  <c r="AO76" i="2" s="1"/>
  <c r="AL672" i="2"/>
  <c r="AM672" i="2" s="1"/>
  <c r="AL608" i="2"/>
  <c r="AM608" i="2" s="1"/>
  <c r="AL544" i="2"/>
  <c r="AM544" i="2" s="1"/>
  <c r="AL208" i="2"/>
  <c r="AM208" i="2" s="1"/>
  <c r="AN551" i="2"/>
  <c r="AO551" i="2" s="1"/>
  <c r="AL551" i="2"/>
  <c r="AM551" i="2" s="1"/>
  <c r="AN487" i="2"/>
  <c r="AO487" i="2" s="1"/>
  <c r="AL487" i="2"/>
  <c r="AM487" i="2" s="1"/>
  <c r="AL343" i="2"/>
  <c r="AM343" i="2" s="1"/>
  <c r="AN343" i="2"/>
  <c r="AO343" i="2" s="1"/>
  <c r="AL295" i="2"/>
  <c r="AM295" i="2" s="1"/>
  <c r="AN295" i="2"/>
  <c r="AO295" i="2" s="1"/>
  <c r="AL247" i="2"/>
  <c r="AM247" i="2" s="1"/>
  <c r="AL183" i="2"/>
  <c r="AM183" i="2" s="1"/>
  <c r="AN183" i="2"/>
  <c r="AO183" i="2" s="1"/>
  <c r="AL71" i="2"/>
  <c r="AM71" i="2" s="1"/>
  <c r="AN71" i="2"/>
  <c r="AO71" i="2" s="1"/>
  <c r="AN412" i="2"/>
  <c r="AO412" i="2" s="1"/>
  <c r="AL156" i="2"/>
  <c r="AM156" i="2" s="1"/>
  <c r="AL328" i="2"/>
  <c r="AM328" i="2" s="1"/>
  <c r="AN328" i="2"/>
  <c r="AO328" i="2" s="1"/>
  <c r="AN120" i="2"/>
  <c r="AO120" i="2" s="1"/>
  <c r="AL120" i="2"/>
  <c r="AM120" i="2" s="1"/>
  <c r="AN312" i="2"/>
  <c r="AO312" i="2" s="1"/>
  <c r="AL668" i="2"/>
  <c r="AM668" i="2" s="1"/>
  <c r="AL602" i="2"/>
  <c r="AM602" i="2" s="1"/>
  <c r="AL204" i="2"/>
  <c r="AM204" i="2" s="1"/>
  <c r="AL630" i="2"/>
  <c r="AM630" i="2" s="1"/>
  <c r="AN630" i="2"/>
  <c r="AO630" i="2" s="1"/>
  <c r="AL534" i="2"/>
  <c r="AM534" i="2" s="1"/>
  <c r="AN486" i="2"/>
  <c r="AO486" i="2" s="1"/>
  <c r="AL486" i="2"/>
  <c r="AM486" i="2" s="1"/>
  <c r="AL22" i="2"/>
  <c r="AM22" i="2" s="1"/>
  <c r="AN704" i="2"/>
  <c r="AO704" i="2" s="1"/>
  <c r="AN576" i="2"/>
  <c r="AO576" i="2" s="1"/>
  <c r="AN546" i="2"/>
  <c r="AO546" i="2" s="1"/>
  <c r="AN508" i="2"/>
  <c r="AO508" i="2" s="1"/>
  <c r="AN311" i="2"/>
  <c r="AO311" i="2" s="1"/>
  <c r="AN280" i="2"/>
  <c r="AO280" i="2" s="1"/>
  <c r="AN168" i="2"/>
  <c r="AO168" i="2" s="1"/>
  <c r="AN136" i="2"/>
  <c r="AO136" i="2" s="1"/>
  <c r="AN70" i="2"/>
  <c r="AO70" i="2" s="1"/>
  <c r="AL538" i="2"/>
  <c r="AM538" i="2" s="1"/>
  <c r="AL481" i="2"/>
  <c r="AM481" i="2" s="1"/>
  <c r="AL252" i="2"/>
  <c r="AM252" i="2" s="1"/>
  <c r="AN620" i="2"/>
  <c r="AO620" i="2" s="1"/>
  <c r="AN316" i="2"/>
  <c r="AO316" i="2" s="1"/>
  <c r="AN44" i="2"/>
  <c r="AO44" i="2" s="1"/>
  <c r="AL108" i="2"/>
  <c r="AM108" i="2" s="1"/>
  <c r="AL520" i="2"/>
  <c r="AM520" i="2" s="1"/>
  <c r="AN504" i="2"/>
  <c r="AO504" i="2" s="1"/>
  <c r="AL504" i="2"/>
  <c r="AM504" i="2" s="1"/>
  <c r="AL456" i="2"/>
  <c r="AM456" i="2" s="1"/>
  <c r="AN456" i="2"/>
  <c r="AO456" i="2" s="1"/>
  <c r="AN380" i="2"/>
  <c r="AO380" i="2" s="1"/>
  <c r="AN636" i="2"/>
  <c r="AO636" i="2" s="1"/>
  <c r="AN236" i="2"/>
  <c r="AO236" i="2" s="1"/>
  <c r="AN432" i="2"/>
  <c r="AO432" i="2" s="1"/>
  <c r="AN28" i="2"/>
  <c r="AO28" i="2" s="1"/>
  <c r="AL298" i="2"/>
  <c r="AM298" i="2" s="1"/>
  <c r="AN706" i="2"/>
  <c r="AO706" i="2" s="1"/>
  <c r="AL706" i="2"/>
  <c r="AM706" i="2" s="1"/>
  <c r="AL578" i="2"/>
  <c r="AM578" i="2" s="1"/>
  <c r="AN578" i="2"/>
  <c r="AO578" i="2" s="1"/>
  <c r="AL466" i="2"/>
  <c r="AM466" i="2" s="1"/>
  <c r="AN418" i="2"/>
  <c r="AO418" i="2" s="1"/>
  <c r="AL418" i="2"/>
  <c r="AM418" i="2" s="1"/>
  <c r="AN194" i="2"/>
  <c r="AO194" i="2" s="1"/>
  <c r="AL194" i="2"/>
  <c r="AM194" i="2" s="1"/>
  <c r="AL98" i="2"/>
  <c r="AM98" i="2" s="1"/>
  <c r="AN98" i="2"/>
  <c r="AO98" i="2" s="1"/>
  <c r="AL444" i="2"/>
  <c r="AM444" i="2" s="1"/>
  <c r="AL680" i="2"/>
  <c r="AM680" i="2" s="1"/>
  <c r="AN680" i="2"/>
  <c r="AO680" i="2" s="1"/>
  <c r="AL248" i="2"/>
  <c r="AM248" i="2" s="1"/>
  <c r="AN540" i="2"/>
  <c r="AO540" i="2" s="1"/>
  <c r="AN376" i="2"/>
  <c r="AO376" i="2" s="1"/>
  <c r="AN200" i="2"/>
  <c r="AO200" i="2" s="1"/>
  <c r="AN696" i="2"/>
  <c r="AO696" i="2" s="1"/>
  <c r="AN600" i="2"/>
  <c r="AO600" i="2" s="1"/>
  <c r="AN464" i="2"/>
  <c r="AO464" i="2" s="1"/>
  <c r="AN536" i="2"/>
  <c r="AO536" i="2" s="1"/>
  <c r="AN496" i="2"/>
  <c r="AO496" i="2" s="1"/>
  <c r="AL240" i="2"/>
  <c r="AM240" i="2" s="1"/>
  <c r="AN657" i="2"/>
  <c r="AO657" i="2" s="1"/>
  <c r="AL657" i="2"/>
  <c r="AM657" i="2" s="1"/>
  <c r="AL497" i="2"/>
  <c r="AM497" i="2" s="1"/>
  <c r="AN497" i="2"/>
  <c r="AO497" i="2" s="1"/>
  <c r="AL385" i="2"/>
  <c r="AM385" i="2" s="1"/>
  <c r="AN385" i="2"/>
  <c r="AO385" i="2" s="1"/>
  <c r="AL353" i="2"/>
  <c r="AM353" i="2" s="1"/>
  <c r="AN353" i="2"/>
  <c r="AO353" i="2" s="1"/>
  <c r="AL305" i="2"/>
  <c r="AM305" i="2" s="1"/>
  <c r="AN305" i="2"/>
  <c r="AO305" i="2" s="1"/>
  <c r="AL273" i="2"/>
  <c r="AM273" i="2" s="1"/>
  <c r="AN273" i="2"/>
  <c r="AO273" i="2" s="1"/>
  <c r="AL225" i="2"/>
  <c r="AM225" i="2" s="1"/>
  <c r="AL193" i="2"/>
  <c r="AM193" i="2" s="1"/>
  <c r="AN193" i="2"/>
  <c r="AO193" i="2" s="1"/>
  <c r="AN177" i="2"/>
  <c r="AO177" i="2" s="1"/>
  <c r="AL177" i="2"/>
  <c r="AM177" i="2" s="1"/>
  <c r="AL97" i="2"/>
  <c r="AM97" i="2" s="1"/>
  <c r="AN97" i="2"/>
  <c r="AO97" i="2" s="1"/>
  <c r="AN17" i="2"/>
  <c r="AO17" i="2" s="1"/>
  <c r="AL17" i="2"/>
  <c r="AM17" i="2" s="1"/>
  <c r="AL700" i="2"/>
  <c r="AM700" i="2" s="1"/>
  <c r="AN700" i="2"/>
  <c r="AO700" i="2" s="1"/>
  <c r="AL604" i="2"/>
  <c r="AM604" i="2" s="1"/>
  <c r="AN604" i="2"/>
  <c r="AO604" i="2" s="1"/>
  <c r="AL524" i="2"/>
  <c r="AM524" i="2" s="1"/>
  <c r="AN524" i="2"/>
  <c r="AO524" i="2" s="1"/>
  <c r="AL396" i="2"/>
  <c r="AM396" i="2" s="1"/>
  <c r="AN396" i="2"/>
  <c r="AO396" i="2" s="1"/>
  <c r="AN556" i="2"/>
  <c r="AO556" i="2" s="1"/>
  <c r="AL632" i="2"/>
  <c r="AM632" i="2" s="1"/>
  <c r="AN632" i="2"/>
  <c r="AO632" i="2" s="1"/>
  <c r="AN104" i="2"/>
  <c r="AO104" i="2" s="1"/>
  <c r="AL104" i="2"/>
  <c r="AM104" i="2" s="1"/>
  <c r="AL72" i="2"/>
  <c r="AM72" i="2" s="1"/>
  <c r="AN72" i="2"/>
  <c r="AO72" i="2" s="1"/>
  <c r="AL40" i="2"/>
  <c r="AM40" i="2" s="1"/>
  <c r="AN492" i="2"/>
  <c r="AO492" i="2" s="1"/>
  <c r="AL320" i="2"/>
  <c r="AM320" i="2" s="1"/>
  <c r="AN320" i="2"/>
  <c r="AO320" i="2" s="1"/>
  <c r="AL304" i="2"/>
  <c r="AM304" i="2" s="1"/>
  <c r="AN304" i="2"/>
  <c r="AO304" i="2" s="1"/>
  <c r="AN268" i="2"/>
  <c r="AO268" i="2" s="1"/>
  <c r="AL344" i="2"/>
  <c r="AM344" i="2" s="1"/>
  <c r="AL239" i="2"/>
  <c r="AM239" i="2" s="1"/>
  <c r="AN239" i="2"/>
  <c r="AO239" i="2" s="1"/>
  <c r="AL111" i="2"/>
  <c r="AM111" i="2" s="1"/>
  <c r="AN111" i="2"/>
  <c r="AO111" i="2" s="1"/>
  <c r="AN79" i="2"/>
  <c r="AO79" i="2" s="1"/>
  <c r="AL79" i="2"/>
  <c r="AM79" i="2" s="1"/>
  <c r="AN31" i="2"/>
  <c r="AO31" i="2" s="1"/>
  <c r="AL31" i="2"/>
  <c r="AM31" i="2" s="1"/>
  <c r="AN510" i="2"/>
  <c r="AO510" i="2" s="1"/>
  <c r="AN221" i="2"/>
  <c r="AO221" i="2" s="1"/>
  <c r="AN110" i="2"/>
  <c r="AO110" i="2" s="1"/>
  <c r="AN21" i="2"/>
  <c r="AO21" i="2" s="1"/>
  <c r="AL190" i="2"/>
  <c r="AM190" i="2" s="1"/>
  <c r="AN509" i="2"/>
  <c r="AO509" i="2" s="1"/>
  <c r="AL318" i="2"/>
  <c r="AM318" i="2" s="1"/>
  <c r="AF254" i="2"/>
  <c r="AG254" i="2" s="1"/>
  <c r="AF702" i="2"/>
  <c r="AG702" i="2" s="1"/>
  <c r="AN363" i="2"/>
  <c r="AO363" i="2" s="1"/>
  <c r="AL599" i="2"/>
  <c r="AM599" i="2" s="1"/>
  <c r="AN583" i="2"/>
  <c r="AO583" i="2" s="1"/>
  <c r="AL583" i="2"/>
  <c r="AM583" i="2" s="1"/>
  <c r="AL279" i="2"/>
  <c r="AM279" i="2" s="1"/>
  <c r="AN279" i="2"/>
  <c r="AO279" i="2" s="1"/>
  <c r="AN103" i="2"/>
  <c r="AO103" i="2" s="1"/>
  <c r="AL103" i="2"/>
  <c r="AM103" i="2" s="1"/>
  <c r="AL539" i="2"/>
  <c r="AM539" i="2" s="1"/>
  <c r="AN539" i="2"/>
  <c r="AO539" i="2" s="1"/>
  <c r="AN507" i="2"/>
  <c r="AO507" i="2" s="1"/>
  <c r="AL507" i="2"/>
  <c r="AM507" i="2" s="1"/>
  <c r="AL75" i="2"/>
  <c r="AM75" i="2" s="1"/>
  <c r="AN75" i="2"/>
  <c r="AO75" i="2" s="1"/>
  <c r="AN459" i="2"/>
  <c r="AO459" i="2" s="1"/>
  <c r="AL679" i="2"/>
  <c r="AM679" i="2" s="1"/>
  <c r="AN679" i="2"/>
  <c r="AO679" i="2" s="1"/>
  <c r="AL615" i="2"/>
  <c r="AM615" i="2" s="1"/>
  <c r="AN615" i="2"/>
  <c r="AO615" i="2" s="1"/>
  <c r="AL455" i="2"/>
  <c r="AM455" i="2" s="1"/>
  <c r="AN455" i="2"/>
  <c r="AO455" i="2" s="1"/>
  <c r="AL359" i="2"/>
  <c r="AM359" i="2" s="1"/>
  <c r="AN359" i="2"/>
  <c r="AO359" i="2" s="1"/>
  <c r="AL7" i="2"/>
  <c r="AM7" i="2" s="1"/>
  <c r="AN7" i="2"/>
  <c r="AO7" i="2" s="1"/>
  <c r="AL662" i="2"/>
  <c r="AM662" i="2" s="1"/>
  <c r="AN662" i="2"/>
  <c r="AO662" i="2" s="1"/>
  <c r="AL646" i="2"/>
  <c r="AM646" i="2" s="1"/>
  <c r="AN646" i="2"/>
  <c r="AO646" i="2" s="1"/>
  <c r="AL502" i="2"/>
  <c r="AM502" i="2" s="1"/>
  <c r="AN502" i="2"/>
  <c r="AO502" i="2" s="1"/>
  <c r="AL454" i="2"/>
  <c r="AM454" i="2" s="1"/>
  <c r="AN454" i="2"/>
  <c r="AO454" i="2" s="1"/>
  <c r="AN342" i="2"/>
  <c r="AO342" i="2" s="1"/>
  <c r="AL342" i="2"/>
  <c r="AM342" i="2" s="1"/>
  <c r="AL278" i="2"/>
  <c r="AM278" i="2" s="1"/>
  <c r="AN278" i="2"/>
  <c r="AO278" i="2" s="1"/>
  <c r="AN246" i="2"/>
  <c r="AO246" i="2" s="1"/>
  <c r="AL246" i="2"/>
  <c r="AM246" i="2" s="1"/>
  <c r="AL214" i="2"/>
  <c r="AM214" i="2" s="1"/>
  <c r="AN214" i="2"/>
  <c r="AO214" i="2" s="1"/>
  <c r="AN621" i="2"/>
  <c r="AO621" i="2" s="1"/>
  <c r="AN573" i="2"/>
  <c r="AO573" i="2" s="1"/>
  <c r="AN550" i="2"/>
  <c r="AO550" i="2" s="1"/>
  <c r="AN478" i="2"/>
  <c r="AO478" i="2" s="1"/>
  <c r="AN358" i="2"/>
  <c r="AO358" i="2" s="1"/>
  <c r="AN315" i="2"/>
  <c r="AO315" i="2" s="1"/>
  <c r="AN142" i="2"/>
  <c r="AO142" i="2" s="1"/>
  <c r="AN91" i="2"/>
  <c r="AO91" i="2" s="1"/>
  <c r="AL334" i="2"/>
  <c r="AM334" i="2" s="1"/>
  <c r="AL139" i="2"/>
  <c r="AM139" i="2" s="1"/>
  <c r="AN683" i="2"/>
  <c r="AO683" i="2" s="1"/>
  <c r="AL683" i="2"/>
  <c r="AM683" i="2" s="1"/>
  <c r="AN635" i="2"/>
  <c r="AO635" i="2" s="1"/>
  <c r="AL635" i="2"/>
  <c r="AM635" i="2" s="1"/>
  <c r="AL379" i="2"/>
  <c r="AM379" i="2" s="1"/>
  <c r="AN379" i="2"/>
  <c r="AO379" i="2" s="1"/>
  <c r="AN171" i="2"/>
  <c r="AO171" i="2" s="1"/>
  <c r="AL299" i="2"/>
  <c r="AM299" i="2" s="1"/>
  <c r="AL375" i="2"/>
  <c r="AM375" i="2" s="1"/>
  <c r="AN375" i="2"/>
  <c r="AO375" i="2" s="1"/>
  <c r="AL231" i="2"/>
  <c r="AM231" i="2" s="1"/>
  <c r="AN231" i="2"/>
  <c r="AO231" i="2" s="1"/>
  <c r="AL199" i="2"/>
  <c r="AM199" i="2" s="1"/>
  <c r="AN199" i="2"/>
  <c r="AO199" i="2" s="1"/>
  <c r="AN622" i="2"/>
  <c r="AO622" i="2" s="1"/>
  <c r="AN167" i="2"/>
  <c r="AO167" i="2" s="1"/>
  <c r="AN598" i="2"/>
  <c r="AO598" i="2" s="1"/>
  <c r="AL598" i="2"/>
  <c r="AM598" i="2" s="1"/>
  <c r="AL198" i="2"/>
  <c r="AM198" i="2" s="1"/>
  <c r="AN198" i="2"/>
  <c r="AO198" i="2" s="1"/>
  <c r="AL134" i="2"/>
  <c r="AM134" i="2" s="1"/>
  <c r="AN86" i="2"/>
  <c r="AO86" i="2" s="1"/>
  <c r="AL86" i="2"/>
  <c r="AM86" i="2" s="1"/>
  <c r="AL54" i="2"/>
  <c r="AM54" i="2" s="1"/>
  <c r="AN54" i="2"/>
  <c r="AO54" i="2" s="1"/>
  <c r="AN702" i="2"/>
  <c r="AO702" i="2" s="1"/>
  <c r="AN427" i="2"/>
  <c r="AO427" i="2" s="1"/>
  <c r="AN263" i="2"/>
  <c r="AO263" i="2" s="1"/>
  <c r="AN189" i="2"/>
  <c r="AO189" i="2" s="1"/>
  <c r="AN39" i="2"/>
  <c r="AO39" i="2" s="1"/>
  <c r="AL574" i="2"/>
  <c r="AM574" i="2" s="1"/>
  <c r="AL541" i="2"/>
  <c r="AM541" i="2" s="1"/>
  <c r="AL333" i="2"/>
  <c r="AM333" i="2" s="1"/>
  <c r="AL251" i="2"/>
  <c r="AM251" i="2" s="1"/>
  <c r="AL62" i="2"/>
  <c r="AM62" i="2" s="1"/>
  <c r="AL27" i="2"/>
  <c r="AM27" i="2" s="1"/>
  <c r="AN587" i="2"/>
  <c r="AO587" i="2" s="1"/>
  <c r="AL587" i="2"/>
  <c r="AM587" i="2" s="1"/>
  <c r="AL155" i="2"/>
  <c r="AM155" i="2" s="1"/>
  <c r="AN155" i="2"/>
  <c r="AO155" i="2" s="1"/>
  <c r="AL11" i="2"/>
  <c r="AM11" i="2" s="1"/>
  <c r="AN555" i="2"/>
  <c r="AO555" i="2" s="1"/>
  <c r="AL475" i="2"/>
  <c r="AM475" i="2" s="1"/>
  <c r="AL663" i="2"/>
  <c r="AM663" i="2" s="1"/>
  <c r="AN663" i="2"/>
  <c r="AO663" i="2" s="1"/>
  <c r="AL567" i="2"/>
  <c r="AM567" i="2" s="1"/>
  <c r="AN567" i="2"/>
  <c r="AO567" i="2" s="1"/>
  <c r="AL535" i="2"/>
  <c r="AM535" i="2" s="1"/>
  <c r="AN535" i="2"/>
  <c r="AO535" i="2" s="1"/>
  <c r="AN215" i="2"/>
  <c r="AO215" i="2" s="1"/>
  <c r="AL215" i="2"/>
  <c r="AM215" i="2" s="1"/>
  <c r="AL614" i="2"/>
  <c r="AM614" i="2" s="1"/>
  <c r="AN614" i="2"/>
  <c r="AO614" i="2" s="1"/>
  <c r="AL422" i="2"/>
  <c r="AM422" i="2" s="1"/>
  <c r="AN422" i="2"/>
  <c r="AO422" i="2" s="1"/>
  <c r="AL374" i="2"/>
  <c r="AM374" i="2" s="1"/>
  <c r="AN374" i="2"/>
  <c r="AO374" i="2" s="1"/>
  <c r="AL326" i="2"/>
  <c r="AM326" i="2" s="1"/>
  <c r="AN326" i="2"/>
  <c r="AO326" i="2" s="1"/>
  <c r="AN294" i="2"/>
  <c r="AO294" i="2" s="1"/>
  <c r="AL294" i="2"/>
  <c r="AM294" i="2" s="1"/>
  <c r="AL166" i="2"/>
  <c r="AM166" i="2" s="1"/>
  <c r="AN166" i="2"/>
  <c r="AO166" i="2" s="1"/>
  <c r="AN102" i="2"/>
  <c r="AO102" i="2" s="1"/>
  <c r="AL102" i="2"/>
  <c r="AM102" i="2" s="1"/>
  <c r="AN701" i="2"/>
  <c r="AO701" i="2" s="1"/>
  <c r="AN571" i="2"/>
  <c r="AO571" i="2" s="1"/>
  <c r="AN523" i="2"/>
  <c r="AO523" i="2" s="1"/>
  <c r="AN262" i="2"/>
  <c r="AO262" i="2" s="1"/>
  <c r="AN38" i="2"/>
  <c r="AO38" i="2" s="1"/>
  <c r="AL494" i="2"/>
  <c r="AM494" i="2" s="1"/>
  <c r="AL331" i="2"/>
  <c r="AM331" i="2" s="1"/>
  <c r="AL135" i="2"/>
  <c r="AM135" i="2" s="1"/>
  <c r="AN678" i="2"/>
  <c r="AO678" i="2" s="1"/>
  <c r="AN491" i="2"/>
  <c r="AO491" i="2" s="1"/>
  <c r="AN230" i="2"/>
  <c r="AO230" i="2" s="1"/>
  <c r="AN182" i="2"/>
  <c r="AO182" i="2" s="1"/>
  <c r="AN109" i="2"/>
  <c r="AO109" i="2" s="1"/>
  <c r="AL317" i="2"/>
  <c r="AM317" i="2" s="1"/>
  <c r="AL238" i="2"/>
  <c r="AM238" i="2" s="1"/>
  <c r="AL94" i="2"/>
  <c r="AM94" i="2" s="1"/>
  <c r="AL219" i="2"/>
  <c r="AM219" i="2" s="1"/>
  <c r="AN219" i="2"/>
  <c r="AO219" i="2" s="1"/>
  <c r="AN107" i="2"/>
  <c r="AO107" i="2" s="1"/>
  <c r="AL107" i="2"/>
  <c r="AM107" i="2" s="1"/>
  <c r="AN283" i="2"/>
  <c r="AO283" i="2" s="1"/>
  <c r="AN327" i="2"/>
  <c r="AO327" i="2" s="1"/>
  <c r="AP686" i="2"/>
  <c r="AL686" i="2"/>
  <c r="AM686" i="2" s="1"/>
  <c r="AL670" i="2"/>
  <c r="AM670" i="2" s="1"/>
  <c r="AN670" i="2"/>
  <c r="AO670" i="2" s="1"/>
  <c r="AN654" i="2"/>
  <c r="AO654" i="2" s="1"/>
  <c r="AL654" i="2"/>
  <c r="AM654" i="2" s="1"/>
  <c r="AL606" i="2"/>
  <c r="AM606" i="2" s="1"/>
  <c r="AN606" i="2"/>
  <c r="AO606" i="2" s="1"/>
  <c r="AL558" i="2"/>
  <c r="AM558" i="2" s="1"/>
  <c r="AL526" i="2"/>
  <c r="AM526" i="2" s="1"/>
  <c r="AL414" i="2"/>
  <c r="AM414" i="2" s="1"/>
  <c r="AN414" i="2"/>
  <c r="AO414" i="2" s="1"/>
  <c r="AL366" i="2"/>
  <c r="AM366" i="2" s="1"/>
  <c r="AN366" i="2"/>
  <c r="AO366" i="2" s="1"/>
  <c r="AL286" i="2"/>
  <c r="AM286" i="2" s="1"/>
  <c r="AN286" i="2"/>
  <c r="AO286" i="2" s="1"/>
  <c r="AL206" i="2"/>
  <c r="AM206" i="2" s="1"/>
  <c r="AN206" i="2"/>
  <c r="AO206" i="2" s="1"/>
  <c r="AL174" i="2"/>
  <c r="AM174" i="2" s="1"/>
  <c r="AN174" i="2"/>
  <c r="AO174" i="2" s="1"/>
  <c r="AL158" i="2"/>
  <c r="AM158" i="2" s="1"/>
  <c r="AN158" i="2"/>
  <c r="AO158" i="2" s="1"/>
  <c r="AL30" i="2"/>
  <c r="AM30" i="2" s="1"/>
  <c r="AN30" i="2"/>
  <c r="AO30" i="2" s="1"/>
  <c r="AL667" i="2"/>
  <c r="AM667" i="2" s="1"/>
  <c r="AN667" i="2"/>
  <c r="AO667" i="2" s="1"/>
  <c r="AN695" i="2"/>
  <c r="AO695" i="2" s="1"/>
  <c r="AN631" i="2"/>
  <c r="AO631" i="2" s="1"/>
  <c r="AN203" i="2"/>
  <c r="AO203" i="2" s="1"/>
  <c r="AN151" i="2"/>
  <c r="AO151" i="2" s="1"/>
  <c r="AL235" i="2"/>
  <c r="AM235" i="2" s="1"/>
  <c r="AL637" i="2"/>
  <c r="AM637" i="2" s="1"/>
  <c r="AN637" i="2"/>
  <c r="AO637" i="2" s="1"/>
  <c r="AL557" i="2"/>
  <c r="AM557" i="2" s="1"/>
  <c r="AN557" i="2"/>
  <c r="AO557" i="2" s="1"/>
  <c r="AL493" i="2"/>
  <c r="AM493" i="2" s="1"/>
  <c r="AN493" i="2"/>
  <c r="AO493" i="2" s="1"/>
  <c r="AL285" i="2"/>
  <c r="AM285" i="2" s="1"/>
  <c r="AN285" i="2"/>
  <c r="AO285" i="2" s="1"/>
  <c r="AN141" i="2"/>
  <c r="AO141" i="2" s="1"/>
  <c r="AL141" i="2"/>
  <c r="AM141" i="2" s="1"/>
  <c r="AN77" i="2"/>
  <c r="AO77" i="2" s="1"/>
  <c r="AL77" i="2"/>
  <c r="AM77" i="2" s="1"/>
  <c r="AN61" i="2"/>
  <c r="AO61" i="2" s="1"/>
  <c r="AL61" i="2"/>
  <c r="AM61" i="2" s="1"/>
  <c r="AL45" i="2"/>
  <c r="AM45" i="2" s="1"/>
  <c r="AN45" i="2"/>
  <c r="AO45" i="2" s="1"/>
  <c r="AL699" i="2"/>
  <c r="AM699" i="2" s="1"/>
  <c r="AN651" i="2"/>
  <c r="AO651" i="2" s="1"/>
  <c r="AL651" i="2"/>
  <c r="AM651" i="2" s="1"/>
  <c r="AL619" i="2"/>
  <c r="AM619" i="2" s="1"/>
  <c r="AN619" i="2"/>
  <c r="AO619" i="2" s="1"/>
  <c r="AN443" i="2"/>
  <c r="AO443" i="2" s="1"/>
  <c r="AL443" i="2"/>
  <c r="AM443" i="2" s="1"/>
  <c r="AL411" i="2"/>
  <c r="AM411" i="2" s="1"/>
  <c r="AN411" i="2"/>
  <c r="AO411" i="2" s="1"/>
  <c r="AN187" i="2"/>
  <c r="AO187" i="2" s="1"/>
  <c r="AL187" i="2"/>
  <c r="AM187" i="2" s="1"/>
  <c r="AN59" i="2"/>
  <c r="AO59" i="2" s="1"/>
  <c r="AN653" i="2"/>
  <c r="AO653" i="2" s="1"/>
  <c r="AL653" i="2"/>
  <c r="AM653" i="2" s="1"/>
  <c r="AN413" i="2"/>
  <c r="AO413" i="2" s="1"/>
  <c r="AL413" i="2"/>
  <c r="AM413" i="2" s="1"/>
  <c r="AL397" i="2"/>
  <c r="AM397" i="2" s="1"/>
  <c r="AN397" i="2"/>
  <c r="AO397" i="2" s="1"/>
  <c r="AL269" i="2"/>
  <c r="AM269" i="2" s="1"/>
  <c r="AN269" i="2"/>
  <c r="AO269" i="2" s="1"/>
  <c r="AL237" i="2"/>
  <c r="AM237" i="2" s="1"/>
  <c r="AN237" i="2"/>
  <c r="AO237" i="2" s="1"/>
  <c r="AL205" i="2"/>
  <c r="AM205" i="2" s="1"/>
  <c r="AN205" i="2"/>
  <c r="AO205" i="2" s="1"/>
  <c r="AN173" i="2"/>
  <c r="AO173" i="2" s="1"/>
  <c r="AL173" i="2"/>
  <c r="AM173" i="2" s="1"/>
  <c r="AN157" i="2"/>
  <c r="AO157" i="2" s="1"/>
  <c r="AL157" i="2"/>
  <c r="AM157" i="2" s="1"/>
  <c r="AL93" i="2"/>
  <c r="AM93" i="2" s="1"/>
  <c r="AN93" i="2"/>
  <c r="AO93" i="2" s="1"/>
  <c r="AL29" i="2"/>
  <c r="AM29" i="2" s="1"/>
  <c r="AN29" i="2"/>
  <c r="AO29" i="2" s="1"/>
  <c r="AN438" i="2"/>
  <c r="AO438" i="2" s="1"/>
  <c r="AN347" i="2"/>
  <c r="AO347" i="2" s="1"/>
  <c r="AN150" i="2"/>
  <c r="AO150" i="2" s="1"/>
  <c r="AL267" i="2"/>
  <c r="AM267" i="2" s="1"/>
  <c r="AL13" i="2"/>
  <c r="AM13" i="2" s="1"/>
  <c r="AL282" i="2"/>
  <c r="AM282" i="2" s="1"/>
  <c r="AN242" i="2"/>
  <c r="AO242" i="2" s="1"/>
  <c r="AL242" i="2"/>
  <c r="AM242" i="2" s="1"/>
  <c r="AN672" i="2"/>
  <c r="AO672" i="2" s="1"/>
  <c r="AN655" i="2"/>
  <c r="AO655" i="2" s="1"/>
  <c r="AN495" i="2"/>
  <c r="AO495" i="2" s="1"/>
  <c r="AN434" i="2"/>
  <c r="AO434" i="2" s="1"/>
  <c r="AN354" i="2"/>
  <c r="AO354" i="2" s="1"/>
  <c r="AN114" i="2"/>
  <c r="AO114" i="2" s="1"/>
  <c r="AL176" i="2"/>
  <c r="AM176" i="2" s="1"/>
  <c r="AN176" i="2"/>
  <c r="AO176" i="2" s="1"/>
  <c r="AL64" i="2"/>
  <c r="AM64" i="2" s="1"/>
  <c r="AN64" i="2"/>
  <c r="AO64" i="2" s="1"/>
  <c r="AN32" i="2"/>
  <c r="AO32" i="2" s="1"/>
  <c r="AL32" i="2"/>
  <c r="AM32" i="2" s="1"/>
  <c r="AN274" i="2"/>
  <c r="AO274" i="2" s="1"/>
  <c r="AL306" i="2"/>
  <c r="AM306" i="2" s="1"/>
  <c r="AL154" i="2"/>
  <c r="AM154" i="2" s="1"/>
  <c r="AL431" i="2"/>
  <c r="AM431" i="2" s="1"/>
  <c r="AN431" i="2"/>
  <c r="AO431" i="2" s="1"/>
  <c r="AL191" i="2"/>
  <c r="AM191" i="2" s="1"/>
  <c r="AL159" i="2"/>
  <c r="AM159" i="2" s="1"/>
  <c r="AN159" i="2"/>
  <c r="AO159" i="2" s="1"/>
  <c r="AN95" i="2"/>
  <c r="AO95" i="2" s="1"/>
  <c r="AL95" i="2"/>
  <c r="AM95" i="2" s="1"/>
  <c r="AF543" i="2"/>
  <c r="AG543" i="2" s="1"/>
  <c r="AF415" i="2"/>
  <c r="AG415" i="2" s="1"/>
  <c r="AF111" i="2"/>
  <c r="AG111" i="2" s="1"/>
  <c r="AF95" i="2"/>
  <c r="AG95" i="2" s="1"/>
  <c r="AF47" i="2"/>
  <c r="AG47" i="2" s="1"/>
  <c r="AF558" i="2"/>
  <c r="AG558" i="2" s="1"/>
  <c r="AF510" i="2"/>
  <c r="AG510" i="2" s="1"/>
  <c r="AF462" i="2"/>
  <c r="AG462" i="2" s="1"/>
  <c r="AF446" i="2"/>
  <c r="AG446" i="2" s="1"/>
  <c r="AF366" i="2"/>
  <c r="AG366" i="2" s="1"/>
  <c r="AF350" i="2"/>
  <c r="AG350" i="2" s="1"/>
  <c r="AN218" i="2"/>
  <c r="AO218" i="2" s="1"/>
  <c r="AL218" i="2"/>
  <c r="AM218" i="2" s="1"/>
  <c r="AN122" i="2"/>
  <c r="AO122" i="2" s="1"/>
  <c r="AL122" i="2"/>
  <c r="AM122" i="2" s="1"/>
  <c r="AN226" i="2"/>
  <c r="AO226" i="2" s="1"/>
  <c r="AL617" i="2"/>
  <c r="AM617" i="2" s="1"/>
  <c r="AN617" i="2"/>
  <c r="AO617" i="2" s="1"/>
  <c r="AL249" i="2"/>
  <c r="AM249" i="2" s="1"/>
  <c r="AN249" i="2"/>
  <c r="AO249" i="2" s="1"/>
  <c r="AN121" i="2"/>
  <c r="AO121" i="2" s="1"/>
  <c r="AL121" i="2"/>
  <c r="AM121" i="2" s="1"/>
  <c r="AN634" i="2"/>
  <c r="AO634" i="2" s="1"/>
  <c r="AL634" i="2"/>
  <c r="AM634" i="2" s="1"/>
  <c r="AL616" i="2"/>
  <c r="AM616" i="2" s="1"/>
  <c r="AN616" i="2"/>
  <c r="AO616" i="2" s="1"/>
  <c r="AL360" i="2"/>
  <c r="AM360" i="2" s="1"/>
  <c r="AN360" i="2"/>
  <c r="AO360" i="2" s="1"/>
  <c r="AL232" i="2"/>
  <c r="AM232" i="2" s="1"/>
  <c r="AN232" i="2"/>
  <c r="AO232" i="2" s="1"/>
  <c r="AL24" i="2"/>
  <c r="AM24" i="2" s="1"/>
  <c r="AN24" i="2"/>
  <c r="AO24" i="2" s="1"/>
  <c r="AF686" i="2"/>
  <c r="AG686" i="2" s="1"/>
  <c r="AL276" i="2"/>
  <c r="AM276" i="2" s="1"/>
  <c r="AN276" i="2"/>
  <c r="AO276" i="2" s="1"/>
  <c r="AL68" i="2"/>
  <c r="AM68" i="2" s="1"/>
  <c r="AN68" i="2"/>
  <c r="AO68" i="2" s="1"/>
  <c r="AF87" i="2"/>
  <c r="AG87" i="2" s="1"/>
  <c r="AF519" i="2"/>
  <c r="AG519" i="2" s="1"/>
  <c r="AF391" i="2"/>
  <c r="AG391" i="2" s="1"/>
  <c r="AN591" i="2"/>
  <c r="AO591" i="2" s="1"/>
  <c r="AN471" i="2"/>
  <c r="AO471" i="2" s="1"/>
  <c r="AL202" i="2"/>
  <c r="AM202" i="2" s="1"/>
  <c r="AN607" i="2"/>
  <c r="AO607" i="2" s="1"/>
  <c r="AN351" i="2"/>
  <c r="AO351" i="2" s="1"/>
  <c r="AL367" i="2"/>
  <c r="AM367" i="2" s="1"/>
  <c r="AL287" i="2"/>
  <c r="AM287" i="2" s="1"/>
  <c r="AL138" i="2"/>
  <c r="AM138" i="2" s="1"/>
  <c r="AN503" i="2"/>
  <c r="AO503" i="2" s="1"/>
  <c r="AL15" i="2"/>
  <c r="AM15" i="2" s="1"/>
  <c r="AL63" i="2"/>
  <c r="AM63" i="2" s="1"/>
  <c r="AN63" i="2"/>
  <c r="AO63" i="2" s="1"/>
  <c r="AP47" i="2"/>
  <c r="AN47" i="2"/>
  <c r="AO47" i="2" s="1"/>
  <c r="AL559" i="2"/>
  <c r="AM559" i="2" s="1"/>
  <c r="AL474" i="2"/>
  <c r="AM474" i="2" s="1"/>
  <c r="AL426" i="2"/>
  <c r="AM426" i="2" s="1"/>
  <c r="AN447" i="2"/>
  <c r="AO447" i="2" s="1"/>
  <c r="AL10" i="2"/>
  <c r="AM10" i="2" s="1"/>
  <c r="AL586" i="2"/>
  <c r="AM586" i="2" s="1"/>
  <c r="AN586" i="2"/>
  <c r="AO586" i="2" s="1"/>
  <c r="AL570" i="2"/>
  <c r="AM570" i="2" s="1"/>
  <c r="AN570" i="2"/>
  <c r="AO570" i="2" s="1"/>
  <c r="AL554" i="2"/>
  <c r="AM554" i="2" s="1"/>
  <c r="AN554" i="2"/>
  <c r="AO554" i="2" s="1"/>
  <c r="AL410" i="2"/>
  <c r="AM410" i="2" s="1"/>
  <c r="AN410" i="2"/>
  <c r="AO410" i="2" s="1"/>
  <c r="AL394" i="2"/>
  <c r="AM394" i="2" s="1"/>
  <c r="AN394" i="2"/>
  <c r="AO394" i="2" s="1"/>
  <c r="AL378" i="2"/>
  <c r="AM378" i="2" s="1"/>
  <c r="AN378" i="2"/>
  <c r="AO378" i="2" s="1"/>
  <c r="AL362" i="2"/>
  <c r="AM362" i="2" s="1"/>
  <c r="AN362" i="2"/>
  <c r="AO362" i="2" s="1"/>
  <c r="AL266" i="2"/>
  <c r="AM266" i="2" s="1"/>
  <c r="AN266" i="2"/>
  <c r="AO266" i="2" s="1"/>
  <c r="AL250" i="2"/>
  <c r="AM250" i="2" s="1"/>
  <c r="AN250" i="2"/>
  <c r="AO250" i="2" s="1"/>
  <c r="AL234" i="2"/>
  <c r="AM234" i="2" s="1"/>
  <c r="AN234" i="2"/>
  <c r="AO234" i="2" s="1"/>
  <c r="AL170" i="2"/>
  <c r="AM170" i="2" s="1"/>
  <c r="AN170" i="2"/>
  <c r="AO170" i="2" s="1"/>
  <c r="AL106" i="2"/>
  <c r="AM106" i="2" s="1"/>
  <c r="AN106" i="2"/>
  <c r="AO106" i="2" s="1"/>
  <c r="AL74" i="2"/>
  <c r="AM74" i="2" s="1"/>
  <c r="AN74" i="2"/>
  <c r="AO74" i="2" s="1"/>
  <c r="AL90" i="2"/>
  <c r="AM90" i="2" s="1"/>
  <c r="AL618" i="2"/>
  <c r="AM618" i="2" s="1"/>
  <c r="AL506" i="2"/>
  <c r="AM506" i="2" s="1"/>
  <c r="AL42" i="2"/>
  <c r="AM42" i="2" s="1"/>
  <c r="AL314" i="2"/>
  <c r="AM314" i="2" s="1"/>
  <c r="AL458" i="2"/>
  <c r="AM458" i="2" s="1"/>
  <c r="AN458" i="2"/>
  <c r="AO458" i="2" s="1"/>
  <c r="AP710" i="2"/>
  <c r="AL710" i="2"/>
  <c r="AM710" i="2" s="1"/>
  <c r="AL490" i="2"/>
  <c r="AM490" i="2" s="1"/>
  <c r="AN490" i="2"/>
  <c r="AO490" i="2" s="1"/>
  <c r="AL442" i="2"/>
  <c r="AM442" i="2" s="1"/>
  <c r="AN527" i="2"/>
  <c r="AO527" i="2" s="1"/>
  <c r="AL186" i="2"/>
  <c r="AM186" i="2" s="1"/>
  <c r="AN473" i="2"/>
  <c r="AO473" i="2" s="1"/>
  <c r="AN439" i="2"/>
  <c r="AO439" i="2" s="1"/>
  <c r="AN303" i="2"/>
  <c r="AO303" i="2" s="1"/>
  <c r="AL522" i="2"/>
  <c r="AM522" i="2" s="1"/>
  <c r="AL330" i="2"/>
  <c r="AM330" i="2" s="1"/>
  <c r="AL58" i="2"/>
  <c r="AM58" i="2" s="1"/>
  <c r="AP676" i="2"/>
  <c r="AL676" i="2"/>
  <c r="AM676" i="2" s="1"/>
  <c r="AP20" i="2"/>
  <c r="AL20" i="2"/>
  <c r="AM20" i="2" s="1"/>
  <c r="AF114" i="2"/>
  <c r="AG114" i="2" s="1"/>
  <c r="AP700" i="2"/>
  <c r="AP701" i="2"/>
  <c r="AP702" i="2"/>
  <c r="AP448" i="2"/>
  <c r="AP449" i="2"/>
  <c r="AP450" i="2"/>
  <c r="AP694" i="2"/>
  <c r="AP692" i="2"/>
  <c r="AP693" i="2"/>
  <c r="AP690" i="2"/>
  <c r="AP691" i="2"/>
  <c r="AP604" i="2"/>
  <c r="AP605" i="2"/>
  <c r="AP606" i="2"/>
  <c r="AP607" i="2"/>
  <c r="AP338" i="2"/>
  <c r="AP339" i="2"/>
  <c r="AP340" i="2"/>
  <c r="AP336" i="2"/>
  <c r="AP337" i="2"/>
  <c r="AP674" i="2"/>
  <c r="AP675" i="2"/>
  <c r="AP670" i="2"/>
  <c r="AP671" i="2"/>
  <c r="AP667" i="2"/>
  <c r="AP668" i="2"/>
  <c r="AP669" i="2"/>
  <c r="AP666" i="2"/>
  <c r="AP661" i="2"/>
  <c r="AP662" i="2"/>
  <c r="AP663" i="2"/>
  <c r="AP664" i="2"/>
  <c r="AP665" i="2"/>
  <c r="AP653" i="2"/>
  <c r="AP654" i="2"/>
  <c r="AP655" i="2"/>
  <c r="AP656" i="2"/>
  <c r="AP657" i="2"/>
  <c r="AP658" i="2"/>
  <c r="AP641" i="2"/>
  <c r="AP642" i="2"/>
  <c r="AP643" i="2"/>
  <c r="AP644" i="2"/>
  <c r="AP645" i="2"/>
  <c r="AP646" i="2"/>
  <c r="AP647" i="2"/>
  <c r="AP629" i="2"/>
  <c r="AP630" i="2"/>
  <c r="AP631" i="2"/>
  <c r="AP632" i="2"/>
  <c r="AP633" i="2"/>
  <c r="AP634" i="2"/>
  <c r="AP635" i="2"/>
  <c r="AP636" i="2"/>
  <c r="AP637" i="2"/>
  <c r="AP638" i="2"/>
  <c r="AP639" i="2"/>
  <c r="AP640" i="2"/>
  <c r="AP649" i="2"/>
  <c r="AP650" i="2"/>
  <c r="AP651" i="2"/>
  <c r="AP652" i="2"/>
  <c r="AP608" i="2"/>
  <c r="AP609" i="2"/>
  <c r="AP610" i="2"/>
  <c r="AP611" i="2"/>
  <c r="AP612" i="2"/>
  <c r="AP613" i="2"/>
  <c r="AP602" i="2"/>
  <c r="AP603" i="2"/>
  <c r="AP622" i="2"/>
  <c r="AP623" i="2"/>
  <c r="AP624" i="2"/>
  <c r="AP625" i="2"/>
  <c r="AP626" i="2"/>
  <c r="AP627" i="2"/>
  <c r="AP628" i="2"/>
  <c r="AP591" i="2"/>
  <c r="AP592" i="2"/>
  <c r="AP593" i="2"/>
  <c r="AP594" i="2"/>
  <c r="AP595" i="2"/>
  <c r="AP596" i="2"/>
  <c r="AP597" i="2"/>
  <c r="AP598" i="2"/>
  <c r="AP586" i="2"/>
  <c r="AP587" i="2"/>
  <c r="AP588" i="2"/>
  <c r="AP589" i="2"/>
  <c r="AP590" i="2"/>
  <c r="AP567" i="2"/>
  <c r="AP568" i="2"/>
  <c r="AP569" i="2"/>
  <c r="AP570" i="2"/>
  <c r="AP549" i="2"/>
  <c r="AP550" i="2"/>
  <c r="AP551" i="2"/>
  <c r="AP552" i="2"/>
  <c r="AP553" i="2"/>
  <c r="AP554" i="2"/>
  <c r="AP555" i="2"/>
  <c r="AP547" i="2"/>
  <c r="AP548" i="2"/>
  <c r="AP542" i="2"/>
  <c r="AP543" i="2"/>
  <c r="AP544" i="2"/>
  <c r="AP545" i="2"/>
  <c r="AP546" i="2"/>
  <c r="AP564" i="2"/>
  <c r="AP565" i="2"/>
  <c r="AP566" i="2"/>
  <c r="AP582" i="2"/>
  <c r="AP583" i="2"/>
  <c r="AP584" i="2"/>
  <c r="AP585" i="2"/>
  <c r="AP577" i="2"/>
  <c r="AP578" i="2"/>
  <c r="AP579" i="2"/>
  <c r="AP580" i="2"/>
  <c r="AP581" i="2"/>
  <c r="AP533" i="2"/>
  <c r="AP534" i="2"/>
  <c r="AP535" i="2"/>
  <c r="AP536" i="2"/>
  <c r="AP537" i="2"/>
  <c r="AP562" i="2"/>
  <c r="AP563" i="2"/>
  <c r="AP529" i="2"/>
  <c r="AP530" i="2"/>
  <c r="AP531" i="2"/>
  <c r="AP532" i="2"/>
  <c r="AP528" i="2"/>
  <c r="AP556" i="2"/>
  <c r="AP557" i="2"/>
  <c r="AP558" i="2"/>
  <c r="AP559" i="2"/>
  <c r="AP560" i="2"/>
  <c r="AP561" i="2"/>
  <c r="AP525" i="2"/>
  <c r="AP526" i="2"/>
  <c r="AP527" i="2"/>
  <c r="AP521" i="2"/>
  <c r="AP522" i="2"/>
  <c r="AP523" i="2"/>
  <c r="AP524" i="2"/>
  <c r="AP518" i="2"/>
  <c r="AP519" i="2"/>
  <c r="AP520" i="2"/>
  <c r="AP517" i="2"/>
  <c r="AP509" i="2"/>
  <c r="AP510" i="2"/>
  <c r="AP511" i="2"/>
  <c r="AP512" i="2"/>
  <c r="AP513" i="2"/>
  <c r="AP514" i="2"/>
  <c r="AP515" i="2"/>
  <c r="AP516" i="2"/>
  <c r="AP487" i="2"/>
  <c r="AP488" i="2"/>
  <c r="AP489" i="2"/>
  <c r="AP490" i="2"/>
  <c r="AP491" i="2"/>
  <c r="AP492" i="2"/>
  <c r="AP493" i="2"/>
  <c r="AP494" i="2"/>
  <c r="AP495" i="2"/>
  <c r="AP496" i="2"/>
  <c r="AP497" i="2"/>
  <c r="AP498" i="2"/>
  <c r="AP499" i="2"/>
  <c r="AP477" i="2"/>
  <c r="AP478" i="2"/>
  <c r="AP479" i="2"/>
  <c r="AP474" i="2"/>
  <c r="AP475" i="2"/>
  <c r="AP476" i="2"/>
  <c r="AP571" i="2"/>
  <c r="AP572" i="2"/>
  <c r="AP573" i="2"/>
  <c r="AP574" i="2"/>
  <c r="AP575" i="2"/>
  <c r="AP576" i="2"/>
  <c r="AP472" i="2"/>
  <c r="AP473" i="2"/>
  <c r="AP470" i="2"/>
  <c r="AP471" i="2"/>
  <c r="AP500" i="2"/>
  <c r="AP501" i="2"/>
  <c r="AP502" i="2"/>
  <c r="AP503" i="2"/>
  <c r="AP504" i="2"/>
  <c r="AP505" i="2"/>
  <c r="AP506" i="2"/>
  <c r="AP507" i="2"/>
  <c r="AP508" i="2"/>
  <c r="AP480" i="2"/>
  <c r="AP481" i="2"/>
  <c r="AP482" i="2"/>
  <c r="AP483" i="2"/>
  <c r="AP484" i="2"/>
  <c r="AP485" i="2"/>
  <c r="AP486" i="2"/>
  <c r="AP462" i="2"/>
  <c r="AP463" i="2"/>
  <c r="AP451" i="2"/>
  <c r="AP452" i="2"/>
  <c r="AP453" i="2"/>
  <c r="AP464" i="2"/>
  <c r="AP465" i="2"/>
  <c r="AP457" i="2"/>
  <c r="AP458" i="2"/>
  <c r="AP459" i="2"/>
  <c r="AP460" i="2"/>
  <c r="AP461" i="2"/>
  <c r="AP454" i="2"/>
  <c r="AP455" i="2"/>
  <c r="AP456" i="2"/>
  <c r="AP445" i="2"/>
  <c r="AP446" i="2"/>
  <c r="AP447" i="2"/>
  <c r="AP442" i="2"/>
  <c r="AP443" i="2"/>
  <c r="AP444" i="2"/>
  <c r="AP439" i="2"/>
  <c r="AP440" i="2"/>
  <c r="AP441" i="2"/>
  <c r="AP436" i="2"/>
  <c r="AP437" i="2"/>
  <c r="AP438" i="2"/>
  <c r="AP432" i="2"/>
  <c r="AP433" i="2"/>
  <c r="AP434" i="2"/>
  <c r="AP435" i="2"/>
  <c r="AP420" i="2"/>
  <c r="AP421" i="2"/>
  <c r="AP422" i="2"/>
  <c r="AP423" i="2"/>
  <c r="AP424" i="2"/>
  <c r="AP414" i="2"/>
  <c r="AP415" i="2"/>
  <c r="AP416" i="2"/>
  <c r="AP417" i="2"/>
  <c r="AP418" i="2"/>
  <c r="AP408" i="2"/>
  <c r="AP409" i="2"/>
  <c r="AP410" i="2"/>
  <c r="AP411" i="2"/>
  <c r="AP412" i="2"/>
  <c r="AP413" i="2"/>
  <c r="AP401" i="2"/>
  <c r="AP402" i="2"/>
  <c r="AP403" i="2"/>
  <c r="AP404" i="2"/>
  <c r="AP405" i="2"/>
  <c r="AP406" i="2"/>
  <c r="AP407" i="2"/>
  <c r="AP395" i="2"/>
  <c r="AP396" i="2"/>
  <c r="AP397" i="2"/>
  <c r="AP398" i="2"/>
  <c r="AP399" i="2"/>
  <c r="AP400" i="2"/>
  <c r="AP367" i="2"/>
  <c r="AP368" i="2"/>
  <c r="AP369" i="2"/>
  <c r="AP370" i="2"/>
  <c r="AP365" i="2"/>
  <c r="AP366" i="2"/>
  <c r="AP363" i="2"/>
  <c r="AP364" i="2"/>
  <c r="AP359" i="2"/>
  <c r="AP360" i="2"/>
  <c r="AP361" i="2"/>
  <c r="AP362" i="2"/>
  <c r="AP377" i="2"/>
  <c r="AP378" i="2"/>
  <c r="AP351" i="2"/>
  <c r="AP352" i="2"/>
  <c r="AP709" i="2"/>
  <c r="AP348" i="2"/>
  <c r="AP349" i="2"/>
  <c r="AP350" i="2"/>
  <c r="AP614" i="2"/>
  <c r="AP615" i="2"/>
  <c r="AP616" i="2"/>
  <c r="AP617" i="2"/>
  <c r="AP618" i="2"/>
  <c r="AP619" i="2"/>
  <c r="AP344" i="2"/>
  <c r="AP345" i="2"/>
  <c r="AP346" i="2"/>
  <c r="AP347" i="2"/>
  <c r="AP388" i="2"/>
  <c r="AP389" i="2"/>
  <c r="AP390" i="2"/>
  <c r="AP341" i="2"/>
  <c r="AP342" i="2"/>
  <c r="AP343" i="2"/>
  <c r="AP385" i="2"/>
  <c r="AP386" i="2"/>
  <c r="AP387" i="2"/>
  <c r="AP353" i="2"/>
  <c r="AP354" i="2"/>
  <c r="AP355" i="2"/>
  <c r="AP356" i="2"/>
  <c r="AP357" i="2"/>
  <c r="AP358" i="2"/>
  <c r="AP371" i="2"/>
  <c r="AP372" i="2"/>
  <c r="AP373" i="2"/>
  <c r="AP374" i="2"/>
  <c r="AP375" i="2"/>
  <c r="AP376" i="2"/>
  <c r="AP391" i="2"/>
  <c r="AP392" i="2"/>
  <c r="AP393" i="2"/>
  <c r="AP394" i="2"/>
  <c r="AP379" i="2"/>
  <c r="AP380" i="2"/>
  <c r="AP381" i="2"/>
  <c r="AP382" i="2"/>
  <c r="AP383" i="2"/>
  <c r="AP384" i="2"/>
  <c r="AP332" i="2"/>
  <c r="AP333" i="2"/>
  <c r="AP334" i="2"/>
  <c r="AP335" i="2"/>
  <c r="AP325" i="2"/>
  <c r="AP326" i="2"/>
  <c r="AP327" i="2"/>
  <c r="AP328" i="2"/>
  <c r="AP329" i="2"/>
  <c r="AP330" i="2"/>
  <c r="AP331" i="2"/>
  <c r="AP322" i="2"/>
  <c r="AP323" i="2"/>
  <c r="AP324" i="2"/>
  <c r="AP316" i="2"/>
  <c r="AP317" i="2"/>
  <c r="AP318" i="2"/>
  <c r="AP319" i="2"/>
  <c r="AP320" i="2"/>
  <c r="AP321" i="2"/>
  <c r="AP315" i="2"/>
  <c r="AP314" i="2"/>
  <c r="AP307" i="2"/>
  <c r="AP308" i="2"/>
  <c r="AP309" i="2"/>
  <c r="AP310" i="2"/>
  <c r="AP311" i="2"/>
  <c r="AP312" i="2"/>
  <c r="AP648" i="2"/>
  <c r="AP299" i="2"/>
  <c r="AP300" i="2"/>
  <c r="AP301" i="2"/>
  <c r="AP302" i="2"/>
  <c r="AP303" i="2"/>
  <c r="AP304" i="2"/>
  <c r="AP305" i="2"/>
  <c r="AP306" i="2"/>
  <c r="AP296" i="2"/>
  <c r="AP297" i="2"/>
  <c r="AP298" i="2"/>
  <c r="AP290" i="2"/>
  <c r="AP291" i="2"/>
  <c r="AP292" i="2"/>
  <c r="AP293" i="2"/>
  <c r="AP294" i="2"/>
  <c r="AP295" i="2"/>
  <c r="AP283" i="2"/>
  <c r="AP284" i="2"/>
  <c r="AP285" i="2"/>
  <c r="AP286" i="2"/>
  <c r="AP287" i="2"/>
  <c r="AP288" i="2"/>
  <c r="AP289" i="2"/>
  <c r="AP270" i="2"/>
  <c r="AP267" i="2"/>
  <c r="AP268" i="2"/>
  <c r="AP269" i="2"/>
  <c r="AP279" i="2"/>
  <c r="AP280" i="2"/>
  <c r="AP281" i="2"/>
  <c r="AP282" i="2"/>
  <c r="AP271" i="2"/>
  <c r="AP272" i="2"/>
  <c r="AP273" i="2"/>
  <c r="AP274" i="2"/>
  <c r="AP275" i="2"/>
  <c r="AP276" i="2"/>
  <c r="AP277" i="2"/>
  <c r="AP278" i="2"/>
  <c r="AP258" i="2"/>
  <c r="AP259" i="2"/>
  <c r="AP260" i="2"/>
  <c r="AP261" i="2"/>
  <c r="AP262" i="2"/>
  <c r="AP263" i="2"/>
  <c r="AP264" i="2"/>
  <c r="AP265" i="2"/>
  <c r="AP266" i="2"/>
  <c r="AP255" i="2"/>
  <c r="AP256" i="2"/>
  <c r="AP257" i="2"/>
  <c r="AP247" i="2"/>
  <c r="AP248" i="2"/>
  <c r="AP249" i="2"/>
  <c r="AP250" i="2"/>
  <c r="AP251" i="2"/>
  <c r="AP252" i="2"/>
  <c r="AP253" i="2"/>
  <c r="AP254" i="2"/>
  <c r="AP233" i="2"/>
  <c r="AP234" i="2"/>
  <c r="AP235" i="2"/>
  <c r="AP243" i="2"/>
  <c r="AP244" i="2"/>
  <c r="AP245" i="2"/>
  <c r="AP246" i="2"/>
  <c r="AP228" i="2"/>
  <c r="AP229" i="2"/>
  <c r="AP230" i="2"/>
  <c r="AP231" i="2"/>
  <c r="AP232" i="2"/>
  <c r="AP226" i="2"/>
  <c r="AP227" i="2"/>
  <c r="AP538" i="2"/>
  <c r="AP539" i="2"/>
  <c r="AP540" i="2"/>
  <c r="AP541" i="2"/>
  <c r="AP223" i="2"/>
  <c r="AP224" i="2"/>
  <c r="AP225" i="2"/>
  <c r="AP221" i="2"/>
  <c r="AP222" i="2"/>
  <c r="AP215" i="2"/>
  <c r="AP216" i="2"/>
  <c r="AP217" i="2"/>
  <c r="AP218" i="2"/>
  <c r="AP219" i="2"/>
  <c r="AP220" i="2"/>
  <c r="AP202" i="2"/>
  <c r="AP203" i="2"/>
  <c r="AP204" i="2"/>
  <c r="AP205" i="2"/>
  <c r="AP206" i="2"/>
  <c r="AP207" i="2"/>
  <c r="AP236" i="2"/>
  <c r="AP237" i="2"/>
  <c r="AP238" i="2"/>
  <c r="AP239" i="2"/>
  <c r="AP240" i="2"/>
  <c r="AP241" i="2"/>
  <c r="AP242" i="2"/>
  <c r="AP213" i="2"/>
  <c r="AP214" i="2"/>
  <c r="AP208" i="2"/>
  <c r="AP209" i="2"/>
  <c r="AP210" i="2"/>
  <c r="AP211" i="2"/>
  <c r="AP212" i="2"/>
  <c r="AP198" i="2"/>
  <c r="AP199" i="2"/>
  <c r="AP200" i="2"/>
  <c r="AP201" i="2"/>
  <c r="AP659" i="2"/>
  <c r="AP660" i="2"/>
  <c r="AP196" i="2"/>
  <c r="AP197" i="2"/>
  <c r="AP191" i="2"/>
  <c r="AP192" i="2"/>
  <c r="AP193" i="2"/>
  <c r="AP194" i="2"/>
  <c r="AP185" i="2"/>
  <c r="AP186" i="2"/>
  <c r="AP187" i="2"/>
  <c r="AP188" i="2"/>
  <c r="AP189" i="2"/>
  <c r="AP190" i="2"/>
  <c r="AP183" i="2"/>
  <c r="AP184" i="2"/>
  <c r="AP620" i="2"/>
  <c r="AP621" i="2"/>
  <c r="AP181" i="2"/>
  <c r="AP182" i="2"/>
  <c r="AP176" i="2"/>
  <c r="AP177" i="2"/>
  <c r="AP178" i="2"/>
  <c r="AP179" i="2"/>
  <c r="AP180" i="2"/>
  <c r="AP174" i="2"/>
  <c r="AP175" i="2"/>
  <c r="AP167" i="2"/>
  <c r="AP168" i="2"/>
  <c r="AP169" i="2"/>
  <c r="AP170" i="2"/>
  <c r="AP171" i="2"/>
  <c r="AP172" i="2"/>
  <c r="AP173" i="2"/>
  <c r="AP155" i="2"/>
  <c r="AP156" i="2"/>
  <c r="AP157" i="2"/>
  <c r="AP158" i="2"/>
  <c r="AP140" i="2"/>
  <c r="AP141" i="2"/>
  <c r="AP142" i="2"/>
  <c r="AP161" i="2"/>
  <c r="AP162" i="2"/>
  <c r="AP163" i="2"/>
  <c r="AP164" i="2"/>
  <c r="AP165" i="2"/>
  <c r="AP166" i="2"/>
  <c r="AP152" i="2"/>
  <c r="AP153" i="2"/>
  <c r="AP154" i="2"/>
  <c r="AP159" i="2"/>
  <c r="AP160" i="2"/>
  <c r="AP134" i="2"/>
  <c r="AP135" i="2"/>
  <c r="AP136" i="2"/>
  <c r="AP137" i="2"/>
  <c r="AP138" i="2"/>
  <c r="AP139" i="2"/>
  <c r="AP425" i="2"/>
  <c r="AP426" i="2"/>
  <c r="AP427" i="2"/>
  <c r="AP428" i="2"/>
  <c r="AP429" i="2"/>
  <c r="AP430" i="2"/>
  <c r="AP431" i="2"/>
  <c r="AP130" i="2"/>
  <c r="AP131" i="2"/>
  <c r="AP132" i="2"/>
  <c r="AP133" i="2"/>
  <c r="AP143" i="2"/>
  <c r="AP144" i="2"/>
  <c r="AP145" i="2"/>
  <c r="AP146" i="2"/>
  <c r="AP147" i="2"/>
  <c r="AP148" i="2"/>
  <c r="AP149" i="2"/>
  <c r="AP150" i="2"/>
  <c r="AP151" i="2"/>
  <c r="AP127" i="2"/>
  <c r="AP128" i="2"/>
  <c r="AP129" i="2"/>
  <c r="AP121" i="2"/>
  <c r="AP122" i="2"/>
  <c r="AP123" i="2"/>
  <c r="AP124" i="2"/>
  <c r="AP125" i="2"/>
  <c r="AP126" i="2"/>
  <c r="AP115" i="2"/>
  <c r="AP116" i="2"/>
  <c r="AP117" i="2"/>
  <c r="AP109" i="2"/>
  <c r="AP110" i="2"/>
  <c r="AP111" i="2"/>
  <c r="AP112" i="2"/>
  <c r="AP113" i="2"/>
  <c r="AP114" i="2"/>
  <c r="AP100" i="2"/>
  <c r="AP101" i="2"/>
  <c r="AP102" i="2"/>
  <c r="AP103" i="2"/>
  <c r="AP104" i="2"/>
  <c r="AP118" i="2"/>
  <c r="AP119" i="2"/>
  <c r="AP120" i="2"/>
  <c r="AP97" i="2"/>
  <c r="AP98" i="2"/>
  <c r="AP99" i="2"/>
  <c r="AP94" i="2"/>
  <c r="AP95" i="2"/>
  <c r="AP92" i="2"/>
  <c r="AP93" i="2"/>
  <c r="AP90" i="2"/>
  <c r="AP91" i="2"/>
  <c r="AP88" i="2"/>
  <c r="AP89" i="2"/>
  <c r="AP85" i="2"/>
  <c r="AP86" i="2"/>
  <c r="AP87" i="2"/>
  <c r="AP96" i="2"/>
  <c r="AP468" i="2"/>
  <c r="AP469" i="2"/>
  <c r="AP105" i="2"/>
  <c r="AP106" i="2"/>
  <c r="AP107" i="2"/>
  <c r="AP108" i="2"/>
  <c r="AP75" i="2"/>
  <c r="AP76" i="2"/>
  <c r="AP77" i="2"/>
  <c r="AP78" i="2"/>
  <c r="AP81" i="2"/>
  <c r="AP82" i="2"/>
  <c r="AP83" i="2"/>
  <c r="AP84" i="2"/>
  <c r="AP72" i="2"/>
  <c r="AP73" i="2"/>
  <c r="AP74" i="2"/>
  <c r="AP66" i="2"/>
  <c r="AP67" i="2"/>
  <c r="AP68" i="2"/>
  <c r="AP69" i="2"/>
  <c r="AP70" i="2"/>
  <c r="AP42" i="2"/>
  <c r="AP43" i="2"/>
  <c r="AP44" i="2"/>
  <c r="AP45" i="2"/>
  <c r="AP63" i="2"/>
  <c r="AP64" i="2"/>
  <c r="AP65" i="2"/>
  <c r="AP57" i="2"/>
  <c r="AP58" i="2"/>
  <c r="AP59" i="2"/>
  <c r="AP60" i="2"/>
  <c r="AP61" i="2"/>
  <c r="AP62" i="2"/>
  <c r="AP71" i="2"/>
  <c r="AP49" i="2"/>
  <c r="AP50" i="2"/>
  <c r="AP51" i="2"/>
  <c r="AP28" i="2"/>
  <c r="AP29" i="2"/>
  <c r="AP30" i="2"/>
  <c r="AP31" i="2"/>
  <c r="AP22" i="2"/>
  <c r="AP23" i="2"/>
  <c r="AP24" i="2"/>
  <c r="AP25" i="2"/>
  <c r="AP26" i="2"/>
  <c r="AP17" i="2"/>
  <c r="AP18" i="2"/>
  <c r="AP19" i="2"/>
  <c r="AP52" i="2"/>
  <c r="AP53" i="2"/>
  <c r="AP54" i="2"/>
  <c r="AP55" i="2"/>
  <c r="AP56" i="2"/>
  <c r="AP39" i="2"/>
  <c r="AP40" i="2"/>
  <c r="AP41" i="2"/>
  <c r="AP7" i="2"/>
  <c r="AP8" i="2"/>
  <c r="AP32" i="2"/>
  <c r="AP33" i="2"/>
  <c r="AP34" i="2"/>
  <c r="AP35" i="2"/>
  <c r="AP36" i="2"/>
  <c r="AP37" i="2"/>
  <c r="AP38" i="2"/>
  <c r="AP6" i="2"/>
  <c r="AP27" i="2"/>
  <c r="AP13" i="2"/>
  <c r="AP14" i="2"/>
  <c r="AP15" i="2"/>
  <c r="AP16" i="2"/>
  <c r="I17" i="7"/>
  <c r="H17" i="7" s="1"/>
  <c r="H18" i="7" s="1"/>
  <c r="C9" i="7"/>
  <c r="C10" i="7" s="1"/>
  <c r="C16" i="7" s="1"/>
  <c r="C17" i="7" s="1"/>
  <c r="C4" i="4"/>
  <c r="D11" i="4"/>
  <c r="D12" i="4" s="1"/>
  <c r="D13" i="4" s="1"/>
  <c r="D3" i="4"/>
  <c r="D4" i="4" s="1"/>
  <c r="D5" i="4" s="1"/>
  <c r="D6" i="4" s="1"/>
  <c r="D7" i="4" s="1"/>
  <c r="L19" i="5"/>
  <c r="L20" i="5"/>
  <c r="L21" i="5"/>
  <c r="L22" i="5"/>
  <c r="L23" i="5"/>
  <c r="L24" i="5"/>
  <c r="L25" i="5"/>
  <c r="L26" i="5"/>
  <c r="L27" i="5"/>
  <c r="L28" i="5"/>
  <c r="K25" i="5"/>
  <c r="K26" i="5"/>
  <c r="K27" i="5"/>
  <c r="K28" i="5"/>
  <c r="L3" i="5"/>
  <c r="K3" i="5"/>
  <c r="H12" i="1"/>
  <c r="C14" i="4"/>
  <c r="L2" i="13" l="1"/>
  <c r="F32" i="12"/>
  <c r="C10" i="12"/>
  <c r="G33" i="12"/>
  <c r="F33" i="12"/>
  <c r="C11" i="12"/>
  <c r="M2" i="13"/>
  <c r="Q2" i="15"/>
  <c r="B127" i="16"/>
  <c r="B128" i="16" s="1"/>
  <c r="F3" i="14"/>
  <c r="Q55" i="15"/>
  <c r="Q243" i="15"/>
  <c r="Q242" i="15"/>
  <c r="Q241" i="15"/>
  <c r="Q240" i="15"/>
  <c r="Q93" i="15"/>
  <c r="Q239" i="15"/>
  <c r="Q238" i="15"/>
  <c r="Q237" i="15"/>
  <c r="Q236" i="15"/>
  <c r="Q235" i="15"/>
  <c r="Q234" i="15"/>
  <c r="Q233" i="15"/>
  <c r="Q232" i="15"/>
  <c r="Q231" i="15"/>
  <c r="Q230" i="15"/>
  <c r="Q229" i="15"/>
  <c r="Q228" i="15"/>
  <c r="Q37" i="15"/>
  <c r="Q36" i="15"/>
  <c r="Q34" i="15"/>
  <c r="Q30" i="15"/>
  <c r="Q227" i="15"/>
  <c r="Q226" i="15"/>
  <c r="Q225" i="15"/>
  <c r="Q224" i="15"/>
  <c r="Q223" i="15"/>
  <c r="Q222" i="15"/>
  <c r="Q221" i="15"/>
  <c r="Q220" i="15"/>
  <c r="Q219" i="15"/>
  <c r="Q218" i="15"/>
  <c r="Q217" i="15"/>
  <c r="Q216" i="15"/>
  <c r="Q215" i="15"/>
  <c r="Q214" i="15"/>
  <c r="Q213" i="15"/>
  <c r="Q212" i="15"/>
  <c r="Q22" i="15"/>
  <c r="Q99" i="15"/>
  <c r="Q101" i="15"/>
  <c r="Q110" i="15"/>
  <c r="Q112" i="15"/>
  <c r="Q116" i="15"/>
  <c r="Q134" i="15"/>
  <c r="Q139" i="15"/>
  <c r="Q141" i="15"/>
  <c r="Q150" i="15"/>
  <c r="Q153" i="15"/>
  <c r="Q161" i="15"/>
  <c r="Q165" i="15"/>
  <c r="Q167" i="15"/>
  <c r="Q170" i="15"/>
  <c r="Q172" i="15"/>
  <c r="Q177" i="15"/>
  <c r="Q179" i="15"/>
  <c r="Q191" i="15"/>
  <c r="Q197" i="15"/>
  <c r="Q256" i="15"/>
  <c r="Q257" i="15"/>
  <c r="Q269" i="15"/>
  <c r="Q258" i="15"/>
  <c r="Q278" i="15"/>
  <c r="Q280" i="15"/>
  <c r="Q4" i="15"/>
  <c r="Q253" i="15"/>
  <c r="Q252" i="15"/>
  <c r="Q251" i="15"/>
  <c r="Q250" i="15"/>
  <c r="Q249" i="15"/>
  <c r="Q248" i="15"/>
  <c r="Q247" i="15"/>
  <c r="Q246" i="15"/>
  <c r="Q245" i="15"/>
  <c r="Q285" i="15"/>
  <c r="Q284" i="15"/>
  <c r="Q283" i="15"/>
  <c r="Q281" i="15"/>
  <c r="Q279" i="15"/>
  <c r="Q277" i="15"/>
  <c r="Q276" i="15"/>
  <c r="Q274" i="15"/>
  <c r="Q273" i="15"/>
  <c r="Q272" i="15"/>
  <c r="Q271" i="15"/>
  <c r="Q270" i="15"/>
  <c r="Q268" i="15"/>
  <c r="Q267" i="15"/>
  <c r="Q265" i="15"/>
  <c r="Q264" i="15"/>
  <c r="Q263" i="15"/>
  <c r="Q262" i="15"/>
  <c r="Q261" i="15"/>
  <c r="Q260" i="15"/>
  <c r="Q259" i="15"/>
  <c r="Q8" i="15"/>
  <c r="Q11" i="15"/>
  <c r="Q12" i="15"/>
  <c r="Q13" i="15"/>
  <c r="Q14" i="15"/>
  <c r="Q16" i="15"/>
  <c r="Q18" i="15"/>
  <c r="Q19" i="15"/>
  <c r="Q20" i="15"/>
  <c r="Q23" i="15"/>
  <c r="Q27" i="15"/>
  <c r="Q32" i="15"/>
  <c r="Q35" i="15"/>
  <c r="Q40" i="15"/>
  <c r="Q41" i="15"/>
  <c r="Q42" i="15"/>
  <c r="Q43" i="15"/>
  <c r="Q44" i="15"/>
  <c r="Q45" i="15"/>
  <c r="Q47" i="15"/>
  <c r="Q49" i="15"/>
  <c r="Q60" i="15"/>
  <c r="Q63" i="15"/>
  <c r="Q67" i="15"/>
  <c r="Q70" i="15"/>
  <c r="Q71" i="15"/>
  <c r="Q72" i="15"/>
  <c r="Q73" i="15"/>
  <c r="Q74" i="15"/>
  <c r="Q75" i="15"/>
  <c r="Q78" i="15"/>
  <c r="Q5" i="15"/>
  <c r="Q29" i="15"/>
  <c r="Q244" i="15"/>
  <c r="Q64" i="15"/>
  <c r="Q69" i="15"/>
  <c r="Q96" i="15"/>
  <c r="Q178" i="15"/>
  <c r="Q201" i="15"/>
  <c r="Q3" i="15"/>
  <c r="Q7" i="15"/>
  <c r="Q9" i="15"/>
  <c r="Q15" i="15"/>
  <c r="Q17" i="15"/>
  <c r="Q24" i="15"/>
  <c r="Q26" i="15"/>
  <c r="Q28" i="15"/>
  <c r="Q31" i="15"/>
  <c r="Q33" i="15"/>
  <c r="Q38" i="15"/>
  <c r="Q39" i="15"/>
  <c r="Q46" i="15"/>
  <c r="Q50" i="15"/>
  <c r="Q52" i="15"/>
  <c r="Q56" i="15"/>
  <c r="Q58" i="15"/>
  <c r="Q65" i="15"/>
  <c r="Q82" i="15"/>
  <c r="Q84" i="15"/>
  <c r="Q92" i="15"/>
  <c r="Q98" i="15"/>
  <c r="Q103" i="15"/>
  <c r="Q108" i="15"/>
  <c r="Q109" i="15"/>
  <c r="Q113" i="15"/>
  <c r="Q125" i="15"/>
  <c r="Q127" i="15"/>
  <c r="Q132" i="15"/>
  <c r="Q136" i="15"/>
  <c r="Q138" i="15"/>
  <c r="Q145" i="15"/>
  <c r="Q149" i="15"/>
  <c r="Q152" i="15"/>
  <c r="Q154" i="15"/>
  <c r="Q166" i="15"/>
  <c r="Q182" i="15"/>
  <c r="Q190" i="15"/>
  <c r="Q196" i="15"/>
  <c r="Q205" i="15"/>
  <c r="Q83" i="15"/>
  <c r="Q85" i="15"/>
  <c r="Q86" i="15"/>
  <c r="Q87" i="15"/>
  <c r="Q90" i="15"/>
  <c r="Q91" i="15"/>
  <c r="Q94" i="15"/>
  <c r="Q95" i="15"/>
  <c r="Q97" i="15"/>
  <c r="Q105" i="15"/>
  <c r="Q106" i="15"/>
  <c r="Q107" i="15"/>
  <c r="Q115" i="15"/>
  <c r="Q117" i="15"/>
  <c r="Q118" i="15"/>
  <c r="Q120" i="15"/>
  <c r="Q121" i="15"/>
  <c r="Q122" i="15"/>
  <c r="Q124" i="15"/>
  <c r="Q128" i="15"/>
  <c r="Q129" i="15"/>
  <c r="Q130" i="15"/>
  <c r="Q131" i="15"/>
  <c r="Q135" i="15"/>
  <c r="Q140" i="15"/>
  <c r="Q142" i="15"/>
  <c r="Q143" i="15"/>
  <c r="Q144" i="15"/>
  <c r="Q146" i="15"/>
  <c r="Q148" i="15"/>
  <c r="Q151" i="15"/>
  <c r="Q155" i="15"/>
  <c r="Q156" i="15"/>
  <c r="Q6" i="15"/>
  <c r="Q10" i="15"/>
  <c r="Q21" i="15"/>
  <c r="Q25" i="15"/>
  <c r="Q51" i="15"/>
  <c r="Q53" i="15"/>
  <c r="Q57" i="15"/>
  <c r="Q59" i="15"/>
  <c r="Q61" i="15"/>
  <c r="Q68" i="15"/>
  <c r="Q76" i="15"/>
  <c r="Q80" i="15"/>
  <c r="Q88" i="15"/>
  <c r="Q100" i="15"/>
  <c r="Q102" i="15"/>
  <c r="Q104" i="15"/>
  <c r="Q111" i="15"/>
  <c r="Q114" i="15"/>
  <c r="Q119" i="15"/>
  <c r="Q123" i="15"/>
  <c r="Q126" i="15"/>
  <c r="Q133" i="15"/>
  <c r="Q137" i="15"/>
  <c r="Q147" i="15"/>
  <c r="Q157" i="15"/>
  <c r="Q158" i="15"/>
  <c r="Q164" i="15"/>
  <c r="Q173" i="15"/>
  <c r="Q176" i="15"/>
  <c r="Q181" i="15"/>
  <c r="Q184" i="15"/>
  <c r="Q186" i="15"/>
  <c r="Q194" i="15"/>
  <c r="Q200" i="15"/>
  <c r="Q266" i="15"/>
  <c r="Q275" i="15"/>
  <c r="Q282" i="15"/>
  <c r="Q286" i="15"/>
  <c r="Q287" i="15"/>
  <c r="Q159" i="15"/>
  <c r="Q160" i="15"/>
  <c r="Q162" i="15"/>
  <c r="Q163" i="15"/>
  <c r="Q168" i="15"/>
  <c r="Q169" i="15"/>
  <c r="Q171" i="15"/>
  <c r="Q174" i="15"/>
  <c r="Q175" i="15"/>
  <c r="Q180" i="15"/>
  <c r="Q183" i="15"/>
  <c r="Q185" i="15"/>
  <c r="Q187" i="15"/>
  <c r="Q188" i="15"/>
  <c r="Q189" i="15"/>
  <c r="Q192" i="15"/>
  <c r="Q193" i="15"/>
  <c r="Q195" i="15"/>
  <c r="Q198" i="15"/>
  <c r="Q199" i="15"/>
  <c r="Q202" i="15"/>
  <c r="Q203" i="15"/>
  <c r="Q204" i="15"/>
  <c r="Q206" i="15"/>
  <c r="Q207" i="15"/>
  <c r="Q208" i="15"/>
  <c r="Q209" i="15"/>
  <c r="Q210" i="15"/>
  <c r="Q254" i="15"/>
  <c r="Q255" i="15"/>
  <c r="Q89" i="15"/>
  <c r="Q81" i="15"/>
  <c r="Q79" i="15"/>
  <c r="Q77" i="15"/>
  <c r="Q66" i="15"/>
  <c r="Q62" i="15"/>
  <c r="Q54" i="15"/>
  <c r="Q48" i="15"/>
  <c r="Q211" i="15"/>
  <c r="D6" i="13"/>
  <c r="H6" i="13" s="1"/>
  <c r="F7" i="13"/>
  <c r="I7" i="12"/>
  <c r="J6" i="12"/>
  <c r="F28" i="12" s="1"/>
  <c r="E21" i="8"/>
  <c r="G18" i="8"/>
  <c r="G19" i="8"/>
  <c r="G16" i="8"/>
  <c r="G17" i="8"/>
  <c r="D19" i="8"/>
  <c r="D18" i="8"/>
  <c r="D17" i="8"/>
  <c r="D16" i="8"/>
  <c r="D21" i="8" s="1"/>
  <c r="H14" i="8"/>
  <c r="AL346" i="2"/>
  <c r="AM346" i="2" s="1"/>
  <c r="AL577" i="2"/>
  <c r="AM577" i="2" s="1"/>
  <c r="AL591" i="2"/>
  <c r="AM591" i="2" s="1"/>
  <c r="AL201" i="2"/>
  <c r="AM201" i="2" s="1"/>
  <c r="AL233" i="2"/>
  <c r="AM233" i="2" s="1"/>
  <c r="AL243" i="2"/>
  <c r="AM243" i="2" s="1"/>
  <c r="AL258" i="2"/>
  <c r="AM258" i="2" s="1"/>
  <c r="AL391" i="2"/>
  <c r="AM391" i="2" s="1"/>
  <c r="AL415" i="2"/>
  <c r="AM415" i="2" s="1"/>
  <c r="AL432" i="2"/>
  <c r="AM432" i="2" s="1"/>
  <c r="AL446" i="2"/>
  <c r="AM446" i="2" s="1"/>
  <c r="AL527" i="2"/>
  <c r="AM527" i="2" s="1"/>
  <c r="AL592" i="2"/>
  <c r="AM592" i="2" s="1"/>
  <c r="AL605" i="2"/>
  <c r="AM605" i="2" s="1"/>
  <c r="AL34" i="2"/>
  <c r="AM34" i="2" s="1"/>
  <c r="AL52" i="2"/>
  <c r="AM52" i="2" s="1"/>
  <c r="AL73" i="2"/>
  <c r="AM73" i="2" s="1"/>
  <c r="AL78" i="2"/>
  <c r="AM78" i="2" s="1"/>
  <c r="AL112" i="2"/>
  <c r="AM112" i="2" s="1"/>
  <c r="AL118" i="2"/>
  <c r="AM118" i="2" s="1"/>
  <c r="AL130" i="2"/>
  <c r="AM130" i="2" s="1"/>
  <c r="AL140" i="2"/>
  <c r="AM140" i="2" s="1"/>
  <c r="AL143" i="2"/>
  <c r="AM143" i="2" s="1"/>
  <c r="AL167" i="2"/>
  <c r="AM167" i="2" s="1"/>
  <c r="AL184" i="2"/>
  <c r="AM184" i="2" s="1"/>
  <c r="AL188" i="2"/>
  <c r="AM188" i="2" s="1"/>
  <c r="AL203" i="2"/>
  <c r="AM203" i="2" s="1"/>
  <c r="AL216" i="2"/>
  <c r="AM216" i="2" s="1"/>
  <c r="AL236" i="2"/>
  <c r="AM236" i="2" s="1"/>
  <c r="AL447" i="2"/>
  <c r="AM447" i="2" s="1"/>
  <c r="AL500" i="2"/>
  <c r="AM500" i="2" s="1"/>
  <c r="AL642" i="2"/>
  <c r="AM642" i="2" s="1"/>
  <c r="AL701" i="2"/>
  <c r="AM701" i="2" s="1"/>
  <c r="AL83" i="2"/>
  <c r="AM83" i="2" s="1"/>
  <c r="AL338" i="2"/>
  <c r="AM338" i="2" s="1"/>
  <c r="AL47" i="2"/>
  <c r="AM47" i="2" s="1"/>
  <c r="AL57" i="2"/>
  <c r="AM57" i="2" s="1"/>
  <c r="AL66" i="2"/>
  <c r="AM66" i="2" s="1"/>
  <c r="AL67" i="2"/>
  <c r="AM67" i="2" s="1"/>
  <c r="AL113" i="2"/>
  <c r="AM113" i="2" s="1"/>
  <c r="AL168" i="2"/>
  <c r="AM168" i="2" s="1"/>
  <c r="AL182" i="2"/>
  <c r="AM182" i="2" s="1"/>
  <c r="AL408" i="2"/>
  <c r="AM408" i="2" s="1"/>
  <c r="AL438" i="2"/>
  <c r="AM438" i="2" s="1"/>
  <c r="AL470" i="2"/>
  <c r="AM470" i="2" s="1"/>
  <c r="AL509" i="2"/>
  <c r="AM509" i="2" s="1"/>
  <c r="AL268" i="2"/>
  <c r="AM268" i="2" s="1"/>
  <c r="AL271" i="2"/>
  <c r="AM271" i="2" s="1"/>
  <c r="AL283" i="2"/>
  <c r="AM283" i="2" s="1"/>
  <c r="AL284" i="2"/>
  <c r="AM284" i="2" s="1"/>
  <c r="AL308" i="2"/>
  <c r="AM308" i="2" s="1"/>
  <c r="AL316" i="2"/>
  <c r="AM316" i="2" s="1"/>
  <c r="AL327" i="2"/>
  <c r="AM327" i="2" s="1"/>
  <c r="AL339" i="2"/>
  <c r="AM339" i="2" s="1"/>
  <c r="AL340" i="2"/>
  <c r="AM340" i="2" s="1"/>
  <c r="AL347" i="2"/>
  <c r="AM347" i="2" s="1"/>
  <c r="AL381" i="2"/>
  <c r="AM381" i="2" s="1"/>
  <c r="AL401" i="2"/>
  <c r="AM401" i="2" s="1"/>
  <c r="AL409" i="2"/>
  <c r="AM409" i="2" s="1"/>
  <c r="AL469" i="2"/>
  <c r="AM469" i="2" s="1"/>
  <c r="AL473" i="2"/>
  <c r="AM473" i="2" s="1"/>
  <c r="AL510" i="2"/>
  <c r="AM510" i="2" s="1"/>
  <c r="AL341" i="2"/>
  <c r="AM341" i="2" s="1"/>
  <c r="AL571" i="2"/>
  <c r="AM571" i="2" s="1"/>
  <c r="D14" i="4"/>
  <c r="D15" i="4" s="1"/>
  <c r="D17" i="4"/>
  <c r="D18" i="4" s="1"/>
  <c r="AN133" i="2"/>
  <c r="AO133" i="2" s="1"/>
  <c r="AN689" i="2"/>
  <c r="AO689" i="2" s="1"/>
  <c r="AN429" i="2"/>
  <c r="AO429" i="2" s="1"/>
  <c r="C10" i="4"/>
  <c r="H4" i="5" l="1"/>
  <c r="H29" i="5"/>
  <c r="F8" i="13"/>
  <c r="F5" i="14"/>
  <c r="Q127" i="16"/>
  <c r="R127" i="16"/>
  <c r="V127" i="16"/>
  <c r="C137" i="16" s="1"/>
  <c r="W127" i="16"/>
  <c r="C138" i="16" s="1"/>
  <c r="T127" i="16"/>
  <c r="U127" i="16"/>
  <c r="C136" i="16" s="1"/>
  <c r="AH127" i="16"/>
  <c r="X127" i="16"/>
  <c r="Y127" i="16"/>
  <c r="Z127" i="16"/>
  <c r="C141" i="16" s="1"/>
  <c r="AA127" i="16"/>
  <c r="C142" i="16" s="1"/>
  <c r="AB127" i="16"/>
  <c r="C143" i="16" s="1"/>
  <c r="AC127" i="16"/>
  <c r="C144" i="16" s="1"/>
  <c r="AD127" i="16"/>
  <c r="C145" i="16" s="1"/>
  <c r="AE127" i="16"/>
  <c r="C146" i="16" s="1"/>
  <c r="AF127" i="16"/>
  <c r="C147" i="16" s="1"/>
  <c r="AG127" i="16"/>
  <c r="C148" i="16" s="1"/>
  <c r="O127" i="16"/>
  <c r="C130" i="16" s="1"/>
  <c r="P127" i="16"/>
  <c r="S127" i="16"/>
  <c r="Q288" i="15"/>
  <c r="D7" i="13"/>
  <c r="H7" i="13" s="1"/>
  <c r="J7" i="12"/>
  <c r="K6" i="12"/>
  <c r="G21" i="8"/>
  <c r="H17" i="8"/>
  <c r="H16" i="8"/>
  <c r="H19" i="8"/>
  <c r="H18" i="8"/>
  <c r="F14" i="8"/>
  <c r="I14" i="8"/>
  <c r="D20" i="4"/>
  <c r="AN11" i="2"/>
  <c r="AO11" i="2" s="1"/>
  <c r="AN15" i="2"/>
  <c r="AO15" i="2" s="1"/>
  <c r="AN521" i="2"/>
  <c r="AO521" i="2" s="1"/>
  <c r="AN484" i="2"/>
  <c r="AO484" i="2" s="1"/>
  <c r="AN298" i="2"/>
  <c r="AO298" i="2" s="1"/>
  <c r="AN301" i="2"/>
  <c r="AO301" i="2" s="1"/>
  <c r="AN531" i="2"/>
  <c r="AO531" i="2" s="1"/>
  <c r="AN709" i="2"/>
  <c r="AO709" i="2" s="1"/>
  <c r="AN23" i="2"/>
  <c r="AO23" i="2" s="1"/>
  <c r="AN708" i="2"/>
  <c r="AO708" i="2" s="1"/>
  <c r="AN89" i="2"/>
  <c r="AO89" i="2" s="1"/>
  <c r="AN694" i="2"/>
  <c r="AO694" i="2" s="1"/>
  <c r="AN532" i="2"/>
  <c r="AO532" i="2" s="1"/>
  <c r="AN599" i="2"/>
  <c r="AO599" i="2" s="1"/>
  <c r="AN191" i="2"/>
  <c r="AO191" i="2" s="1"/>
  <c r="AN247" i="2"/>
  <c r="AO247" i="2" s="1"/>
  <c r="AN534" i="2"/>
  <c r="AO534" i="2" s="1"/>
  <c r="AN22" i="2"/>
  <c r="AO22" i="2" s="1"/>
  <c r="AN520" i="2"/>
  <c r="AO520" i="2" s="1"/>
  <c r="AN698" i="2"/>
  <c r="AO698" i="2" s="1"/>
  <c r="AN225" i="2"/>
  <c r="AO225" i="2" s="1"/>
  <c r="AN43" i="2"/>
  <c r="AO43" i="2" s="1"/>
  <c r="AN175" i="2"/>
  <c r="AO175" i="2" s="1"/>
  <c r="AN134" i="2"/>
  <c r="AO134" i="2" s="1"/>
  <c r="AN350" i="2"/>
  <c r="AO350" i="2" s="1"/>
  <c r="AN558" i="2"/>
  <c r="AO558" i="2" s="1"/>
  <c r="AN549" i="2"/>
  <c r="AO549" i="2" s="1"/>
  <c r="AN36" i="2"/>
  <c r="AO36" i="2" s="1"/>
  <c r="AN705" i="2"/>
  <c r="AO705" i="2" s="1"/>
  <c r="AN674" i="2"/>
  <c r="AO674" i="2" s="1"/>
  <c r="AN352" i="2"/>
  <c r="AO352" i="2" s="1"/>
  <c r="AN693" i="2"/>
  <c r="AO693" i="2" s="1"/>
  <c r="AN270" i="2"/>
  <c r="AO270" i="2" s="1"/>
  <c r="AN421" i="2"/>
  <c r="AO421" i="2" s="1"/>
  <c r="AN336" i="2"/>
  <c r="AO336" i="2" s="1"/>
  <c r="AN185" i="2"/>
  <c r="AO185" i="2" s="1"/>
  <c r="AN307" i="2"/>
  <c r="AO307" i="2" s="1"/>
  <c r="AN548" i="2"/>
  <c r="AO548" i="2" s="1"/>
  <c r="AN547" i="2"/>
  <c r="AO547" i="2" s="1"/>
  <c r="AN601" i="2"/>
  <c r="AO601" i="2" s="1"/>
  <c r="AN12" i="2"/>
  <c r="AO12" i="2" s="1"/>
  <c r="AN377" i="2"/>
  <c r="AO377" i="2" s="1"/>
  <c r="AN466" i="2"/>
  <c r="AO466" i="2" s="1"/>
  <c r="AN444" i="2"/>
  <c r="AO444" i="2" s="1"/>
  <c r="AN129" i="2"/>
  <c r="AO129" i="2" s="1"/>
  <c r="AN526" i="2"/>
  <c r="AO526" i="2" s="1"/>
  <c r="AN699" i="2"/>
  <c r="AO699" i="2" s="1"/>
  <c r="I14" i="1"/>
  <c r="AI3" i="2"/>
  <c r="AF3" i="2"/>
  <c r="AC3" i="2"/>
  <c r="AI2" i="2"/>
  <c r="AF2" i="2"/>
  <c r="AC2" i="2"/>
  <c r="I4" i="5" l="1"/>
  <c r="J4" i="5" s="1"/>
  <c r="I29" i="5"/>
  <c r="J29" i="5" s="1"/>
  <c r="F9" i="13"/>
  <c r="C8" i="11"/>
  <c r="K20" i="5"/>
  <c r="K19" i="5"/>
  <c r="K21" i="5"/>
  <c r="K22" i="5"/>
  <c r="K23" i="5"/>
  <c r="E130" i="16"/>
  <c r="C132" i="16"/>
  <c r="F130" i="16"/>
  <c r="C133" i="16"/>
  <c r="H130" i="16"/>
  <c r="C135" i="16"/>
  <c r="V130" i="16"/>
  <c r="C149" i="16"/>
  <c r="L130" i="16"/>
  <c r="C139" i="16"/>
  <c r="M130" i="16"/>
  <c r="C140" i="16"/>
  <c r="D130" i="16"/>
  <c r="C131" i="16"/>
  <c r="C134" i="16"/>
  <c r="G130" i="16"/>
  <c r="D8" i="13"/>
  <c r="H8" i="13" s="1"/>
  <c r="F29" i="12"/>
  <c r="K7" i="12"/>
  <c r="L6" i="12"/>
  <c r="H21" i="8"/>
  <c r="F16" i="8"/>
  <c r="F18" i="8"/>
  <c r="F19" i="8"/>
  <c r="F17" i="8"/>
  <c r="I19" i="8"/>
  <c r="I18" i="8"/>
  <c r="I17" i="8"/>
  <c r="I16" i="8"/>
  <c r="I21" i="8" s="1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D6" i="2"/>
  <c r="AE6" i="2" s="1"/>
  <c r="AD7" i="2"/>
  <c r="AE7" i="2" s="1"/>
  <c r="AD8" i="2"/>
  <c r="AE8" i="2" s="1"/>
  <c r="AD9" i="2"/>
  <c r="AE9" i="2" s="1"/>
  <c r="AD10" i="2"/>
  <c r="AE10" i="2" s="1"/>
  <c r="AD11" i="2"/>
  <c r="AE11" i="2" s="1"/>
  <c r="AD12" i="2"/>
  <c r="AE12" i="2" s="1"/>
  <c r="AD13" i="2"/>
  <c r="AE13" i="2" s="1"/>
  <c r="AD14" i="2"/>
  <c r="AE14" i="2" s="1"/>
  <c r="AD15" i="2"/>
  <c r="AE15" i="2" s="1"/>
  <c r="AD16" i="2"/>
  <c r="AE16" i="2" s="1"/>
  <c r="AD17" i="2"/>
  <c r="AE17" i="2" s="1"/>
  <c r="AD18" i="2"/>
  <c r="AE18" i="2" s="1"/>
  <c r="AD19" i="2"/>
  <c r="AE19" i="2" s="1"/>
  <c r="AD20" i="2"/>
  <c r="AE20" i="2" s="1"/>
  <c r="AD21" i="2"/>
  <c r="AE21" i="2" s="1"/>
  <c r="AD22" i="2"/>
  <c r="AE22" i="2" s="1"/>
  <c r="AD23" i="2"/>
  <c r="AE23" i="2" s="1"/>
  <c r="AD24" i="2"/>
  <c r="AE24" i="2" s="1"/>
  <c r="AD25" i="2"/>
  <c r="AE25" i="2" s="1"/>
  <c r="AD26" i="2"/>
  <c r="AE26" i="2" s="1"/>
  <c r="AD27" i="2"/>
  <c r="AE27" i="2" s="1"/>
  <c r="AD28" i="2"/>
  <c r="AE28" i="2" s="1"/>
  <c r="AD29" i="2"/>
  <c r="AE29" i="2" s="1"/>
  <c r="AD30" i="2"/>
  <c r="AE30" i="2" s="1"/>
  <c r="AD31" i="2"/>
  <c r="AE31" i="2" s="1"/>
  <c r="AD32" i="2"/>
  <c r="AE32" i="2" s="1"/>
  <c r="AD33" i="2"/>
  <c r="AE33" i="2" s="1"/>
  <c r="AD34" i="2"/>
  <c r="AE34" i="2" s="1"/>
  <c r="AD35" i="2"/>
  <c r="AE35" i="2" s="1"/>
  <c r="AD36" i="2"/>
  <c r="AE36" i="2" s="1"/>
  <c r="AD37" i="2"/>
  <c r="AE37" i="2" s="1"/>
  <c r="AD38" i="2"/>
  <c r="AE38" i="2" s="1"/>
  <c r="AD39" i="2"/>
  <c r="AE39" i="2" s="1"/>
  <c r="AD40" i="2"/>
  <c r="AE40" i="2" s="1"/>
  <c r="AD41" i="2"/>
  <c r="AE41" i="2" s="1"/>
  <c r="AD42" i="2"/>
  <c r="AE42" i="2" s="1"/>
  <c r="AD43" i="2"/>
  <c r="AE43" i="2" s="1"/>
  <c r="AD44" i="2"/>
  <c r="AE44" i="2" s="1"/>
  <c r="AD45" i="2"/>
  <c r="AE45" i="2" s="1"/>
  <c r="AD46" i="2"/>
  <c r="AE46" i="2" s="1"/>
  <c r="AD47" i="2"/>
  <c r="AE47" i="2" s="1"/>
  <c r="AD48" i="2"/>
  <c r="AE48" i="2" s="1"/>
  <c r="AD49" i="2"/>
  <c r="AE49" i="2" s="1"/>
  <c r="AD50" i="2"/>
  <c r="AE50" i="2" s="1"/>
  <c r="AD51" i="2"/>
  <c r="AE51" i="2" s="1"/>
  <c r="AD52" i="2"/>
  <c r="AE52" i="2" s="1"/>
  <c r="AD53" i="2"/>
  <c r="AE53" i="2" s="1"/>
  <c r="AD54" i="2"/>
  <c r="AE54" i="2" s="1"/>
  <c r="AD55" i="2"/>
  <c r="AE55" i="2" s="1"/>
  <c r="AD56" i="2"/>
  <c r="AE56" i="2" s="1"/>
  <c r="AD57" i="2"/>
  <c r="AE57" i="2" s="1"/>
  <c r="AD58" i="2"/>
  <c r="AE58" i="2" s="1"/>
  <c r="AD59" i="2"/>
  <c r="AE59" i="2" s="1"/>
  <c r="AD60" i="2"/>
  <c r="AE60" i="2" s="1"/>
  <c r="AD61" i="2"/>
  <c r="AE61" i="2" s="1"/>
  <c r="AD62" i="2"/>
  <c r="AE62" i="2" s="1"/>
  <c r="AD63" i="2"/>
  <c r="AE63" i="2" s="1"/>
  <c r="AD64" i="2"/>
  <c r="AE64" i="2" s="1"/>
  <c r="AD65" i="2"/>
  <c r="AE65" i="2" s="1"/>
  <c r="AD66" i="2"/>
  <c r="AE66" i="2" s="1"/>
  <c r="AD67" i="2"/>
  <c r="AE67" i="2" s="1"/>
  <c r="AD68" i="2"/>
  <c r="AE68" i="2" s="1"/>
  <c r="AD69" i="2"/>
  <c r="AE69" i="2" s="1"/>
  <c r="AD70" i="2"/>
  <c r="AE70" i="2" s="1"/>
  <c r="AD71" i="2"/>
  <c r="AE71" i="2" s="1"/>
  <c r="AD72" i="2"/>
  <c r="AE72" i="2" s="1"/>
  <c r="AD73" i="2"/>
  <c r="AE73" i="2" s="1"/>
  <c r="AD74" i="2"/>
  <c r="AE74" i="2" s="1"/>
  <c r="AD75" i="2"/>
  <c r="AE75" i="2" s="1"/>
  <c r="AD76" i="2"/>
  <c r="AE76" i="2" s="1"/>
  <c r="AD77" i="2"/>
  <c r="AE77" i="2" s="1"/>
  <c r="AD78" i="2"/>
  <c r="AE78" i="2" s="1"/>
  <c r="AD79" i="2"/>
  <c r="AE79" i="2" s="1"/>
  <c r="AD80" i="2"/>
  <c r="AE80" i="2" s="1"/>
  <c r="AD81" i="2"/>
  <c r="AE81" i="2" s="1"/>
  <c r="AD82" i="2"/>
  <c r="AE82" i="2" s="1"/>
  <c r="AD83" i="2"/>
  <c r="AE83" i="2" s="1"/>
  <c r="AD84" i="2"/>
  <c r="AE84" i="2" s="1"/>
  <c r="AD85" i="2"/>
  <c r="AE85" i="2" s="1"/>
  <c r="AD86" i="2"/>
  <c r="AE86" i="2" s="1"/>
  <c r="AD87" i="2"/>
  <c r="AE87" i="2" s="1"/>
  <c r="AD88" i="2"/>
  <c r="AE88" i="2" s="1"/>
  <c r="AD89" i="2"/>
  <c r="AE89" i="2" s="1"/>
  <c r="AD90" i="2"/>
  <c r="AE90" i="2" s="1"/>
  <c r="AD91" i="2"/>
  <c r="AE91" i="2" s="1"/>
  <c r="AD92" i="2"/>
  <c r="AE92" i="2" s="1"/>
  <c r="AD93" i="2"/>
  <c r="AE93" i="2" s="1"/>
  <c r="AD94" i="2"/>
  <c r="AE94" i="2" s="1"/>
  <c r="AD95" i="2"/>
  <c r="AE95" i="2" s="1"/>
  <c r="AD96" i="2"/>
  <c r="AE96" i="2" s="1"/>
  <c r="AD97" i="2"/>
  <c r="AE97" i="2" s="1"/>
  <c r="AD98" i="2"/>
  <c r="AE98" i="2" s="1"/>
  <c r="AD99" i="2"/>
  <c r="AE99" i="2" s="1"/>
  <c r="AD100" i="2"/>
  <c r="AE100" i="2" s="1"/>
  <c r="AD101" i="2"/>
  <c r="AE101" i="2" s="1"/>
  <c r="AD102" i="2"/>
  <c r="AE102" i="2" s="1"/>
  <c r="AD103" i="2"/>
  <c r="AE103" i="2" s="1"/>
  <c r="AD104" i="2"/>
  <c r="AE104" i="2" s="1"/>
  <c r="AD105" i="2"/>
  <c r="AE105" i="2" s="1"/>
  <c r="AD106" i="2"/>
  <c r="AE106" i="2" s="1"/>
  <c r="AD107" i="2"/>
  <c r="AE107" i="2" s="1"/>
  <c r="AD108" i="2"/>
  <c r="AE108" i="2" s="1"/>
  <c r="AD109" i="2"/>
  <c r="AE109" i="2" s="1"/>
  <c r="AD110" i="2"/>
  <c r="AE110" i="2" s="1"/>
  <c r="AD111" i="2"/>
  <c r="AE111" i="2" s="1"/>
  <c r="AD112" i="2"/>
  <c r="AE112" i="2" s="1"/>
  <c r="AD113" i="2"/>
  <c r="AE113" i="2" s="1"/>
  <c r="AD114" i="2"/>
  <c r="AE114" i="2" s="1"/>
  <c r="AD115" i="2"/>
  <c r="AE115" i="2" s="1"/>
  <c r="AD116" i="2"/>
  <c r="AE116" i="2" s="1"/>
  <c r="AD117" i="2"/>
  <c r="AE117" i="2" s="1"/>
  <c r="AD118" i="2"/>
  <c r="AE118" i="2" s="1"/>
  <c r="AD119" i="2"/>
  <c r="AE119" i="2" s="1"/>
  <c r="AD120" i="2"/>
  <c r="AE120" i="2" s="1"/>
  <c r="AD121" i="2"/>
  <c r="AE121" i="2" s="1"/>
  <c r="AD122" i="2"/>
  <c r="AE122" i="2" s="1"/>
  <c r="AD123" i="2"/>
  <c r="AE123" i="2" s="1"/>
  <c r="AD124" i="2"/>
  <c r="AE124" i="2" s="1"/>
  <c r="AD125" i="2"/>
  <c r="AE125" i="2" s="1"/>
  <c r="AD126" i="2"/>
  <c r="AE126" i="2" s="1"/>
  <c r="AD127" i="2"/>
  <c r="AE127" i="2" s="1"/>
  <c r="AD128" i="2"/>
  <c r="AE128" i="2" s="1"/>
  <c r="AD129" i="2"/>
  <c r="AE129" i="2" s="1"/>
  <c r="AD130" i="2"/>
  <c r="AE130" i="2" s="1"/>
  <c r="AD131" i="2"/>
  <c r="AE131" i="2" s="1"/>
  <c r="AD132" i="2"/>
  <c r="AE132" i="2" s="1"/>
  <c r="AD133" i="2"/>
  <c r="AE133" i="2" s="1"/>
  <c r="AD134" i="2"/>
  <c r="AE134" i="2" s="1"/>
  <c r="AD135" i="2"/>
  <c r="AE135" i="2" s="1"/>
  <c r="AD136" i="2"/>
  <c r="AE136" i="2" s="1"/>
  <c r="AD137" i="2"/>
  <c r="AE137" i="2" s="1"/>
  <c r="AD138" i="2"/>
  <c r="AE138" i="2" s="1"/>
  <c r="AD139" i="2"/>
  <c r="AE139" i="2" s="1"/>
  <c r="AD140" i="2"/>
  <c r="AE140" i="2" s="1"/>
  <c r="AD141" i="2"/>
  <c r="AE141" i="2" s="1"/>
  <c r="AD142" i="2"/>
  <c r="AE142" i="2" s="1"/>
  <c r="AD143" i="2"/>
  <c r="AE143" i="2" s="1"/>
  <c r="AD144" i="2"/>
  <c r="AE144" i="2" s="1"/>
  <c r="AD145" i="2"/>
  <c r="AE145" i="2" s="1"/>
  <c r="AD146" i="2"/>
  <c r="AE146" i="2" s="1"/>
  <c r="AD147" i="2"/>
  <c r="AE147" i="2" s="1"/>
  <c r="AD148" i="2"/>
  <c r="AE148" i="2" s="1"/>
  <c r="AD149" i="2"/>
  <c r="AE149" i="2" s="1"/>
  <c r="AD150" i="2"/>
  <c r="AE150" i="2" s="1"/>
  <c r="AD151" i="2"/>
  <c r="AE151" i="2" s="1"/>
  <c r="AD152" i="2"/>
  <c r="AE152" i="2" s="1"/>
  <c r="AD153" i="2"/>
  <c r="AE153" i="2" s="1"/>
  <c r="AD154" i="2"/>
  <c r="AE154" i="2" s="1"/>
  <c r="AD155" i="2"/>
  <c r="AE155" i="2" s="1"/>
  <c r="AD156" i="2"/>
  <c r="AE156" i="2" s="1"/>
  <c r="AD157" i="2"/>
  <c r="AE157" i="2" s="1"/>
  <c r="AD158" i="2"/>
  <c r="AE158" i="2" s="1"/>
  <c r="AD159" i="2"/>
  <c r="AE159" i="2" s="1"/>
  <c r="AD160" i="2"/>
  <c r="AE160" i="2" s="1"/>
  <c r="AD161" i="2"/>
  <c r="AE161" i="2" s="1"/>
  <c r="AD162" i="2"/>
  <c r="AE162" i="2" s="1"/>
  <c r="AD163" i="2"/>
  <c r="AE163" i="2" s="1"/>
  <c r="AD164" i="2"/>
  <c r="AE164" i="2" s="1"/>
  <c r="AD165" i="2"/>
  <c r="AE165" i="2" s="1"/>
  <c r="AD166" i="2"/>
  <c r="AE166" i="2" s="1"/>
  <c r="AD167" i="2"/>
  <c r="AE167" i="2" s="1"/>
  <c r="AD168" i="2"/>
  <c r="AE168" i="2" s="1"/>
  <c r="AD169" i="2"/>
  <c r="AE169" i="2" s="1"/>
  <c r="AD170" i="2"/>
  <c r="AE170" i="2" s="1"/>
  <c r="AD171" i="2"/>
  <c r="AE171" i="2" s="1"/>
  <c r="AD172" i="2"/>
  <c r="AE172" i="2" s="1"/>
  <c r="AD173" i="2"/>
  <c r="AE173" i="2" s="1"/>
  <c r="AD174" i="2"/>
  <c r="AE174" i="2" s="1"/>
  <c r="AD175" i="2"/>
  <c r="AE175" i="2" s="1"/>
  <c r="AD176" i="2"/>
  <c r="AE176" i="2" s="1"/>
  <c r="AD177" i="2"/>
  <c r="AE177" i="2" s="1"/>
  <c r="AD178" i="2"/>
  <c r="AE178" i="2" s="1"/>
  <c r="AD179" i="2"/>
  <c r="AE179" i="2" s="1"/>
  <c r="AD180" i="2"/>
  <c r="AE180" i="2" s="1"/>
  <c r="AD181" i="2"/>
  <c r="AE181" i="2" s="1"/>
  <c r="AD182" i="2"/>
  <c r="AE182" i="2" s="1"/>
  <c r="AD183" i="2"/>
  <c r="AE183" i="2" s="1"/>
  <c r="AD184" i="2"/>
  <c r="AE184" i="2" s="1"/>
  <c r="AD185" i="2"/>
  <c r="AE185" i="2" s="1"/>
  <c r="AD186" i="2"/>
  <c r="AE186" i="2" s="1"/>
  <c r="AD187" i="2"/>
  <c r="AE187" i="2" s="1"/>
  <c r="AD188" i="2"/>
  <c r="AE188" i="2" s="1"/>
  <c r="AD189" i="2"/>
  <c r="AE189" i="2" s="1"/>
  <c r="AD190" i="2"/>
  <c r="AE190" i="2" s="1"/>
  <c r="AD191" i="2"/>
  <c r="AE191" i="2" s="1"/>
  <c r="AD192" i="2"/>
  <c r="AE192" i="2" s="1"/>
  <c r="AD193" i="2"/>
  <c r="AE193" i="2" s="1"/>
  <c r="AD194" i="2"/>
  <c r="AE194" i="2" s="1"/>
  <c r="AD195" i="2"/>
  <c r="AE195" i="2" s="1"/>
  <c r="AD196" i="2"/>
  <c r="AE196" i="2" s="1"/>
  <c r="AD197" i="2"/>
  <c r="AE197" i="2" s="1"/>
  <c r="AD198" i="2"/>
  <c r="AE198" i="2" s="1"/>
  <c r="AD199" i="2"/>
  <c r="AE199" i="2" s="1"/>
  <c r="AD200" i="2"/>
  <c r="AE200" i="2" s="1"/>
  <c r="AD201" i="2"/>
  <c r="AE201" i="2" s="1"/>
  <c r="AD202" i="2"/>
  <c r="AE202" i="2" s="1"/>
  <c r="AD203" i="2"/>
  <c r="AE203" i="2" s="1"/>
  <c r="AD204" i="2"/>
  <c r="AE204" i="2" s="1"/>
  <c r="AD205" i="2"/>
  <c r="AE205" i="2" s="1"/>
  <c r="AD206" i="2"/>
  <c r="AE206" i="2" s="1"/>
  <c r="AD207" i="2"/>
  <c r="AE207" i="2" s="1"/>
  <c r="AD208" i="2"/>
  <c r="AE208" i="2" s="1"/>
  <c r="AD209" i="2"/>
  <c r="AE209" i="2" s="1"/>
  <c r="AD210" i="2"/>
  <c r="AE210" i="2" s="1"/>
  <c r="AD211" i="2"/>
  <c r="AE211" i="2" s="1"/>
  <c r="AD212" i="2"/>
  <c r="AE212" i="2" s="1"/>
  <c r="AD213" i="2"/>
  <c r="AE213" i="2" s="1"/>
  <c r="AD214" i="2"/>
  <c r="AE214" i="2" s="1"/>
  <c r="AD215" i="2"/>
  <c r="AE215" i="2" s="1"/>
  <c r="AD216" i="2"/>
  <c r="AE216" i="2" s="1"/>
  <c r="AD217" i="2"/>
  <c r="AE217" i="2" s="1"/>
  <c r="AD218" i="2"/>
  <c r="AE218" i="2" s="1"/>
  <c r="AD219" i="2"/>
  <c r="AE219" i="2" s="1"/>
  <c r="AD220" i="2"/>
  <c r="AE220" i="2" s="1"/>
  <c r="AD221" i="2"/>
  <c r="AE221" i="2" s="1"/>
  <c r="AD222" i="2"/>
  <c r="AE222" i="2" s="1"/>
  <c r="AD223" i="2"/>
  <c r="AE223" i="2" s="1"/>
  <c r="AD224" i="2"/>
  <c r="AE224" i="2" s="1"/>
  <c r="AD225" i="2"/>
  <c r="AE225" i="2" s="1"/>
  <c r="AD226" i="2"/>
  <c r="AE226" i="2" s="1"/>
  <c r="AD227" i="2"/>
  <c r="AE227" i="2" s="1"/>
  <c r="AD228" i="2"/>
  <c r="AE228" i="2" s="1"/>
  <c r="AD229" i="2"/>
  <c r="AE229" i="2" s="1"/>
  <c r="AD230" i="2"/>
  <c r="AE230" i="2" s="1"/>
  <c r="AD231" i="2"/>
  <c r="AE231" i="2" s="1"/>
  <c r="AD232" i="2"/>
  <c r="AE232" i="2" s="1"/>
  <c r="AD233" i="2"/>
  <c r="AE233" i="2" s="1"/>
  <c r="AD234" i="2"/>
  <c r="AE234" i="2" s="1"/>
  <c r="AD235" i="2"/>
  <c r="AE235" i="2" s="1"/>
  <c r="AD236" i="2"/>
  <c r="AE236" i="2" s="1"/>
  <c r="AD237" i="2"/>
  <c r="AE237" i="2" s="1"/>
  <c r="AD238" i="2"/>
  <c r="AE238" i="2" s="1"/>
  <c r="AD239" i="2"/>
  <c r="AE239" i="2" s="1"/>
  <c r="AD240" i="2"/>
  <c r="AE240" i="2" s="1"/>
  <c r="AD241" i="2"/>
  <c r="AE241" i="2" s="1"/>
  <c r="AD242" i="2"/>
  <c r="AE242" i="2" s="1"/>
  <c r="AD243" i="2"/>
  <c r="AE243" i="2" s="1"/>
  <c r="AD244" i="2"/>
  <c r="AE244" i="2" s="1"/>
  <c r="AD245" i="2"/>
  <c r="AE245" i="2" s="1"/>
  <c r="AD246" i="2"/>
  <c r="AE246" i="2" s="1"/>
  <c r="AD247" i="2"/>
  <c r="AE247" i="2" s="1"/>
  <c r="AD248" i="2"/>
  <c r="AE248" i="2" s="1"/>
  <c r="AD249" i="2"/>
  <c r="AE249" i="2" s="1"/>
  <c r="AD250" i="2"/>
  <c r="AE250" i="2" s="1"/>
  <c r="AD251" i="2"/>
  <c r="AE251" i="2" s="1"/>
  <c r="AD252" i="2"/>
  <c r="AE252" i="2" s="1"/>
  <c r="AD253" i="2"/>
  <c r="AE253" i="2" s="1"/>
  <c r="AD254" i="2"/>
  <c r="AE254" i="2" s="1"/>
  <c r="AD255" i="2"/>
  <c r="AE255" i="2" s="1"/>
  <c r="AD256" i="2"/>
  <c r="AE256" i="2" s="1"/>
  <c r="AD257" i="2"/>
  <c r="AE257" i="2" s="1"/>
  <c r="AD258" i="2"/>
  <c r="AE258" i="2" s="1"/>
  <c r="AD259" i="2"/>
  <c r="AE259" i="2" s="1"/>
  <c r="AD260" i="2"/>
  <c r="AE260" i="2" s="1"/>
  <c r="AD261" i="2"/>
  <c r="AE261" i="2" s="1"/>
  <c r="AD262" i="2"/>
  <c r="AE262" i="2" s="1"/>
  <c r="AD263" i="2"/>
  <c r="AE263" i="2" s="1"/>
  <c r="AD264" i="2"/>
  <c r="AE264" i="2" s="1"/>
  <c r="AD265" i="2"/>
  <c r="AE265" i="2" s="1"/>
  <c r="AD266" i="2"/>
  <c r="AE266" i="2" s="1"/>
  <c r="AD267" i="2"/>
  <c r="AE267" i="2" s="1"/>
  <c r="AD268" i="2"/>
  <c r="AE268" i="2" s="1"/>
  <c r="AD269" i="2"/>
  <c r="AE269" i="2" s="1"/>
  <c r="AD270" i="2"/>
  <c r="AE270" i="2" s="1"/>
  <c r="AD271" i="2"/>
  <c r="AE271" i="2" s="1"/>
  <c r="AD272" i="2"/>
  <c r="AE272" i="2" s="1"/>
  <c r="AD273" i="2"/>
  <c r="AE273" i="2" s="1"/>
  <c r="AD274" i="2"/>
  <c r="AE274" i="2" s="1"/>
  <c r="AD275" i="2"/>
  <c r="AE275" i="2" s="1"/>
  <c r="AD276" i="2"/>
  <c r="AE276" i="2" s="1"/>
  <c r="AD277" i="2"/>
  <c r="AE277" i="2" s="1"/>
  <c r="AD278" i="2"/>
  <c r="AE278" i="2" s="1"/>
  <c r="AD279" i="2"/>
  <c r="AE279" i="2" s="1"/>
  <c r="AD280" i="2"/>
  <c r="AE280" i="2" s="1"/>
  <c r="AD281" i="2"/>
  <c r="AE281" i="2" s="1"/>
  <c r="AD282" i="2"/>
  <c r="AE282" i="2" s="1"/>
  <c r="AD283" i="2"/>
  <c r="AE283" i="2" s="1"/>
  <c r="AD284" i="2"/>
  <c r="AE284" i="2" s="1"/>
  <c r="AD285" i="2"/>
  <c r="AE285" i="2" s="1"/>
  <c r="AD286" i="2"/>
  <c r="AE286" i="2" s="1"/>
  <c r="AD287" i="2"/>
  <c r="AE287" i="2" s="1"/>
  <c r="AD288" i="2"/>
  <c r="AE288" i="2" s="1"/>
  <c r="AD289" i="2"/>
  <c r="AE289" i="2" s="1"/>
  <c r="AD290" i="2"/>
  <c r="AE290" i="2" s="1"/>
  <c r="AD291" i="2"/>
  <c r="AE291" i="2" s="1"/>
  <c r="AD292" i="2"/>
  <c r="AE292" i="2" s="1"/>
  <c r="AD293" i="2"/>
  <c r="AE293" i="2" s="1"/>
  <c r="AD294" i="2"/>
  <c r="AE294" i="2" s="1"/>
  <c r="AD295" i="2"/>
  <c r="AE295" i="2" s="1"/>
  <c r="AD296" i="2"/>
  <c r="AE296" i="2" s="1"/>
  <c r="AD297" i="2"/>
  <c r="AE297" i="2" s="1"/>
  <c r="AD298" i="2"/>
  <c r="AE298" i="2" s="1"/>
  <c r="AD299" i="2"/>
  <c r="AE299" i="2" s="1"/>
  <c r="AD300" i="2"/>
  <c r="AE300" i="2" s="1"/>
  <c r="AD301" i="2"/>
  <c r="AE301" i="2" s="1"/>
  <c r="AD302" i="2"/>
  <c r="AE302" i="2" s="1"/>
  <c r="AD303" i="2"/>
  <c r="AE303" i="2" s="1"/>
  <c r="AD304" i="2"/>
  <c r="AE304" i="2" s="1"/>
  <c r="AD305" i="2"/>
  <c r="AE305" i="2" s="1"/>
  <c r="AD306" i="2"/>
  <c r="AE306" i="2" s="1"/>
  <c r="AD307" i="2"/>
  <c r="AE307" i="2" s="1"/>
  <c r="AD308" i="2"/>
  <c r="AE308" i="2" s="1"/>
  <c r="AD309" i="2"/>
  <c r="AE309" i="2" s="1"/>
  <c r="AD310" i="2"/>
  <c r="AE310" i="2" s="1"/>
  <c r="AD311" i="2"/>
  <c r="AE311" i="2" s="1"/>
  <c r="AD312" i="2"/>
  <c r="AE312" i="2" s="1"/>
  <c r="AD313" i="2"/>
  <c r="AE313" i="2" s="1"/>
  <c r="AD314" i="2"/>
  <c r="AE314" i="2" s="1"/>
  <c r="AD315" i="2"/>
  <c r="AE315" i="2" s="1"/>
  <c r="AD316" i="2"/>
  <c r="AE316" i="2" s="1"/>
  <c r="AD317" i="2"/>
  <c r="AE317" i="2" s="1"/>
  <c r="AD318" i="2"/>
  <c r="AE318" i="2" s="1"/>
  <c r="AD319" i="2"/>
  <c r="AE319" i="2" s="1"/>
  <c r="AD320" i="2"/>
  <c r="AE320" i="2" s="1"/>
  <c r="AD321" i="2"/>
  <c r="AE321" i="2" s="1"/>
  <c r="AD322" i="2"/>
  <c r="AE322" i="2" s="1"/>
  <c r="AD323" i="2"/>
  <c r="AE323" i="2" s="1"/>
  <c r="AD324" i="2"/>
  <c r="AE324" i="2" s="1"/>
  <c r="AD325" i="2"/>
  <c r="AE325" i="2" s="1"/>
  <c r="AD326" i="2"/>
  <c r="AE326" i="2" s="1"/>
  <c r="AD327" i="2"/>
  <c r="AE327" i="2" s="1"/>
  <c r="AD328" i="2"/>
  <c r="AE328" i="2" s="1"/>
  <c r="AD329" i="2"/>
  <c r="AE329" i="2" s="1"/>
  <c r="AD330" i="2"/>
  <c r="AE330" i="2" s="1"/>
  <c r="AD331" i="2"/>
  <c r="AE331" i="2" s="1"/>
  <c r="AD332" i="2"/>
  <c r="AE332" i="2" s="1"/>
  <c r="AD333" i="2"/>
  <c r="AE333" i="2" s="1"/>
  <c r="AD334" i="2"/>
  <c r="AE334" i="2" s="1"/>
  <c r="AD335" i="2"/>
  <c r="AE335" i="2" s="1"/>
  <c r="AD336" i="2"/>
  <c r="AE336" i="2" s="1"/>
  <c r="AD337" i="2"/>
  <c r="AE337" i="2" s="1"/>
  <c r="AD338" i="2"/>
  <c r="AE338" i="2" s="1"/>
  <c r="AD339" i="2"/>
  <c r="AE339" i="2" s="1"/>
  <c r="AD340" i="2"/>
  <c r="AE340" i="2" s="1"/>
  <c r="AD341" i="2"/>
  <c r="AE341" i="2" s="1"/>
  <c r="AD342" i="2"/>
  <c r="AE342" i="2" s="1"/>
  <c r="AD343" i="2"/>
  <c r="AE343" i="2" s="1"/>
  <c r="AD344" i="2"/>
  <c r="AE344" i="2" s="1"/>
  <c r="AD345" i="2"/>
  <c r="AE345" i="2" s="1"/>
  <c r="AD346" i="2"/>
  <c r="AE346" i="2" s="1"/>
  <c r="AD347" i="2"/>
  <c r="AE347" i="2" s="1"/>
  <c r="AD348" i="2"/>
  <c r="AE348" i="2" s="1"/>
  <c r="AD349" i="2"/>
  <c r="AE349" i="2" s="1"/>
  <c r="AD350" i="2"/>
  <c r="AE350" i="2" s="1"/>
  <c r="AD351" i="2"/>
  <c r="AE351" i="2" s="1"/>
  <c r="AD352" i="2"/>
  <c r="AE352" i="2" s="1"/>
  <c r="AD353" i="2"/>
  <c r="AE353" i="2" s="1"/>
  <c r="AD354" i="2"/>
  <c r="AE354" i="2" s="1"/>
  <c r="AD355" i="2"/>
  <c r="AE355" i="2" s="1"/>
  <c r="AD356" i="2"/>
  <c r="AE356" i="2" s="1"/>
  <c r="AD357" i="2"/>
  <c r="AE357" i="2" s="1"/>
  <c r="AD358" i="2"/>
  <c r="AE358" i="2" s="1"/>
  <c r="AD359" i="2"/>
  <c r="AE359" i="2" s="1"/>
  <c r="AD360" i="2"/>
  <c r="AE360" i="2" s="1"/>
  <c r="AD361" i="2"/>
  <c r="AE361" i="2" s="1"/>
  <c r="AD362" i="2"/>
  <c r="AE362" i="2" s="1"/>
  <c r="AD363" i="2"/>
  <c r="AE363" i="2" s="1"/>
  <c r="AD364" i="2"/>
  <c r="AE364" i="2" s="1"/>
  <c r="AD365" i="2"/>
  <c r="AE365" i="2" s="1"/>
  <c r="AD366" i="2"/>
  <c r="AE366" i="2" s="1"/>
  <c r="AD367" i="2"/>
  <c r="AE367" i="2" s="1"/>
  <c r="AD368" i="2"/>
  <c r="AE368" i="2" s="1"/>
  <c r="AD369" i="2"/>
  <c r="AE369" i="2" s="1"/>
  <c r="AD370" i="2"/>
  <c r="AE370" i="2" s="1"/>
  <c r="AD371" i="2"/>
  <c r="AE371" i="2" s="1"/>
  <c r="AD372" i="2"/>
  <c r="AE372" i="2" s="1"/>
  <c r="AD373" i="2"/>
  <c r="AE373" i="2" s="1"/>
  <c r="AD374" i="2"/>
  <c r="AE374" i="2" s="1"/>
  <c r="AD375" i="2"/>
  <c r="AE375" i="2" s="1"/>
  <c r="AD376" i="2"/>
  <c r="AE376" i="2" s="1"/>
  <c r="AD377" i="2"/>
  <c r="AE377" i="2" s="1"/>
  <c r="AD378" i="2"/>
  <c r="AE378" i="2" s="1"/>
  <c r="AD379" i="2"/>
  <c r="AE379" i="2" s="1"/>
  <c r="AD380" i="2"/>
  <c r="AE380" i="2" s="1"/>
  <c r="AD381" i="2"/>
  <c r="AE381" i="2" s="1"/>
  <c r="AD382" i="2"/>
  <c r="AE382" i="2" s="1"/>
  <c r="AD383" i="2"/>
  <c r="AE383" i="2" s="1"/>
  <c r="AD384" i="2"/>
  <c r="AE384" i="2" s="1"/>
  <c r="AD385" i="2"/>
  <c r="AE385" i="2" s="1"/>
  <c r="AD386" i="2"/>
  <c r="AE386" i="2" s="1"/>
  <c r="AD387" i="2"/>
  <c r="AE387" i="2" s="1"/>
  <c r="AD388" i="2"/>
  <c r="AE388" i="2" s="1"/>
  <c r="AD389" i="2"/>
  <c r="AE389" i="2" s="1"/>
  <c r="AD390" i="2"/>
  <c r="AE390" i="2" s="1"/>
  <c r="AD391" i="2"/>
  <c r="AE391" i="2" s="1"/>
  <c r="AD392" i="2"/>
  <c r="AE392" i="2" s="1"/>
  <c r="AD393" i="2"/>
  <c r="AE393" i="2" s="1"/>
  <c r="AD394" i="2"/>
  <c r="AE394" i="2" s="1"/>
  <c r="AD395" i="2"/>
  <c r="AE395" i="2" s="1"/>
  <c r="AD396" i="2"/>
  <c r="AE396" i="2" s="1"/>
  <c r="AD397" i="2"/>
  <c r="AE397" i="2" s="1"/>
  <c r="AD398" i="2"/>
  <c r="AE398" i="2" s="1"/>
  <c r="AD399" i="2"/>
  <c r="AE399" i="2" s="1"/>
  <c r="AD400" i="2"/>
  <c r="AE400" i="2" s="1"/>
  <c r="AD401" i="2"/>
  <c r="AE401" i="2" s="1"/>
  <c r="AD402" i="2"/>
  <c r="AE402" i="2" s="1"/>
  <c r="AD403" i="2"/>
  <c r="AE403" i="2" s="1"/>
  <c r="AD404" i="2"/>
  <c r="AE404" i="2" s="1"/>
  <c r="AD405" i="2"/>
  <c r="AE405" i="2" s="1"/>
  <c r="AD406" i="2"/>
  <c r="AE406" i="2" s="1"/>
  <c r="AD407" i="2"/>
  <c r="AE407" i="2" s="1"/>
  <c r="AD408" i="2"/>
  <c r="AE408" i="2" s="1"/>
  <c r="AD409" i="2"/>
  <c r="AE409" i="2" s="1"/>
  <c r="AD410" i="2"/>
  <c r="AE410" i="2" s="1"/>
  <c r="AD411" i="2"/>
  <c r="AE411" i="2" s="1"/>
  <c r="AD412" i="2"/>
  <c r="AE412" i="2" s="1"/>
  <c r="AD413" i="2"/>
  <c r="AE413" i="2" s="1"/>
  <c r="AD414" i="2"/>
  <c r="AE414" i="2" s="1"/>
  <c r="AD415" i="2"/>
  <c r="AE415" i="2" s="1"/>
  <c r="AD416" i="2"/>
  <c r="AE416" i="2" s="1"/>
  <c r="AD417" i="2"/>
  <c r="AE417" i="2" s="1"/>
  <c r="AD418" i="2"/>
  <c r="AE418" i="2" s="1"/>
  <c r="AD419" i="2"/>
  <c r="AE419" i="2" s="1"/>
  <c r="AD420" i="2"/>
  <c r="AE420" i="2" s="1"/>
  <c r="AD421" i="2"/>
  <c r="AE421" i="2" s="1"/>
  <c r="AD422" i="2"/>
  <c r="AE422" i="2" s="1"/>
  <c r="AD423" i="2"/>
  <c r="AE423" i="2" s="1"/>
  <c r="AD424" i="2"/>
  <c r="AE424" i="2" s="1"/>
  <c r="AD425" i="2"/>
  <c r="AE425" i="2" s="1"/>
  <c r="AD426" i="2"/>
  <c r="AE426" i="2" s="1"/>
  <c r="AD427" i="2"/>
  <c r="AE427" i="2" s="1"/>
  <c r="AD428" i="2"/>
  <c r="AE428" i="2" s="1"/>
  <c r="AD429" i="2"/>
  <c r="AE429" i="2" s="1"/>
  <c r="AD430" i="2"/>
  <c r="AE430" i="2" s="1"/>
  <c r="AD431" i="2"/>
  <c r="AE431" i="2" s="1"/>
  <c r="AD432" i="2"/>
  <c r="AE432" i="2" s="1"/>
  <c r="AD433" i="2"/>
  <c r="AE433" i="2" s="1"/>
  <c r="AD434" i="2"/>
  <c r="AE434" i="2" s="1"/>
  <c r="AD435" i="2"/>
  <c r="AE435" i="2" s="1"/>
  <c r="AD436" i="2"/>
  <c r="AE436" i="2" s="1"/>
  <c r="AD437" i="2"/>
  <c r="AE437" i="2" s="1"/>
  <c r="AD438" i="2"/>
  <c r="AE438" i="2" s="1"/>
  <c r="AD439" i="2"/>
  <c r="AE439" i="2" s="1"/>
  <c r="AD440" i="2"/>
  <c r="AE440" i="2" s="1"/>
  <c r="AD441" i="2"/>
  <c r="AE441" i="2" s="1"/>
  <c r="AD442" i="2"/>
  <c r="AE442" i="2" s="1"/>
  <c r="AD443" i="2"/>
  <c r="AE443" i="2" s="1"/>
  <c r="AD444" i="2"/>
  <c r="AE444" i="2" s="1"/>
  <c r="AD445" i="2"/>
  <c r="AE445" i="2" s="1"/>
  <c r="AD446" i="2"/>
  <c r="AE446" i="2" s="1"/>
  <c r="AD447" i="2"/>
  <c r="AE447" i="2" s="1"/>
  <c r="AD448" i="2"/>
  <c r="AE448" i="2" s="1"/>
  <c r="AD449" i="2"/>
  <c r="AE449" i="2" s="1"/>
  <c r="AD450" i="2"/>
  <c r="AE450" i="2" s="1"/>
  <c r="AD451" i="2"/>
  <c r="AE451" i="2" s="1"/>
  <c r="AD452" i="2"/>
  <c r="AE452" i="2" s="1"/>
  <c r="AD453" i="2"/>
  <c r="AE453" i="2" s="1"/>
  <c r="AD454" i="2"/>
  <c r="AE454" i="2" s="1"/>
  <c r="AD455" i="2"/>
  <c r="AE455" i="2" s="1"/>
  <c r="AD456" i="2"/>
  <c r="AE456" i="2" s="1"/>
  <c r="AD457" i="2"/>
  <c r="AE457" i="2" s="1"/>
  <c r="AD458" i="2"/>
  <c r="AE458" i="2" s="1"/>
  <c r="AD459" i="2"/>
  <c r="AE459" i="2" s="1"/>
  <c r="AD460" i="2"/>
  <c r="AE460" i="2" s="1"/>
  <c r="AD461" i="2"/>
  <c r="AE461" i="2" s="1"/>
  <c r="AD462" i="2"/>
  <c r="AE462" i="2" s="1"/>
  <c r="AD463" i="2"/>
  <c r="AE463" i="2" s="1"/>
  <c r="AD464" i="2"/>
  <c r="AE464" i="2" s="1"/>
  <c r="AD465" i="2"/>
  <c r="AE465" i="2" s="1"/>
  <c r="AD466" i="2"/>
  <c r="AE466" i="2" s="1"/>
  <c r="AD467" i="2"/>
  <c r="AE467" i="2" s="1"/>
  <c r="AD468" i="2"/>
  <c r="AE468" i="2" s="1"/>
  <c r="AD469" i="2"/>
  <c r="AE469" i="2" s="1"/>
  <c r="AD470" i="2"/>
  <c r="AE470" i="2" s="1"/>
  <c r="AD471" i="2"/>
  <c r="AE471" i="2" s="1"/>
  <c r="AD472" i="2"/>
  <c r="AE472" i="2" s="1"/>
  <c r="AD473" i="2"/>
  <c r="AE473" i="2" s="1"/>
  <c r="AD474" i="2"/>
  <c r="AE474" i="2" s="1"/>
  <c r="AD475" i="2"/>
  <c r="AE475" i="2" s="1"/>
  <c r="AD476" i="2"/>
  <c r="AE476" i="2" s="1"/>
  <c r="AD477" i="2"/>
  <c r="AE477" i="2" s="1"/>
  <c r="AD478" i="2"/>
  <c r="AE478" i="2" s="1"/>
  <c r="AD479" i="2"/>
  <c r="AE479" i="2" s="1"/>
  <c r="AD480" i="2"/>
  <c r="AE480" i="2" s="1"/>
  <c r="AD481" i="2"/>
  <c r="AE481" i="2" s="1"/>
  <c r="AD482" i="2"/>
  <c r="AE482" i="2" s="1"/>
  <c r="AD483" i="2"/>
  <c r="AE483" i="2" s="1"/>
  <c r="AD484" i="2"/>
  <c r="AE484" i="2" s="1"/>
  <c r="AD485" i="2"/>
  <c r="AE485" i="2" s="1"/>
  <c r="AD486" i="2"/>
  <c r="AE486" i="2" s="1"/>
  <c r="AD487" i="2"/>
  <c r="AE487" i="2" s="1"/>
  <c r="AD488" i="2"/>
  <c r="AE488" i="2" s="1"/>
  <c r="AD489" i="2"/>
  <c r="AE489" i="2" s="1"/>
  <c r="AD490" i="2"/>
  <c r="AE490" i="2" s="1"/>
  <c r="AD491" i="2"/>
  <c r="AE491" i="2" s="1"/>
  <c r="AD492" i="2"/>
  <c r="AE492" i="2" s="1"/>
  <c r="AD493" i="2"/>
  <c r="AE493" i="2" s="1"/>
  <c r="AD494" i="2"/>
  <c r="AE494" i="2" s="1"/>
  <c r="AD495" i="2"/>
  <c r="AE495" i="2" s="1"/>
  <c r="AD496" i="2"/>
  <c r="AE496" i="2" s="1"/>
  <c r="AD497" i="2"/>
  <c r="AE497" i="2" s="1"/>
  <c r="AD498" i="2"/>
  <c r="AE498" i="2" s="1"/>
  <c r="AD499" i="2"/>
  <c r="AE499" i="2" s="1"/>
  <c r="AD500" i="2"/>
  <c r="AE500" i="2" s="1"/>
  <c r="AD501" i="2"/>
  <c r="AE501" i="2" s="1"/>
  <c r="AD502" i="2"/>
  <c r="AE502" i="2" s="1"/>
  <c r="AD503" i="2"/>
  <c r="AE503" i="2" s="1"/>
  <c r="AD504" i="2"/>
  <c r="AE504" i="2" s="1"/>
  <c r="AD505" i="2"/>
  <c r="AE505" i="2" s="1"/>
  <c r="AD506" i="2"/>
  <c r="AE506" i="2" s="1"/>
  <c r="AD507" i="2"/>
  <c r="AE507" i="2" s="1"/>
  <c r="AD508" i="2"/>
  <c r="AE508" i="2" s="1"/>
  <c r="AD509" i="2"/>
  <c r="AE509" i="2" s="1"/>
  <c r="AD510" i="2"/>
  <c r="AE510" i="2" s="1"/>
  <c r="AD511" i="2"/>
  <c r="AE511" i="2" s="1"/>
  <c r="AD512" i="2"/>
  <c r="AE512" i="2" s="1"/>
  <c r="AD513" i="2"/>
  <c r="AE513" i="2" s="1"/>
  <c r="AD514" i="2"/>
  <c r="AE514" i="2" s="1"/>
  <c r="AD515" i="2"/>
  <c r="AE515" i="2" s="1"/>
  <c r="AD516" i="2"/>
  <c r="AE516" i="2" s="1"/>
  <c r="AD517" i="2"/>
  <c r="AE517" i="2" s="1"/>
  <c r="AD518" i="2"/>
  <c r="AE518" i="2" s="1"/>
  <c r="AD519" i="2"/>
  <c r="AE519" i="2" s="1"/>
  <c r="AD520" i="2"/>
  <c r="AE520" i="2" s="1"/>
  <c r="AD521" i="2"/>
  <c r="AE521" i="2" s="1"/>
  <c r="AD522" i="2"/>
  <c r="AE522" i="2" s="1"/>
  <c r="AD523" i="2"/>
  <c r="AE523" i="2" s="1"/>
  <c r="AD524" i="2"/>
  <c r="AE524" i="2" s="1"/>
  <c r="AD525" i="2"/>
  <c r="AE525" i="2" s="1"/>
  <c r="AD526" i="2"/>
  <c r="AE526" i="2" s="1"/>
  <c r="AD527" i="2"/>
  <c r="AE527" i="2" s="1"/>
  <c r="AD528" i="2"/>
  <c r="AE528" i="2" s="1"/>
  <c r="AD529" i="2"/>
  <c r="AE529" i="2" s="1"/>
  <c r="AD530" i="2"/>
  <c r="AE530" i="2" s="1"/>
  <c r="AD531" i="2"/>
  <c r="AE531" i="2" s="1"/>
  <c r="AD532" i="2"/>
  <c r="AE532" i="2" s="1"/>
  <c r="AD533" i="2"/>
  <c r="AE533" i="2" s="1"/>
  <c r="AD534" i="2"/>
  <c r="AE534" i="2" s="1"/>
  <c r="AD535" i="2"/>
  <c r="AE535" i="2" s="1"/>
  <c r="AD536" i="2"/>
  <c r="AE536" i="2" s="1"/>
  <c r="AD537" i="2"/>
  <c r="AE537" i="2" s="1"/>
  <c r="AD538" i="2"/>
  <c r="AE538" i="2" s="1"/>
  <c r="AD539" i="2"/>
  <c r="AE539" i="2" s="1"/>
  <c r="AD540" i="2"/>
  <c r="AE540" i="2" s="1"/>
  <c r="AD541" i="2"/>
  <c r="AE541" i="2" s="1"/>
  <c r="AD542" i="2"/>
  <c r="AE542" i="2" s="1"/>
  <c r="AD543" i="2"/>
  <c r="AE543" i="2" s="1"/>
  <c r="AD544" i="2"/>
  <c r="AE544" i="2" s="1"/>
  <c r="AD545" i="2"/>
  <c r="AE545" i="2" s="1"/>
  <c r="AD546" i="2"/>
  <c r="AE546" i="2" s="1"/>
  <c r="AD547" i="2"/>
  <c r="AE547" i="2" s="1"/>
  <c r="AD548" i="2"/>
  <c r="AE548" i="2" s="1"/>
  <c r="AD549" i="2"/>
  <c r="AE549" i="2" s="1"/>
  <c r="AD550" i="2"/>
  <c r="AE550" i="2" s="1"/>
  <c r="AD551" i="2"/>
  <c r="AE551" i="2" s="1"/>
  <c r="AD552" i="2"/>
  <c r="AE552" i="2" s="1"/>
  <c r="AD553" i="2"/>
  <c r="AE553" i="2" s="1"/>
  <c r="AD554" i="2"/>
  <c r="AE554" i="2" s="1"/>
  <c r="AD555" i="2"/>
  <c r="AE555" i="2" s="1"/>
  <c r="AD556" i="2"/>
  <c r="AE556" i="2" s="1"/>
  <c r="AD557" i="2"/>
  <c r="AE557" i="2" s="1"/>
  <c r="AD558" i="2"/>
  <c r="AE558" i="2" s="1"/>
  <c r="AD559" i="2"/>
  <c r="AE559" i="2" s="1"/>
  <c r="AD560" i="2"/>
  <c r="AE560" i="2" s="1"/>
  <c r="AD561" i="2"/>
  <c r="AE561" i="2" s="1"/>
  <c r="AD562" i="2"/>
  <c r="AE562" i="2" s="1"/>
  <c r="AD563" i="2"/>
  <c r="AE563" i="2" s="1"/>
  <c r="AD564" i="2"/>
  <c r="AE564" i="2" s="1"/>
  <c r="AD565" i="2"/>
  <c r="AE565" i="2" s="1"/>
  <c r="AD566" i="2"/>
  <c r="AE566" i="2" s="1"/>
  <c r="AD567" i="2"/>
  <c r="AE567" i="2" s="1"/>
  <c r="AD568" i="2"/>
  <c r="AE568" i="2" s="1"/>
  <c r="AD569" i="2"/>
  <c r="AE569" i="2" s="1"/>
  <c r="AD570" i="2"/>
  <c r="AE570" i="2" s="1"/>
  <c r="AD571" i="2"/>
  <c r="AE571" i="2" s="1"/>
  <c r="AD572" i="2"/>
  <c r="AE572" i="2" s="1"/>
  <c r="AD573" i="2"/>
  <c r="AE573" i="2" s="1"/>
  <c r="AD574" i="2"/>
  <c r="AE574" i="2" s="1"/>
  <c r="AD575" i="2"/>
  <c r="AE575" i="2" s="1"/>
  <c r="AD576" i="2"/>
  <c r="AE576" i="2" s="1"/>
  <c r="AD577" i="2"/>
  <c r="AE577" i="2" s="1"/>
  <c r="AD578" i="2"/>
  <c r="AE578" i="2" s="1"/>
  <c r="AD579" i="2"/>
  <c r="AE579" i="2" s="1"/>
  <c r="AD580" i="2"/>
  <c r="AE580" i="2" s="1"/>
  <c r="AD581" i="2"/>
  <c r="AE581" i="2" s="1"/>
  <c r="AD582" i="2"/>
  <c r="AE582" i="2" s="1"/>
  <c r="AD583" i="2"/>
  <c r="AE583" i="2" s="1"/>
  <c r="AD584" i="2"/>
  <c r="AE584" i="2" s="1"/>
  <c r="AD585" i="2"/>
  <c r="AE585" i="2" s="1"/>
  <c r="AD586" i="2"/>
  <c r="AE586" i="2" s="1"/>
  <c r="AD587" i="2"/>
  <c r="AE587" i="2" s="1"/>
  <c r="AD588" i="2"/>
  <c r="AE588" i="2" s="1"/>
  <c r="AD589" i="2"/>
  <c r="AE589" i="2" s="1"/>
  <c r="AD590" i="2"/>
  <c r="AE590" i="2" s="1"/>
  <c r="AD591" i="2"/>
  <c r="AE591" i="2" s="1"/>
  <c r="AD592" i="2"/>
  <c r="AE592" i="2" s="1"/>
  <c r="AD593" i="2"/>
  <c r="AE593" i="2" s="1"/>
  <c r="AD594" i="2"/>
  <c r="AE594" i="2" s="1"/>
  <c r="AD595" i="2"/>
  <c r="AE595" i="2" s="1"/>
  <c r="AD596" i="2"/>
  <c r="AE596" i="2" s="1"/>
  <c r="AD597" i="2"/>
  <c r="AE597" i="2" s="1"/>
  <c r="AD598" i="2"/>
  <c r="AE598" i="2" s="1"/>
  <c r="AD599" i="2"/>
  <c r="AE599" i="2" s="1"/>
  <c r="AD600" i="2"/>
  <c r="AE600" i="2" s="1"/>
  <c r="AD601" i="2"/>
  <c r="AE601" i="2" s="1"/>
  <c r="AD602" i="2"/>
  <c r="AE602" i="2" s="1"/>
  <c r="AD603" i="2"/>
  <c r="AE603" i="2" s="1"/>
  <c r="AD604" i="2"/>
  <c r="AE604" i="2" s="1"/>
  <c r="AD605" i="2"/>
  <c r="AE605" i="2" s="1"/>
  <c r="AD606" i="2"/>
  <c r="AE606" i="2" s="1"/>
  <c r="AD607" i="2"/>
  <c r="AE607" i="2" s="1"/>
  <c r="AD608" i="2"/>
  <c r="AE608" i="2" s="1"/>
  <c r="AD609" i="2"/>
  <c r="AE609" i="2" s="1"/>
  <c r="AD610" i="2"/>
  <c r="AE610" i="2" s="1"/>
  <c r="AD611" i="2"/>
  <c r="AE611" i="2" s="1"/>
  <c r="AD612" i="2"/>
  <c r="AE612" i="2" s="1"/>
  <c r="AD613" i="2"/>
  <c r="AE613" i="2" s="1"/>
  <c r="AD614" i="2"/>
  <c r="AE614" i="2" s="1"/>
  <c r="AD615" i="2"/>
  <c r="AE615" i="2" s="1"/>
  <c r="AD616" i="2"/>
  <c r="AE616" i="2" s="1"/>
  <c r="AD617" i="2"/>
  <c r="AE617" i="2" s="1"/>
  <c r="AD618" i="2"/>
  <c r="AE618" i="2" s="1"/>
  <c r="AD619" i="2"/>
  <c r="AE619" i="2" s="1"/>
  <c r="AD620" i="2"/>
  <c r="AE620" i="2" s="1"/>
  <c r="AD621" i="2"/>
  <c r="AE621" i="2" s="1"/>
  <c r="AD622" i="2"/>
  <c r="AE622" i="2" s="1"/>
  <c r="AD623" i="2"/>
  <c r="AE623" i="2" s="1"/>
  <c r="AD624" i="2"/>
  <c r="AE624" i="2" s="1"/>
  <c r="AD625" i="2"/>
  <c r="AE625" i="2" s="1"/>
  <c r="AD626" i="2"/>
  <c r="AE626" i="2" s="1"/>
  <c r="AD627" i="2"/>
  <c r="AE627" i="2" s="1"/>
  <c r="AD628" i="2"/>
  <c r="AE628" i="2" s="1"/>
  <c r="AD629" i="2"/>
  <c r="AE629" i="2" s="1"/>
  <c r="AD630" i="2"/>
  <c r="AE630" i="2" s="1"/>
  <c r="AD631" i="2"/>
  <c r="AE631" i="2" s="1"/>
  <c r="AD632" i="2"/>
  <c r="AE632" i="2" s="1"/>
  <c r="AD633" i="2"/>
  <c r="AE633" i="2" s="1"/>
  <c r="AD634" i="2"/>
  <c r="AE634" i="2" s="1"/>
  <c r="AD635" i="2"/>
  <c r="AE635" i="2" s="1"/>
  <c r="AD636" i="2"/>
  <c r="AE636" i="2" s="1"/>
  <c r="AD637" i="2"/>
  <c r="AE637" i="2" s="1"/>
  <c r="AD638" i="2"/>
  <c r="AE638" i="2" s="1"/>
  <c r="AD639" i="2"/>
  <c r="AE639" i="2" s="1"/>
  <c r="AD640" i="2"/>
  <c r="AE640" i="2" s="1"/>
  <c r="AD641" i="2"/>
  <c r="AE641" i="2" s="1"/>
  <c r="AD642" i="2"/>
  <c r="AE642" i="2" s="1"/>
  <c r="AD643" i="2"/>
  <c r="AE643" i="2" s="1"/>
  <c r="AD644" i="2"/>
  <c r="AE644" i="2" s="1"/>
  <c r="AD645" i="2"/>
  <c r="AE645" i="2" s="1"/>
  <c r="AD646" i="2"/>
  <c r="AE646" i="2" s="1"/>
  <c r="AD647" i="2"/>
  <c r="AE647" i="2" s="1"/>
  <c r="AD648" i="2"/>
  <c r="AE648" i="2" s="1"/>
  <c r="AD649" i="2"/>
  <c r="AE649" i="2" s="1"/>
  <c r="AD650" i="2"/>
  <c r="AE650" i="2" s="1"/>
  <c r="AD651" i="2"/>
  <c r="AE651" i="2" s="1"/>
  <c r="AD652" i="2"/>
  <c r="AE652" i="2" s="1"/>
  <c r="AD653" i="2"/>
  <c r="AE653" i="2" s="1"/>
  <c r="AD654" i="2"/>
  <c r="AE654" i="2" s="1"/>
  <c r="AD655" i="2"/>
  <c r="AE655" i="2" s="1"/>
  <c r="AD656" i="2"/>
  <c r="AE656" i="2" s="1"/>
  <c r="AD657" i="2"/>
  <c r="AE657" i="2" s="1"/>
  <c r="AD658" i="2"/>
  <c r="AE658" i="2" s="1"/>
  <c r="AD659" i="2"/>
  <c r="AE659" i="2" s="1"/>
  <c r="AD660" i="2"/>
  <c r="AE660" i="2" s="1"/>
  <c r="AD661" i="2"/>
  <c r="AE661" i="2" s="1"/>
  <c r="AD662" i="2"/>
  <c r="AE662" i="2" s="1"/>
  <c r="AD663" i="2"/>
  <c r="AE663" i="2" s="1"/>
  <c r="AD664" i="2"/>
  <c r="AE664" i="2" s="1"/>
  <c r="AD665" i="2"/>
  <c r="AE665" i="2" s="1"/>
  <c r="AD666" i="2"/>
  <c r="AE666" i="2" s="1"/>
  <c r="AD667" i="2"/>
  <c r="AE667" i="2" s="1"/>
  <c r="AD668" i="2"/>
  <c r="AE668" i="2" s="1"/>
  <c r="AD669" i="2"/>
  <c r="AE669" i="2" s="1"/>
  <c r="AD670" i="2"/>
  <c r="AE670" i="2" s="1"/>
  <c r="AD671" i="2"/>
  <c r="AE671" i="2" s="1"/>
  <c r="AD672" i="2"/>
  <c r="AE672" i="2" s="1"/>
  <c r="AD673" i="2"/>
  <c r="AE673" i="2" s="1"/>
  <c r="AD674" i="2"/>
  <c r="AE674" i="2" s="1"/>
  <c r="AD675" i="2"/>
  <c r="AE675" i="2" s="1"/>
  <c r="AD676" i="2"/>
  <c r="AE676" i="2" s="1"/>
  <c r="AD677" i="2"/>
  <c r="AE677" i="2" s="1"/>
  <c r="AD678" i="2"/>
  <c r="AE678" i="2" s="1"/>
  <c r="AD679" i="2"/>
  <c r="AE679" i="2" s="1"/>
  <c r="AD680" i="2"/>
  <c r="AE680" i="2" s="1"/>
  <c r="AD681" i="2"/>
  <c r="AE681" i="2" s="1"/>
  <c r="AD682" i="2"/>
  <c r="AE682" i="2" s="1"/>
  <c r="AD683" i="2"/>
  <c r="AE683" i="2" s="1"/>
  <c r="AD684" i="2"/>
  <c r="AE684" i="2" s="1"/>
  <c r="AD685" i="2"/>
  <c r="AE685" i="2" s="1"/>
  <c r="AD686" i="2"/>
  <c r="AE686" i="2" s="1"/>
  <c r="AD687" i="2"/>
  <c r="AE687" i="2" s="1"/>
  <c r="AD688" i="2"/>
  <c r="AE688" i="2" s="1"/>
  <c r="AD689" i="2"/>
  <c r="AE689" i="2" s="1"/>
  <c r="AD690" i="2"/>
  <c r="AE690" i="2" s="1"/>
  <c r="AD691" i="2"/>
  <c r="AE691" i="2" s="1"/>
  <c r="AD692" i="2"/>
  <c r="AE692" i="2" s="1"/>
  <c r="AD693" i="2"/>
  <c r="AE693" i="2" s="1"/>
  <c r="AD694" i="2"/>
  <c r="AE694" i="2" s="1"/>
  <c r="AD695" i="2"/>
  <c r="AE695" i="2" s="1"/>
  <c r="AD696" i="2"/>
  <c r="AE696" i="2" s="1"/>
  <c r="AD697" i="2"/>
  <c r="AE697" i="2" s="1"/>
  <c r="AD698" i="2"/>
  <c r="AE698" i="2" s="1"/>
  <c r="AD699" i="2"/>
  <c r="AE699" i="2" s="1"/>
  <c r="AD700" i="2"/>
  <c r="AE700" i="2" s="1"/>
  <c r="AD701" i="2"/>
  <c r="AE701" i="2" s="1"/>
  <c r="AD702" i="2"/>
  <c r="AE702" i="2" s="1"/>
  <c r="AD703" i="2"/>
  <c r="AE703" i="2" s="1"/>
  <c r="AD704" i="2"/>
  <c r="AE704" i="2" s="1"/>
  <c r="AD705" i="2"/>
  <c r="AE705" i="2" s="1"/>
  <c r="AD706" i="2"/>
  <c r="AE706" i="2" s="1"/>
  <c r="AD707" i="2"/>
  <c r="AE707" i="2" s="1"/>
  <c r="AD708" i="2"/>
  <c r="AE708" i="2" s="1"/>
  <c r="AD709" i="2"/>
  <c r="AE709" i="2" s="1"/>
  <c r="AD710" i="2"/>
  <c r="AE710" i="2" s="1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F13" i="2"/>
  <c r="AF24" i="2"/>
  <c r="AG24" i="2" s="1"/>
  <c r="AF26" i="2"/>
  <c r="AG26" i="2" s="1"/>
  <c r="AF31" i="2"/>
  <c r="AG31" i="2" s="1"/>
  <c r="AF44" i="2"/>
  <c r="AG44" i="2" s="1"/>
  <c r="AF45" i="2"/>
  <c r="AG45" i="2" s="1"/>
  <c r="AF53" i="2"/>
  <c r="AG53" i="2" s="1"/>
  <c r="AF54" i="2"/>
  <c r="AG54" i="2" s="1"/>
  <c r="AF55" i="2"/>
  <c r="AG55" i="2" s="1"/>
  <c r="AF56" i="2"/>
  <c r="AG56" i="2" s="1"/>
  <c r="AF58" i="2"/>
  <c r="AG58" i="2" s="1"/>
  <c r="AF59" i="2"/>
  <c r="AG59" i="2" s="1"/>
  <c r="AF60" i="2"/>
  <c r="AG60" i="2" s="1"/>
  <c r="AF61" i="2"/>
  <c r="AG61" i="2" s="1"/>
  <c r="AF62" i="2"/>
  <c r="AG62" i="2" s="1"/>
  <c r="AF68" i="2"/>
  <c r="AG68" i="2" s="1"/>
  <c r="AF69" i="2"/>
  <c r="AG69" i="2" s="1"/>
  <c r="AF70" i="2"/>
  <c r="AG70" i="2" s="1"/>
  <c r="AF74" i="2"/>
  <c r="AG74" i="2" s="1"/>
  <c r="AF81" i="2"/>
  <c r="AG81" i="2" s="1"/>
  <c r="AF82" i="2"/>
  <c r="AG82" i="2" s="1"/>
  <c r="AF84" i="2"/>
  <c r="AG84" i="2" s="1"/>
  <c r="AF100" i="2"/>
  <c r="AG100" i="2" s="1"/>
  <c r="AF103" i="2"/>
  <c r="AG103" i="2" s="1"/>
  <c r="AF104" i="2"/>
  <c r="AG104" i="2" s="1"/>
  <c r="AF106" i="2"/>
  <c r="AG106" i="2" s="1"/>
  <c r="AF107" i="2"/>
  <c r="AG107" i="2" s="1"/>
  <c r="AF108" i="2"/>
  <c r="AG108" i="2" s="1"/>
  <c r="AF109" i="2"/>
  <c r="AG109" i="2" s="1"/>
  <c r="AF110" i="2"/>
  <c r="AG110" i="2" s="1"/>
  <c r="AF116" i="2"/>
  <c r="AG116" i="2" s="1"/>
  <c r="AF117" i="2"/>
  <c r="AG117" i="2" s="1"/>
  <c r="AF119" i="2"/>
  <c r="AG119" i="2" s="1"/>
  <c r="AF120" i="2"/>
  <c r="AG120" i="2" s="1"/>
  <c r="AF123" i="2"/>
  <c r="AG123" i="2" s="1"/>
  <c r="AF124" i="2"/>
  <c r="AG124" i="2" s="1"/>
  <c r="AF125" i="2"/>
  <c r="AG125" i="2" s="1"/>
  <c r="AF126" i="2"/>
  <c r="AG126" i="2" s="1"/>
  <c r="AF137" i="2"/>
  <c r="AG137" i="2" s="1"/>
  <c r="AF138" i="2"/>
  <c r="AG138" i="2" s="1"/>
  <c r="AF139" i="2"/>
  <c r="AG139" i="2" s="1"/>
  <c r="AF144" i="2"/>
  <c r="AG144" i="2" s="1"/>
  <c r="AF145" i="2"/>
  <c r="AG145" i="2" s="1"/>
  <c r="AF146" i="2"/>
  <c r="AG146" i="2" s="1"/>
  <c r="AF147" i="2"/>
  <c r="AG147" i="2" s="1"/>
  <c r="AF148" i="2"/>
  <c r="AG148" i="2" s="1"/>
  <c r="AF149" i="2"/>
  <c r="AG149" i="2" s="1"/>
  <c r="AF150" i="2"/>
  <c r="AG150" i="2" s="1"/>
  <c r="AF151" i="2"/>
  <c r="AG151" i="2" s="1"/>
  <c r="AF156" i="2"/>
  <c r="AG156" i="2" s="1"/>
  <c r="AF157" i="2"/>
  <c r="AG157" i="2" s="1"/>
  <c r="AF158" i="2"/>
  <c r="AG158" i="2" s="1"/>
  <c r="AF162" i="2"/>
  <c r="AG162" i="2" s="1"/>
  <c r="AF163" i="2"/>
  <c r="AG163" i="2" s="1"/>
  <c r="AF164" i="2"/>
  <c r="AG164" i="2" s="1"/>
  <c r="AF165" i="2"/>
  <c r="AG165" i="2" s="1"/>
  <c r="AF166" i="2"/>
  <c r="AG166" i="2" s="1"/>
  <c r="AF169" i="2"/>
  <c r="AG169" i="2" s="1"/>
  <c r="AF170" i="2"/>
  <c r="AG170" i="2" s="1"/>
  <c r="AF171" i="2"/>
  <c r="AG171" i="2" s="1"/>
  <c r="AF172" i="2"/>
  <c r="AG172" i="2" s="1"/>
  <c r="AF173" i="2"/>
  <c r="AG173" i="2" s="1"/>
  <c r="AF178" i="2"/>
  <c r="AG178" i="2" s="1"/>
  <c r="AF179" i="2"/>
  <c r="AG179" i="2" s="1"/>
  <c r="AF180" i="2"/>
  <c r="AG180" i="2" s="1"/>
  <c r="AF186" i="2"/>
  <c r="AG186" i="2" s="1"/>
  <c r="AF187" i="2"/>
  <c r="AG187" i="2" s="1"/>
  <c r="AF189" i="2"/>
  <c r="AG189" i="2" s="1"/>
  <c r="AF190" i="2"/>
  <c r="AG190" i="2" s="1"/>
  <c r="AF193" i="2"/>
  <c r="AG193" i="2" s="1"/>
  <c r="AF194" i="2"/>
  <c r="AG194" i="2" s="1"/>
  <c r="AF202" i="2"/>
  <c r="AG202" i="2" s="1"/>
  <c r="AF205" i="2"/>
  <c r="AG205" i="2" s="1"/>
  <c r="AF206" i="2"/>
  <c r="AG206" i="2" s="1"/>
  <c r="AF207" i="2"/>
  <c r="AG207" i="2" s="1"/>
  <c r="AF209" i="2"/>
  <c r="AG209" i="2" s="1"/>
  <c r="AF210" i="2"/>
  <c r="AG210" i="2" s="1"/>
  <c r="AF211" i="2"/>
  <c r="AG211" i="2" s="1"/>
  <c r="AF212" i="2"/>
  <c r="AG212" i="2" s="1"/>
  <c r="AF214" i="2"/>
  <c r="AG214" i="2" s="1"/>
  <c r="AF217" i="2"/>
  <c r="AG217" i="2" s="1"/>
  <c r="AF218" i="2"/>
  <c r="AG218" i="2" s="1"/>
  <c r="AF219" i="2"/>
  <c r="AG219" i="2" s="1"/>
  <c r="AF220" i="2"/>
  <c r="AG220" i="2" s="1"/>
  <c r="AF232" i="2"/>
  <c r="AG232" i="2" s="1"/>
  <c r="AF237" i="2"/>
  <c r="AG237" i="2" s="1"/>
  <c r="AF238" i="2"/>
  <c r="AG238" i="2" s="1"/>
  <c r="AF239" i="2"/>
  <c r="AG239" i="2" s="1"/>
  <c r="AF240" i="2"/>
  <c r="AG240" i="2" s="1"/>
  <c r="AF241" i="2"/>
  <c r="AG241" i="2" s="1"/>
  <c r="AF242" i="2"/>
  <c r="AG242" i="2" s="1"/>
  <c r="AF244" i="2"/>
  <c r="AG244" i="2" s="1"/>
  <c r="AF245" i="2"/>
  <c r="AG245" i="2" s="1"/>
  <c r="AF246" i="2"/>
  <c r="AG246" i="2" s="1"/>
  <c r="AF248" i="2"/>
  <c r="AG248" i="2" s="1"/>
  <c r="AF250" i="2"/>
  <c r="AG250" i="2" s="1"/>
  <c r="AF251" i="2"/>
  <c r="AG251" i="2" s="1"/>
  <c r="AF252" i="2"/>
  <c r="AG252" i="2" s="1"/>
  <c r="AF260" i="2"/>
  <c r="AG260" i="2" s="1"/>
  <c r="AF261" i="2"/>
  <c r="AG261" i="2" s="1"/>
  <c r="AF262" i="2"/>
  <c r="AG262" i="2" s="1"/>
  <c r="AF263" i="2"/>
  <c r="AG263" i="2" s="1"/>
  <c r="AF264" i="2"/>
  <c r="AG264" i="2" s="1"/>
  <c r="AF265" i="2"/>
  <c r="AG265" i="2" s="1"/>
  <c r="AF272" i="2"/>
  <c r="AG272" i="2" s="1"/>
  <c r="AF273" i="2"/>
  <c r="AG273" i="2" s="1"/>
  <c r="AF274" i="2"/>
  <c r="AG274" i="2" s="1"/>
  <c r="AF275" i="2"/>
  <c r="AG275" i="2" s="1"/>
  <c r="AF276" i="2"/>
  <c r="AG276" i="2" s="1"/>
  <c r="AF277" i="2"/>
  <c r="AG277" i="2" s="1"/>
  <c r="AF278" i="2"/>
  <c r="AG278" i="2" s="1"/>
  <c r="AF280" i="2"/>
  <c r="AG280" i="2" s="1"/>
  <c r="AF281" i="2"/>
  <c r="AG281" i="2" s="1"/>
  <c r="AF282" i="2"/>
  <c r="AG282" i="2" s="1"/>
  <c r="AF285" i="2"/>
  <c r="AG285" i="2" s="1"/>
  <c r="AF286" i="2"/>
  <c r="AG286" i="2" s="1"/>
  <c r="AF287" i="2"/>
  <c r="AG287" i="2" s="1"/>
  <c r="AF288" i="2"/>
  <c r="AG288" i="2" s="1"/>
  <c r="AF289" i="2"/>
  <c r="AG289" i="2" s="1"/>
  <c r="AF302" i="2"/>
  <c r="AG302" i="2" s="1"/>
  <c r="AF303" i="2"/>
  <c r="AG303" i="2" s="1"/>
  <c r="AF304" i="2"/>
  <c r="AG304" i="2" s="1"/>
  <c r="AF305" i="2"/>
  <c r="AG305" i="2" s="1"/>
  <c r="AF306" i="2"/>
  <c r="AG306" i="2" s="1"/>
  <c r="AF309" i="2"/>
  <c r="AG309" i="2" s="1"/>
  <c r="AF310" i="2"/>
  <c r="AG310" i="2" s="1"/>
  <c r="AF311" i="2"/>
  <c r="AG311" i="2" s="1"/>
  <c r="AF312" i="2"/>
  <c r="AG312" i="2" s="1"/>
  <c r="AF317" i="2"/>
  <c r="AG317" i="2" s="1"/>
  <c r="AF318" i="2"/>
  <c r="AG318" i="2" s="1"/>
  <c r="AF319" i="2"/>
  <c r="AG319" i="2" s="1"/>
  <c r="AF320" i="2"/>
  <c r="AG320" i="2" s="1"/>
  <c r="AF321" i="2"/>
  <c r="AG321" i="2" s="1"/>
  <c r="AF325" i="2"/>
  <c r="AG325" i="2" s="1"/>
  <c r="AF328" i="2"/>
  <c r="AG328" i="2" s="1"/>
  <c r="AF329" i="2"/>
  <c r="AG329" i="2" s="1"/>
  <c r="AF331" i="2"/>
  <c r="AG331" i="2" s="1"/>
  <c r="AF332" i="2"/>
  <c r="AG332" i="2" s="1"/>
  <c r="AF334" i="2"/>
  <c r="AG334" i="2" s="1"/>
  <c r="AF335" i="2"/>
  <c r="AG335" i="2" s="1"/>
  <c r="AF354" i="2"/>
  <c r="AG354" i="2" s="1"/>
  <c r="AF355" i="2"/>
  <c r="AG355" i="2" s="1"/>
  <c r="AF356" i="2"/>
  <c r="AG356" i="2" s="1"/>
  <c r="AF357" i="2"/>
  <c r="AG357" i="2" s="1"/>
  <c r="AF358" i="2"/>
  <c r="AG358" i="2" s="1"/>
  <c r="AF360" i="2"/>
  <c r="AG360" i="2" s="1"/>
  <c r="AF361" i="2"/>
  <c r="AG361" i="2" s="1"/>
  <c r="AF362" i="2"/>
  <c r="AG362" i="2" s="1"/>
  <c r="AF367" i="2"/>
  <c r="AG367" i="2" s="1"/>
  <c r="AF368" i="2"/>
  <c r="AG368" i="2" s="1"/>
  <c r="AF369" i="2"/>
  <c r="AG369" i="2" s="1"/>
  <c r="AF370" i="2"/>
  <c r="AG370" i="2" s="1"/>
  <c r="AF371" i="2"/>
  <c r="AG371" i="2" s="1"/>
  <c r="AF373" i="2"/>
  <c r="AG373" i="2" s="1"/>
  <c r="AF374" i="2"/>
  <c r="AG374" i="2" s="1"/>
  <c r="AF375" i="2"/>
  <c r="AG375" i="2" s="1"/>
  <c r="AF376" i="2"/>
  <c r="AG376" i="2" s="1"/>
  <c r="AF378" i="2"/>
  <c r="AG378" i="2" s="1"/>
  <c r="AF379" i="2"/>
  <c r="AG379" i="2" s="1"/>
  <c r="AF380" i="2"/>
  <c r="AG380" i="2" s="1"/>
  <c r="AF382" i="2"/>
  <c r="AG382" i="2" s="1"/>
  <c r="AF386" i="2"/>
  <c r="AG386" i="2" s="1"/>
  <c r="AF387" i="2"/>
  <c r="AG387" i="2" s="1"/>
  <c r="AF389" i="2"/>
  <c r="AG389" i="2" s="1"/>
  <c r="AF390" i="2"/>
  <c r="AG390" i="2" s="1"/>
  <c r="AF392" i="2"/>
  <c r="AG392" i="2" s="1"/>
  <c r="AF393" i="2"/>
  <c r="AG393" i="2" s="1"/>
  <c r="AF394" i="2"/>
  <c r="AG394" i="2" s="1"/>
  <c r="AF397" i="2"/>
  <c r="AG397" i="2" s="1"/>
  <c r="AF398" i="2"/>
  <c r="AG398" i="2" s="1"/>
  <c r="AF399" i="2"/>
  <c r="AG399" i="2" s="1"/>
  <c r="AF400" i="2"/>
  <c r="AG400" i="2" s="1"/>
  <c r="AF402" i="2"/>
  <c r="AG402" i="2" s="1"/>
  <c r="AF403" i="2"/>
  <c r="AG403" i="2" s="1"/>
  <c r="AF404" i="2"/>
  <c r="AG404" i="2" s="1"/>
  <c r="AF405" i="2"/>
  <c r="AG405" i="2" s="1"/>
  <c r="AF406" i="2"/>
  <c r="AG406" i="2" s="1"/>
  <c r="AF407" i="2"/>
  <c r="AG407" i="2" s="1"/>
  <c r="AF410" i="2"/>
  <c r="AG410" i="2" s="1"/>
  <c r="AF411" i="2"/>
  <c r="AG411" i="2" s="1"/>
  <c r="AF412" i="2"/>
  <c r="AG412" i="2" s="1"/>
  <c r="AF413" i="2"/>
  <c r="AG413" i="2" s="1"/>
  <c r="AF416" i="2"/>
  <c r="AG416" i="2" s="1"/>
  <c r="AF417" i="2"/>
  <c r="AG417" i="2" s="1"/>
  <c r="AF418" i="2"/>
  <c r="AG418" i="2" s="1"/>
  <c r="AF423" i="2"/>
  <c r="AG423" i="2" s="1"/>
  <c r="AF424" i="2"/>
  <c r="AG424" i="2" s="1"/>
  <c r="AF426" i="2"/>
  <c r="AG426" i="2" s="1"/>
  <c r="AF428" i="2"/>
  <c r="AG428" i="2" s="1"/>
  <c r="AF430" i="2"/>
  <c r="AG430" i="2" s="1"/>
  <c r="AF431" i="2"/>
  <c r="AG431" i="2" s="1"/>
  <c r="AF433" i="2"/>
  <c r="AG433" i="2" s="1"/>
  <c r="AF434" i="2"/>
  <c r="AG434" i="2" s="1"/>
  <c r="AF435" i="2"/>
  <c r="AG435" i="2" s="1"/>
  <c r="AF439" i="2"/>
  <c r="AG439" i="2" s="1"/>
  <c r="AF440" i="2"/>
  <c r="AG440" i="2" s="1"/>
  <c r="AF452" i="2"/>
  <c r="AG452" i="2" s="1"/>
  <c r="AF455" i="2"/>
  <c r="AG455" i="2" s="1"/>
  <c r="AF456" i="2"/>
  <c r="AG456" i="2" s="1"/>
  <c r="AF458" i="2"/>
  <c r="AG458" i="2" s="1"/>
  <c r="AF459" i="2"/>
  <c r="AG459" i="2" s="1"/>
  <c r="AF460" i="2"/>
  <c r="AG460" i="2" s="1"/>
  <c r="AF461" i="2"/>
  <c r="AG461" i="2" s="1"/>
  <c r="AF475" i="2"/>
  <c r="AG475" i="2" s="1"/>
  <c r="AF476" i="2"/>
  <c r="AG476" i="2" s="1"/>
  <c r="AF480" i="2"/>
  <c r="AG480" i="2" s="1"/>
  <c r="AF481" i="2"/>
  <c r="AG481" i="2" s="1"/>
  <c r="AF482" i="2"/>
  <c r="AG482" i="2" s="1"/>
  <c r="AF483" i="2"/>
  <c r="AG483" i="2" s="1"/>
  <c r="AF485" i="2"/>
  <c r="AG485" i="2" s="1"/>
  <c r="AF486" i="2"/>
  <c r="AG486" i="2" s="1"/>
  <c r="AF487" i="2"/>
  <c r="AG487" i="2" s="1"/>
  <c r="AF488" i="2"/>
  <c r="AG488" i="2" s="1"/>
  <c r="AF489" i="2"/>
  <c r="AG489" i="2" s="1"/>
  <c r="AF491" i="2"/>
  <c r="AG491" i="2" s="1"/>
  <c r="AF492" i="2"/>
  <c r="AG492" i="2" s="1"/>
  <c r="AF493" i="2"/>
  <c r="AG493" i="2" s="1"/>
  <c r="AF495" i="2"/>
  <c r="AG495" i="2" s="1"/>
  <c r="AF496" i="2"/>
  <c r="AG496" i="2" s="1"/>
  <c r="AF497" i="2"/>
  <c r="AG497" i="2" s="1"/>
  <c r="AF498" i="2"/>
  <c r="AG498" i="2" s="1"/>
  <c r="AF499" i="2"/>
  <c r="AG499" i="2" s="1"/>
  <c r="AF501" i="2"/>
  <c r="AG501" i="2" s="1"/>
  <c r="AF502" i="2"/>
  <c r="AG502" i="2" s="1"/>
  <c r="AF503" i="2"/>
  <c r="AG503" i="2" s="1"/>
  <c r="AF504" i="2"/>
  <c r="AG504" i="2" s="1"/>
  <c r="AF505" i="2"/>
  <c r="AG505" i="2" s="1"/>
  <c r="AF507" i="2"/>
  <c r="AG507" i="2" s="1"/>
  <c r="AF508" i="2"/>
  <c r="AG508" i="2" s="1"/>
  <c r="AF511" i="2"/>
  <c r="AG511" i="2" s="1"/>
  <c r="AF512" i="2"/>
  <c r="AG512" i="2" s="1"/>
  <c r="AF513" i="2"/>
  <c r="AG513" i="2" s="1"/>
  <c r="AF514" i="2"/>
  <c r="AG514" i="2" s="1"/>
  <c r="AF515" i="2"/>
  <c r="AG515" i="2" s="1"/>
  <c r="AF516" i="2"/>
  <c r="AG516" i="2" s="1"/>
  <c r="AF522" i="2"/>
  <c r="AG522" i="2" s="1"/>
  <c r="AF524" i="2"/>
  <c r="AG524" i="2" s="1"/>
  <c r="AF533" i="2"/>
  <c r="AG533" i="2" s="1"/>
  <c r="AF535" i="2"/>
  <c r="AG535" i="2" s="1"/>
  <c r="AF536" i="2"/>
  <c r="AG536" i="2" s="1"/>
  <c r="AF537" i="2"/>
  <c r="AG537" i="2" s="1"/>
  <c r="AF542" i="2"/>
  <c r="AG542" i="2" s="1"/>
  <c r="AF545" i="2"/>
  <c r="AG545" i="2" s="1"/>
  <c r="AF546" i="2"/>
  <c r="AG546" i="2" s="1"/>
  <c r="AF551" i="2"/>
  <c r="AG551" i="2" s="1"/>
  <c r="AF552" i="2"/>
  <c r="AG552" i="2" s="1"/>
  <c r="AF554" i="2"/>
  <c r="AG554" i="2" s="1"/>
  <c r="AF555" i="2"/>
  <c r="AG555" i="2" s="1"/>
  <c r="AF557" i="2"/>
  <c r="AG557" i="2" s="1"/>
  <c r="AF559" i="2"/>
  <c r="AG559" i="2" s="1"/>
  <c r="AF560" i="2"/>
  <c r="AG560" i="2" s="1"/>
  <c r="AF561" i="2"/>
  <c r="AG561" i="2" s="1"/>
  <c r="AF562" i="2"/>
  <c r="AG562" i="2" s="1"/>
  <c r="AF563" i="2"/>
  <c r="AG563" i="2" s="1"/>
  <c r="AF568" i="2"/>
  <c r="AG568" i="2" s="1"/>
  <c r="AF570" i="2"/>
  <c r="AG570" i="2" s="1"/>
  <c r="AF572" i="2"/>
  <c r="AG572" i="2" s="1"/>
  <c r="AF573" i="2"/>
  <c r="AG573" i="2" s="1"/>
  <c r="AF574" i="2"/>
  <c r="AG574" i="2" s="1"/>
  <c r="AF575" i="2"/>
  <c r="AG575" i="2" s="1"/>
  <c r="AF576" i="2"/>
  <c r="AG576" i="2" s="1"/>
  <c r="AF578" i="2"/>
  <c r="AG578" i="2" s="1"/>
  <c r="AF579" i="2"/>
  <c r="AG579" i="2" s="1"/>
  <c r="AF580" i="2"/>
  <c r="AG580" i="2" s="1"/>
  <c r="AF581" i="2"/>
  <c r="AG581" i="2" s="1"/>
  <c r="AF582" i="2"/>
  <c r="AG582" i="2" s="1"/>
  <c r="AF583" i="2"/>
  <c r="AG583" i="2" s="1"/>
  <c r="AF584" i="2"/>
  <c r="AG584" i="2" s="1"/>
  <c r="AF588" i="2"/>
  <c r="AG588" i="2" s="1"/>
  <c r="AF589" i="2"/>
  <c r="AG589" i="2" s="1"/>
  <c r="AF590" i="2"/>
  <c r="AG590" i="2" s="1"/>
  <c r="AF593" i="2"/>
  <c r="AG593" i="2" s="1"/>
  <c r="AF594" i="2"/>
  <c r="AG594" i="2" s="1"/>
  <c r="AF595" i="2"/>
  <c r="AG595" i="2" s="1"/>
  <c r="AF596" i="2"/>
  <c r="AG596" i="2" s="1"/>
  <c r="AF597" i="2"/>
  <c r="AG597" i="2" s="1"/>
  <c r="AF598" i="2"/>
  <c r="AG598" i="2" s="1"/>
  <c r="AF606" i="2"/>
  <c r="AG606" i="2" s="1"/>
  <c r="AF609" i="2"/>
  <c r="AG609" i="2" s="1"/>
  <c r="AF610" i="2"/>
  <c r="AG610" i="2" s="1"/>
  <c r="AF611" i="2"/>
  <c r="AG611" i="2" s="1"/>
  <c r="AF612" i="2"/>
  <c r="AG612" i="2" s="1"/>
  <c r="AF613" i="2"/>
  <c r="AG613" i="2" s="1"/>
  <c r="AF615" i="2"/>
  <c r="AG615" i="2" s="1"/>
  <c r="AF616" i="2"/>
  <c r="AG616" i="2" s="1"/>
  <c r="AF617" i="2"/>
  <c r="AG617" i="2" s="1"/>
  <c r="AF618" i="2"/>
  <c r="AG618" i="2" s="1"/>
  <c r="AF619" i="2"/>
  <c r="AG619" i="2" s="1"/>
  <c r="AF620" i="2"/>
  <c r="AG620" i="2" s="1"/>
  <c r="AF621" i="2"/>
  <c r="AG621" i="2" s="1"/>
  <c r="AF622" i="2"/>
  <c r="AG622" i="2" s="1"/>
  <c r="AF624" i="2"/>
  <c r="AG624" i="2" s="1"/>
  <c r="AF625" i="2"/>
  <c r="AG625" i="2" s="1"/>
  <c r="AF626" i="2"/>
  <c r="AG626" i="2" s="1"/>
  <c r="AF627" i="2"/>
  <c r="AG627" i="2" s="1"/>
  <c r="AF628" i="2"/>
  <c r="AG628" i="2" s="1"/>
  <c r="AF638" i="2"/>
  <c r="AG638" i="2" s="1"/>
  <c r="AF639" i="2"/>
  <c r="AG639" i="2" s="1"/>
  <c r="AF640" i="2"/>
  <c r="AG640" i="2" s="1"/>
  <c r="AF643" i="2"/>
  <c r="AG643" i="2" s="1"/>
  <c r="AF644" i="2"/>
  <c r="AG644" i="2" s="1"/>
  <c r="AF645" i="2"/>
  <c r="AG645" i="2" s="1"/>
  <c r="AF646" i="2"/>
  <c r="AG646" i="2" s="1"/>
  <c r="AF647" i="2"/>
  <c r="AG647" i="2" s="1"/>
  <c r="AF655" i="2"/>
  <c r="AG655" i="2" s="1"/>
  <c r="AF658" i="2"/>
  <c r="AG658" i="2" s="1"/>
  <c r="K18" i="5"/>
  <c r="K5" i="5"/>
  <c r="K8" i="5"/>
  <c r="K11" i="5"/>
  <c r="K12" i="5"/>
  <c r="K6" i="5"/>
  <c r="K7" i="5"/>
  <c r="K9" i="5"/>
  <c r="K10" i="5"/>
  <c r="K13" i="5"/>
  <c r="K14" i="5"/>
  <c r="K15" i="5"/>
  <c r="K16" i="5"/>
  <c r="K17" i="5"/>
  <c r="I5" i="5"/>
  <c r="I21" i="5"/>
  <c r="I7" i="5"/>
  <c r="I24" i="5"/>
  <c r="I10" i="5"/>
  <c r="I27" i="5"/>
  <c r="I14" i="5"/>
  <c r="I8" i="5"/>
  <c r="I12" i="5"/>
  <c r="I15" i="5"/>
  <c r="I16" i="5"/>
  <c r="I17" i="5"/>
  <c r="I6" i="5"/>
  <c r="I28" i="5"/>
  <c r="I18" i="5"/>
  <c r="I20" i="5"/>
  <c r="I23" i="5"/>
  <c r="I9" i="5"/>
  <c r="I26" i="5"/>
  <c r="I13" i="5"/>
  <c r="I19" i="5"/>
  <c r="I22" i="5"/>
  <c r="I25" i="5"/>
  <c r="I11" i="5"/>
  <c r="C15" i="4"/>
  <c r="D4" i="5" l="1"/>
  <c r="D29" i="5"/>
  <c r="G7" i="1"/>
  <c r="F10" i="13"/>
  <c r="AG13" i="2"/>
  <c r="E29" i="5" s="1"/>
  <c r="AF1" i="2"/>
  <c r="E8" i="11"/>
  <c r="K8" i="11"/>
  <c r="D9" i="13"/>
  <c r="H9" i="13" s="1"/>
  <c r="L7" i="12"/>
  <c r="M6" i="12"/>
  <c r="F21" i="8"/>
  <c r="J14" i="8"/>
  <c r="AQ6" i="2"/>
  <c r="AI7" i="2"/>
  <c r="AQ7" i="2"/>
  <c r="AI8" i="2"/>
  <c r="AQ8" i="2"/>
  <c r="AI9" i="2"/>
  <c r="AQ9" i="2"/>
  <c r="AI10" i="2"/>
  <c r="AQ10" i="2"/>
  <c r="AI11" i="2"/>
  <c r="AQ11" i="2"/>
  <c r="AI12" i="2"/>
  <c r="AQ12" i="2"/>
  <c r="AI13" i="2"/>
  <c r="AQ13" i="2"/>
  <c r="AI14" i="2"/>
  <c r="AQ14" i="2"/>
  <c r="AI15" i="2"/>
  <c r="AQ15" i="2"/>
  <c r="AI16" i="2"/>
  <c r="AQ16" i="2"/>
  <c r="AI17" i="2"/>
  <c r="AQ17" i="2"/>
  <c r="AI18" i="2"/>
  <c r="AQ18" i="2"/>
  <c r="AI19" i="2"/>
  <c r="AQ19" i="2"/>
  <c r="AI20" i="2"/>
  <c r="AQ20" i="2"/>
  <c r="AI21" i="2"/>
  <c r="AQ21" i="2"/>
  <c r="AI22" i="2"/>
  <c r="AQ22" i="2"/>
  <c r="AI23" i="2"/>
  <c r="AQ23" i="2"/>
  <c r="AI24" i="2"/>
  <c r="AQ24" i="2"/>
  <c r="AI25" i="2"/>
  <c r="AQ25" i="2"/>
  <c r="AI26" i="2"/>
  <c r="AQ26" i="2"/>
  <c r="AI27" i="2"/>
  <c r="AQ27" i="2"/>
  <c r="AI28" i="2"/>
  <c r="AQ28" i="2"/>
  <c r="AI29" i="2"/>
  <c r="AQ29" i="2"/>
  <c r="AI30" i="2"/>
  <c r="AQ30" i="2"/>
  <c r="AI31" i="2"/>
  <c r="AQ31" i="2"/>
  <c r="AI32" i="2"/>
  <c r="AQ32" i="2"/>
  <c r="AI33" i="2"/>
  <c r="AQ33" i="2"/>
  <c r="AI34" i="2"/>
  <c r="AQ34" i="2"/>
  <c r="AI35" i="2"/>
  <c r="AQ35" i="2"/>
  <c r="AI36" i="2"/>
  <c r="AQ36" i="2"/>
  <c r="AI37" i="2"/>
  <c r="AQ37" i="2"/>
  <c r="AI38" i="2"/>
  <c r="AQ38" i="2"/>
  <c r="AI39" i="2"/>
  <c r="AQ39" i="2"/>
  <c r="AI40" i="2"/>
  <c r="AQ40" i="2"/>
  <c r="AI41" i="2"/>
  <c r="AQ41" i="2"/>
  <c r="AI42" i="2"/>
  <c r="AQ42" i="2"/>
  <c r="AI43" i="2"/>
  <c r="AQ43" i="2"/>
  <c r="AI44" i="2"/>
  <c r="AQ44" i="2"/>
  <c r="AI45" i="2"/>
  <c r="AQ45" i="2"/>
  <c r="AI46" i="2"/>
  <c r="AQ46" i="2"/>
  <c r="AI47" i="2"/>
  <c r="AQ47" i="2"/>
  <c r="AI48" i="2"/>
  <c r="AQ48" i="2"/>
  <c r="AI49" i="2"/>
  <c r="AQ49" i="2"/>
  <c r="AI50" i="2"/>
  <c r="AQ50" i="2"/>
  <c r="AI51" i="2"/>
  <c r="AQ51" i="2"/>
  <c r="AI52" i="2"/>
  <c r="AQ52" i="2"/>
  <c r="AI53" i="2"/>
  <c r="AQ53" i="2"/>
  <c r="AI54" i="2"/>
  <c r="AQ54" i="2"/>
  <c r="AI55" i="2"/>
  <c r="AQ55" i="2"/>
  <c r="AI56" i="2"/>
  <c r="AQ56" i="2"/>
  <c r="AI57" i="2"/>
  <c r="AQ57" i="2"/>
  <c r="AI58" i="2"/>
  <c r="AQ58" i="2"/>
  <c r="AI59" i="2"/>
  <c r="AQ59" i="2"/>
  <c r="AI60" i="2"/>
  <c r="AQ60" i="2"/>
  <c r="AI61" i="2"/>
  <c r="AQ61" i="2"/>
  <c r="AI62" i="2"/>
  <c r="AQ62" i="2"/>
  <c r="AI63" i="2"/>
  <c r="AQ63" i="2"/>
  <c r="AI64" i="2"/>
  <c r="AQ64" i="2"/>
  <c r="AI65" i="2"/>
  <c r="AQ65" i="2"/>
  <c r="AI66" i="2"/>
  <c r="AQ66" i="2"/>
  <c r="AI67" i="2"/>
  <c r="AQ67" i="2"/>
  <c r="AI68" i="2"/>
  <c r="AQ68" i="2"/>
  <c r="AI69" i="2"/>
  <c r="AQ69" i="2"/>
  <c r="AI70" i="2"/>
  <c r="AQ70" i="2"/>
  <c r="AI71" i="2"/>
  <c r="AQ71" i="2"/>
  <c r="AI72" i="2"/>
  <c r="AQ72" i="2"/>
  <c r="AI73" i="2"/>
  <c r="AQ73" i="2"/>
  <c r="AI74" i="2"/>
  <c r="AQ74" i="2"/>
  <c r="AI75" i="2"/>
  <c r="AQ75" i="2"/>
  <c r="AI76" i="2"/>
  <c r="AQ76" i="2"/>
  <c r="AI77" i="2"/>
  <c r="AQ77" i="2"/>
  <c r="AI78" i="2"/>
  <c r="AQ78" i="2"/>
  <c r="AI79" i="2"/>
  <c r="AQ79" i="2"/>
  <c r="AI80" i="2"/>
  <c r="AQ80" i="2"/>
  <c r="AI81" i="2"/>
  <c r="AQ81" i="2"/>
  <c r="AI82" i="2"/>
  <c r="AQ82" i="2"/>
  <c r="AI83" i="2"/>
  <c r="AQ83" i="2"/>
  <c r="AI84" i="2"/>
  <c r="AQ84" i="2"/>
  <c r="AI85" i="2"/>
  <c r="AQ85" i="2"/>
  <c r="AI86" i="2"/>
  <c r="AQ86" i="2"/>
  <c r="AI87" i="2"/>
  <c r="AQ87" i="2"/>
  <c r="AI88" i="2"/>
  <c r="AQ88" i="2"/>
  <c r="AI89" i="2"/>
  <c r="AQ89" i="2"/>
  <c r="AI90" i="2"/>
  <c r="AQ90" i="2"/>
  <c r="AI91" i="2"/>
  <c r="AQ91" i="2"/>
  <c r="AI92" i="2"/>
  <c r="AQ92" i="2"/>
  <c r="AI93" i="2"/>
  <c r="AQ93" i="2"/>
  <c r="AI94" i="2"/>
  <c r="AQ94" i="2"/>
  <c r="AI95" i="2"/>
  <c r="AQ95" i="2"/>
  <c r="AI96" i="2"/>
  <c r="AQ96" i="2"/>
  <c r="AI97" i="2"/>
  <c r="AQ97" i="2"/>
  <c r="AI98" i="2"/>
  <c r="AQ98" i="2"/>
  <c r="AI99" i="2"/>
  <c r="AQ99" i="2"/>
  <c r="AI100" i="2"/>
  <c r="AQ100" i="2"/>
  <c r="AI101" i="2"/>
  <c r="AQ101" i="2"/>
  <c r="AI102" i="2"/>
  <c r="AQ102" i="2"/>
  <c r="AI103" i="2"/>
  <c r="AQ103" i="2"/>
  <c r="AI104" i="2"/>
  <c r="AQ104" i="2"/>
  <c r="AI105" i="2"/>
  <c r="AQ105" i="2"/>
  <c r="AI106" i="2"/>
  <c r="AQ106" i="2"/>
  <c r="AI107" i="2"/>
  <c r="AQ107" i="2"/>
  <c r="AI108" i="2"/>
  <c r="AQ108" i="2"/>
  <c r="AI109" i="2"/>
  <c r="AQ109" i="2"/>
  <c r="AI110" i="2"/>
  <c r="AQ110" i="2"/>
  <c r="AI111" i="2"/>
  <c r="AQ111" i="2"/>
  <c r="AI112" i="2"/>
  <c r="AQ112" i="2"/>
  <c r="AI113" i="2"/>
  <c r="AQ113" i="2"/>
  <c r="AI114" i="2"/>
  <c r="AQ114" i="2"/>
  <c r="AI115" i="2"/>
  <c r="AQ115" i="2"/>
  <c r="AI116" i="2"/>
  <c r="AQ116" i="2"/>
  <c r="AI117" i="2"/>
  <c r="AQ117" i="2"/>
  <c r="AI118" i="2"/>
  <c r="AQ118" i="2"/>
  <c r="AI119" i="2"/>
  <c r="AQ119" i="2"/>
  <c r="AI120" i="2"/>
  <c r="AQ120" i="2"/>
  <c r="AI121" i="2"/>
  <c r="AQ121" i="2"/>
  <c r="AI122" i="2"/>
  <c r="AQ122" i="2"/>
  <c r="AI123" i="2"/>
  <c r="AQ123" i="2"/>
  <c r="AI124" i="2"/>
  <c r="AQ124" i="2"/>
  <c r="AI125" i="2"/>
  <c r="AQ125" i="2"/>
  <c r="AI126" i="2"/>
  <c r="AQ126" i="2"/>
  <c r="AI127" i="2"/>
  <c r="AQ127" i="2"/>
  <c r="AI128" i="2"/>
  <c r="AQ128" i="2"/>
  <c r="AI129" i="2"/>
  <c r="AQ129" i="2"/>
  <c r="AI130" i="2"/>
  <c r="AQ130" i="2"/>
  <c r="AI131" i="2"/>
  <c r="AQ131" i="2"/>
  <c r="AI132" i="2"/>
  <c r="AQ132" i="2"/>
  <c r="AI133" i="2"/>
  <c r="AQ133" i="2"/>
  <c r="AI134" i="2"/>
  <c r="AQ134" i="2"/>
  <c r="AI135" i="2"/>
  <c r="AQ135" i="2"/>
  <c r="AI136" i="2"/>
  <c r="AQ136" i="2"/>
  <c r="AI137" i="2"/>
  <c r="AQ137" i="2"/>
  <c r="AI138" i="2"/>
  <c r="AQ138" i="2"/>
  <c r="AI139" i="2"/>
  <c r="AQ139" i="2"/>
  <c r="AI140" i="2"/>
  <c r="AQ140" i="2"/>
  <c r="AI141" i="2"/>
  <c r="AQ141" i="2"/>
  <c r="AI142" i="2"/>
  <c r="AQ142" i="2"/>
  <c r="AI143" i="2"/>
  <c r="AQ143" i="2"/>
  <c r="AI144" i="2"/>
  <c r="AQ144" i="2"/>
  <c r="AI145" i="2"/>
  <c r="AQ145" i="2"/>
  <c r="AI146" i="2"/>
  <c r="AQ146" i="2"/>
  <c r="AI147" i="2"/>
  <c r="AQ147" i="2"/>
  <c r="AI148" i="2"/>
  <c r="AQ148" i="2"/>
  <c r="AI149" i="2"/>
  <c r="AQ149" i="2"/>
  <c r="AI150" i="2"/>
  <c r="AQ150" i="2"/>
  <c r="AI151" i="2"/>
  <c r="AQ151" i="2"/>
  <c r="AI152" i="2"/>
  <c r="AQ152" i="2"/>
  <c r="AI153" i="2"/>
  <c r="AQ153" i="2"/>
  <c r="AI154" i="2"/>
  <c r="AQ154" i="2"/>
  <c r="AI155" i="2"/>
  <c r="AQ155" i="2"/>
  <c r="AI156" i="2"/>
  <c r="AQ156" i="2"/>
  <c r="AI157" i="2"/>
  <c r="AQ157" i="2"/>
  <c r="AI158" i="2"/>
  <c r="AQ158" i="2"/>
  <c r="AI159" i="2"/>
  <c r="AQ159" i="2"/>
  <c r="AI160" i="2"/>
  <c r="AQ160" i="2"/>
  <c r="AI161" i="2"/>
  <c r="AQ161" i="2"/>
  <c r="AI162" i="2"/>
  <c r="AQ162" i="2"/>
  <c r="AI163" i="2"/>
  <c r="AQ163" i="2"/>
  <c r="AI164" i="2"/>
  <c r="AQ164" i="2"/>
  <c r="AI165" i="2"/>
  <c r="AQ165" i="2"/>
  <c r="AI166" i="2"/>
  <c r="AQ166" i="2"/>
  <c r="AI167" i="2"/>
  <c r="AQ167" i="2"/>
  <c r="AI168" i="2"/>
  <c r="AQ168" i="2"/>
  <c r="AI169" i="2"/>
  <c r="AQ169" i="2"/>
  <c r="AI170" i="2"/>
  <c r="AQ170" i="2"/>
  <c r="AI171" i="2"/>
  <c r="AQ171" i="2"/>
  <c r="AI172" i="2"/>
  <c r="AQ172" i="2"/>
  <c r="AI173" i="2"/>
  <c r="AQ173" i="2"/>
  <c r="AI174" i="2"/>
  <c r="AQ174" i="2"/>
  <c r="AI175" i="2"/>
  <c r="AQ175" i="2"/>
  <c r="AI176" i="2"/>
  <c r="AQ176" i="2"/>
  <c r="AI177" i="2"/>
  <c r="AQ177" i="2"/>
  <c r="AI178" i="2"/>
  <c r="AQ178" i="2"/>
  <c r="AI179" i="2"/>
  <c r="AQ179" i="2"/>
  <c r="AI180" i="2"/>
  <c r="AQ180" i="2"/>
  <c r="AI181" i="2"/>
  <c r="AQ181" i="2"/>
  <c r="AI182" i="2"/>
  <c r="AQ182" i="2"/>
  <c r="AI183" i="2"/>
  <c r="AQ183" i="2"/>
  <c r="AI184" i="2"/>
  <c r="AQ184" i="2"/>
  <c r="AI185" i="2"/>
  <c r="AQ185" i="2"/>
  <c r="AI186" i="2"/>
  <c r="AQ186" i="2"/>
  <c r="AI187" i="2"/>
  <c r="AQ187" i="2"/>
  <c r="AI188" i="2"/>
  <c r="AQ188" i="2"/>
  <c r="AI189" i="2"/>
  <c r="AQ189" i="2"/>
  <c r="AI190" i="2"/>
  <c r="AQ190" i="2"/>
  <c r="AI191" i="2"/>
  <c r="AQ191" i="2"/>
  <c r="AI192" i="2"/>
  <c r="AQ192" i="2"/>
  <c r="AI193" i="2"/>
  <c r="AQ193" i="2"/>
  <c r="AI194" i="2"/>
  <c r="AQ194" i="2"/>
  <c r="AI195" i="2"/>
  <c r="AQ195" i="2"/>
  <c r="AI196" i="2"/>
  <c r="AQ196" i="2"/>
  <c r="AI197" i="2"/>
  <c r="AQ197" i="2"/>
  <c r="AI198" i="2"/>
  <c r="AQ198" i="2"/>
  <c r="AI199" i="2"/>
  <c r="AQ199" i="2"/>
  <c r="AI200" i="2"/>
  <c r="AQ200" i="2"/>
  <c r="AI201" i="2"/>
  <c r="AQ201" i="2"/>
  <c r="AI202" i="2"/>
  <c r="AQ202" i="2"/>
  <c r="AI203" i="2"/>
  <c r="AQ203" i="2"/>
  <c r="AI204" i="2"/>
  <c r="AQ204" i="2"/>
  <c r="AI205" i="2"/>
  <c r="AQ205" i="2"/>
  <c r="AI206" i="2"/>
  <c r="AQ206" i="2"/>
  <c r="AI207" i="2"/>
  <c r="AQ207" i="2"/>
  <c r="AI208" i="2"/>
  <c r="AQ208" i="2"/>
  <c r="AI209" i="2"/>
  <c r="AQ209" i="2"/>
  <c r="AI210" i="2"/>
  <c r="AQ210" i="2"/>
  <c r="AI211" i="2"/>
  <c r="AQ211" i="2"/>
  <c r="AI212" i="2"/>
  <c r="AQ212" i="2"/>
  <c r="AI213" i="2"/>
  <c r="AQ213" i="2"/>
  <c r="AI214" i="2"/>
  <c r="AQ214" i="2"/>
  <c r="AI215" i="2"/>
  <c r="AQ215" i="2"/>
  <c r="AI216" i="2"/>
  <c r="AQ216" i="2"/>
  <c r="AI217" i="2"/>
  <c r="AQ217" i="2"/>
  <c r="AI218" i="2"/>
  <c r="AQ218" i="2"/>
  <c r="AI219" i="2"/>
  <c r="AQ219" i="2"/>
  <c r="AI220" i="2"/>
  <c r="AQ220" i="2"/>
  <c r="AI221" i="2"/>
  <c r="AQ221" i="2"/>
  <c r="AI222" i="2"/>
  <c r="AQ222" i="2"/>
  <c r="AI223" i="2"/>
  <c r="AQ223" i="2"/>
  <c r="AI224" i="2"/>
  <c r="AQ224" i="2"/>
  <c r="AI225" i="2"/>
  <c r="AQ225" i="2"/>
  <c r="AI226" i="2"/>
  <c r="AQ226" i="2"/>
  <c r="AI227" i="2"/>
  <c r="AQ227" i="2"/>
  <c r="AI228" i="2"/>
  <c r="AQ228" i="2"/>
  <c r="AI229" i="2"/>
  <c r="AQ229" i="2"/>
  <c r="AI230" i="2"/>
  <c r="AQ230" i="2"/>
  <c r="AI231" i="2"/>
  <c r="AQ231" i="2"/>
  <c r="AI232" i="2"/>
  <c r="AQ232" i="2"/>
  <c r="AI233" i="2"/>
  <c r="AQ233" i="2"/>
  <c r="AI234" i="2"/>
  <c r="AQ234" i="2"/>
  <c r="AI235" i="2"/>
  <c r="AQ235" i="2"/>
  <c r="AI236" i="2"/>
  <c r="AQ236" i="2"/>
  <c r="AI237" i="2"/>
  <c r="AQ237" i="2"/>
  <c r="AI238" i="2"/>
  <c r="AQ238" i="2"/>
  <c r="AI239" i="2"/>
  <c r="AQ239" i="2"/>
  <c r="AI240" i="2"/>
  <c r="AQ240" i="2"/>
  <c r="AI241" i="2"/>
  <c r="AQ241" i="2"/>
  <c r="AI242" i="2"/>
  <c r="AQ242" i="2"/>
  <c r="AI243" i="2"/>
  <c r="AQ243" i="2"/>
  <c r="AI244" i="2"/>
  <c r="AQ244" i="2"/>
  <c r="AI245" i="2"/>
  <c r="AQ245" i="2"/>
  <c r="AI246" i="2"/>
  <c r="AQ246" i="2"/>
  <c r="AI247" i="2"/>
  <c r="AQ247" i="2"/>
  <c r="AI248" i="2"/>
  <c r="AQ248" i="2"/>
  <c r="AI249" i="2"/>
  <c r="AQ249" i="2"/>
  <c r="AI250" i="2"/>
  <c r="AQ250" i="2"/>
  <c r="AI251" i="2"/>
  <c r="AQ251" i="2"/>
  <c r="AI252" i="2"/>
  <c r="AQ252" i="2"/>
  <c r="AI253" i="2"/>
  <c r="AQ253" i="2"/>
  <c r="AI254" i="2"/>
  <c r="AQ254" i="2"/>
  <c r="AI255" i="2"/>
  <c r="AQ255" i="2"/>
  <c r="AI256" i="2"/>
  <c r="AQ256" i="2"/>
  <c r="AI257" i="2"/>
  <c r="AQ257" i="2"/>
  <c r="AI258" i="2"/>
  <c r="AQ258" i="2"/>
  <c r="AI259" i="2"/>
  <c r="AQ259" i="2"/>
  <c r="AI260" i="2"/>
  <c r="AQ260" i="2"/>
  <c r="AI261" i="2"/>
  <c r="AQ261" i="2"/>
  <c r="AI262" i="2"/>
  <c r="AQ262" i="2"/>
  <c r="AI263" i="2"/>
  <c r="AQ263" i="2"/>
  <c r="AI264" i="2"/>
  <c r="AQ264" i="2"/>
  <c r="AI265" i="2"/>
  <c r="AQ265" i="2"/>
  <c r="AI266" i="2"/>
  <c r="AQ266" i="2"/>
  <c r="AI267" i="2"/>
  <c r="AQ267" i="2"/>
  <c r="AI268" i="2"/>
  <c r="AQ268" i="2"/>
  <c r="AI269" i="2"/>
  <c r="AQ269" i="2"/>
  <c r="AI270" i="2"/>
  <c r="AQ270" i="2"/>
  <c r="AI271" i="2"/>
  <c r="AQ271" i="2"/>
  <c r="AI272" i="2"/>
  <c r="AQ272" i="2"/>
  <c r="AI273" i="2"/>
  <c r="AQ273" i="2"/>
  <c r="AI274" i="2"/>
  <c r="AQ274" i="2"/>
  <c r="AI275" i="2"/>
  <c r="AQ275" i="2"/>
  <c r="AI276" i="2"/>
  <c r="AQ276" i="2"/>
  <c r="AI277" i="2"/>
  <c r="AQ277" i="2"/>
  <c r="AI278" i="2"/>
  <c r="AQ278" i="2"/>
  <c r="AI279" i="2"/>
  <c r="AQ279" i="2"/>
  <c r="AI280" i="2"/>
  <c r="AQ280" i="2"/>
  <c r="AI281" i="2"/>
  <c r="AQ281" i="2"/>
  <c r="AI282" i="2"/>
  <c r="AQ282" i="2"/>
  <c r="AI283" i="2"/>
  <c r="AQ283" i="2"/>
  <c r="AI284" i="2"/>
  <c r="AQ284" i="2"/>
  <c r="AI285" i="2"/>
  <c r="AQ285" i="2"/>
  <c r="AI286" i="2"/>
  <c r="AQ286" i="2"/>
  <c r="AI287" i="2"/>
  <c r="AQ287" i="2"/>
  <c r="AI288" i="2"/>
  <c r="AQ288" i="2"/>
  <c r="AI289" i="2"/>
  <c r="AQ289" i="2"/>
  <c r="AI290" i="2"/>
  <c r="AQ290" i="2"/>
  <c r="AI291" i="2"/>
  <c r="AQ291" i="2"/>
  <c r="AI292" i="2"/>
  <c r="AQ292" i="2"/>
  <c r="AI293" i="2"/>
  <c r="AQ293" i="2"/>
  <c r="AI294" i="2"/>
  <c r="AQ294" i="2"/>
  <c r="AI295" i="2"/>
  <c r="AQ295" i="2"/>
  <c r="AI296" i="2"/>
  <c r="AQ296" i="2"/>
  <c r="AI297" i="2"/>
  <c r="AQ297" i="2"/>
  <c r="AI298" i="2"/>
  <c r="AQ298" i="2"/>
  <c r="AI299" i="2"/>
  <c r="AQ299" i="2"/>
  <c r="AI300" i="2"/>
  <c r="AQ300" i="2"/>
  <c r="AI301" i="2"/>
  <c r="AQ301" i="2"/>
  <c r="AI302" i="2"/>
  <c r="AQ302" i="2"/>
  <c r="AI303" i="2"/>
  <c r="AQ303" i="2"/>
  <c r="AI304" i="2"/>
  <c r="AQ304" i="2"/>
  <c r="AI305" i="2"/>
  <c r="AQ305" i="2"/>
  <c r="AI306" i="2"/>
  <c r="AQ306" i="2"/>
  <c r="AI307" i="2"/>
  <c r="AQ307" i="2"/>
  <c r="AI308" i="2"/>
  <c r="AQ308" i="2"/>
  <c r="AI309" i="2"/>
  <c r="AQ309" i="2"/>
  <c r="AI310" i="2"/>
  <c r="AQ310" i="2"/>
  <c r="AI311" i="2"/>
  <c r="AQ311" i="2"/>
  <c r="AI312" i="2"/>
  <c r="AQ312" i="2"/>
  <c r="AI313" i="2"/>
  <c r="AQ313" i="2"/>
  <c r="AI314" i="2"/>
  <c r="AQ314" i="2"/>
  <c r="AI315" i="2"/>
  <c r="AQ315" i="2"/>
  <c r="AI316" i="2"/>
  <c r="AQ316" i="2"/>
  <c r="AI317" i="2"/>
  <c r="AQ317" i="2"/>
  <c r="AI318" i="2"/>
  <c r="AQ318" i="2"/>
  <c r="AI319" i="2"/>
  <c r="AQ319" i="2"/>
  <c r="AI320" i="2"/>
  <c r="AQ320" i="2"/>
  <c r="AI321" i="2"/>
  <c r="AQ321" i="2"/>
  <c r="AI322" i="2"/>
  <c r="AQ322" i="2"/>
  <c r="AI323" i="2"/>
  <c r="AQ323" i="2"/>
  <c r="AI324" i="2"/>
  <c r="AQ324" i="2"/>
  <c r="AI325" i="2"/>
  <c r="AQ325" i="2"/>
  <c r="AI326" i="2"/>
  <c r="AQ326" i="2"/>
  <c r="AI327" i="2"/>
  <c r="AQ327" i="2"/>
  <c r="AI328" i="2"/>
  <c r="AQ328" i="2"/>
  <c r="AI329" i="2"/>
  <c r="AQ329" i="2"/>
  <c r="AI330" i="2"/>
  <c r="AQ330" i="2"/>
  <c r="AI331" i="2"/>
  <c r="AQ331" i="2"/>
  <c r="AI332" i="2"/>
  <c r="AQ332" i="2"/>
  <c r="AI333" i="2"/>
  <c r="AQ333" i="2"/>
  <c r="AI334" i="2"/>
  <c r="AQ334" i="2"/>
  <c r="AI335" i="2"/>
  <c r="AQ335" i="2"/>
  <c r="AI336" i="2"/>
  <c r="AQ336" i="2"/>
  <c r="AI337" i="2"/>
  <c r="AQ337" i="2"/>
  <c r="AI338" i="2"/>
  <c r="AQ338" i="2"/>
  <c r="AI339" i="2"/>
  <c r="AQ339" i="2"/>
  <c r="AI340" i="2"/>
  <c r="AQ340" i="2"/>
  <c r="AI341" i="2"/>
  <c r="AQ341" i="2"/>
  <c r="AI342" i="2"/>
  <c r="AQ342" i="2"/>
  <c r="AI343" i="2"/>
  <c r="AQ343" i="2"/>
  <c r="AI344" i="2"/>
  <c r="AQ344" i="2"/>
  <c r="AI345" i="2"/>
  <c r="AQ345" i="2"/>
  <c r="AI346" i="2"/>
  <c r="AQ346" i="2"/>
  <c r="AI347" i="2"/>
  <c r="AQ347" i="2"/>
  <c r="AI348" i="2"/>
  <c r="AQ348" i="2"/>
  <c r="AI349" i="2"/>
  <c r="AQ349" i="2"/>
  <c r="AI350" i="2"/>
  <c r="AQ350" i="2"/>
  <c r="AI351" i="2"/>
  <c r="AQ351" i="2"/>
  <c r="AI352" i="2"/>
  <c r="AQ352" i="2"/>
  <c r="AI353" i="2"/>
  <c r="AQ353" i="2"/>
  <c r="AI354" i="2"/>
  <c r="AQ354" i="2"/>
  <c r="AI355" i="2"/>
  <c r="AQ355" i="2"/>
  <c r="AI356" i="2"/>
  <c r="AQ356" i="2"/>
  <c r="AI357" i="2"/>
  <c r="AQ357" i="2"/>
  <c r="AI358" i="2"/>
  <c r="AQ358" i="2"/>
  <c r="AI359" i="2"/>
  <c r="AQ359" i="2"/>
  <c r="AI360" i="2"/>
  <c r="AQ360" i="2"/>
  <c r="AI361" i="2"/>
  <c r="AQ361" i="2"/>
  <c r="AI362" i="2"/>
  <c r="AQ362" i="2"/>
  <c r="AI363" i="2"/>
  <c r="AQ363" i="2"/>
  <c r="AI364" i="2"/>
  <c r="AQ364" i="2"/>
  <c r="AI365" i="2"/>
  <c r="AQ365" i="2"/>
  <c r="AI366" i="2"/>
  <c r="AQ366" i="2"/>
  <c r="AI367" i="2"/>
  <c r="AQ367" i="2"/>
  <c r="AI368" i="2"/>
  <c r="AQ368" i="2"/>
  <c r="AI369" i="2"/>
  <c r="AQ369" i="2"/>
  <c r="AI370" i="2"/>
  <c r="AQ370" i="2"/>
  <c r="AI371" i="2"/>
  <c r="AQ371" i="2"/>
  <c r="AI372" i="2"/>
  <c r="AQ372" i="2"/>
  <c r="AI373" i="2"/>
  <c r="AQ373" i="2"/>
  <c r="AI374" i="2"/>
  <c r="AQ374" i="2"/>
  <c r="AI375" i="2"/>
  <c r="AQ375" i="2"/>
  <c r="AI376" i="2"/>
  <c r="AQ376" i="2"/>
  <c r="AI377" i="2"/>
  <c r="AQ377" i="2"/>
  <c r="AI378" i="2"/>
  <c r="AQ378" i="2"/>
  <c r="AI379" i="2"/>
  <c r="AQ379" i="2"/>
  <c r="AI380" i="2"/>
  <c r="AQ380" i="2"/>
  <c r="AI381" i="2"/>
  <c r="AQ381" i="2"/>
  <c r="AI382" i="2"/>
  <c r="AQ382" i="2"/>
  <c r="AI383" i="2"/>
  <c r="AQ383" i="2"/>
  <c r="AI384" i="2"/>
  <c r="AQ384" i="2"/>
  <c r="AI385" i="2"/>
  <c r="AQ385" i="2"/>
  <c r="AI386" i="2"/>
  <c r="AQ386" i="2"/>
  <c r="AI387" i="2"/>
  <c r="AQ387" i="2"/>
  <c r="AI388" i="2"/>
  <c r="AQ388" i="2"/>
  <c r="AI389" i="2"/>
  <c r="AQ389" i="2"/>
  <c r="AI390" i="2"/>
  <c r="AQ390" i="2"/>
  <c r="AI391" i="2"/>
  <c r="AQ391" i="2"/>
  <c r="AI392" i="2"/>
  <c r="AQ392" i="2"/>
  <c r="AI393" i="2"/>
  <c r="AQ393" i="2"/>
  <c r="AI394" i="2"/>
  <c r="AQ394" i="2"/>
  <c r="AI395" i="2"/>
  <c r="AQ395" i="2"/>
  <c r="AI396" i="2"/>
  <c r="AQ396" i="2"/>
  <c r="AI397" i="2"/>
  <c r="AQ397" i="2"/>
  <c r="AI398" i="2"/>
  <c r="AQ398" i="2"/>
  <c r="AI399" i="2"/>
  <c r="AQ399" i="2"/>
  <c r="AI400" i="2"/>
  <c r="AQ400" i="2"/>
  <c r="AI401" i="2"/>
  <c r="AQ401" i="2"/>
  <c r="AI402" i="2"/>
  <c r="AQ402" i="2"/>
  <c r="AI403" i="2"/>
  <c r="AQ403" i="2"/>
  <c r="AI404" i="2"/>
  <c r="AQ404" i="2"/>
  <c r="AI405" i="2"/>
  <c r="AQ405" i="2"/>
  <c r="AI406" i="2"/>
  <c r="AQ406" i="2"/>
  <c r="AI407" i="2"/>
  <c r="AQ407" i="2"/>
  <c r="AI408" i="2"/>
  <c r="AQ408" i="2"/>
  <c r="AI409" i="2"/>
  <c r="AQ409" i="2"/>
  <c r="AI410" i="2"/>
  <c r="AQ410" i="2"/>
  <c r="AI411" i="2"/>
  <c r="AQ411" i="2"/>
  <c r="AI412" i="2"/>
  <c r="AQ412" i="2"/>
  <c r="AI413" i="2"/>
  <c r="AQ413" i="2"/>
  <c r="AI414" i="2"/>
  <c r="AQ414" i="2"/>
  <c r="AI415" i="2"/>
  <c r="AQ415" i="2"/>
  <c r="AI416" i="2"/>
  <c r="AQ416" i="2"/>
  <c r="AI417" i="2"/>
  <c r="AQ417" i="2"/>
  <c r="AI418" i="2"/>
  <c r="AQ418" i="2"/>
  <c r="AI419" i="2"/>
  <c r="AQ419" i="2"/>
  <c r="AI420" i="2"/>
  <c r="AQ420" i="2"/>
  <c r="AI421" i="2"/>
  <c r="AQ421" i="2"/>
  <c r="AI422" i="2"/>
  <c r="AQ422" i="2"/>
  <c r="AI423" i="2"/>
  <c r="AQ423" i="2"/>
  <c r="AI424" i="2"/>
  <c r="AQ424" i="2"/>
  <c r="AI425" i="2"/>
  <c r="AQ425" i="2"/>
  <c r="AI426" i="2"/>
  <c r="AQ426" i="2"/>
  <c r="AI427" i="2"/>
  <c r="AQ427" i="2"/>
  <c r="AI428" i="2"/>
  <c r="AQ428" i="2"/>
  <c r="AI429" i="2"/>
  <c r="AQ429" i="2"/>
  <c r="AI430" i="2"/>
  <c r="AQ430" i="2"/>
  <c r="AI431" i="2"/>
  <c r="AQ431" i="2"/>
  <c r="AI432" i="2"/>
  <c r="AQ432" i="2"/>
  <c r="AI433" i="2"/>
  <c r="AQ433" i="2"/>
  <c r="AI434" i="2"/>
  <c r="AQ434" i="2"/>
  <c r="AI435" i="2"/>
  <c r="AQ435" i="2"/>
  <c r="AI436" i="2"/>
  <c r="AQ436" i="2"/>
  <c r="AI437" i="2"/>
  <c r="AQ437" i="2"/>
  <c r="AI438" i="2"/>
  <c r="AQ438" i="2"/>
  <c r="AI439" i="2"/>
  <c r="AQ439" i="2"/>
  <c r="AI440" i="2"/>
  <c r="AQ440" i="2"/>
  <c r="AI441" i="2"/>
  <c r="AQ441" i="2"/>
  <c r="AI442" i="2"/>
  <c r="AQ442" i="2"/>
  <c r="AI443" i="2"/>
  <c r="AQ443" i="2"/>
  <c r="AI444" i="2"/>
  <c r="AQ444" i="2"/>
  <c r="AI445" i="2"/>
  <c r="AQ445" i="2"/>
  <c r="AI446" i="2"/>
  <c r="AQ446" i="2"/>
  <c r="AI447" i="2"/>
  <c r="AQ447" i="2"/>
  <c r="AI448" i="2"/>
  <c r="AQ448" i="2"/>
  <c r="AI449" i="2"/>
  <c r="AQ449" i="2"/>
  <c r="AI450" i="2"/>
  <c r="AQ450" i="2"/>
  <c r="AI451" i="2"/>
  <c r="AQ451" i="2"/>
  <c r="AI452" i="2"/>
  <c r="AQ452" i="2"/>
  <c r="AI453" i="2"/>
  <c r="AQ453" i="2"/>
  <c r="AI454" i="2"/>
  <c r="AQ454" i="2"/>
  <c r="AI455" i="2"/>
  <c r="AQ455" i="2"/>
  <c r="AI456" i="2"/>
  <c r="AQ456" i="2"/>
  <c r="AI457" i="2"/>
  <c r="AQ457" i="2"/>
  <c r="AI458" i="2"/>
  <c r="AQ458" i="2"/>
  <c r="AI459" i="2"/>
  <c r="AQ459" i="2"/>
  <c r="AI460" i="2"/>
  <c r="AQ460" i="2"/>
  <c r="AI461" i="2"/>
  <c r="AQ461" i="2"/>
  <c r="AI462" i="2"/>
  <c r="AQ462" i="2"/>
  <c r="AI463" i="2"/>
  <c r="AQ463" i="2"/>
  <c r="AI464" i="2"/>
  <c r="AQ464" i="2"/>
  <c r="AI465" i="2"/>
  <c r="AQ465" i="2"/>
  <c r="AI466" i="2"/>
  <c r="AQ466" i="2"/>
  <c r="AI467" i="2"/>
  <c r="AQ467" i="2"/>
  <c r="AI468" i="2"/>
  <c r="AQ468" i="2"/>
  <c r="AI469" i="2"/>
  <c r="AQ469" i="2"/>
  <c r="AI470" i="2"/>
  <c r="AQ470" i="2"/>
  <c r="AI471" i="2"/>
  <c r="AQ471" i="2"/>
  <c r="AI472" i="2"/>
  <c r="AQ472" i="2"/>
  <c r="AI473" i="2"/>
  <c r="AQ473" i="2"/>
  <c r="AI474" i="2"/>
  <c r="AQ474" i="2"/>
  <c r="AI475" i="2"/>
  <c r="AQ475" i="2"/>
  <c r="AI476" i="2"/>
  <c r="AQ476" i="2"/>
  <c r="AI477" i="2"/>
  <c r="AQ477" i="2"/>
  <c r="AI478" i="2"/>
  <c r="AQ478" i="2"/>
  <c r="AI479" i="2"/>
  <c r="AQ479" i="2"/>
  <c r="AI480" i="2"/>
  <c r="AQ480" i="2"/>
  <c r="AI481" i="2"/>
  <c r="AQ481" i="2"/>
  <c r="AI482" i="2"/>
  <c r="AQ482" i="2"/>
  <c r="AI483" i="2"/>
  <c r="AQ483" i="2"/>
  <c r="AI484" i="2"/>
  <c r="AQ484" i="2"/>
  <c r="AI485" i="2"/>
  <c r="AQ485" i="2"/>
  <c r="AI486" i="2"/>
  <c r="AQ486" i="2"/>
  <c r="AI487" i="2"/>
  <c r="AQ487" i="2"/>
  <c r="AI488" i="2"/>
  <c r="AQ488" i="2"/>
  <c r="AI489" i="2"/>
  <c r="AQ489" i="2"/>
  <c r="AI490" i="2"/>
  <c r="AQ490" i="2"/>
  <c r="AI491" i="2"/>
  <c r="AQ491" i="2"/>
  <c r="AI492" i="2"/>
  <c r="AQ492" i="2"/>
  <c r="AI493" i="2"/>
  <c r="AQ493" i="2"/>
  <c r="AI494" i="2"/>
  <c r="AQ494" i="2"/>
  <c r="AI495" i="2"/>
  <c r="AQ495" i="2"/>
  <c r="AI496" i="2"/>
  <c r="AQ496" i="2"/>
  <c r="AI497" i="2"/>
  <c r="AQ497" i="2"/>
  <c r="AI498" i="2"/>
  <c r="AQ498" i="2"/>
  <c r="AI499" i="2"/>
  <c r="AQ499" i="2"/>
  <c r="AI500" i="2"/>
  <c r="AQ500" i="2"/>
  <c r="AI501" i="2"/>
  <c r="AQ501" i="2"/>
  <c r="AI502" i="2"/>
  <c r="AQ502" i="2"/>
  <c r="AI503" i="2"/>
  <c r="AQ503" i="2"/>
  <c r="AI504" i="2"/>
  <c r="AQ504" i="2"/>
  <c r="AI505" i="2"/>
  <c r="AQ505" i="2"/>
  <c r="AI506" i="2"/>
  <c r="AQ506" i="2"/>
  <c r="AI507" i="2"/>
  <c r="AQ507" i="2"/>
  <c r="AI508" i="2"/>
  <c r="AQ508" i="2"/>
  <c r="AI509" i="2"/>
  <c r="AQ509" i="2"/>
  <c r="AI510" i="2"/>
  <c r="AQ510" i="2"/>
  <c r="AI511" i="2"/>
  <c r="AQ511" i="2"/>
  <c r="AI512" i="2"/>
  <c r="AQ512" i="2"/>
  <c r="AI513" i="2"/>
  <c r="AQ513" i="2"/>
  <c r="AI514" i="2"/>
  <c r="AQ514" i="2"/>
  <c r="AI515" i="2"/>
  <c r="AQ515" i="2"/>
  <c r="AI516" i="2"/>
  <c r="AQ516" i="2"/>
  <c r="AI517" i="2"/>
  <c r="AQ517" i="2"/>
  <c r="AI518" i="2"/>
  <c r="AQ518" i="2"/>
  <c r="AI519" i="2"/>
  <c r="AQ519" i="2"/>
  <c r="AI520" i="2"/>
  <c r="AQ520" i="2"/>
  <c r="AI521" i="2"/>
  <c r="AQ521" i="2"/>
  <c r="AI522" i="2"/>
  <c r="AQ522" i="2"/>
  <c r="AI523" i="2"/>
  <c r="AQ523" i="2"/>
  <c r="AI524" i="2"/>
  <c r="AQ524" i="2"/>
  <c r="AI525" i="2"/>
  <c r="AQ525" i="2"/>
  <c r="AI526" i="2"/>
  <c r="AQ526" i="2"/>
  <c r="AI527" i="2"/>
  <c r="AQ527" i="2"/>
  <c r="AI528" i="2"/>
  <c r="AQ528" i="2"/>
  <c r="AI529" i="2"/>
  <c r="AQ529" i="2"/>
  <c r="AI530" i="2"/>
  <c r="AQ530" i="2"/>
  <c r="AI531" i="2"/>
  <c r="AQ531" i="2"/>
  <c r="AI532" i="2"/>
  <c r="AQ532" i="2"/>
  <c r="AI533" i="2"/>
  <c r="AQ533" i="2"/>
  <c r="AI534" i="2"/>
  <c r="AQ534" i="2"/>
  <c r="AI535" i="2"/>
  <c r="AQ535" i="2"/>
  <c r="AI536" i="2"/>
  <c r="AQ536" i="2"/>
  <c r="AI537" i="2"/>
  <c r="AQ537" i="2"/>
  <c r="AI538" i="2"/>
  <c r="AQ538" i="2"/>
  <c r="AI539" i="2"/>
  <c r="AQ539" i="2"/>
  <c r="AI540" i="2"/>
  <c r="AQ540" i="2"/>
  <c r="AI541" i="2"/>
  <c r="AQ541" i="2"/>
  <c r="AI542" i="2"/>
  <c r="AQ542" i="2"/>
  <c r="AI543" i="2"/>
  <c r="AQ543" i="2"/>
  <c r="AI544" i="2"/>
  <c r="AQ544" i="2"/>
  <c r="AI545" i="2"/>
  <c r="AQ545" i="2"/>
  <c r="AI546" i="2"/>
  <c r="AQ546" i="2"/>
  <c r="AI547" i="2"/>
  <c r="AQ547" i="2"/>
  <c r="AI548" i="2"/>
  <c r="AQ548" i="2"/>
  <c r="AI549" i="2"/>
  <c r="AQ549" i="2"/>
  <c r="AI550" i="2"/>
  <c r="AQ550" i="2"/>
  <c r="AI551" i="2"/>
  <c r="AQ551" i="2"/>
  <c r="AI552" i="2"/>
  <c r="AQ552" i="2"/>
  <c r="AI553" i="2"/>
  <c r="AQ553" i="2"/>
  <c r="AI554" i="2"/>
  <c r="AQ554" i="2"/>
  <c r="AI555" i="2"/>
  <c r="AQ555" i="2"/>
  <c r="AI556" i="2"/>
  <c r="AQ556" i="2"/>
  <c r="AI557" i="2"/>
  <c r="AQ557" i="2"/>
  <c r="AI558" i="2"/>
  <c r="AQ558" i="2"/>
  <c r="AI559" i="2"/>
  <c r="AQ559" i="2"/>
  <c r="AI560" i="2"/>
  <c r="AQ560" i="2"/>
  <c r="AI561" i="2"/>
  <c r="AQ561" i="2"/>
  <c r="AI562" i="2"/>
  <c r="AQ562" i="2"/>
  <c r="AI563" i="2"/>
  <c r="AQ563" i="2"/>
  <c r="AI564" i="2"/>
  <c r="AQ564" i="2"/>
  <c r="AI565" i="2"/>
  <c r="AQ565" i="2"/>
  <c r="AI566" i="2"/>
  <c r="AQ566" i="2"/>
  <c r="AI567" i="2"/>
  <c r="AQ567" i="2"/>
  <c r="AI568" i="2"/>
  <c r="AQ568" i="2"/>
  <c r="AI569" i="2"/>
  <c r="AQ569" i="2"/>
  <c r="AI570" i="2"/>
  <c r="AQ570" i="2"/>
  <c r="AI571" i="2"/>
  <c r="AQ571" i="2"/>
  <c r="AI572" i="2"/>
  <c r="AQ572" i="2"/>
  <c r="AI573" i="2"/>
  <c r="AQ573" i="2"/>
  <c r="AI574" i="2"/>
  <c r="AQ574" i="2"/>
  <c r="AI575" i="2"/>
  <c r="AQ575" i="2"/>
  <c r="AI576" i="2"/>
  <c r="AQ576" i="2"/>
  <c r="AI577" i="2"/>
  <c r="AQ577" i="2"/>
  <c r="AI578" i="2"/>
  <c r="AQ578" i="2"/>
  <c r="AI579" i="2"/>
  <c r="AQ579" i="2"/>
  <c r="AI580" i="2"/>
  <c r="AQ580" i="2"/>
  <c r="AI581" i="2"/>
  <c r="AQ581" i="2"/>
  <c r="AI582" i="2"/>
  <c r="AQ582" i="2"/>
  <c r="AI583" i="2"/>
  <c r="AQ583" i="2"/>
  <c r="AI584" i="2"/>
  <c r="AQ584" i="2"/>
  <c r="AI585" i="2"/>
  <c r="AQ585" i="2"/>
  <c r="AI586" i="2"/>
  <c r="AQ586" i="2"/>
  <c r="AI587" i="2"/>
  <c r="AQ587" i="2"/>
  <c r="AI588" i="2"/>
  <c r="AQ588" i="2"/>
  <c r="AI589" i="2"/>
  <c r="AQ589" i="2"/>
  <c r="AI590" i="2"/>
  <c r="AQ590" i="2"/>
  <c r="AI591" i="2"/>
  <c r="AQ591" i="2"/>
  <c r="AI592" i="2"/>
  <c r="AQ592" i="2"/>
  <c r="AI593" i="2"/>
  <c r="AQ593" i="2"/>
  <c r="AI594" i="2"/>
  <c r="AQ594" i="2"/>
  <c r="AI595" i="2"/>
  <c r="AQ595" i="2"/>
  <c r="AI596" i="2"/>
  <c r="AQ596" i="2"/>
  <c r="AI597" i="2"/>
  <c r="AQ597" i="2"/>
  <c r="AI598" i="2"/>
  <c r="AQ598" i="2"/>
  <c r="AI599" i="2"/>
  <c r="AQ599" i="2"/>
  <c r="AI600" i="2"/>
  <c r="AQ600" i="2"/>
  <c r="AI601" i="2"/>
  <c r="AQ601" i="2"/>
  <c r="AI602" i="2"/>
  <c r="AQ602" i="2"/>
  <c r="AI603" i="2"/>
  <c r="AQ603" i="2"/>
  <c r="AI604" i="2"/>
  <c r="AQ604" i="2"/>
  <c r="AI605" i="2"/>
  <c r="AQ605" i="2"/>
  <c r="AI606" i="2"/>
  <c r="AQ606" i="2"/>
  <c r="AI607" i="2"/>
  <c r="AQ607" i="2"/>
  <c r="AI608" i="2"/>
  <c r="AQ608" i="2"/>
  <c r="AI609" i="2"/>
  <c r="AQ609" i="2"/>
  <c r="AI610" i="2"/>
  <c r="AQ610" i="2"/>
  <c r="AI611" i="2"/>
  <c r="AQ611" i="2"/>
  <c r="AI612" i="2"/>
  <c r="AQ612" i="2"/>
  <c r="AI613" i="2"/>
  <c r="AQ613" i="2"/>
  <c r="AI614" i="2"/>
  <c r="AQ614" i="2"/>
  <c r="AI615" i="2"/>
  <c r="AQ615" i="2"/>
  <c r="AI616" i="2"/>
  <c r="AQ616" i="2"/>
  <c r="AI617" i="2"/>
  <c r="AQ617" i="2"/>
  <c r="AI618" i="2"/>
  <c r="AQ618" i="2"/>
  <c r="AI619" i="2"/>
  <c r="AQ619" i="2"/>
  <c r="AI620" i="2"/>
  <c r="AQ620" i="2"/>
  <c r="AI621" i="2"/>
  <c r="AQ621" i="2"/>
  <c r="AI622" i="2"/>
  <c r="AQ622" i="2"/>
  <c r="AI623" i="2"/>
  <c r="AQ623" i="2"/>
  <c r="AI624" i="2"/>
  <c r="AQ624" i="2"/>
  <c r="AI625" i="2"/>
  <c r="AQ625" i="2"/>
  <c r="AI626" i="2"/>
  <c r="AQ626" i="2"/>
  <c r="AI627" i="2"/>
  <c r="AQ627" i="2"/>
  <c r="AI628" i="2"/>
  <c r="AQ628" i="2"/>
  <c r="AI629" i="2"/>
  <c r="AQ629" i="2"/>
  <c r="AI630" i="2"/>
  <c r="AQ630" i="2"/>
  <c r="AI631" i="2"/>
  <c r="AQ631" i="2"/>
  <c r="AI632" i="2"/>
  <c r="AQ632" i="2"/>
  <c r="AI633" i="2"/>
  <c r="AQ633" i="2"/>
  <c r="AI634" i="2"/>
  <c r="AQ634" i="2"/>
  <c r="AI635" i="2"/>
  <c r="AQ635" i="2"/>
  <c r="AI636" i="2"/>
  <c r="AQ636" i="2"/>
  <c r="AI637" i="2"/>
  <c r="AQ637" i="2"/>
  <c r="AI638" i="2"/>
  <c r="AQ638" i="2"/>
  <c r="AI639" i="2"/>
  <c r="AQ639" i="2"/>
  <c r="AI640" i="2"/>
  <c r="AQ640" i="2"/>
  <c r="AI641" i="2"/>
  <c r="AQ641" i="2"/>
  <c r="AI642" i="2"/>
  <c r="AQ642" i="2"/>
  <c r="AI643" i="2"/>
  <c r="AQ643" i="2"/>
  <c r="AI644" i="2"/>
  <c r="AQ644" i="2"/>
  <c r="AI645" i="2"/>
  <c r="AQ645" i="2"/>
  <c r="AI646" i="2"/>
  <c r="AQ646" i="2"/>
  <c r="AI647" i="2"/>
  <c r="AQ647" i="2"/>
  <c r="AI648" i="2"/>
  <c r="AQ648" i="2"/>
  <c r="AI649" i="2"/>
  <c r="AQ649" i="2"/>
  <c r="AI650" i="2"/>
  <c r="AQ650" i="2"/>
  <c r="AI651" i="2"/>
  <c r="AQ651" i="2"/>
  <c r="AI652" i="2"/>
  <c r="AQ652" i="2"/>
  <c r="AI653" i="2"/>
  <c r="AQ653" i="2"/>
  <c r="AI654" i="2"/>
  <c r="AQ654" i="2"/>
  <c r="AI655" i="2"/>
  <c r="AQ655" i="2"/>
  <c r="AI656" i="2"/>
  <c r="AQ656" i="2"/>
  <c r="AI657" i="2"/>
  <c r="AQ657" i="2"/>
  <c r="AI658" i="2"/>
  <c r="AQ658" i="2"/>
  <c r="AI659" i="2"/>
  <c r="AQ659" i="2"/>
  <c r="AI660" i="2"/>
  <c r="AQ660" i="2"/>
  <c r="AI661" i="2"/>
  <c r="AQ661" i="2"/>
  <c r="AI662" i="2"/>
  <c r="AQ662" i="2"/>
  <c r="AI663" i="2"/>
  <c r="AQ663" i="2"/>
  <c r="AI664" i="2"/>
  <c r="AQ664" i="2"/>
  <c r="AI665" i="2"/>
  <c r="AQ665" i="2"/>
  <c r="AI666" i="2"/>
  <c r="AQ666" i="2"/>
  <c r="AI667" i="2"/>
  <c r="AQ667" i="2"/>
  <c r="AI668" i="2"/>
  <c r="AQ668" i="2"/>
  <c r="AI669" i="2"/>
  <c r="AQ669" i="2"/>
  <c r="AI670" i="2"/>
  <c r="AQ670" i="2"/>
  <c r="AI671" i="2"/>
  <c r="AQ671" i="2"/>
  <c r="AI672" i="2"/>
  <c r="AQ672" i="2"/>
  <c r="AI673" i="2"/>
  <c r="AQ673" i="2"/>
  <c r="AI674" i="2"/>
  <c r="AQ674" i="2"/>
  <c r="AI675" i="2"/>
  <c r="AQ675" i="2"/>
  <c r="AI676" i="2"/>
  <c r="AQ676" i="2"/>
  <c r="AI677" i="2"/>
  <c r="AQ677" i="2"/>
  <c r="AI678" i="2"/>
  <c r="AQ678" i="2"/>
  <c r="AI679" i="2"/>
  <c r="AQ679" i="2"/>
  <c r="AI680" i="2"/>
  <c r="AQ680" i="2"/>
  <c r="AI681" i="2"/>
  <c r="AQ681" i="2"/>
  <c r="AI682" i="2"/>
  <c r="AQ682" i="2"/>
  <c r="AI683" i="2"/>
  <c r="AQ683" i="2"/>
  <c r="AI684" i="2"/>
  <c r="AQ684" i="2"/>
  <c r="AI685" i="2"/>
  <c r="AQ685" i="2"/>
  <c r="AI686" i="2"/>
  <c r="AQ686" i="2"/>
  <c r="AI687" i="2"/>
  <c r="AQ687" i="2"/>
  <c r="AI688" i="2"/>
  <c r="AQ688" i="2"/>
  <c r="AI689" i="2"/>
  <c r="AQ689" i="2"/>
  <c r="AI690" i="2"/>
  <c r="AQ690" i="2"/>
  <c r="AI691" i="2"/>
  <c r="AQ691" i="2"/>
  <c r="AI692" i="2"/>
  <c r="AQ692" i="2"/>
  <c r="AI693" i="2"/>
  <c r="AQ693" i="2"/>
  <c r="AI694" i="2"/>
  <c r="AQ694" i="2"/>
  <c r="AI695" i="2"/>
  <c r="AQ695" i="2"/>
  <c r="AI696" i="2"/>
  <c r="AQ696" i="2"/>
  <c r="AI697" i="2"/>
  <c r="AQ697" i="2"/>
  <c r="AI698" i="2"/>
  <c r="AQ698" i="2"/>
  <c r="AI699" i="2"/>
  <c r="AQ699" i="2"/>
  <c r="AI700" i="2"/>
  <c r="AQ700" i="2"/>
  <c r="AI701" i="2"/>
  <c r="AQ701" i="2"/>
  <c r="AI702" i="2"/>
  <c r="AQ702" i="2"/>
  <c r="AI703" i="2"/>
  <c r="AQ703" i="2"/>
  <c r="AI704" i="2"/>
  <c r="AQ704" i="2"/>
  <c r="AI705" i="2"/>
  <c r="AQ705" i="2"/>
  <c r="AI706" i="2"/>
  <c r="AQ706" i="2"/>
  <c r="AI707" i="2"/>
  <c r="AQ707" i="2"/>
  <c r="AI708" i="2"/>
  <c r="AQ708" i="2"/>
  <c r="AI709" i="2"/>
  <c r="AQ709" i="2"/>
  <c r="AI710" i="2"/>
  <c r="AQ710" i="2"/>
  <c r="AC1" i="2"/>
  <c r="G5" i="1"/>
  <c r="H5" i="1" s="1"/>
  <c r="AI6" i="2"/>
  <c r="H4" i="6"/>
  <c r="H3" i="6"/>
  <c r="G4" i="6"/>
  <c r="G3" i="6"/>
  <c r="J3" i="6" s="1"/>
  <c r="AC710" i="2"/>
  <c r="AC709" i="2"/>
  <c r="AC708" i="2"/>
  <c r="AC707" i="2"/>
  <c r="AC706" i="2"/>
  <c r="AC705" i="2"/>
  <c r="AC704" i="2"/>
  <c r="AC703" i="2"/>
  <c r="AC702" i="2"/>
  <c r="AC701" i="2"/>
  <c r="AC700" i="2"/>
  <c r="AC699" i="2"/>
  <c r="AC698" i="2"/>
  <c r="AC697" i="2"/>
  <c r="AC696" i="2"/>
  <c r="AC695" i="2"/>
  <c r="AC694" i="2"/>
  <c r="AC693" i="2"/>
  <c r="AC692" i="2"/>
  <c r="AC691" i="2"/>
  <c r="AC690" i="2"/>
  <c r="AC689" i="2"/>
  <c r="AC688" i="2"/>
  <c r="AC687" i="2"/>
  <c r="AC686" i="2"/>
  <c r="AC685" i="2"/>
  <c r="AC684" i="2"/>
  <c r="AC683" i="2"/>
  <c r="AC682" i="2"/>
  <c r="AC681" i="2"/>
  <c r="AC680" i="2"/>
  <c r="AC679" i="2"/>
  <c r="AC678" i="2"/>
  <c r="AC677" i="2"/>
  <c r="AC676" i="2"/>
  <c r="AC675" i="2"/>
  <c r="AC674" i="2"/>
  <c r="AC673" i="2"/>
  <c r="AC672" i="2"/>
  <c r="AC671" i="2"/>
  <c r="AC670" i="2"/>
  <c r="AC669" i="2"/>
  <c r="AC668" i="2"/>
  <c r="AC667" i="2"/>
  <c r="AC666" i="2"/>
  <c r="AC665" i="2"/>
  <c r="AC664" i="2"/>
  <c r="AC663" i="2"/>
  <c r="AC662" i="2"/>
  <c r="AC661" i="2"/>
  <c r="AC660" i="2"/>
  <c r="AC659" i="2"/>
  <c r="AC658" i="2"/>
  <c r="AC657" i="2"/>
  <c r="AC656" i="2"/>
  <c r="AC655" i="2"/>
  <c r="AC654" i="2"/>
  <c r="AC653" i="2"/>
  <c r="AC652" i="2"/>
  <c r="AC651" i="2"/>
  <c r="AC650" i="2"/>
  <c r="AC649" i="2"/>
  <c r="AC648" i="2"/>
  <c r="AC647" i="2"/>
  <c r="AC646" i="2"/>
  <c r="AC645" i="2"/>
  <c r="AC644" i="2"/>
  <c r="AC643" i="2"/>
  <c r="AC642" i="2"/>
  <c r="AC641" i="2"/>
  <c r="AC640" i="2"/>
  <c r="AC639" i="2"/>
  <c r="AC638" i="2"/>
  <c r="AC637" i="2"/>
  <c r="AC636" i="2"/>
  <c r="AC635" i="2"/>
  <c r="AC634" i="2"/>
  <c r="AC633" i="2"/>
  <c r="AC632" i="2"/>
  <c r="AC631" i="2"/>
  <c r="AC630" i="2"/>
  <c r="AC629" i="2"/>
  <c r="AC628" i="2"/>
  <c r="AC627" i="2"/>
  <c r="AC626" i="2"/>
  <c r="AC625" i="2"/>
  <c r="AC624" i="2"/>
  <c r="AC623" i="2"/>
  <c r="AC622" i="2"/>
  <c r="AC621" i="2"/>
  <c r="AC620" i="2"/>
  <c r="AC619" i="2"/>
  <c r="AC618" i="2"/>
  <c r="AC617" i="2"/>
  <c r="AC616" i="2"/>
  <c r="AC615" i="2"/>
  <c r="AC614" i="2"/>
  <c r="AC613" i="2"/>
  <c r="AC612" i="2"/>
  <c r="AC611" i="2"/>
  <c r="AC610" i="2"/>
  <c r="AC609" i="2"/>
  <c r="AC608" i="2"/>
  <c r="AC607" i="2"/>
  <c r="AC606" i="2"/>
  <c r="AC605" i="2"/>
  <c r="AC604" i="2"/>
  <c r="AC603" i="2"/>
  <c r="AC602" i="2"/>
  <c r="AC601" i="2"/>
  <c r="AC600" i="2"/>
  <c r="AC599" i="2"/>
  <c r="AC598" i="2"/>
  <c r="AC597" i="2"/>
  <c r="AC596" i="2"/>
  <c r="AC595" i="2"/>
  <c r="AC594" i="2"/>
  <c r="AC593" i="2"/>
  <c r="AC592" i="2"/>
  <c r="AC591" i="2"/>
  <c r="AC590" i="2"/>
  <c r="AC589" i="2"/>
  <c r="AC588" i="2"/>
  <c r="AC587" i="2"/>
  <c r="AC586" i="2"/>
  <c r="AC585" i="2"/>
  <c r="AC584" i="2"/>
  <c r="AC583" i="2"/>
  <c r="AC582" i="2"/>
  <c r="AC581" i="2"/>
  <c r="AC580" i="2"/>
  <c r="AC579" i="2"/>
  <c r="AC578" i="2"/>
  <c r="AC577" i="2"/>
  <c r="AC576" i="2"/>
  <c r="AC575" i="2"/>
  <c r="AC574" i="2"/>
  <c r="AC573" i="2"/>
  <c r="AC572" i="2"/>
  <c r="AC571" i="2"/>
  <c r="AC570" i="2"/>
  <c r="AC569" i="2"/>
  <c r="AC568" i="2"/>
  <c r="AC567" i="2"/>
  <c r="AC566" i="2"/>
  <c r="AC565" i="2"/>
  <c r="AC564" i="2"/>
  <c r="AC563" i="2"/>
  <c r="AC562" i="2"/>
  <c r="AC561" i="2"/>
  <c r="AC560" i="2"/>
  <c r="AC559" i="2"/>
  <c r="AC558" i="2"/>
  <c r="AC557" i="2"/>
  <c r="AC556" i="2"/>
  <c r="AC555" i="2"/>
  <c r="AC554" i="2"/>
  <c r="AC553" i="2"/>
  <c r="AC552" i="2"/>
  <c r="AC551" i="2"/>
  <c r="AC550" i="2"/>
  <c r="AC549" i="2"/>
  <c r="AC548" i="2"/>
  <c r="AC547" i="2"/>
  <c r="AC546" i="2"/>
  <c r="AC545" i="2"/>
  <c r="AC544" i="2"/>
  <c r="AC543" i="2"/>
  <c r="AC542" i="2"/>
  <c r="AC541" i="2"/>
  <c r="AC540" i="2"/>
  <c r="AC539" i="2"/>
  <c r="AC538" i="2"/>
  <c r="AC537" i="2"/>
  <c r="AC536" i="2"/>
  <c r="AC535" i="2"/>
  <c r="AC534" i="2"/>
  <c r="AC533" i="2"/>
  <c r="AC532" i="2"/>
  <c r="AC531" i="2"/>
  <c r="AC530" i="2"/>
  <c r="AC529" i="2"/>
  <c r="AC528" i="2"/>
  <c r="AC527" i="2"/>
  <c r="AC526" i="2"/>
  <c r="AC525" i="2"/>
  <c r="AC524" i="2"/>
  <c r="AC523" i="2"/>
  <c r="AC522" i="2"/>
  <c r="AC521" i="2"/>
  <c r="AC520" i="2"/>
  <c r="AC519" i="2"/>
  <c r="AC518" i="2"/>
  <c r="AC517" i="2"/>
  <c r="AC516" i="2"/>
  <c r="AC515" i="2"/>
  <c r="AC514" i="2"/>
  <c r="AC513" i="2"/>
  <c r="AC512" i="2"/>
  <c r="AC511" i="2"/>
  <c r="AC510" i="2"/>
  <c r="AC509" i="2"/>
  <c r="AC508" i="2"/>
  <c r="AC507" i="2"/>
  <c r="AC506" i="2"/>
  <c r="AC505" i="2"/>
  <c r="AC504" i="2"/>
  <c r="AC503" i="2"/>
  <c r="AC502" i="2"/>
  <c r="AC501" i="2"/>
  <c r="AC500" i="2"/>
  <c r="AC499" i="2"/>
  <c r="AC498" i="2"/>
  <c r="AC497" i="2"/>
  <c r="AC496" i="2"/>
  <c r="AC495" i="2"/>
  <c r="AC494" i="2"/>
  <c r="AC493" i="2"/>
  <c r="AC492" i="2"/>
  <c r="AC491" i="2"/>
  <c r="AC490" i="2"/>
  <c r="AC489" i="2"/>
  <c r="AC488" i="2"/>
  <c r="AC487" i="2"/>
  <c r="AC486" i="2"/>
  <c r="AC485" i="2"/>
  <c r="AC484" i="2"/>
  <c r="AC483" i="2"/>
  <c r="AC482" i="2"/>
  <c r="AC481" i="2"/>
  <c r="AC480" i="2"/>
  <c r="AC479" i="2"/>
  <c r="AC478" i="2"/>
  <c r="AC477" i="2"/>
  <c r="AC476" i="2"/>
  <c r="AC475" i="2"/>
  <c r="AC474" i="2"/>
  <c r="AC473" i="2"/>
  <c r="AC472" i="2"/>
  <c r="AC471" i="2"/>
  <c r="AC470" i="2"/>
  <c r="AC469" i="2"/>
  <c r="AC468" i="2"/>
  <c r="AC467" i="2"/>
  <c r="AC466" i="2"/>
  <c r="AC465" i="2"/>
  <c r="AC464" i="2"/>
  <c r="AC463" i="2"/>
  <c r="AC462" i="2"/>
  <c r="AC461" i="2"/>
  <c r="AC460" i="2"/>
  <c r="AC459" i="2"/>
  <c r="AC458" i="2"/>
  <c r="AC457" i="2"/>
  <c r="AC456" i="2"/>
  <c r="AC455" i="2"/>
  <c r="AC454" i="2"/>
  <c r="AC453" i="2"/>
  <c r="AC452" i="2"/>
  <c r="AC451" i="2"/>
  <c r="AC450" i="2"/>
  <c r="AC449" i="2"/>
  <c r="AC448" i="2"/>
  <c r="AC447" i="2"/>
  <c r="AC446" i="2"/>
  <c r="AC445" i="2"/>
  <c r="AC444" i="2"/>
  <c r="AC443" i="2"/>
  <c r="AC442" i="2"/>
  <c r="AC441" i="2"/>
  <c r="AC440" i="2"/>
  <c r="AC439" i="2"/>
  <c r="AC438" i="2"/>
  <c r="AC437" i="2"/>
  <c r="AC436" i="2"/>
  <c r="AC435" i="2"/>
  <c r="AC434" i="2"/>
  <c r="AC433" i="2"/>
  <c r="AC432" i="2"/>
  <c r="AC431" i="2"/>
  <c r="AC430" i="2"/>
  <c r="AC429" i="2"/>
  <c r="AC428" i="2"/>
  <c r="AC427" i="2"/>
  <c r="AC426" i="2"/>
  <c r="AC425" i="2"/>
  <c r="AC424" i="2"/>
  <c r="AC423" i="2"/>
  <c r="AC422" i="2"/>
  <c r="AC421" i="2"/>
  <c r="AC420" i="2"/>
  <c r="AC419" i="2"/>
  <c r="AC418" i="2"/>
  <c r="AC417" i="2"/>
  <c r="AC416" i="2"/>
  <c r="AC415" i="2"/>
  <c r="AC414" i="2"/>
  <c r="AC413" i="2"/>
  <c r="AC412" i="2"/>
  <c r="AC411" i="2"/>
  <c r="AC410" i="2"/>
  <c r="AC409" i="2"/>
  <c r="AC408" i="2"/>
  <c r="AC407" i="2"/>
  <c r="AC406" i="2"/>
  <c r="AC405" i="2"/>
  <c r="AC404" i="2"/>
  <c r="AC403" i="2"/>
  <c r="AC402" i="2"/>
  <c r="AC401" i="2"/>
  <c r="AC400" i="2"/>
  <c r="AC399" i="2"/>
  <c r="AC398" i="2"/>
  <c r="AC397" i="2"/>
  <c r="AC396" i="2"/>
  <c r="AC395" i="2"/>
  <c r="AC394" i="2"/>
  <c r="AC393" i="2"/>
  <c r="AC392" i="2"/>
  <c r="AC391" i="2"/>
  <c r="AC390" i="2"/>
  <c r="AC389" i="2"/>
  <c r="AC388" i="2"/>
  <c r="AC387" i="2"/>
  <c r="AC386" i="2"/>
  <c r="AC385" i="2"/>
  <c r="AC384" i="2"/>
  <c r="AC383" i="2"/>
  <c r="AC382" i="2"/>
  <c r="AC381" i="2"/>
  <c r="AC380" i="2"/>
  <c r="AC379" i="2"/>
  <c r="AC378" i="2"/>
  <c r="AC377" i="2"/>
  <c r="AC376" i="2"/>
  <c r="AC375" i="2"/>
  <c r="AC374" i="2"/>
  <c r="AC373" i="2"/>
  <c r="AC372" i="2"/>
  <c r="AC371" i="2"/>
  <c r="AC370" i="2"/>
  <c r="AC369" i="2"/>
  <c r="AC368" i="2"/>
  <c r="AC367" i="2"/>
  <c r="AC366" i="2"/>
  <c r="AC365" i="2"/>
  <c r="AC364" i="2"/>
  <c r="AC363" i="2"/>
  <c r="AC362" i="2"/>
  <c r="AC361" i="2"/>
  <c r="AC360" i="2"/>
  <c r="AC359" i="2"/>
  <c r="AC358" i="2"/>
  <c r="AC357" i="2"/>
  <c r="AC356" i="2"/>
  <c r="AC355" i="2"/>
  <c r="AC354" i="2"/>
  <c r="AC353" i="2"/>
  <c r="AC352" i="2"/>
  <c r="AC351" i="2"/>
  <c r="AC350" i="2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K1" i="5"/>
  <c r="I1" i="5"/>
  <c r="H5" i="5"/>
  <c r="H6" i="5"/>
  <c r="H7" i="5"/>
  <c r="H8" i="5"/>
  <c r="H24" i="5"/>
  <c r="J24" i="5" s="1"/>
  <c r="J23" i="13" s="1"/>
  <c r="H9" i="5"/>
  <c r="H10" i="5"/>
  <c r="H11" i="5"/>
  <c r="H12" i="5"/>
  <c r="H28" i="5"/>
  <c r="J28" i="5" s="1"/>
  <c r="J27" i="13" s="1"/>
  <c r="H18" i="5"/>
  <c r="H26" i="5"/>
  <c r="J26" i="5" s="1"/>
  <c r="J25" i="13" s="1"/>
  <c r="H13" i="5"/>
  <c r="H25" i="5"/>
  <c r="J25" i="5" s="1"/>
  <c r="J24" i="13" s="1"/>
  <c r="H14" i="5"/>
  <c r="H17" i="5"/>
  <c r="H22" i="5"/>
  <c r="H15" i="5"/>
  <c r="H16" i="5"/>
  <c r="H23" i="5"/>
  <c r="H27" i="5"/>
  <c r="J27" i="5" s="1"/>
  <c r="J26" i="13" s="1"/>
  <c r="H19" i="5"/>
  <c r="H20" i="5"/>
  <c r="H21" i="5"/>
  <c r="D1" i="6"/>
  <c r="I11" i="1" s="1"/>
  <c r="G6" i="1"/>
  <c r="H6" i="1" s="1"/>
  <c r="AI1" i="2"/>
  <c r="I7" i="1" s="1"/>
  <c r="AE1" i="2"/>
  <c r="AO1" i="2"/>
  <c r="AM1" i="2"/>
  <c r="I9" i="1" s="1"/>
  <c r="F4" i="5" l="1"/>
  <c r="C4" i="5"/>
  <c r="F29" i="5"/>
  <c r="C29" i="5"/>
  <c r="E6" i="5"/>
  <c r="E12" i="5"/>
  <c r="E20" i="5"/>
  <c r="E26" i="5"/>
  <c r="E13" i="5"/>
  <c r="E18" i="5"/>
  <c r="E17" i="5"/>
  <c r="E7" i="5"/>
  <c r="E21" i="5"/>
  <c r="E14" i="5"/>
  <c r="E8" i="5"/>
  <c r="E22" i="5"/>
  <c r="E9" i="5"/>
  <c r="E23" i="5"/>
  <c r="E10" i="5"/>
  <c r="E24" i="5"/>
  <c r="E11" i="5"/>
  <c r="E25" i="5"/>
  <c r="E27" i="5"/>
  <c r="E19" i="5"/>
  <c r="E28" i="5"/>
  <c r="E15" i="5"/>
  <c r="E16" i="5"/>
  <c r="E5" i="5"/>
  <c r="H7" i="1"/>
  <c r="H8" i="1" s="1"/>
  <c r="F11" i="13"/>
  <c r="U12" i="12"/>
  <c r="F12" i="12"/>
  <c r="W12" i="12"/>
  <c r="Q12" i="12"/>
  <c r="N22" i="13"/>
  <c r="N12" i="12"/>
  <c r="N19" i="13"/>
  <c r="K12" i="12"/>
  <c r="N14" i="13"/>
  <c r="N8" i="13"/>
  <c r="N7" i="13"/>
  <c r="M12" i="12"/>
  <c r="N23" i="13"/>
  <c r="N5" i="13"/>
  <c r="I12" i="12"/>
  <c r="N20" i="13"/>
  <c r="N11" i="13"/>
  <c r="N16" i="13"/>
  <c r="J12" i="12"/>
  <c r="N21" i="13"/>
  <c r="N6" i="13"/>
  <c r="N4" i="13"/>
  <c r="H12" i="12"/>
  <c r="T12" i="12"/>
  <c r="N18" i="13"/>
  <c r="N10" i="13"/>
  <c r="P12" i="12"/>
  <c r="N9" i="13"/>
  <c r="N17" i="13"/>
  <c r="X12" i="12"/>
  <c r="N15" i="13"/>
  <c r="Y12" i="12"/>
  <c r="L12" i="12"/>
  <c r="N13" i="13"/>
  <c r="R12" i="12"/>
  <c r="V12" i="12"/>
  <c r="G12" i="12"/>
  <c r="N12" i="13"/>
  <c r="S12" i="12"/>
  <c r="O12" i="12"/>
  <c r="M8" i="11"/>
  <c r="J5" i="5"/>
  <c r="J4" i="13" s="1"/>
  <c r="J6" i="5"/>
  <c r="J5" i="13" s="1"/>
  <c r="J7" i="5"/>
  <c r="J6" i="13" s="1"/>
  <c r="J8" i="5"/>
  <c r="J7" i="13" s="1"/>
  <c r="J9" i="5"/>
  <c r="J8" i="13" s="1"/>
  <c r="J10" i="5"/>
  <c r="J9" i="13" s="1"/>
  <c r="J11" i="5"/>
  <c r="J10" i="13" s="1"/>
  <c r="J12" i="5"/>
  <c r="J11" i="13" s="1"/>
  <c r="J18" i="5"/>
  <c r="J17" i="13" s="1"/>
  <c r="J13" i="5"/>
  <c r="J12" i="13" s="1"/>
  <c r="J14" i="5"/>
  <c r="J13" i="13" s="1"/>
  <c r="J17" i="5"/>
  <c r="J16" i="13" s="1"/>
  <c r="J22" i="5"/>
  <c r="J21" i="13" s="1"/>
  <c r="J15" i="5"/>
  <c r="J14" i="13" s="1"/>
  <c r="J16" i="5"/>
  <c r="J15" i="13" s="1"/>
  <c r="J23" i="5"/>
  <c r="J22" i="13" s="1"/>
  <c r="J19" i="5"/>
  <c r="J18" i="13" s="1"/>
  <c r="J20" i="5"/>
  <c r="J19" i="13" s="1"/>
  <c r="J21" i="5"/>
  <c r="J20" i="13" s="1"/>
  <c r="D10" i="13"/>
  <c r="H10" i="13" s="1"/>
  <c r="F49" i="13"/>
  <c r="M7" i="12"/>
  <c r="N6" i="12"/>
  <c r="J16" i="8"/>
  <c r="J19" i="8"/>
  <c r="J18" i="8"/>
  <c r="J17" i="8"/>
  <c r="I5" i="1"/>
  <c r="F12" i="5"/>
  <c r="F13" i="5"/>
  <c r="F16" i="5"/>
  <c r="F22" i="5"/>
  <c r="F25" i="5"/>
  <c r="F26" i="5"/>
  <c r="F27" i="5"/>
  <c r="F28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F15" i="5"/>
  <c r="F11" i="5"/>
  <c r="F14" i="5"/>
  <c r="F17" i="5"/>
  <c r="F18" i="5"/>
  <c r="F19" i="5"/>
  <c r="F20" i="5"/>
  <c r="F21" i="5"/>
  <c r="F23" i="5"/>
  <c r="F24" i="5"/>
  <c r="F10" i="5"/>
  <c r="F8" i="5"/>
  <c r="F7" i="5"/>
  <c r="F5" i="5"/>
  <c r="F6" i="5"/>
  <c r="F9" i="5"/>
  <c r="H5" i="6"/>
  <c r="G5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L14" i="5"/>
  <c r="L8" i="5"/>
  <c r="L15" i="5"/>
  <c r="L16" i="5"/>
  <c r="L17" i="5"/>
  <c r="L18" i="5"/>
  <c r="L9" i="5"/>
  <c r="L10" i="5"/>
  <c r="L11" i="5"/>
  <c r="L12" i="5"/>
  <c r="L13" i="5"/>
  <c r="L5" i="5"/>
  <c r="L6" i="5"/>
  <c r="L7" i="5"/>
  <c r="H1" i="5"/>
  <c r="I6" i="1"/>
  <c r="C5" i="11"/>
  <c r="I8" i="1" l="1"/>
  <c r="G4" i="5"/>
  <c r="N4" i="5" s="1"/>
  <c r="G29" i="5"/>
  <c r="N29" i="5" s="1"/>
  <c r="F12" i="13"/>
  <c r="C12" i="12"/>
  <c r="F34" i="12"/>
  <c r="I34" i="12"/>
  <c r="G34" i="12"/>
  <c r="N2" i="13"/>
  <c r="H34" i="12"/>
  <c r="K5" i="11"/>
  <c r="E5" i="11"/>
  <c r="J1" i="5"/>
  <c r="D11" i="13"/>
  <c r="H11" i="13" s="1"/>
  <c r="F50" i="13"/>
  <c r="O6" i="12"/>
  <c r="N7" i="12"/>
  <c r="G28" i="12"/>
  <c r="O7" i="12"/>
  <c r="P6" i="12"/>
  <c r="J21" i="8"/>
  <c r="D1" i="5"/>
  <c r="F1" i="5"/>
  <c r="G19" i="5"/>
  <c r="G20" i="5"/>
  <c r="G23" i="5"/>
  <c r="G12" i="5"/>
  <c r="G24" i="5"/>
  <c r="G18" i="5"/>
  <c r="G8" i="5"/>
  <c r="G17" i="5"/>
  <c r="G7" i="5"/>
  <c r="G9" i="5"/>
  <c r="G6" i="5"/>
  <c r="G25" i="5"/>
  <c r="G10" i="5"/>
  <c r="G26" i="5"/>
  <c r="G27" i="5"/>
  <c r="G28" i="5"/>
  <c r="G13" i="5"/>
  <c r="G11" i="5"/>
  <c r="G14" i="5"/>
  <c r="G15" i="5"/>
  <c r="G16" i="5"/>
  <c r="C1" i="5"/>
  <c r="G5" i="5"/>
  <c r="N5" i="5" s="1"/>
  <c r="G21" i="5"/>
  <c r="G22" i="5"/>
  <c r="L1" i="5"/>
  <c r="E1" i="5"/>
  <c r="N28" i="5" l="1"/>
  <c r="I27" i="13"/>
  <c r="N27" i="5"/>
  <c r="I26" i="13"/>
  <c r="N26" i="5"/>
  <c r="I25" i="13"/>
  <c r="N25" i="5"/>
  <c r="I24" i="13"/>
  <c r="N24" i="5"/>
  <c r="I23" i="13"/>
  <c r="G1" i="5"/>
  <c r="I16" i="13"/>
  <c r="N17" i="5"/>
  <c r="I15" i="13"/>
  <c r="N16" i="5"/>
  <c r="I7" i="13"/>
  <c r="R7" i="13" s="1"/>
  <c r="N8" i="5"/>
  <c r="I14" i="13"/>
  <c r="N15" i="5"/>
  <c r="I17" i="13"/>
  <c r="N18" i="5"/>
  <c r="I13" i="13"/>
  <c r="N14" i="5"/>
  <c r="I10" i="13"/>
  <c r="R10" i="13" s="1"/>
  <c r="N11" i="5"/>
  <c r="I11" i="13"/>
  <c r="R11" i="13" s="1"/>
  <c r="N12" i="5"/>
  <c r="I12" i="13"/>
  <c r="N13" i="5"/>
  <c r="I22" i="13"/>
  <c r="N23" i="5"/>
  <c r="I19" i="13"/>
  <c r="N20" i="5"/>
  <c r="I18" i="13"/>
  <c r="N19" i="5"/>
  <c r="I9" i="13"/>
  <c r="R9" i="13" s="1"/>
  <c r="N10" i="5"/>
  <c r="I21" i="13"/>
  <c r="N22" i="5"/>
  <c r="I5" i="13"/>
  <c r="R5" i="13" s="1"/>
  <c r="N6" i="5"/>
  <c r="I20" i="13"/>
  <c r="N21" i="5"/>
  <c r="I8" i="13"/>
  <c r="R8" i="13" s="1"/>
  <c r="N9" i="5"/>
  <c r="I6" i="13"/>
  <c r="R6" i="13" s="1"/>
  <c r="N7" i="5"/>
  <c r="I4" i="13"/>
  <c r="F13" i="13"/>
  <c r="J2" i="13"/>
  <c r="J9" i="12"/>
  <c r="K9" i="12"/>
  <c r="P9" i="12"/>
  <c r="T9" i="12"/>
  <c r="Y9" i="12"/>
  <c r="S9" i="12"/>
  <c r="O9" i="12"/>
  <c r="L9" i="12"/>
  <c r="U9" i="12"/>
  <c r="I9" i="12"/>
  <c r="R9" i="12"/>
  <c r="G9" i="12"/>
  <c r="N9" i="12"/>
  <c r="W9" i="12"/>
  <c r="X9" i="12"/>
  <c r="Q9" i="12"/>
  <c r="H9" i="12"/>
  <c r="V9" i="12"/>
  <c r="F9" i="12"/>
  <c r="M9" i="12"/>
  <c r="M5" i="11"/>
  <c r="I12" i="1"/>
  <c r="I16" i="1" s="1"/>
  <c r="C4" i="11"/>
  <c r="D12" i="13"/>
  <c r="H12" i="13" s="1"/>
  <c r="F51" i="13"/>
  <c r="G29" i="12"/>
  <c r="P7" i="12"/>
  <c r="Q6" i="12"/>
  <c r="R6" i="12" s="1"/>
  <c r="R12" i="13" l="1"/>
  <c r="R4" i="13"/>
  <c r="S4" i="13" s="1"/>
  <c r="T4" i="13" s="1"/>
  <c r="X4" i="13" s="1"/>
  <c r="N1" i="5"/>
  <c r="F14" i="13"/>
  <c r="S7" i="13"/>
  <c r="T7" i="13" s="1"/>
  <c r="X7" i="13" s="1"/>
  <c r="S5" i="13"/>
  <c r="T5" i="13" s="1"/>
  <c r="X5" i="13" s="1"/>
  <c r="S10" i="13"/>
  <c r="T10" i="13" s="1"/>
  <c r="X10" i="13" s="1"/>
  <c r="S11" i="13"/>
  <c r="T11" i="13" s="1"/>
  <c r="X11" i="13" s="1"/>
  <c r="S8" i="13"/>
  <c r="T8" i="13" s="1"/>
  <c r="X8" i="13" s="1"/>
  <c r="S6" i="13"/>
  <c r="T6" i="13" s="1"/>
  <c r="X6" i="13" s="1"/>
  <c r="S9" i="13"/>
  <c r="T9" i="13" s="1"/>
  <c r="X9" i="13" s="1"/>
  <c r="H31" i="12"/>
  <c r="G31" i="12"/>
  <c r="I31" i="12"/>
  <c r="C9" i="12"/>
  <c r="F31" i="12"/>
  <c r="C13" i="11"/>
  <c r="K4" i="11"/>
  <c r="K13" i="11" s="1"/>
  <c r="E4" i="11"/>
  <c r="F52" i="13"/>
  <c r="D13" i="13"/>
  <c r="H13" i="13" s="1"/>
  <c r="R13" i="13" s="1"/>
  <c r="I2" i="13"/>
  <c r="R7" i="12"/>
  <c r="S6" i="12"/>
  <c r="Q7" i="12"/>
  <c r="N2" i="5"/>
  <c r="F15" i="13" l="1"/>
  <c r="U4" i="13"/>
  <c r="V9" i="13"/>
  <c r="U9" i="13"/>
  <c r="V6" i="13"/>
  <c r="U6" i="13"/>
  <c r="V8" i="13"/>
  <c r="U8" i="13"/>
  <c r="V10" i="13"/>
  <c r="U10" i="13"/>
  <c r="V5" i="13"/>
  <c r="U5" i="13"/>
  <c r="V7" i="13"/>
  <c r="U7" i="13"/>
  <c r="V11" i="13"/>
  <c r="U11" i="13"/>
  <c r="W9" i="13"/>
  <c r="W6" i="13"/>
  <c r="W8" i="13"/>
  <c r="W5" i="13"/>
  <c r="W11" i="13"/>
  <c r="W10" i="13"/>
  <c r="W7" i="13"/>
  <c r="W4" i="13"/>
  <c r="V4" i="13"/>
  <c r="S12" i="13"/>
  <c r="T12" i="13" s="1"/>
  <c r="X12" i="13" s="1"/>
  <c r="E13" i="11"/>
  <c r="S8" i="12"/>
  <c r="V8" i="12"/>
  <c r="X8" i="12"/>
  <c r="Q8" i="12"/>
  <c r="Q13" i="12" s="1"/>
  <c r="H8" i="12"/>
  <c r="H13" i="12" s="1"/>
  <c r="I8" i="12"/>
  <c r="I13" i="12" s="1"/>
  <c r="K8" i="12"/>
  <c r="M8" i="12"/>
  <c r="M13" i="12" s="1"/>
  <c r="O8" i="12"/>
  <c r="O13" i="12" s="1"/>
  <c r="F8" i="12"/>
  <c r="R8" i="12"/>
  <c r="R13" i="12" s="1"/>
  <c r="T8" i="12"/>
  <c r="U8" i="12"/>
  <c r="W8" i="12"/>
  <c r="Y8" i="12"/>
  <c r="P8" i="12"/>
  <c r="G8" i="12"/>
  <c r="G13" i="12" s="1"/>
  <c r="J8" i="12"/>
  <c r="J13" i="12" s="1"/>
  <c r="L8" i="12"/>
  <c r="L13" i="12" s="1"/>
  <c r="N8" i="12"/>
  <c r="N13" i="12" s="1"/>
  <c r="M4" i="11"/>
  <c r="M13" i="11" s="1"/>
  <c r="D14" i="13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S7" i="12"/>
  <c r="T6" i="12"/>
  <c r="D24" i="8"/>
  <c r="D50" i="13" l="1"/>
  <c r="H49" i="13"/>
  <c r="R49" i="13" s="1"/>
  <c r="H14" i="13"/>
  <c r="R14" i="13" s="1"/>
  <c r="F16" i="13"/>
  <c r="H15" i="13"/>
  <c r="R15" i="13" s="1"/>
  <c r="AH4" i="13"/>
  <c r="AI4" i="13" s="1"/>
  <c r="Y4" i="13"/>
  <c r="AA4" i="13" s="1"/>
  <c r="AE4" i="13" s="1"/>
  <c r="V12" i="13"/>
  <c r="U12" i="13"/>
  <c r="W12" i="13"/>
  <c r="S13" i="13"/>
  <c r="T13" i="13" s="1"/>
  <c r="X13" i="13" s="1"/>
  <c r="S13" i="12"/>
  <c r="H14" i="12"/>
  <c r="H15" i="12"/>
  <c r="I15" i="12"/>
  <c r="I14" i="12"/>
  <c r="K13" i="12"/>
  <c r="G30" i="12"/>
  <c r="M14" i="12"/>
  <c r="M15" i="12"/>
  <c r="O14" i="12"/>
  <c r="O15" i="12"/>
  <c r="F13" i="12"/>
  <c r="C8" i="12"/>
  <c r="F30" i="12"/>
  <c r="P13" i="12"/>
  <c r="H30" i="12"/>
  <c r="G15" i="12"/>
  <c r="G14" i="12"/>
  <c r="J15" i="12"/>
  <c r="J14" i="12"/>
  <c r="L14" i="12"/>
  <c r="L15" i="12"/>
  <c r="N14" i="12"/>
  <c r="N15" i="12"/>
  <c r="I30" i="12"/>
  <c r="R15" i="12"/>
  <c r="R14" i="12"/>
  <c r="R16" i="12" s="1"/>
  <c r="T7" i="12"/>
  <c r="T13" i="12" s="1"/>
  <c r="U6" i="12"/>
  <c r="Q14" i="12"/>
  <c r="Q15" i="12"/>
  <c r="E24" i="8"/>
  <c r="D25" i="8"/>
  <c r="D51" i="13" l="1"/>
  <c r="H50" i="13"/>
  <c r="R50" i="13" s="1"/>
  <c r="F17" i="13"/>
  <c r="H16" i="13"/>
  <c r="R16" i="13" s="1"/>
  <c r="Z4" i="13"/>
  <c r="AB4" i="13" s="1"/>
  <c r="V13" i="13"/>
  <c r="U13" i="13"/>
  <c r="W13" i="13"/>
  <c r="J16" i="12"/>
  <c r="I16" i="12"/>
  <c r="S15" i="12"/>
  <c r="S14" i="12"/>
  <c r="H16" i="12"/>
  <c r="M16" i="12"/>
  <c r="O16" i="12"/>
  <c r="G16" i="12"/>
  <c r="L16" i="12"/>
  <c r="N16" i="12"/>
  <c r="G35" i="12"/>
  <c r="K15" i="12"/>
  <c r="G37" i="12" s="1"/>
  <c r="K14" i="12"/>
  <c r="F35" i="12"/>
  <c r="F15" i="12"/>
  <c r="F37" i="12" s="1"/>
  <c r="F14" i="12"/>
  <c r="P14" i="12"/>
  <c r="P15" i="12"/>
  <c r="R18" i="12"/>
  <c r="R21" i="12"/>
  <c r="R22" i="12" s="1"/>
  <c r="T14" i="12"/>
  <c r="T15" i="12"/>
  <c r="U7" i="12"/>
  <c r="U13" i="12" s="1"/>
  <c r="V6" i="12"/>
  <c r="H28" i="12"/>
  <c r="Q16" i="12"/>
  <c r="Q18" i="12" s="1"/>
  <c r="E25" i="8"/>
  <c r="F24" i="8"/>
  <c r="D29" i="8"/>
  <c r="D30" i="8"/>
  <c r="D28" i="8"/>
  <c r="D27" i="8"/>
  <c r="D31" i="8"/>
  <c r="D52" i="13" l="1"/>
  <c r="H52" i="13" s="1"/>
  <c r="R52" i="13" s="1"/>
  <c r="H51" i="13"/>
  <c r="R51" i="13" s="1"/>
  <c r="F18" i="13"/>
  <c r="H17" i="13"/>
  <c r="R17" i="13" s="1"/>
  <c r="AD4" i="13"/>
  <c r="AF4" i="13" s="1"/>
  <c r="M18" i="12"/>
  <c r="M21" i="12"/>
  <c r="M22" i="12" s="1"/>
  <c r="J21" i="12"/>
  <c r="J22" i="12" s="1"/>
  <c r="J18" i="12"/>
  <c r="O18" i="12"/>
  <c r="O21" i="12"/>
  <c r="O22" i="12" s="1"/>
  <c r="L21" i="12"/>
  <c r="L22" i="12" s="1"/>
  <c r="L18" i="12"/>
  <c r="N21" i="12"/>
  <c r="N22" i="12" s="1"/>
  <c r="N18" i="12"/>
  <c r="S16" i="12"/>
  <c r="I18" i="12"/>
  <c r="I21" i="12"/>
  <c r="I22" i="12" s="1"/>
  <c r="G21" i="12"/>
  <c r="G22" i="12" s="1"/>
  <c r="G18" i="12"/>
  <c r="H21" i="12"/>
  <c r="H22" i="12" s="1"/>
  <c r="H18" i="12"/>
  <c r="T16" i="12"/>
  <c r="P16" i="12"/>
  <c r="G36" i="12"/>
  <c r="K16" i="12"/>
  <c r="F36" i="12"/>
  <c r="F16" i="12"/>
  <c r="U15" i="12"/>
  <c r="U14" i="12"/>
  <c r="V7" i="12"/>
  <c r="V13" i="12" s="1"/>
  <c r="W6" i="12"/>
  <c r="Q21" i="12"/>
  <c r="Q22" i="12" s="1"/>
  <c r="H35" i="12"/>
  <c r="H29" i="12"/>
  <c r="E27" i="8"/>
  <c r="E28" i="8"/>
  <c r="E29" i="8"/>
  <c r="E30" i="8"/>
  <c r="E31" i="8"/>
  <c r="F25" i="8"/>
  <c r="G24" i="8"/>
  <c r="D2" i="13" l="1"/>
  <c r="F19" i="13"/>
  <c r="H18" i="13"/>
  <c r="R18" i="13" s="1"/>
  <c r="S18" i="12"/>
  <c r="S21" i="12"/>
  <c r="S22" i="12" s="1"/>
  <c r="T18" i="12"/>
  <c r="T21" i="12"/>
  <c r="T22" i="12" s="1"/>
  <c r="P21" i="12"/>
  <c r="P22" i="12" s="1"/>
  <c r="P18" i="12"/>
  <c r="K18" i="12"/>
  <c r="G40" i="12" s="1"/>
  <c r="K21" i="12"/>
  <c r="K22" i="12" s="1"/>
  <c r="G38" i="12"/>
  <c r="F21" i="12"/>
  <c r="F22" i="12" s="1"/>
  <c r="F23" i="12" s="1"/>
  <c r="G23" i="12" s="1"/>
  <c r="H23" i="12" s="1"/>
  <c r="I23" i="12" s="1"/>
  <c r="J23" i="12" s="1"/>
  <c r="F18" i="12"/>
  <c r="F40" i="12" s="1"/>
  <c r="F38" i="12"/>
  <c r="U16" i="12"/>
  <c r="V14" i="12"/>
  <c r="V15" i="12"/>
  <c r="W7" i="12"/>
  <c r="W13" i="12" s="1"/>
  <c r="X6" i="12"/>
  <c r="H37" i="12"/>
  <c r="F27" i="8"/>
  <c r="F28" i="8"/>
  <c r="F29" i="8"/>
  <c r="F30" i="8"/>
  <c r="F31" i="8"/>
  <c r="G25" i="8"/>
  <c r="H24" i="8"/>
  <c r="F20" i="13" l="1"/>
  <c r="H19" i="13"/>
  <c r="R19" i="13" s="1"/>
  <c r="H40" i="12"/>
  <c r="K23" i="12"/>
  <c r="L23" i="12" s="1"/>
  <c r="M23" i="12" s="1"/>
  <c r="N23" i="12" s="1"/>
  <c r="O23" i="12" s="1"/>
  <c r="P23" i="12" s="1"/>
  <c r="Q23" i="12" s="1"/>
  <c r="R23" i="12" s="1"/>
  <c r="S23" i="12" s="1"/>
  <c r="T23" i="12" s="1"/>
  <c r="U18" i="12"/>
  <c r="U19" i="12" s="1"/>
  <c r="U21" i="12"/>
  <c r="U22" i="12" s="1"/>
  <c r="V16" i="12"/>
  <c r="W14" i="12"/>
  <c r="W15" i="12"/>
  <c r="X7" i="12"/>
  <c r="X13" i="12" s="1"/>
  <c r="Y6" i="12"/>
  <c r="H36" i="12"/>
  <c r="G29" i="8"/>
  <c r="G30" i="8"/>
  <c r="G27" i="8"/>
  <c r="G31" i="8"/>
  <c r="G28" i="8"/>
  <c r="H25" i="8"/>
  <c r="H27" i="8" s="1"/>
  <c r="I24" i="8"/>
  <c r="F21" i="13" l="1"/>
  <c r="H20" i="13"/>
  <c r="R20" i="13" s="1"/>
  <c r="U23" i="12"/>
  <c r="V18" i="12"/>
  <c r="V19" i="12" s="1"/>
  <c r="V21" i="12"/>
  <c r="V22" i="12" s="1"/>
  <c r="W16" i="12"/>
  <c r="X14" i="12"/>
  <c r="X15" i="12"/>
  <c r="Y7" i="12"/>
  <c r="Y13" i="12" s="1"/>
  <c r="Z6" i="12"/>
  <c r="H38" i="12"/>
  <c r="H41" i="12" s="1"/>
  <c r="H28" i="8"/>
  <c r="H29" i="8"/>
  <c r="H30" i="8"/>
  <c r="H31" i="8"/>
  <c r="J24" i="8"/>
  <c r="J25" i="8" s="1"/>
  <c r="I25" i="8"/>
  <c r="H21" i="13" l="1"/>
  <c r="R21" i="13" s="1"/>
  <c r="F22" i="13"/>
  <c r="V23" i="12"/>
  <c r="W18" i="12"/>
  <c r="W19" i="12" s="1"/>
  <c r="W21" i="12"/>
  <c r="W22" i="12" s="1"/>
  <c r="W23" i="12" s="1"/>
  <c r="X16" i="12"/>
  <c r="Y15" i="12"/>
  <c r="Y14" i="12"/>
  <c r="Z7" i="12"/>
  <c r="Z13" i="12" s="1"/>
  <c r="AA6" i="12"/>
  <c r="I28" i="12"/>
  <c r="J28" i="8"/>
  <c r="J31" i="8"/>
  <c r="J30" i="8"/>
  <c r="J27" i="8"/>
  <c r="J29" i="8"/>
  <c r="I27" i="8"/>
  <c r="I28" i="8"/>
  <c r="I29" i="8"/>
  <c r="I30" i="8"/>
  <c r="I31" i="8"/>
  <c r="F23" i="13" l="1"/>
  <c r="H22" i="13"/>
  <c r="R22" i="13" s="1"/>
  <c r="X18" i="12"/>
  <c r="X19" i="12" s="1"/>
  <c r="X21" i="12"/>
  <c r="X22" i="12" s="1"/>
  <c r="X23" i="12" s="1"/>
  <c r="Y16" i="12"/>
  <c r="Z14" i="12"/>
  <c r="Z15" i="12"/>
  <c r="AA7" i="12"/>
  <c r="AA13" i="12" s="1"/>
  <c r="AB6" i="12"/>
  <c r="I35" i="12"/>
  <c r="I29" i="12"/>
  <c r="F24" i="13" l="1"/>
  <c r="H23" i="13"/>
  <c r="R23" i="13" s="1"/>
  <c r="Y18" i="12"/>
  <c r="Y21" i="12"/>
  <c r="Y22" i="12" s="1"/>
  <c r="Y23" i="12" s="1"/>
  <c r="Z16" i="12"/>
  <c r="Z18" i="12" s="1"/>
  <c r="Z21" i="12"/>
  <c r="Z22" i="12" s="1"/>
  <c r="Z19" i="12"/>
  <c r="AA15" i="12"/>
  <c r="AA14" i="12"/>
  <c r="AB7" i="12"/>
  <c r="AB13" i="12" s="1"/>
  <c r="AC6" i="12"/>
  <c r="AC7" i="12" s="1"/>
  <c r="AC13" i="12" s="1"/>
  <c r="I37" i="12"/>
  <c r="F25" i="13" l="1"/>
  <c r="H24" i="13"/>
  <c r="R24" i="13" s="1"/>
  <c r="I40" i="12"/>
  <c r="Y19" i="12"/>
  <c r="AA16" i="12"/>
  <c r="AA18" i="12" s="1"/>
  <c r="Z23" i="12"/>
  <c r="C24" i="12"/>
  <c r="AA21" i="12"/>
  <c r="AA22" i="12" s="1"/>
  <c r="AB15" i="12"/>
  <c r="AB14" i="12"/>
  <c r="AB16" i="12" s="1"/>
  <c r="AB18" i="12" s="1"/>
  <c r="AC14" i="12"/>
  <c r="AC15" i="12"/>
  <c r="I38" i="12"/>
  <c r="I36" i="12"/>
  <c r="F26" i="13" l="1"/>
  <c r="H25" i="13"/>
  <c r="R25" i="13" s="1"/>
  <c r="I41" i="12"/>
  <c r="AA19" i="12"/>
  <c r="AC16" i="12"/>
  <c r="AC18" i="12" s="1"/>
  <c r="AB21" i="12"/>
  <c r="AB22" i="12" s="1"/>
  <c r="AB19" i="12"/>
  <c r="AA23" i="12"/>
  <c r="AD6" i="12"/>
  <c r="AE6" i="12" s="1"/>
  <c r="F27" i="13" l="1"/>
  <c r="H26" i="13"/>
  <c r="R26" i="13" s="1"/>
  <c r="AB23" i="12"/>
  <c r="AC21" i="12"/>
  <c r="AC22" i="12" s="1"/>
  <c r="AC19" i="12"/>
  <c r="AE7" i="12"/>
  <c r="AF6" i="12"/>
  <c r="J28" i="12"/>
  <c r="AD7" i="12"/>
  <c r="F28" i="13" l="1"/>
  <c r="H27" i="13"/>
  <c r="R27" i="13" s="1"/>
  <c r="AC23" i="12"/>
  <c r="AE13" i="12"/>
  <c r="AE15" i="12"/>
  <c r="AE14" i="12"/>
  <c r="AF7" i="12"/>
  <c r="AG6" i="12"/>
  <c r="C25" i="12"/>
  <c r="AD13" i="12"/>
  <c r="J35" i="12" s="1"/>
  <c r="J29" i="12"/>
  <c r="AD14" i="12"/>
  <c r="AD15" i="12"/>
  <c r="F29" i="13" l="1"/>
  <c r="H28" i="13"/>
  <c r="R28" i="13" s="1"/>
  <c r="AF13" i="12"/>
  <c r="AE16" i="12"/>
  <c r="AE21" i="12" s="1"/>
  <c r="AE22" i="12" s="1"/>
  <c r="AF15" i="12"/>
  <c r="AF14" i="12"/>
  <c r="AG7" i="12"/>
  <c r="AH6" i="12"/>
  <c r="C14" i="12"/>
  <c r="J36" i="12"/>
  <c r="J37" i="12"/>
  <c r="AD16" i="12"/>
  <c r="AD18" i="12" s="1"/>
  <c r="H29" i="13" l="1"/>
  <c r="R29" i="13" s="1"/>
  <c r="F30" i="13"/>
  <c r="AE18" i="12"/>
  <c r="AF16" i="12"/>
  <c r="AF18" i="12" s="1"/>
  <c r="AG13" i="12"/>
  <c r="J40" i="12"/>
  <c r="AF21" i="12"/>
  <c r="AF22" i="12" s="1"/>
  <c r="AF19" i="12"/>
  <c r="AG15" i="12"/>
  <c r="AG14" i="12"/>
  <c r="AH7" i="12"/>
  <c r="AI6" i="12"/>
  <c r="AI7" i="12" s="1"/>
  <c r="AI13" i="12" s="1"/>
  <c r="J38" i="12"/>
  <c r="AD19" i="12"/>
  <c r="AD21" i="12"/>
  <c r="AD22" i="12" s="1"/>
  <c r="F31" i="13" l="1"/>
  <c r="H30" i="13"/>
  <c r="R30" i="13" s="1"/>
  <c r="AE19" i="12"/>
  <c r="J41" i="12"/>
  <c r="AG16" i="12"/>
  <c r="AH13" i="12"/>
  <c r="K35" i="12" s="1"/>
  <c r="K29" i="12"/>
  <c r="AG21" i="12"/>
  <c r="AG22" i="12" s="1"/>
  <c r="AH15" i="12"/>
  <c r="AH14" i="12"/>
  <c r="AI15" i="12"/>
  <c r="AI14" i="12"/>
  <c r="AD23" i="12"/>
  <c r="AE23" i="12" s="1"/>
  <c r="AF23" i="12" s="1"/>
  <c r="F32" i="13" l="1"/>
  <c r="H31" i="13"/>
  <c r="R31" i="13" s="1"/>
  <c r="K36" i="12"/>
  <c r="AI16" i="12"/>
  <c r="AI18" i="12" s="1"/>
  <c r="K37" i="12"/>
  <c r="AG18" i="12"/>
  <c r="AH16" i="12"/>
  <c r="AG23" i="12"/>
  <c r="AH21" i="12"/>
  <c r="AH22" i="12" s="1"/>
  <c r="AI21" i="12"/>
  <c r="AI22" i="12" s="1"/>
  <c r="AI19" i="12"/>
  <c r="F33" i="13" l="1"/>
  <c r="H32" i="13"/>
  <c r="R32" i="13" s="1"/>
  <c r="AH23" i="12"/>
  <c r="AI23" i="12" s="1"/>
  <c r="AJ23" i="12" s="1"/>
  <c r="AK23" i="12" s="1"/>
  <c r="AL23" i="12" s="1"/>
  <c r="AM23" i="12" s="1"/>
  <c r="AN23" i="12" s="1"/>
  <c r="AO23" i="12" s="1"/>
  <c r="AP23" i="12" s="1"/>
  <c r="AQ23" i="12" s="1"/>
  <c r="AR23" i="12" s="1"/>
  <c r="AS23" i="12" s="1"/>
  <c r="AG19" i="12"/>
  <c r="K38" i="12"/>
  <c r="AH18" i="12"/>
  <c r="C20" i="12"/>
  <c r="C16" i="12"/>
  <c r="C36" i="12" s="1"/>
  <c r="F34" i="13" l="1"/>
  <c r="H33" i="13"/>
  <c r="R33" i="13" s="1"/>
  <c r="AH19" i="12"/>
  <c r="C19" i="12" s="1"/>
  <c r="C18" i="12"/>
  <c r="D18" i="12" s="1"/>
  <c r="K40" i="12"/>
  <c r="K41" i="12" s="1"/>
  <c r="C37" i="12"/>
  <c r="C38" i="12" s="1"/>
  <c r="F35" i="13" l="1"/>
  <c r="H34" i="13"/>
  <c r="R34" i="13" s="1"/>
  <c r="C15" i="12"/>
  <c r="F36" i="13" l="1"/>
  <c r="H35" i="13"/>
  <c r="R35" i="13" s="1"/>
  <c r="F37" i="13" l="1"/>
  <c r="H36" i="13"/>
  <c r="R36" i="13" s="1"/>
  <c r="S14" i="13"/>
  <c r="T14" i="13" s="1"/>
  <c r="X14" i="13" s="1"/>
  <c r="F38" i="13" l="1"/>
  <c r="H37" i="13"/>
  <c r="R37" i="13" s="1"/>
  <c r="V14" i="13"/>
  <c r="U14" i="13"/>
  <c r="W14" i="13"/>
  <c r="S15" i="13"/>
  <c r="T15" i="13" s="1"/>
  <c r="X15" i="13" s="1"/>
  <c r="H38" i="13" l="1"/>
  <c r="R38" i="13" s="1"/>
  <c r="F39" i="13"/>
  <c r="V15" i="13"/>
  <c r="U15" i="13"/>
  <c r="W15" i="13"/>
  <c r="S16" i="13"/>
  <c r="T16" i="13" s="1"/>
  <c r="X16" i="13" s="1"/>
  <c r="F40" i="13" l="1"/>
  <c r="H39" i="13"/>
  <c r="R39" i="13" s="1"/>
  <c r="V16" i="13"/>
  <c r="U16" i="13"/>
  <c r="W16" i="13"/>
  <c r="S17" i="13"/>
  <c r="T17" i="13" s="1"/>
  <c r="X17" i="13" s="1"/>
  <c r="F41" i="13" l="1"/>
  <c r="H40" i="13"/>
  <c r="R40" i="13" s="1"/>
  <c r="V17" i="13"/>
  <c r="U17" i="13"/>
  <c r="W17" i="13"/>
  <c r="F42" i="13" l="1"/>
  <c r="H41" i="13"/>
  <c r="T32" i="13"/>
  <c r="T26" i="13"/>
  <c r="T52" i="13"/>
  <c r="T24" i="13"/>
  <c r="T31" i="13"/>
  <c r="T40" i="13"/>
  <c r="T30" i="13"/>
  <c r="T25" i="13"/>
  <c r="T38" i="13"/>
  <c r="T34" i="13"/>
  <c r="T50" i="13"/>
  <c r="T35" i="13"/>
  <c r="X35" i="13" s="1"/>
  <c r="T29" i="13"/>
  <c r="T39" i="13"/>
  <c r="T36" i="13"/>
  <c r="T27" i="13"/>
  <c r="T37" i="13"/>
  <c r="T33" i="13"/>
  <c r="T28" i="13"/>
  <c r="X28" i="13" s="1"/>
  <c r="T49" i="13"/>
  <c r="T51" i="13"/>
  <c r="T53" i="13"/>
  <c r="T23" i="13"/>
  <c r="V23" i="13" s="1"/>
  <c r="S21" i="13"/>
  <c r="T21" i="13" s="1"/>
  <c r="X21" i="13" s="1"/>
  <c r="S22" i="13"/>
  <c r="T22" i="13" s="1"/>
  <c r="X22" i="13" s="1"/>
  <c r="S20" i="13"/>
  <c r="T20" i="13" s="1"/>
  <c r="X20" i="13" s="1"/>
  <c r="S18" i="13"/>
  <c r="T18" i="13" s="1"/>
  <c r="X18" i="13" s="1"/>
  <c r="R41" i="13" l="1"/>
  <c r="T41" i="13" s="1"/>
  <c r="F43" i="13"/>
  <c r="H42" i="13"/>
  <c r="R42" i="13" s="1"/>
  <c r="X26" i="13"/>
  <c r="U26" i="13"/>
  <c r="W26" i="13"/>
  <c r="V26" i="13"/>
  <c r="U28" i="13"/>
  <c r="V28" i="13"/>
  <c r="W28" i="13"/>
  <c r="X40" i="13"/>
  <c r="V40" i="13"/>
  <c r="W40" i="13"/>
  <c r="U40" i="13"/>
  <c r="X33" i="13"/>
  <c r="U33" i="13"/>
  <c r="V33" i="13"/>
  <c r="W33" i="13"/>
  <c r="X37" i="13"/>
  <c r="U37" i="13"/>
  <c r="W37" i="13"/>
  <c r="V37" i="13"/>
  <c r="X27" i="13"/>
  <c r="U27" i="13"/>
  <c r="W27" i="13"/>
  <c r="V27" i="13"/>
  <c r="X31" i="13"/>
  <c r="V31" i="13"/>
  <c r="U31" i="13"/>
  <c r="W31" i="13"/>
  <c r="X36" i="13"/>
  <c r="V36" i="13"/>
  <c r="W36" i="13"/>
  <c r="U36" i="13"/>
  <c r="X39" i="13"/>
  <c r="U39" i="13"/>
  <c r="W39" i="13"/>
  <c r="V39" i="13"/>
  <c r="X29" i="13"/>
  <c r="U29" i="13"/>
  <c r="W29" i="13"/>
  <c r="V29" i="13"/>
  <c r="X24" i="13"/>
  <c r="V24" i="13"/>
  <c r="W24" i="13"/>
  <c r="U24" i="13"/>
  <c r="X52" i="13"/>
  <c r="W52" i="13"/>
  <c r="V52" i="13"/>
  <c r="U52" i="13"/>
  <c r="X53" i="13"/>
  <c r="W53" i="13"/>
  <c r="U53" i="13"/>
  <c r="V53" i="13"/>
  <c r="X50" i="13"/>
  <c r="V50" i="13"/>
  <c r="W50" i="13"/>
  <c r="U50" i="13"/>
  <c r="X51" i="13"/>
  <c r="U51" i="13"/>
  <c r="V51" i="13"/>
  <c r="W51" i="13"/>
  <c r="X34" i="13"/>
  <c r="W34" i="13"/>
  <c r="U34" i="13"/>
  <c r="V34" i="13"/>
  <c r="X49" i="13"/>
  <c r="W49" i="13"/>
  <c r="U49" i="13"/>
  <c r="V49" i="13"/>
  <c r="X38" i="13"/>
  <c r="W38" i="13"/>
  <c r="V38" i="13"/>
  <c r="U38" i="13"/>
  <c r="X25" i="13"/>
  <c r="U25" i="13"/>
  <c r="V25" i="13"/>
  <c r="W25" i="13"/>
  <c r="X30" i="13"/>
  <c r="U30" i="13"/>
  <c r="V30" i="13"/>
  <c r="W30" i="13"/>
  <c r="X32" i="13"/>
  <c r="U32" i="13"/>
  <c r="W32" i="13"/>
  <c r="V32" i="13"/>
  <c r="U35" i="13"/>
  <c r="W35" i="13"/>
  <c r="V35" i="13"/>
  <c r="U23" i="13"/>
  <c r="X23" i="13"/>
  <c r="W23" i="13"/>
  <c r="V18" i="13"/>
  <c r="U18" i="13"/>
  <c r="V22" i="13"/>
  <c r="U22" i="13"/>
  <c r="V20" i="13"/>
  <c r="U20" i="13"/>
  <c r="V21" i="13"/>
  <c r="U21" i="13"/>
  <c r="W20" i="13"/>
  <c r="W21" i="13"/>
  <c r="W18" i="13"/>
  <c r="W22" i="13"/>
  <c r="S19" i="13"/>
  <c r="X41" i="13" l="1"/>
  <c r="V41" i="13"/>
  <c r="W41" i="13"/>
  <c r="U41" i="13"/>
  <c r="F44" i="13"/>
  <c r="H43" i="13"/>
  <c r="T19" i="13"/>
  <c r="X19" i="13" s="1"/>
  <c r="R43" i="13" l="1"/>
  <c r="T43" i="13" s="1"/>
  <c r="T42" i="13"/>
  <c r="F45" i="13"/>
  <c r="H44" i="13"/>
  <c r="R44" i="13" s="1"/>
  <c r="V19" i="13"/>
  <c r="U19" i="13"/>
  <c r="W19" i="13"/>
  <c r="X43" i="13" l="1"/>
  <c r="AH43" i="13" s="1"/>
  <c r="U43" i="13"/>
  <c r="W43" i="13"/>
  <c r="V43" i="13"/>
  <c r="F46" i="13"/>
  <c r="H45" i="13"/>
  <c r="X42" i="13"/>
  <c r="AH42" i="13" s="1"/>
  <c r="U42" i="13"/>
  <c r="V42" i="13"/>
  <c r="W42" i="13"/>
  <c r="S2" i="13"/>
  <c r="AH17" i="13"/>
  <c r="AH24" i="13"/>
  <c r="J11" i="14" s="1"/>
  <c r="J13" i="14" s="1"/>
  <c r="AH29" i="13"/>
  <c r="AH10" i="13"/>
  <c r="AH52" i="13"/>
  <c r="AH40" i="13"/>
  <c r="Y21" i="13"/>
  <c r="AH21" i="13"/>
  <c r="Y30" i="13"/>
  <c r="AH30" i="13"/>
  <c r="Y40" i="13"/>
  <c r="AH34" i="13"/>
  <c r="Y34" i="13"/>
  <c r="AH31" i="13"/>
  <c r="Y31" i="13"/>
  <c r="Y33" i="13"/>
  <c r="AH33" i="13"/>
  <c r="AH25" i="13"/>
  <c r="Y25" i="13"/>
  <c r="Y39" i="13"/>
  <c r="AH39" i="13"/>
  <c r="AH27" i="13"/>
  <c r="AH7" i="13"/>
  <c r="Y29" i="13"/>
  <c r="Y12" i="13"/>
  <c r="AH12" i="13"/>
  <c r="Y26" i="13"/>
  <c r="AH26" i="13"/>
  <c r="AH14" i="13"/>
  <c r="Y50" i="13"/>
  <c r="AH50" i="13"/>
  <c r="AH49" i="13"/>
  <c r="Y28" i="13"/>
  <c r="AH28" i="13"/>
  <c r="AH37" i="13"/>
  <c r="Y27" i="13"/>
  <c r="Y22" i="13"/>
  <c r="AH22" i="13"/>
  <c r="Y52" i="13"/>
  <c r="Y49" i="13"/>
  <c r="Y36" i="13"/>
  <c r="AH36" i="13"/>
  <c r="Y37" i="13"/>
  <c r="AH51" i="13"/>
  <c r="Y51" i="13"/>
  <c r="Y10" i="13"/>
  <c r="AH53" i="13"/>
  <c r="Y11" i="13"/>
  <c r="AH11" i="13"/>
  <c r="Y53" i="13"/>
  <c r="AH23" i="13"/>
  <c r="Y35" i="13"/>
  <c r="AH35" i="13"/>
  <c r="Y19" i="13"/>
  <c r="AH19" i="13"/>
  <c r="Y23" i="13"/>
  <c r="Y38" i="13"/>
  <c r="AH38" i="13"/>
  <c r="AH41" i="13"/>
  <c r="Y41" i="13"/>
  <c r="Y9" i="13"/>
  <c r="AH9" i="13"/>
  <c r="Y6" i="13"/>
  <c r="AH6" i="13"/>
  <c r="Y15" i="13"/>
  <c r="AH15" i="13"/>
  <c r="Y16" i="13"/>
  <c r="AH16" i="13"/>
  <c r="Y8" i="13"/>
  <c r="AH8" i="13"/>
  <c r="Y18" i="13"/>
  <c r="AH18" i="13"/>
  <c r="AH5" i="13"/>
  <c r="AI5" i="13" s="1"/>
  <c r="Y13" i="13"/>
  <c r="AH13" i="13"/>
  <c r="Y32" i="13"/>
  <c r="AH32" i="13"/>
  <c r="Y14" i="13"/>
  <c r="Y24" i="13"/>
  <c r="AH20" i="13"/>
  <c r="Y20" i="13"/>
  <c r="Y17" i="13"/>
  <c r="Y7" i="13"/>
  <c r="Y5" i="13"/>
  <c r="Y43" i="13" l="1"/>
  <c r="Z43" i="13" s="1"/>
  <c r="AD43" i="13" s="1"/>
  <c r="R45" i="13"/>
  <c r="T45" i="13" s="1"/>
  <c r="Y42" i="13"/>
  <c r="Z42" i="13" s="1"/>
  <c r="AB42" i="13" s="1"/>
  <c r="T44" i="13"/>
  <c r="F47" i="13"/>
  <c r="H46" i="13"/>
  <c r="R46" i="13" s="1"/>
  <c r="Z50" i="13"/>
  <c r="AD50" i="13" s="1"/>
  <c r="AE50" i="13" s="1"/>
  <c r="AA50" i="13"/>
  <c r="Z35" i="13"/>
  <c r="AB35" i="13" s="1"/>
  <c r="AA35" i="13"/>
  <c r="Z33" i="13"/>
  <c r="AA33" i="13"/>
  <c r="Z28" i="13"/>
  <c r="AA28" i="13"/>
  <c r="Z37" i="13"/>
  <c r="AA37" i="13"/>
  <c r="Z25" i="13"/>
  <c r="AB25" i="13" s="1"/>
  <c r="AA25" i="13"/>
  <c r="Z49" i="13"/>
  <c r="AD49" i="13" s="1"/>
  <c r="AE49" i="13" s="1"/>
  <c r="AA49" i="13"/>
  <c r="Z31" i="13"/>
  <c r="AA31" i="13"/>
  <c r="Z34" i="13"/>
  <c r="AA34" i="13"/>
  <c r="Z29" i="13"/>
  <c r="AA29" i="13"/>
  <c r="Z40" i="13"/>
  <c r="AA40" i="13"/>
  <c r="Z51" i="13"/>
  <c r="AD51" i="13" s="1"/>
  <c r="AE51" i="13" s="1"/>
  <c r="AA51" i="13"/>
  <c r="Z24" i="13"/>
  <c r="AA24" i="13"/>
  <c r="Z36" i="13"/>
  <c r="AA36" i="13"/>
  <c r="Z32" i="13"/>
  <c r="AA32" i="13"/>
  <c r="Z26" i="13"/>
  <c r="AB26" i="13" s="1"/>
  <c r="AA26" i="13"/>
  <c r="Z53" i="13"/>
  <c r="AD53" i="13" s="1"/>
  <c r="AE53" i="13" s="1"/>
  <c r="AA53" i="13"/>
  <c r="Z41" i="13"/>
  <c r="AB41" i="13" s="1"/>
  <c r="AA41" i="13"/>
  <c r="Z27" i="13"/>
  <c r="AA27" i="13"/>
  <c r="Z39" i="13"/>
  <c r="AA39" i="13"/>
  <c r="Z52" i="13"/>
  <c r="AD52" i="13" s="1"/>
  <c r="AE52" i="13" s="1"/>
  <c r="AA52" i="13"/>
  <c r="Z38" i="13"/>
  <c r="AA38" i="13"/>
  <c r="Z30" i="13"/>
  <c r="AB30" i="13" s="1"/>
  <c r="AA30" i="13"/>
  <c r="Z16" i="13"/>
  <c r="AB16" i="13" s="1"/>
  <c r="AA16" i="13"/>
  <c r="Z18" i="13"/>
  <c r="AB18" i="13" s="1"/>
  <c r="AA18" i="13"/>
  <c r="Z8" i="13"/>
  <c r="AB8" i="13" s="1"/>
  <c r="AA8" i="13"/>
  <c r="Z23" i="13"/>
  <c r="AB23" i="13" s="1"/>
  <c r="AA23" i="13"/>
  <c r="Z7" i="13"/>
  <c r="AB7" i="13" s="1"/>
  <c r="AA7" i="13"/>
  <c r="Z22" i="13"/>
  <c r="AB22" i="13" s="1"/>
  <c r="AA22" i="13"/>
  <c r="Z9" i="13"/>
  <c r="AB9" i="13" s="1"/>
  <c r="AA9" i="13"/>
  <c r="Z21" i="13"/>
  <c r="AB21" i="13" s="1"/>
  <c r="AA21" i="13"/>
  <c r="Z11" i="13"/>
  <c r="AB11" i="13" s="1"/>
  <c r="AA11" i="13"/>
  <c r="Z5" i="13"/>
  <c r="AB5" i="13" s="1"/>
  <c r="AA5" i="13"/>
  <c r="Z6" i="13"/>
  <c r="AB6" i="13" s="1"/>
  <c r="AA6" i="13"/>
  <c r="Z17" i="13"/>
  <c r="AB17" i="13" s="1"/>
  <c r="AA17" i="13"/>
  <c r="Z20" i="13"/>
  <c r="AB20" i="13" s="1"/>
  <c r="AA20" i="13"/>
  <c r="Z14" i="13"/>
  <c r="AB14" i="13" s="1"/>
  <c r="AA14" i="13"/>
  <c r="Z12" i="13"/>
  <c r="AB12" i="13" s="1"/>
  <c r="AA12" i="13"/>
  <c r="Z13" i="13"/>
  <c r="AB13" i="13" s="1"/>
  <c r="AA13" i="13"/>
  <c r="Z15" i="13"/>
  <c r="AB15" i="13" s="1"/>
  <c r="AA15" i="13"/>
  <c r="Z19" i="13"/>
  <c r="AB19" i="13" s="1"/>
  <c r="AA19" i="13"/>
  <c r="Z10" i="13"/>
  <c r="AB10" i="13" s="1"/>
  <c r="AA10" i="13"/>
  <c r="AI6" i="13"/>
  <c r="AI7" i="13" s="1"/>
  <c r="AI8" i="13" s="1"/>
  <c r="AI9" i="13" s="1"/>
  <c r="AI10" i="13" s="1"/>
  <c r="AI11" i="13" s="1"/>
  <c r="AI12" i="13" s="1"/>
  <c r="AI13" i="13" s="1"/>
  <c r="AI14" i="13" s="1"/>
  <c r="AI15" i="13" s="1"/>
  <c r="AI16" i="13" s="1"/>
  <c r="AI17" i="13" s="1"/>
  <c r="AI18" i="13" s="1"/>
  <c r="AI19" i="13" s="1"/>
  <c r="AA43" i="13" l="1"/>
  <c r="AA42" i="13"/>
  <c r="X45" i="13"/>
  <c r="AH45" i="13" s="1"/>
  <c r="V45" i="13"/>
  <c r="U45" i="13"/>
  <c r="W45" i="13"/>
  <c r="F48" i="13"/>
  <c r="H47" i="13"/>
  <c r="AD42" i="13"/>
  <c r="AD25" i="13"/>
  <c r="X44" i="13"/>
  <c r="U44" i="13"/>
  <c r="W44" i="13"/>
  <c r="V44" i="13"/>
  <c r="AD41" i="13"/>
  <c r="AE41" i="13" s="1"/>
  <c r="AD35" i="13"/>
  <c r="AF50" i="13"/>
  <c r="AD26" i="13"/>
  <c r="AE26" i="13" s="1"/>
  <c r="AD30" i="13"/>
  <c r="AE30" i="13" s="1"/>
  <c r="AD37" i="13"/>
  <c r="AE37" i="13" s="1"/>
  <c r="AB37" i="13"/>
  <c r="AD38" i="13"/>
  <c r="AE38" i="13" s="1"/>
  <c r="AB38" i="13"/>
  <c r="AD40" i="13"/>
  <c r="AE40" i="13" s="1"/>
  <c r="AB40" i="13"/>
  <c r="AD28" i="13"/>
  <c r="AE28" i="13" s="1"/>
  <c r="AB28" i="13"/>
  <c r="AD34" i="13"/>
  <c r="AF34" i="13" s="1"/>
  <c r="AB34" i="13"/>
  <c r="AD31" i="13"/>
  <c r="AE31" i="13" s="1"/>
  <c r="AB31" i="13"/>
  <c r="AD29" i="13"/>
  <c r="AF29" i="13" s="1"/>
  <c r="AB29" i="13"/>
  <c r="AD39" i="13"/>
  <c r="AF39" i="13" s="1"/>
  <c r="AB39" i="13"/>
  <c r="AD32" i="13"/>
  <c r="AF32" i="13" s="1"/>
  <c r="AB32" i="13"/>
  <c r="AD33" i="13"/>
  <c r="AE33" i="13" s="1"/>
  <c r="AB33" i="13"/>
  <c r="AD36" i="13"/>
  <c r="AE36" i="13" s="1"/>
  <c r="AB36" i="13"/>
  <c r="AD27" i="13"/>
  <c r="AE27" i="13" s="1"/>
  <c r="AB27" i="13"/>
  <c r="AD24" i="13"/>
  <c r="AE24" i="13" s="1"/>
  <c r="AB24" i="13"/>
  <c r="AE43" i="13"/>
  <c r="AF43" i="13"/>
  <c r="AF49" i="13"/>
  <c r="AF52" i="13"/>
  <c r="AF51" i="13"/>
  <c r="AF53" i="13"/>
  <c r="AD14" i="13"/>
  <c r="AE14" i="13" s="1"/>
  <c r="AD9" i="13"/>
  <c r="AE9" i="13" s="1"/>
  <c r="AD10" i="13"/>
  <c r="AE10" i="13" s="1"/>
  <c r="AD17" i="13"/>
  <c r="AE17" i="13" s="1"/>
  <c r="AD7" i="13"/>
  <c r="AE7" i="13" s="1"/>
  <c r="AD19" i="13"/>
  <c r="AE19" i="13" s="1"/>
  <c r="AD22" i="13"/>
  <c r="AE22" i="13" s="1"/>
  <c r="AD23" i="13"/>
  <c r="AE23" i="13" s="1"/>
  <c r="AD15" i="13"/>
  <c r="AE15" i="13" s="1"/>
  <c r="AD5" i="13"/>
  <c r="AE5" i="13" s="1"/>
  <c r="AD8" i="13"/>
  <c r="AE8" i="13" s="1"/>
  <c r="AD13" i="13"/>
  <c r="AE13" i="13" s="1"/>
  <c r="AD11" i="13"/>
  <c r="AE11" i="13" s="1"/>
  <c r="AD18" i="13"/>
  <c r="AE18" i="13" s="1"/>
  <c r="AD20" i="13"/>
  <c r="AE20" i="13" s="1"/>
  <c r="AD6" i="13"/>
  <c r="AE6" i="13" s="1"/>
  <c r="AD12" i="13"/>
  <c r="AE12" i="13" s="1"/>
  <c r="AD21" i="13"/>
  <c r="AE21" i="13" s="1"/>
  <c r="AD16" i="13"/>
  <c r="AE16" i="13" s="1"/>
  <c r="Y45" i="13" l="1"/>
  <c r="Z45" i="13" s="1"/>
  <c r="R47" i="13"/>
  <c r="T47" i="13" s="1"/>
  <c r="Y44" i="13"/>
  <c r="AA44" i="13" s="1"/>
  <c r="AF26" i="13"/>
  <c r="AE25" i="13"/>
  <c r="AF25" i="13"/>
  <c r="AE42" i="13"/>
  <c r="AF42" i="13"/>
  <c r="AH44" i="13"/>
  <c r="AH1" i="13" s="1"/>
  <c r="AF41" i="13"/>
  <c r="H48" i="13"/>
  <c r="R48" i="13" s="1"/>
  <c r="F2" i="13"/>
  <c r="T46" i="13"/>
  <c r="AF38" i="13"/>
  <c r="AF40" i="13"/>
  <c r="AF37" i="13"/>
  <c r="AF30" i="13"/>
  <c r="AE35" i="13"/>
  <c r="AF35" i="13"/>
  <c r="AF33" i="13"/>
  <c r="AE39" i="13"/>
  <c r="AE32" i="13"/>
  <c r="AE29" i="13"/>
  <c r="AE34" i="13"/>
  <c r="AF31" i="13"/>
  <c r="AF24" i="13"/>
  <c r="AF28" i="13"/>
  <c r="AF27" i="13"/>
  <c r="AF36" i="13"/>
  <c r="AF22" i="13"/>
  <c r="AF11" i="13"/>
  <c r="AF15" i="13"/>
  <c r="AF19" i="13"/>
  <c r="AF9" i="13"/>
  <c r="AF7" i="13"/>
  <c r="AF17" i="13"/>
  <c r="AF8" i="13"/>
  <c r="AF14" i="13"/>
  <c r="AF16" i="13"/>
  <c r="AF21" i="13"/>
  <c r="AF23" i="13"/>
  <c r="AF18" i="13"/>
  <c r="AF13" i="13"/>
  <c r="AF20" i="13"/>
  <c r="AF12" i="13"/>
  <c r="AF5" i="13"/>
  <c r="AF10" i="13"/>
  <c r="AF6" i="13"/>
  <c r="AA45" i="13" l="1"/>
  <c r="Z44" i="13"/>
  <c r="AD44" i="13" s="1"/>
  <c r="X47" i="13"/>
  <c r="AH47" i="13" s="1"/>
  <c r="V47" i="13"/>
  <c r="W47" i="13"/>
  <c r="U47" i="13"/>
  <c r="AD45" i="13"/>
  <c r="AE45" i="13" s="1"/>
  <c r="H2" i="13"/>
  <c r="T73" i="15"/>
  <c r="T176" i="15"/>
  <c r="T236" i="15"/>
  <c r="T221" i="15"/>
  <c r="T269" i="15"/>
  <c r="T167" i="15"/>
  <c r="T71" i="15"/>
  <c r="T8" i="15"/>
  <c r="T25" i="15"/>
  <c r="T168" i="15"/>
  <c r="T171" i="15"/>
  <c r="T218" i="15"/>
  <c r="T86" i="15"/>
  <c r="T117" i="15"/>
  <c r="T116" i="15"/>
  <c r="T137" i="15"/>
  <c r="T38" i="15"/>
  <c r="T15" i="15"/>
  <c r="T99" i="15"/>
  <c r="T119" i="15"/>
  <c r="T177" i="15"/>
  <c r="T57" i="15"/>
  <c r="T195" i="15"/>
  <c r="T250" i="15"/>
  <c r="T106" i="15"/>
  <c r="T36" i="15"/>
  <c r="T7" i="15"/>
  <c r="T17" i="15"/>
  <c r="T107" i="15"/>
  <c r="T173" i="15"/>
  <c r="T165" i="15"/>
  <c r="T223" i="15"/>
  <c r="T287" i="15"/>
  <c r="T281" i="15"/>
  <c r="T245" i="15"/>
  <c r="T44" i="15"/>
  <c r="T20" i="15"/>
  <c r="T96" i="15"/>
  <c r="T259" i="15"/>
  <c r="T255" i="15"/>
  <c r="T80" i="15"/>
  <c r="T273" i="15"/>
  <c r="T43" i="15"/>
  <c r="T91" i="15"/>
  <c r="T240" i="15"/>
  <c r="T181" i="15"/>
  <c r="T278" i="15"/>
  <c r="T118" i="15"/>
  <c r="T19" i="15"/>
  <c r="T58" i="15"/>
  <c r="T225" i="15"/>
  <c r="T265" i="15"/>
  <c r="T83" i="15"/>
  <c r="T212" i="15"/>
  <c r="T144" i="15"/>
  <c r="T206" i="15"/>
  <c r="T284" i="15"/>
  <c r="T121" i="15"/>
  <c r="T233" i="15"/>
  <c r="T145" i="15"/>
  <c r="T219" i="15"/>
  <c r="T151" i="15"/>
  <c r="T243" i="15"/>
  <c r="T199" i="15"/>
  <c r="T174" i="15"/>
  <c r="T234" i="15"/>
  <c r="T172" i="15"/>
  <c r="T202" i="15"/>
  <c r="T226" i="15"/>
  <c r="T253" i="15"/>
  <c r="T138" i="15"/>
  <c r="T33" i="15"/>
  <c r="T196" i="15"/>
  <c r="T72" i="15"/>
  <c r="T217" i="15"/>
  <c r="T51" i="15"/>
  <c r="T222" i="15"/>
  <c r="T136" i="15"/>
  <c r="T45" i="15"/>
  <c r="T133" i="15"/>
  <c r="T129" i="15"/>
  <c r="T192" i="15"/>
  <c r="T149" i="15"/>
  <c r="T2" i="15"/>
  <c r="T13" i="15"/>
  <c r="T264" i="15"/>
  <c r="T280" i="15"/>
  <c r="T187" i="15"/>
  <c r="T132" i="15"/>
  <c r="T93" i="15"/>
  <c r="T3" i="15"/>
  <c r="T98" i="15"/>
  <c r="T283" i="15"/>
  <c r="T258" i="15"/>
  <c r="T100" i="15"/>
  <c r="T193" i="15"/>
  <c r="T229" i="15"/>
  <c r="T27" i="15"/>
  <c r="T113" i="15"/>
  <c r="T29" i="15"/>
  <c r="T232" i="15"/>
  <c r="T141" i="15"/>
  <c r="T142" i="15"/>
  <c r="T244" i="15"/>
  <c r="T267" i="15"/>
  <c r="T103" i="15"/>
  <c r="T248" i="15"/>
  <c r="T155" i="15"/>
  <c r="T270" i="15"/>
  <c r="T182" i="15"/>
  <c r="T197" i="15"/>
  <c r="T286" i="15"/>
  <c r="T209" i="15"/>
  <c r="T24" i="15"/>
  <c r="T16" i="15"/>
  <c r="T95" i="15"/>
  <c r="T175" i="15"/>
  <c r="T128" i="15"/>
  <c r="T147" i="15"/>
  <c r="T52" i="15"/>
  <c r="T249" i="15"/>
  <c r="T152" i="15"/>
  <c r="T53" i="15"/>
  <c r="T42" i="15"/>
  <c r="T6" i="15"/>
  <c r="T143" i="15"/>
  <c r="T153" i="15"/>
  <c r="T194" i="15"/>
  <c r="T49" i="15"/>
  <c r="T62" i="15"/>
  <c r="T263" i="15"/>
  <c r="T180" i="15"/>
  <c r="T75" i="15"/>
  <c r="T261" i="15"/>
  <c r="T59" i="15"/>
  <c r="T50" i="15"/>
  <c r="T61" i="15"/>
  <c r="T154" i="15"/>
  <c r="T32" i="15"/>
  <c r="T150" i="15"/>
  <c r="T166" i="15"/>
  <c r="T110" i="15"/>
  <c r="T78" i="15"/>
  <c r="T235" i="15"/>
  <c r="T161" i="15"/>
  <c r="T109" i="15"/>
  <c r="T79" i="15"/>
  <c r="T85" i="15"/>
  <c r="T37" i="15"/>
  <c r="T156" i="15"/>
  <c r="T34" i="15"/>
  <c r="T215" i="15"/>
  <c r="T200" i="15"/>
  <c r="T257" i="15"/>
  <c r="T126" i="15"/>
  <c r="T227" i="15"/>
  <c r="T242" i="15"/>
  <c r="T211" i="15"/>
  <c r="T169" i="15"/>
  <c r="T102" i="15"/>
  <c r="T135" i="15"/>
  <c r="T77" i="15"/>
  <c r="T54" i="15"/>
  <c r="T188" i="15"/>
  <c r="T205" i="15"/>
  <c r="T268" i="15"/>
  <c r="T163" i="15"/>
  <c r="T224" i="15"/>
  <c r="T11" i="15"/>
  <c r="T275" i="15"/>
  <c r="T28" i="15"/>
  <c r="T140" i="15"/>
  <c r="T68" i="15"/>
  <c r="T198" i="15"/>
  <c r="T105" i="15"/>
  <c r="T127" i="15"/>
  <c r="T64" i="15"/>
  <c r="T146" i="15"/>
  <c r="T40" i="15"/>
  <c r="T184" i="15"/>
  <c r="T123" i="15"/>
  <c r="T48" i="15"/>
  <c r="T186" i="15"/>
  <c r="T157" i="15"/>
  <c r="T104" i="15"/>
  <c r="T247" i="15"/>
  <c r="T201" i="15"/>
  <c r="T256" i="15"/>
  <c r="T60" i="15"/>
  <c r="T94" i="15"/>
  <c r="T31" i="15"/>
  <c r="T238" i="15"/>
  <c r="T190" i="15"/>
  <c r="T97" i="15"/>
  <c r="T276" i="15"/>
  <c r="T239" i="15"/>
  <c r="T4" i="15"/>
  <c r="T285" i="15"/>
  <c r="T22" i="15"/>
  <c r="T88" i="15"/>
  <c r="T12" i="15"/>
  <c r="T65" i="15"/>
  <c r="T69" i="15"/>
  <c r="T56" i="15"/>
  <c r="T76" i="15"/>
  <c r="T108" i="15"/>
  <c r="T130" i="15"/>
  <c r="T35" i="15"/>
  <c r="T170" i="15"/>
  <c r="T271" i="15"/>
  <c r="T139" i="15"/>
  <c r="T87" i="15"/>
  <c r="T39" i="15"/>
  <c r="T55" i="15"/>
  <c r="T164" i="15"/>
  <c r="T230" i="15"/>
  <c r="T246" i="15"/>
  <c r="T124" i="15"/>
  <c r="T122" i="15"/>
  <c r="T208" i="15"/>
  <c r="T14" i="15"/>
  <c r="T70" i="15"/>
  <c r="T282" i="15"/>
  <c r="T81" i="15"/>
  <c r="T74" i="15"/>
  <c r="T266" i="15"/>
  <c r="T9" i="15"/>
  <c r="T162" i="15"/>
  <c r="T47" i="15"/>
  <c r="T204" i="15"/>
  <c r="T262" i="15"/>
  <c r="T101" i="15"/>
  <c r="T90" i="15"/>
  <c r="T82" i="15"/>
  <c r="T131" i="15"/>
  <c r="T216" i="15"/>
  <c r="T251" i="15"/>
  <c r="T10" i="15"/>
  <c r="T18" i="15"/>
  <c r="T213" i="15"/>
  <c r="T189" i="15"/>
  <c r="T277" i="15"/>
  <c r="T279" i="15"/>
  <c r="T41" i="15"/>
  <c r="T115" i="15"/>
  <c r="T148" i="15"/>
  <c r="T274" i="15"/>
  <c r="T112" i="15"/>
  <c r="T114" i="15"/>
  <c r="T111" i="15"/>
  <c r="T66" i="15"/>
  <c r="T89" i="15"/>
  <c r="T185" i="15"/>
  <c r="T134" i="15"/>
  <c r="T46" i="15"/>
  <c r="T252" i="15"/>
  <c r="T67" i="15"/>
  <c r="T160" i="15"/>
  <c r="T210" i="15"/>
  <c r="T63" i="15"/>
  <c r="T231" i="15"/>
  <c r="T84" i="15"/>
  <c r="T5" i="15"/>
  <c r="T237" i="15"/>
  <c r="T241" i="15"/>
  <c r="T125" i="15"/>
  <c r="T23" i="15"/>
  <c r="T260" i="15"/>
  <c r="T228" i="15"/>
  <c r="T159" i="15"/>
  <c r="T254" i="15"/>
  <c r="T272" i="15"/>
  <c r="T220" i="15"/>
  <c r="T30" i="15"/>
  <c r="T158" i="15"/>
  <c r="T214" i="15"/>
  <c r="T191" i="15"/>
  <c r="T203" i="15"/>
  <c r="T179" i="15"/>
  <c r="T26" i="15"/>
  <c r="T120" i="15"/>
  <c r="T21" i="15"/>
  <c r="T178" i="15"/>
  <c r="T92" i="15"/>
  <c r="T183" i="15"/>
  <c r="T207" i="15"/>
  <c r="X46" i="13"/>
  <c r="V46" i="13"/>
  <c r="U46" i="13"/>
  <c r="W46" i="13"/>
  <c r="N20" i="14"/>
  <c r="O20" i="14" s="1"/>
  <c r="N19" i="14"/>
  <c r="N18" i="14"/>
  <c r="N17" i="14"/>
  <c r="N14" i="14"/>
  <c r="O14" i="14" s="1"/>
  <c r="N11" i="14"/>
  <c r="N12" i="14"/>
  <c r="N13" i="14"/>
  <c r="N6" i="14"/>
  <c r="N8" i="14"/>
  <c r="O8" i="14" s="1"/>
  <c r="N5" i="14"/>
  <c r="N7" i="14"/>
  <c r="Y47" i="13" l="1"/>
  <c r="AA47" i="13" s="1"/>
  <c r="AF45" i="13"/>
  <c r="Y46" i="13"/>
  <c r="AA46" i="13" s="1"/>
  <c r="AF44" i="13"/>
  <c r="AE44" i="13"/>
  <c r="T48" i="13"/>
  <c r="R2" i="13"/>
  <c r="AH46" i="13"/>
  <c r="Z47" i="13" l="1"/>
  <c r="AD47" i="13" s="1"/>
  <c r="AE47" i="13" s="1"/>
  <c r="Z46" i="13"/>
  <c r="AD46" i="13" s="1"/>
  <c r="X48" i="13"/>
  <c r="U48" i="13"/>
  <c r="U2" i="13" s="1"/>
  <c r="V48" i="13"/>
  <c r="V2" i="13" s="1"/>
  <c r="W48" i="13"/>
  <c r="W2" i="13" s="1"/>
  <c r="T2" i="13"/>
  <c r="AF47" i="13" l="1"/>
  <c r="Y48" i="13"/>
  <c r="Y2" i="13" s="1"/>
  <c r="AF46" i="13"/>
  <c r="AE46" i="13"/>
  <c r="AH48" i="13"/>
  <c r="X2" i="13"/>
  <c r="AA48" i="13" l="1"/>
  <c r="AA2" i="13" s="1"/>
  <c r="Z48" i="13"/>
  <c r="F7" i="14" s="1"/>
  <c r="Z2" i="13" l="1"/>
  <c r="AD48" i="13"/>
  <c r="AF48" i="13" s="1"/>
  <c r="AF2" i="13" s="1"/>
  <c r="J8" i="14" s="1"/>
  <c r="N1" i="14" s="1"/>
  <c r="R48" i="15"/>
  <c r="R183" i="15"/>
  <c r="S183" i="15" s="1"/>
  <c r="U183" i="15" s="1"/>
  <c r="R152" i="15"/>
  <c r="S152" i="15" s="1"/>
  <c r="U152" i="15" s="1"/>
  <c r="R223" i="15"/>
  <c r="S223" i="15" s="1"/>
  <c r="U223" i="15" s="1"/>
  <c r="R34" i="15"/>
  <c r="S34" i="15" s="1"/>
  <c r="U34" i="15" s="1"/>
  <c r="R227" i="15"/>
  <c r="S227" i="15" s="1"/>
  <c r="U227" i="15" s="1"/>
  <c r="R90" i="15"/>
  <c r="S90" i="15" s="1"/>
  <c r="U90" i="15" s="1"/>
  <c r="R63" i="15"/>
  <c r="S63" i="15" s="1"/>
  <c r="U63" i="15" s="1"/>
  <c r="R10" i="15"/>
  <c r="S10" i="15" s="1"/>
  <c r="U10" i="15" s="1"/>
  <c r="R21" i="15"/>
  <c r="S21" i="15" s="1"/>
  <c r="U21" i="15" s="1"/>
  <c r="R88" i="15"/>
  <c r="S88" i="15" s="1"/>
  <c r="U88" i="15" s="1"/>
  <c r="R186" i="15"/>
  <c r="S186" i="15" s="1"/>
  <c r="U186" i="15" s="1"/>
  <c r="R113" i="15"/>
  <c r="S113" i="15" s="1"/>
  <c r="U113" i="15" s="1"/>
  <c r="R102" i="15"/>
  <c r="S102" i="15" s="1"/>
  <c r="U102" i="15" s="1"/>
  <c r="R68" i="15"/>
  <c r="S68" i="15" s="1"/>
  <c r="U68" i="15" s="1"/>
  <c r="R111" i="15"/>
  <c r="S111" i="15" s="1"/>
  <c r="U111" i="15" s="1"/>
  <c r="R57" i="15"/>
  <c r="S57" i="15" s="1"/>
  <c r="U57" i="15" s="1"/>
  <c r="R105" i="15"/>
  <c r="S105" i="15" s="1"/>
  <c r="U105" i="15" s="1"/>
  <c r="R229" i="15"/>
  <c r="S229" i="15" s="1"/>
  <c r="U229" i="15" s="1"/>
  <c r="R211" i="15"/>
  <c r="S211" i="15" s="1"/>
  <c r="U211" i="15" s="1"/>
  <c r="R95" i="15"/>
  <c r="S95" i="15" s="1"/>
  <c r="U95" i="15" s="1"/>
  <c r="R218" i="15"/>
  <c r="S218" i="15" s="1"/>
  <c r="U218" i="15" s="1"/>
  <c r="R150" i="15"/>
  <c r="S150" i="15" s="1"/>
  <c r="U150" i="15" s="1"/>
  <c r="R237" i="15"/>
  <c r="S237" i="15" s="1"/>
  <c r="U237" i="15" s="1"/>
  <c r="R262" i="15"/>
  <c r="S262" i="15" s="1"/>
  <c r="U262" i="15" s="1"/>
  <c r="R74" i="15"/>
  <c r="S74" i="15" s="1"/>
  <c r="U74" i="15" s="1"/>
  <c r="R224" i="15"/>
  <c r="S224" i="15" s="1"/>
  <c r="U224" i="15" s="1"/>
  <c r="R251" i="15"/>
  <c r="S251" i="15" s="1"/>
  <c r="U251" i="15" s="1"/>
  <c r="R284" i="15"/>
  <c r="S284" i="15" s="1"/>
  <c r="U284" i="15" s="1"/>
  <c r="R89" i="15"/>
  <c r="S89" i="15" s="1"/>
  <c r="U89" i="15" s="1"/>
  <c r="R148" i="15"/>
  <c r="S148" i="15" s="1"/>
  <c r="U148" i="15" s="1"/>
  <c r="R177" i="15"/>
  <c r="S177" i="15" s="1"/>
  <c r="U177" i="15" s="1"/>
  <c r="R173" i="15"/>
  <c r="S173" i="15" s="1"/>
  <c r="U173" i="15" s="1"/>
  <c r="R144" i="15"/>
  <c r="S144" i="15" s="1"/>
  <c r="U144" i="15" s="1"/>
  <c r="R42" i="15"/>
  <c r="S42" i="15" s="1"/>
  <c r="U42" i="15" s="1"/>
  <c r="R13" i="15"/>
  <c r="S13" i="15" s="1"/>
  <c r="U13" i="15" s="1"/>
  <c r="R140" i="15"/>
  <c r="S140" i="15" s="1"/>
  <c r="U140" i="15" s="1"/>
  <c r="R84" i="15"/>
  <c r="S84" i="15" s="1"/>
  <c r="U84" i="15" s="1"/>
  <c r="R138" i="15"/>
  <c r="S138" i="15" s="1"/>
  <c r="U138" i="15" s="1"/>
  <c r="R156" i="15"/>
  <c r="S156" i="15" s="1"/>
  <c r="U156" i="15" s="1"/>
  <c r="R269" i="15"/>
  <c r="S269" i="15" s="1"/>
  <c r="U269" i="15" s="1"/>
  <c r="R101" i="15"/>
  <c r="S101" i="15" s="1"/>
  <c r="U101" i="15" s="1"/>
  <c r="R230" i="15"/>
  <c r="S230" i="15" s="1"/>
  <c r="U230" i="15" s="1"/>
  <c r="R216" i="15"/>
  <c r="S216" i="15" s="1"/>
  <c r="U216" i="15" s="1"/>
  <c r="R98" i="15"/>
  <c r="S98" i="15" s="1"/>
  <c r="U98" i="15" s="1"/>
  <c r="R209" i="15"/>
  <c r="S209" i="15" s="1"/>
  <c r="U209" i="15" s="1"/>
  <c r="R56" i="15"/>
  <c r="S56" i="15" s="1"/>
  <c r="U56" i="15" s="1"/>
  <c r="R203" i="15"/>
  <c r="S203" i="15" s="1"/>
  <c r="U203" i="15" s="1"/>
  <c r="R175" i="15"/>
  <c r="S175" i="15" s="1"/>
  <c r="U175" i="15" s="1"/>
  <c r="R249" i="15"/>
  <c r="S249" i="15" s="1"/>
  <c r="U249" i="15" s="1"/>
  <c r="R33" i="15"/>
  <c r="S33" i="15" s="1"/>
  <c r="U33" i="15" s="1"/>
  <c r="R76" i="15"/>
  <c r="R243" i="15"/>
  <c r="S243" i="15" s="1"/>
  <c r="U243" i="15" s="1"/>
  <c r="R159" i="15"/>
  <c r="S159" i="15" s="1"/>
  <c r="U159" i="15" s="1"/>
  <c r="R67" i="15"/>
  <c r="S67" i="15" s="1"/>
  <c r="U67" i="15" s="1"/>
  <c r="R2" i="15"/>
  <c r="R142" i="15"/>
  <c r="S142" i="15" s="1"/>
  <c r="U142" i="15" s="1"/>
  <c r="R263" i="15"/>
  <c r="S263" i="15" s="1"/>
  <c r="U263" i="15" s="1"/>
  <c r="R272" i="15"/>
  <c r="S272" i="15" s="1"/>
  <c r="U272" i="15" s="1"/>
  <c r="R116" i="15"/>
  <c r="S116" i="15" s="1"/>
  <c r="U116" i="15" s="1"/>
  <c r="R164" i="15"/>
  <c r="S164" i="15" s="1"/>
  <c r="U164" i="15" s="1"/>
  <c r="R72" i="15"/>
  <c r="S72" i="15" s="1"/>
  <c r="U72" i="15" s="1"/>
  <c r="R257" i="15"/>
  <c r="S257" i="15" s="1"/>
  <c r="U257" i="15" s="1"/>
  <c r="R195" i="15"/>
  <c r="S195" i="15" s="1"/>
  <c r="U195" i="15" s="1"/>
  <c r="R80" i="15"/>
  <c r="S80" i="15" s="1"/>
  <c r="U80" i="15" s="1"/>
  <c r="R11" i="15"/>
  <c r="S11" i="15" s="1"/>
  <c r="U11" i="15" s="1"/>
  <c r="R256" i="15"/>
  <c r="S256" i="15" s="1"/>
  <c r="U256" i="15" s="1"/>
  <c r="R78" i="15"/>
  <c r="S78" i="15" s="1"/>
  <c r="U78" i="15" s="1"/>
  <c r="R49" i="15"/>
  <c r="S49" i="15" s="1"/>
  <c r="U49" i="15" s="1"/>
  <c r="R202" i="15"/>
  <c r="S202" i="15" s="1"/>
  <c r="U202" i="15" s="1"/>
  <c r="R131" i="15"/>
  <c r="S131" i="15" s="1"/>
  <c r="U131" i="15" s="1"/>
  <c r="R182" i="15"/>
  <c r="S182" i="15" s="1"/>
  <c r="U182" i="15" s="1"/>
  <c r="R207" i="15"/>
  <c r="S207" i="15" s="1"/>
  <c r="U207" i="15" s="1"/>
  <c r="R70" i="15"/>
  <c r="S70" i="15" s="1"/>
  <c r="U70" i="15" s="1"/>
  <c r="R172" i="15"/>
  <c r="S172" i="15" s="1"/>
  <c r="U172" i="15" s="1"/>
  <c r="R277" i="15"/>
  <c r="S277" i="15" s="1"/>
  <c r="U277" i="15" s="1"/>
  <c r="R83" i="15"/>
  <c r="S83" i="15" s="1"/>
  <c r="U83" i="15" s="1"/>
  <c r="R191" i="15"/>
  <c r="S191" i="15" s="1"/>
  <c r="U191" i="15" s="1"/>
  <c r="R28" i="15"/>
  <c r="S28" i="15" s="1"/>
  <c r="U28" i="15" s="1"/>
  <c r="R27" i="15"/>
  <c r="S27" i="15" s="1"/>
  <c r="U27" i="15" s="1"/>
  <c r="R8" i="15"/>
  <c r="S8" i="15" s="1"/>
  <c r="U8" i="15" s="1"/>
  <c r="R117" i="15"/>
  <c r="S117" i="15" s="1"/>
  <c r="U117" i="15" s="1"/>
  <c r="R53" i="15"/>
  <c r="S53" i="15" s="1"/>
  <c r="U53" i="15" s="1"/>
  <c r="R214" i="15"/>
  <c r="S214" i="15" s="1"/>
  <c r="U214" i="15" s="1"/>
  <c r="R281" i="15"/>
  <c r="S281" i="15" s="1"/>
  <c r="U281" i="15" s="1"/>
  <c r="R171" i="15"/>
  <c r="S171" i="15" s="1"/>
  <c r="U171" i="15" s="1"/>
  <c r="R258" i="15"/>
  <c r="S258" i="15" s="1"/>
  <c r="U258" i="15" s="1"/>
  <c r="R32" i="15"/>
  <c r="S32" i="15" s="1"/>
  <c r="U32" i="15" s="1"/>
  <c r="R166" i="15"/>
  <c r="S166" i="15" s="1"/>
  <c r="U166" i="15" s="1"/>
  <c r="R212" i="15"/>
  <c r="S212" i="15" s="1"/>
  <c r="U212" i="15" s="1"/>
  <c r="R23" i="15"/>
  <c r="S23" i="15" s="1"/>
  <c r="U23" i="15" s="1"/>
  <c r="R109" i="15"/>
  <c r="S109" i="15" s="1"/>
  <c r="U109" i="15" s="1"/>
  <c r="R205" i="15"/>
  <c r="S205" i="15" s="1"/>
  <c r="U205" i="15" s="1"/>
  <c r="R185" i="15"/>
  <c r="S185" i="15" s="1"/>
  <c r="U185" i="15" s="1"/>
  <c r="R255" i="15"/>
  <c r="S255" i="15" s="1"/>
  <c r="U255" i="15" s="1"/>
  <c r="R60" i="15"/>
  <c r="S60" i="15" s="1"/>
  <c r="U60" i="15" s="1"/>
  <c r="R15" i="15"/>
  <c r="S15" i="15" s="1"/>
  <c r="U15" i="15" s="1"/>
  <c r="R153" i="15"/>
  <c r="S153" i="15" s="1"/>
  <c r="U153" i="15" s="1"/>
  <c r="R200" i="15"/>
  <c r="S200" i="15" s="1"/>
  <c r="U200" i="15" s="1"/>
  <c r="R92" i="15"/>
  <c r="S92" i="15" s="1"/>
  <c r="U92" i="15" s="1"/>
  <c r="R217" i="15"/>
  <c r="S217" i="15" s="1"/>
  <c r="U217" i="15" s="1"/>
  <c r="R196" i="15"/>
  <c r="S196" i="15" s="1"/>
  <c r="U196" i="15" s="1"/>
  <c r="R271" i="15"/>
  <c r="S271" i="15" s="1"/>
  <c r="U271" i="15" s="1"/>
  <c r="R120" i="15"/>
  <c r="S120" i="15" s="1"/>
  <c r="U120" i="15" s="1"/>
  <c r="R244" i="15"/>
  <c r="S244" i="15" s="1"/>
  <c r="U244" i="15" s="1"/>
  <c r="R248" i="15"/>
  <c r="S248" i="15" s="1"/>
  <c r="U248" i="15" s="1"/>
  <c r="R46" i="15"/>
  <c r="S46" i="15" s="1"/>
  <c r="U46" i="15" s="1"/>
  <c r="R118" i="15"/>
  <c r="S118" i="15" s="1"/>
  <c r="U118" i="15" s="1"/>
  <c r="R125" i="15"/>
  <c r="S125" i="15" s="1"/>
  <c r="U125" i="15" s="1"/>
  <c r="R93" i="15"/>
  <c r="S93" i="15" s="1"/>
  <c r="U93" i="15" s="1"/>
  <c r="R133" i="15"/>
  <c r="S133" i="15" s="1"/>
  <c r="U133" i="15" s="1"/>
  <c r="R9" i="15"/>
  <c r="R47" i="15"/>
  <c r="S47" i="15" s="1"/>
  <c r="U47" i="15" s="1"/>
  <c r="R12" i="15"/>
  <c r="S12" i="15" s="1"/>
  <c r="U12" i="15" s="1"/>
  <c r="R64" i="15"/>
  <c r="S64" i="15" s="1"/>
  <c r="U64" i="15" s="1"/>
  <c r="R250" i="15"/>
  <c r="S250" i="15" s="1"/>
  <c r="U250" i="15" s="1"/>
  <c r="R86" i="15"/>
  <c r="S86" i="15" s="1"/>
  <c r="U86" i="15" s="1"/>
  <c r="R114" i="15"/>
  <c r="S114" i="15" s="1"/>
  <c r="U114" i="15" s="1"/>
  <c r="R199" i="15"/>
  <c r="S199" i="15" s="1"/>
  <c r="U199" i="15" s="1"/>
  <c r="R122" i="15"/>
  <c r="S122" i="15" s="1"/>
  <c r="U122" i="15" s="1"/>
  <c r="R45" i="15"/>
  <c r="S45" i="15" s="1"/>
  <c r="U45" i="15" s="1"/>
  <c r="R160" i="15"/>
  <c r="S160" i="15" s="1"/>
  <c r="U160" i="15" s="1"/>
  <c r="R143" i="15"/>
  <c r="S143" i="15" s="1"/>
  <c r="U143" i="15" s="1"/>
  <c r="R193" i="15"/>
  <c r="S193" i="15" s="1"/>
  <c r="U193" i="15" s="1"/>
  <c r="R61" i="15"/>
  <c r="S61" i="15" s="1"/>
  <c r="U61" i="15" s="1"/>
  <c r="R141" i="15"/>
  <c r="S141" i="15" s="1"/>
  <c r="U141" i="15" s="1"/>
  <c r="R225" i="15"/>
  <c r="S225" i="15" s="1"/>
  <c r="U225" i="15" s="1"/>
  <c r="R232" i="15"/>
  <c r="S232" i="15" s="1"/>
  <c r="U232" i="15" s="1"/>
  <c r="R161" i="15"/>
  <c r="S161" i="15" s="1"/>
  <c r="U161" i="15" s="1"/>
  <c r="R264" i="15"/>
  <c r="S264" i="15" s="1"/>
  <c r="U264" i="15" s="1"/>
  <c r="R276" i="15"/>
  <c r="S276" i="15" s="1"/>
  <c r="U276" i="15" s="1"/>
  <c r="R242" i="15"/>
  <c r="S242" i="15" s="1"/>
  <c r="U242" i="15" s="1"/>
  <c r="R238" i="15"/>
  <c r="S238" i="15" s="1"/>
  <c r="U238" i="15" s="1"/>
  <c r="R268" i="15"/>
  <c r="S268" i="15" s="1"/>
  <c r="U268" i="15" s="1"/>
  <c r="R274" i="15"/>
  <c r="S274" i="15" s="1"/>
  <c r="U274" i="15" s="1"/>
  <c r="R228" i="15"/>
  <c r="S228" i="15" s="1"/>
  <c r="U228" i="15" s="1"/>
  <c r="R147" i="15"/>
  <c r="S147" i="15" s="1"/>
  <c r="U147" i="15" s="1"/>
  <c r="R128" i="15"/>
  <c r="S128" i="15" s="1"/>
  <c r="U128" i="15" s="1"/>
  <c r="R107" i="15"/>
  <c r="S107" i="15" s="1"/>
  <c r="U107" i="15" s="1"/>
  <c r="R206" i="15"/>
  <c r="S206" i="15" s="1"/>
  <c r="U206" i="15" s="1"/>
  <c r="R127" i="15"/>
  <c r="S127" i="15" s="1"/>
  <c r="U127" i="15" s="1"/>
  <c r="R123" i="15"/>
  <c r="S123" i="15" s="1"/>
  <c r="U123" i="15" s="1"/>
  <c r="R157" i="15"/>
  <c r="S157" i="15" s="1"/>
  <c r="U157" i="15" s="1"/>
  <c r="R82" i="15"/>
  <c r="S82" i="15" s="1"/>
  <c r="U82" i="15" s="1"/>
  <c r="R75" i="15"/>
  <c r="S75" i="15" s="1"/>
  <c r="U75" i="15" s="1"/>
  <c r="R94" i="15"/>
  <c r="S94" i="15" s="1"/>
  <c r="U94" i="15" s="1"/>
  <c r="R52" i="15"/>
  <c r="S52" i="15" s="1"/>
  <c r="U52" i="15" s="1"/>
  <c r="R176" i="15"/>
  <c r="S176" i="15" s="1"/>
  <c r="U176" i="15" s="1"/>
  <c r="R91" i="15"/>
  <c r="S91" i="15" s="1"/>
  <c r="U91" i="15" s="1"/>
  <c r="R71" i="15"/>
  <c r="S71" i="15" s="1"/>
  <c r="U71" i="15" s="1"/>
  <c r="R192" i="15"/>
  <c r="S192" i="15" s="1"/>
  <c r="U192" i="15" s="1"/>
  <c r="R25" i="15"/>
  <c r="S25" i="15" s="1"/>
  <c r="U25" i="15" s="1"/>
  <c r="R146" i="15"/>
  <c r="S146" i="15" s="1"/>
  <c r="U146" i="15" s="1"/>
  <c r="R285" i="15"/>
  <c r="S285" i="15" s="1"/>
  <c r="U285" i="15" s="1"/>
  <c r="R100" i="15"/>
  <c r="S100" i="15" s="1"/>
  <c r="U100" i="15" s="1"/>
  <c r="R234" i="15"/>
  <c r="S234" i="15" s="1"/>
  <c r="U234" i="15" s="1"/>
  <c r="R246" i="15"/>
  <c r="S246" i="15" s="1"/>
  <c r="U246" i="15" s="1"/>
  <c r="R77" i="15"/>
  <c r="S77" i="15" s="1"/>
  <c r="U77" i="15" s="1"/>
  <c r="R267" i="15"/>
  <c r="S267" i="15" s="1"/>
  <c r="U267" i="15" s="1"/>
  <c r="R213" i="15"/>
  <c r="S213" i="15" s="1"/>
  <c r="U213" i="15" s="1"/>
  <c r="R220" i="15"/>
  <c r="S220" i="15" s="1"/>
  <c r="U220" i="15" s="1"/>
  <c r="R145" i="15"/>
  <c r="S145" i="15" s="1"/>
  <c r="U145" i="15" s="1"/>
  <c r="R270" i="15"/>
  <c r="S270" i="15" s="1"/>
  <c r="U270" i="15" s="1"/>
  <c r="R81" i="15"/>
  <c r="S81" i="15" s="1"/>
  <c r="U81" i="15" s="1"/>
  <c r="R169" i="15"/>
  <c r="S169" i="15" s="1"/>
  <c r="U169" i="15" s="1"/>
  <c r="R167" i="15"/>
  <c r="S167" i="15" s="1"/>
  <c r="U167" i="15" s="1"/>
  <c r="R87" i="15"/>
  <c r="S87" i="15" s="1"/>
  <c r="U87" i="15" s="1"/>
  <c r="R110" i="15"/>
  <c r="S110" i="15" s="1"/>
  <c r="U110" i="15" s="1"/>
  <c r="R226" i="15"/>
  <c r="S226" i="15" s="1"/>
  <c r="U226" i="15" s="1"/>
  <c r="R252" i="15"/>
  <c r="S252" i="15" s="1"/>
  <c r="U252" i="15" s="1"/>
  <c r="R119" i="15"/>
  <c r="S119" i="15" s="1"/>
  <c r="U119" i="15" s="1"/>
  <c r="R96" i="15"/>
  <c r="S96" i="15" s="1"/>
  <c r="U96" i="15" s="1"/>
  <c r="R6" i="15"/>
  <c r="S6" i="15" s="1"/>
  <c r="U6" i="15" s="1"/>
  <c r="R79" i="15"/>
  <c r="S79" i="15" s="1"/>
  <c r="U79" i="15" s="1"/>
  <c r="R7" i="15"/>
  <c r="S7" i="15" s="1"/>
  <c r="U7" i="15" s="1"/>
  <c r="R168" i="15"/>
  <c r="S168" i="15" s="1"/>
  <c r="U168" i="15" s="1"/>
  <c r="R66" i="15"/>
  <c r="S66" i="15" s="1"/>
  <c r="U66" i="15" s="1"/>
  <c r="R108" i="15"/>
  <c r="S108" i="15" s="1"/>
  <c r="U108" i="15" s="1"/>
  <c r="R36" i="15"/>
  <c r="S36" i="15" s="1"/>
  <c r="U36" i="15" s="1"/>
  <c r="R58" i="15"/>
  <c r="S58" i="15" s="1"/>
  <c r="U58" i="15" s="1"/>
  <c r="R39" i="15"/>
  <c r="S39" i="15" s="1"/>
  <c r="U39" i="15" s="1"/>
  <c r="R283" i="15"/>
  <c r="S283" i="15" s="1"/>
  <c r="U283" i="15" s="1"/>
  <c r="R55" i="15"/>
  <c r="S55" i="15" s="1"/>
  <c r="U55" i="15" s="1"/>
  <c r="R136" i="15"/>
  <c r="S136" i="15" s="1"/>
  <c r="U136" i="15" s="1"/>
  <c r="R278" i="15"/>
  <c r="S278" i="15" s="1"/>
  <c r="U278" i="15" s="1"/>
  <c r="R273" i="15"/>
  <c r="S273" i="15" s="1"/>
  <c r="U273" i="15" s="1"/>
  <c r="R221" i="15"/>
  <c r="S221" i="15" s="1"/>
  <c r="U221" i="15" s="1"/>
  <c r="R41" i="15"/>
  <c r="S41" i="15" s="1"/>
  <c r="U41" i="15" s="1"/>
  <c r="R282" i="15"/>
  <c r="S282" i="15" s="1"/>
  <c r="U282" i="15" s="1"/>
  <c r="R180" i="15"/>
  <c r="S180" i="15" s="1"/>
  <c r="U180" i="15" s="1"/>
  <c r="R132" i="15"/>
  <c r="S132" i="15" s="1"/>
  <c r="U132" i="15" s="1"/>
  <c r="R254" i="15"/>
  <c r="S254" i="15" s="1"/>
  <c r="U254" i="15" s="1"/>
  <c r="R239" i="15"/>
  <c r="S239" i="15" s="1"/>
  <c r="U239" i="15" s="1"/>
  <c r="R198" i="15"/>
  <c r="S198" i="15" s="1"/>
  <c r="U198" i="15" s="1"/>
  <c r="R35" i="15"/>
  <c r="S35" i="15" s="1"/>
  <c r="U35" i="15" s="1"/>
  <c r="R16" i="15"/>
  <c r="S16" i="15" s="1"/>
  <c r="U16" i="15" s="1"/>
  <c r="R40" i="15"/>
  <c r="S40" i="15" s="1"/>
  <c r="U40" i="15" s="1"/>
  <c r="R14" i="15"/>
  <c r="S14" i="15" s="1"/>
  <c r="U14" i="15" s="1"/>
  <c r="R106" i="15"/>
  <c r="S106" i="15" s="1"/>
  <c r="U106" i="15" s="1"/>
  <c r="R149" i="15"/>
  <c r="S149" i="15" s="1"/>
  <c r="U149" i="15" s="1"/>
  <c r="R181" i="15"/>
  <c r="S181" i="15" s="1"/>
  <c r="U181" i="15" s="1"/>
  <c r="R43" i="15"/>
  <c r="S43" i="15" s="1"/>
  <c r="U43" i="15" s="1"/>
  <c r="R59" i="15"/>
  <c r="S59" i="15" s="1"/>
  <c r="U59" i="15" s="1"/>
  <c r="R170" i="15"/>
  <c r="S170" i="15" s="1"/>
  <c r="U170" i="15" s="1"/>
  <c r="R260" i="15"/>
  <c r="S260" i="15" s="1"/>
  <c r="U260" i="15" s="1"/>
  <c r="R155" i="15"/>
  <c r="S155" i="15" s="1"/>
  <c r="U155" i="15" s="1"/>
  <c r="R219" i="15"/>
  <c r="S219" i="15" s="1"/>
  <c r="U219" i="15" s="1"/>
  <c r="R165" i="15"/>
  <c r="S165" i="15" s="1"/>
  <c r="U165" i="15" s="1"/>
  <c r="R135" i="15"/>
  <c r="S135" i="15" s="1"/>
  <c r="U135" i="15" s="1"/>
  <c r="R124" i="15"/>
  <c r="S124" i="15" s="1"/>
  <c r="U124" i="15" s="1"/>
  <c r="R231" i="15"/>
  <c r="S231" i="15" s="1"/>
  <c r="U231" i="15" s="1"/>
  <c r="R50" i="15"/>
  <c r="S50" i="15" s="1"/>
  <c r="U50" i="15" s="1"/>
  <c r="R245" i="15"/>
  <c r="S245" i="15" s="1"/>
  <c r="U245" i="15" s="1"/>
  <c r="R5" i="15"/>
  <c r="S5" i="15" s="1"/>
  <c r="U5" i="15" s="1"/>
  <c r="R54" i="15"/>
  <c r="S54" i="15" s="1"/>
  <c r="U54" i="15" s="1"/>
  <c r="R259" i="15"/>
  <c r="S259" i="15" s="1"/>
  <c r="U259" i="15" s="1"/>
  <c r="R236" i="15"/>
  <c r="S236" i="15" s="1"/>
  <c r="U236" i="15" s="1"/>
  <c r="R279" i="15"/>
  <c r="S279" i="15" s="1"/>
  <c r="U279" i="15" s="1"/>
  <c r="R38" i="15"/>
  <c r="S38" i="15" s="1"/>
  <c r="U38" i="15" s="1"/>
  <c r="R4" i="15"/>
  <c r="S4" i="15" s="1"/>
  <c r="U4" i="15" s="1"/>
  <c r="R18" i="15"/>
  <c r="S18" i="15" s="1"/>
  <c r="U18" i="15" s="1"/>
  <c r="R208" i="15"/>
  <c r="S208" i="15" s="1"/>
  <c r="U208" i="15" s="1"/>
  <c r="R65" i="15"/>
  <c r="S65" i="15" s="1"/>
  <c r="U65" i="15" s="1"/>
  <c r="R112" i="15"/>
  <c r="S112" i="15" s="1"/>
  <c r="U112" i="15" s="1"/>
  <c r="R178" i="15"/>
  <c r="S178" i="15" s="1"/>
  <c r="U178" i="15" s="1"/>
  <c r="R287" i="15"/>
  <c r="S287" i="15" s="1"/>
  <c r="U287" i="15" s="1"/>
  <c r="R30" i="15"/>
  <c r="S30" i="15" s="1"/>
  <c r="U30" i="15" s="1"/>
  <c r="R215" i="15"/>
  <c r="S215" i="15" s="1"/>
  <c r="U215" i="15" s="1"/>
  <c r="R24" i="15"/>
  <c r="S24" i="15" s="1"/>
  <c r="U24" i="15" s="1"/>
  <c r="R151" i="15"/>
  <c r="S151" i="15" s="1"/>
  <c r="U151" i="15" s="1"/>
  <c r="R179" i="15"/>
  <c r="S179" i="15" s="1"/>
  <c r="U179" i="15" s="1"/>
  <c r="R103" i="15"/>
  <c r="S103" i="15" s="1"/>
  <c r="U103" i="15" s="1"/>
  <c r="R44" i="15"/>
  <c r="S44" i="15" s="1"/>
  <c r="U44" i="15" s="1"/>
  <c r="R99" i="15"/>
  <c r="S99" i="15" s="1"/>
  <c r="U99" i="15" s="1"/>
  <c r="R261" i="15"/>
  <c r="S261" i="15" s="1"/>
  <c r="U261" i="15" s="1"/>
  <c r="R266" i="15"/>
  <c r="S266" i="15" s="1"/>
  <c r="U266" i="15" s="1"/>
  <c r="R85" i="15"/>
  <c r="S85" i="15" s="1"/>
  <c r="U85" i="15" s="1"/>
  <c r="R222" i="15"/>
  <c r="S222" i="15" s="1"/>
  <c r="U222" i="15" s="1"/>
  <c r="R247" i="15"/>
  <c r="S247" i="15" s="1"/>
  <c r="U247" i="15" s="1"/>
  <c r="R137" i="15"/>
  <c r="S137" i="15" s="1"/>
  <c r="U137" i="15" s="1"/>
  <c r="R275" i="15"/>
  <c r="S275" i="15" s="1"/>
  <c r="U275" i="15" s="1"/>
  <c r="R201" i="15"/>
  <c r="S201" i="15" s="1"/>
  <c r="U201" i="15" s="1"/>
  <c r="R280" i="15"/>
  <c r="S280" i="15" s="1"/>
  <c r="U280" i="15" s="1"/>
  <c r="R22" i="15"/>
  <c r="S22" i="15" s="1"/>
  <c r="U22" i="15" s="1"/>
  <c r="R115" i="15"/>
  <c r="S115" i="15" s="1"/>
  <c r="U115" i="15" s="1"/>
  <c r="R121" i="15"/>
  <c r="S121" i="15" s="1"/>
  <c r="U121" i="15" s="1"/>
  <c r="R129" i="15"/>
  <c r="S129" i="15" s="1"/>
  <c r="U129" i="15" s="1"/>
  <c r="R20" i="15"/>
  <c r="S20" i="15" s="1"/>
  <c r="U20" i="15" s="1"/>
  <c r="R126" i="15"/>
  <c r="S126" i="15" s="1"/>
  <c r="U126" i="15" s="1"/>
  <c r="R233" i="15"/>
  <c r="S233" i="15" s="1"/>
  <c r="U233" i="15" s="1"/>
  <c r="R210" i="15"/>
  <c r="S210" i="15" s="1"/>
  <c r="U210" i="15" s="1"/>
  <c r="R62" i="15"/>
  <c r="S62" i="15" s="1"/>
  <c r="U62" i="15" s="1"/>
  <c r="R51" i="15"/>
  <c r="R204" i="15"/>
  <c r="S204" i="15" s="1"/>
  <c r="U204" i="15" s="1"/>
  <c r="R286" i="15"/>
  <c r="R134" i="15"/>
  <c r="S134" i="15" s="1"/>
  <c r="U134" i="15" s="1"/>
  <c r="R158" i="15"/>
  <c r="S158" i="15" s="1"/>
  <c r="U158" i="15" s="1"/>
  <c r="R235" i="15"/>
  <c r="S235" i="15" s="1"/>
  <c r="U235" i="15" s="1"/>
  <c r="R184" i="15"/>
  <c r="S184" i="15" s="1"/>
  <c r="U184" i="15" s="1"/>
  <c r="R194" i="15"/>
  <c r="S194" i="15" s="1"/>
  <c r="U194" i="15" s="1"/>
  <c r="R97" i="15"/>
  <c r="S97" i="15" s="1"/>
  <c r="U97" i="15" s="1"/>
  <c r="R29" i="15"/>
  <c r="S29" i="15" s="1"/>
  <c r="U29" i="15" s="1"/>
  <c r="R19" i="15"/>
  <c r="S19" i="15" s="1"/>
  <c r="U19" i="15" s="1"/>
  <c r="R197" i="15"/>
  <c r="S197" i="15" s="1"/>
  <c r="U197" i="15" s="1"/>
  <c r="R31" i="15"/>
  <c r="S31" i="15" s="1"/>
  <c r="U31" i="15" s="1"/>
  <c r="R162" i="15"/>
  <c r="S162" i="15" s="1"/>
  <c r="U162" i="15" s="1"/>
  <c r="R69" i="15"/>
  <c r="S69" i="15" s="1"/>
  <c r="U69" i="15" s="1"/>
  <c r="R241" i="15"/>
  <c r="S241" i="15" s="1"/>
  <c r="U241" i="15" s="1"/>
  <c r="R17" i="15"/>
  <c r="S17" i="15" s="1"/>
  <c r="U17" i="15" s="1"/>
  <c r="R187" i="15"/>
  <c r="S187" i="15" s="1"/>
  <c r="U187" i="15" s="1"/>
  <c r="R265" i="15"/>
  <c r="S265" i="15" s="1"/>
  <c r="U265" i="15" s="1"/>
  <c r="R190" i="15"/>
  <c r="S190" i="15" s="1"/>
  <c r="U190" i="15" s="1"/>
  <c r="R3" i="15"/>
  <c r="R130" i="15"/>
  <c r="S130" i="15" s="1"/>
  <c r="U130" i="15" s="1"/>
  <c r="R189" i="15"/>
  <c r="S189" i="15" s="1"/>
  <c r="U189" i="15" s="1"/>
  <c r="R37" i="15"/>
  <c r="S37" i="15" s="1"/>
  <c r="U37" i="15" s="1"/>
  <c r="R154" i="15"/>
  <c r="S154" i="15" s="1"/>
  <c r="U154" i="15" s="1"/>
  <c r="R139" i="15"/>
  <c r="S139" i="15" s="1"/>
  <c r="U139" i="15" s="1"/>
  <c r="R188" i="15"/>
  <c r="S188" i="15" s="1"/>
  <c r="U188" i="15" s="1"/>
  <c r="R240" i="15"/>
  <c r="S240" i="15" s="1"/>
  <c r="U240" i="15" s="1"/>
  <c r="R253" i="15"/>
  <c r="S253" i="15" s="1"/>
  <c r="U253" i="15" s="1"/>
  <c r="R104" i="15"/>
  <c r="S104" i="15" s="1"/>
  <c r="U104" i="15" s="1"/>
  <c r="R26" i="15"/>
  <c r="S26" i="15" s="1"/>
  <c r="U26" i="15" s="1"/>
  <c r="R163" i="15"/>
  <c r="S163" i="15" s="1"/>
  <c r="U163" i="15" s="1"/>
  <c r="R73" i="15"/>
  <c r="S73" i="15" s="1"/>
  <c r="U73" i="15" s="1"/>
  <c r="R174" i="15"/>
  <c r="S174" i="15" s="1"/>
  <c r="U174" i="15" s="1"/>
  <c r="AD2" i="13"/>
  <c r="AD1" i="13" s="1"/>
  <c r="F8" i="14" s="1"/>
  <c r="AE48" i="13" l="1"/>
  <c r="AE2" i="13" s="1"/>
  <c r="G16" i="14"/>
  <c r="S76" i="15"/>
  <c r="U76" i="15" s="1"/>
  <c r="S3" i="15"/>
  <c r="U3" i="15" s="1"/>
  <c r="G12" i="14"/>
  <c r="G13" i="14"/>
  <c r="S9" i="15"/>
  <c r="U9" i="15" s="1"/>
  <c r="G11" i="14"/>
  <c r="S2" i="15"/>
  <c r="U2" i="15" s="1"/>
  <c r="G17" i="14"/>
  <c r="S286" i="15"/>
  <c r="U286" i="15" s="1"/>
  <c r="S51" i="15"/>
  <c r="U51" i="15" s="1"/>
  <c r="G14" i="14"/>
  <c r="S48" i="15"/>
  <c r="U48" i="15" s="1"/>
  <c r="G15" i="14"/>
  <c r="M6" i="14" l="1"/>
  <c r="O6" i="14" s="1"/>
  <c r="M12" i="14"/>
  <c r="O12" i="14" s="1"/>
  <c r="M18" i="14"/>
  <c r="O18" i="14" s="1"/>
  <c r="M7" i="14"/>
  <c r="O7" i="14" s="1"/>
  <c r="M13" i="14"/>
  <c r="O13" i="14" s="1"/>
  <c r="M19" i="14"/>
  <c r="O19" i="14" s="1"/>
  <c r="M5" i="14"/>
  <c r="O5" i="14" s="1"/>
  <c r="M11" i="14"/>
  <c r="O11" i="14" s="1"/>
  <c r="M17" i="14"/>
  <c r="O17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270D4-62C1-4103-A1AB-79A791E2D22E}" keepAlive="1" name="EMIPRI_ESHBEL_PRIORITY Tvunot_Eshkol1" type="5" refreshedVersion="8" savePassword="1" background="1" saveData="1">
    <dbPr connection="Provider=SQLOLEDB.1;Password=r1234;Persist Security Info=True;User ID=report;Initial Catalog=Tvunot_Eshkol;Data Source=EMIPRI\ESHBEL_PRIORITY;Use Procedure for Prepare=1;Auto Translate=True;Packet Size=4096;Workstation ID=MASTERMINAL;Use Encryption for Data=False;Tag with column collation when possible=False" command="SELECT        dbo.V_HAVER.[קוד חבר], dbo.V_HAVER.שם, dbo.V_HAVER.[שם משפחה], dbo.V_HAVER.פרטי, dbo.V_HAVER.מין, dbo.V_HAVER.[תאריך לידה], dbo.V_HAVER.גיל, dbo.V_HAVER.[קוד תקציב], dbo.V_HAVER.[תאור תקציב], _x000d__x000a_                         dbo.V_HAVER.[תעודת זהות], dbo.V_HAVER.[מספר משפחה], dbo.V_HAVER.משפחה, dbo.V_HAVER.[קוד מעמד], dbo.V_HAVER.מעמד, dbo.V_HAVER.[תאריך מעמד], dbo.E_TAKZIVIM.MATZAV AS [מצב תקציב], _x000d__x000a_                         dbo.E_TAKZIVIM.TEUR_KVUTZA AS [קבוצת תקציב], dbo.V_HAVER.[מצב משפחתי], dbo.E_HAVER.KOD_TAKTZIV AS [קוד תקציב משפחה מקורי]_x000d__x000a_FROM            dbo.V_HAVER INNER JOIN_x000d__x000a_                         dbo.E_HAVER ON dbo.V_HAVER.[מספר משפחה מקורי] = dbo.E_HAVER.HAVER LEFT OUTER JOIN_x000d__x000a_                         dbo.E_TAKZIVIM ON dbo.V_HAVER.[קוד תקציב] = dbo.E_TAKZIVIM.KOD_TAKTZIV_x000d__x000a_WHERE        (NOT (dbo.V_HAVER.[קוד מעמד] IN ('98', '99')))"/>
  </connection>
</connections>
</file>

<file path=xl/sharedStrings.xml><?xml version="1.0" encoding="utf-8"?>
<sst xmlns="http://schemas.openxmlformats.org/spreadsheetml/2006/main" count="17879" uniqueCount="4127">
  <si>
    <t>סעיף</t>
  </si>
  <si>
    <t>תאור סעיף</t>
  </si>
  <si>
    <t xml:space="preserve"> סכום צמוד </t>
  </si>
  <si>
    <t>מגיל</t>
  </si>
  <si>
    <t>עד גיל</t>
  </si>
  <si>
    <t>ספירת זכאים</t>
  </si>
  <si>
    <t>זכאות מלאה</t>
  </si>
  <si>
    <t xml:space="preserve">לפי חישוב יחסי </t>
  </si>
  <si>
    <t>קוד מעמד</t>
  </si>
  <si>
    <t>מעמד</t>
  </si>
  <si>
    <t>לספירת ילדים</t>
  </si>
  <si>
    <t>חבר                                         ^חבר</t>
  </si>
  <si>
    <t>מועמד                                       ^מועמד</t>
  </si>
  <si>
    <t>חייל בשרות חובה</t>
  </si>
  <si>
    <t>ילד</t>
  </si>
  <si>
    <t>תושב-בר רשות</t>
  </si>
  <si>
    <t>שרות לאומי</t>
  </si>
  <si>
    <t>ילד-הורים בחופשה ממושכת</t>
  </si>
  <si>
    <t>מענק לימודים</t>
  </si>
  <si>
    <t>ילד תושב</t>
  </si>
  <si>
    <t>בן/בת לימוד תורני                           ^מועמד</t>
  </si>
  <si>
    <t>חבר בחופשה</t>
  </si>
  <si>
    <t>ילד-מסיימי שמינית                           ^מועמד</t>
  </si>
  <si>
    <t>חוב המשק לחברים - נטו</t>
  </si>
  <si>
    <t>חינוך מיוחד 12-81</t>
  </si>
  <si>
    <t>בניית בתים</t>
  </si>
  <si>
    <t>מסלול צעירים -עד גיל 03</t>
  </si>
  <si>
    <t>מסלול צעירים - זכאי 3/2 ביטוח בריאות</t>
  </si>
  <si>
    <t>סה"כ זכויות עבר</t>
  </si>
  <si>
    <t>תושב זמני</t>
  </si>
  <si>
    <t>בנות בית בקהילה</t>
  </si>
  <si>
    <t>חלף דמי עזיבה</t>
  </si>
  <si>
    <t>תושב בר רשות-זכאי ב.ל.                      ^מועמד</t>
  </si>
  <si>
    <t>מועמד קשב - עד גיל 03                  ^מועמד</t>
  </si>
  <si>
    <t>מועמד קשב- זכאי 3/2 בריאות        ^מועמד</t>
  </si>
  <si>
    <t>סכום</t>
  </si>
  <si>
    <t>קוד חבר</t>
  </si>
  <si>
    <t>שם</t>
  </si>
  <si>
    <t>שם משפחה</t>
  </si>
  <si>
    <t>פרטי</t>
  </si>
  <si>
    <t>מין</t>
  </si>
  <si>
    <t>תאריך לידה</t>
  </si>
  <si>
    <t>גיל</t>
  </si>
  <si>
    <t>קוד תקציב</t>
  </si>
  <si>
    <t>תאור תקציב</t>
  </si>
  <si>
    <t>מצב תקציב</t>
  </si>
  <si>
    <t>קבוצת תקציב</t>
  </si>
  <si>
    <t>תעודת זהות</t>
  </si>
  <si>
    <t>מספר משפחה</t>
  </si>
  <si>
    <t>משפחה</t>
  </si>
  <si>
    <t>מצב משפחתי</t>
  </si>
  <si>
    <t>תאריך מעמד</t>
  </si>
  <si>
    <t>מצב משפחתי2</t>
  </si>
  <si>
    <t>קבוצת חינוך</t>
  </si>
  <si>
    <t>סיווג לנקודת זיכוי</t>
  </si>
  <si>
    <t>קצבת זיקנה בניכוי בריאות</t>
  </si>
  <si>
    <t>פנסיה</t>
  </si>
  <si>
    <t>שארים</t>
  </si>
  <si>
    <t>לספירה לתקציבים מיוחדים</t>
  </si>
  <si>
    <t>בקרה לריכוז</t>
  </si>
  <si>
    <t>בר מצוה</t>
  </si>
  <si>
    <t>בת מצוה</t>
  </si>
  <si>
    <t>בקרה</t>
  </si>
  <si>
    <t>01021</t>
  </si>
  <si>
    <t>אלדד רוניאל</t>
  </si>
  <si>
    <t>אלדד</t>
  </si>
  <si>
    <t>רוניאל</t>
  </si>
  <si>
    <t xml:space="preserve">ז </t>
  </si>
  <si>
    <t>0115</t>
  </si>
  <si>
    <t>אלדד נפתלי ומאשי</t>
  </si>
  <si>
    <t xml:space="preserve">פתוח      </t>
  </si>
  <si>
    <t>חבר</t>
  </si>
  <si>
    <t>206967846</t>
  </si>
  <si>
    <t xml:space="preserve">36    </t>
  </si>
  <si>
    <t>נשוי</t>
  </si>
  <si>
    <t>פעוט</t>
  </si>
  <si>
    <t>01022</t>
  </si>
  <si>
    <t>אלדד שולמית פנינה</t>
  </si>
  <si>
    <t>שולמית פנינה</t>
  </si>
  <si>
    <t xml:space="preserve">נ </t>
  </si>
  <si>
    <t>0102</t>
  </si>
  <si>
    <t>תושב לגביה</t>
  </si>
  <si>
    <t>211500681</t>
  </si>
  <si>
    <t xml:space="preserve">6     </t>
  </si>
  <si>
    <t>גנים</t>
  </si>
  <si>
    <t>01023</t>
  </si>
  <si>
    <t>אלדד קדם איתן</t>
  </si>
  <si>
    <t>קדם איתן</t>
  </si>
  <si>
    <t>234321297</t>
  </si>
  <si>
    <t xml:space="preserve">17    </t>
  </si>
  <si>
    <t>רווק</t>
  </si>
  <si>
    <t>יסודי</t>
  </si>
  <si>
    <t>01024</t>
  </si>
  <si>
    <t>אלדד שקד הודי</t>
  </si>
  <si>
    <t>שקד הודי</t>
  </si>
  <si>
    <t>238742696</t>
  </si>
  <si>
    <t>חטיבה</t>
  </si>
  <si>
    <t>01061</t>
  </si>
  <si>
    <t>אריאל חנן</t>
  </si>
  <si>
    <t>אריאל</t>
  </si>
  <si>
    <t>חנן</t>
  </si>
  <si>
    <t>0106</t>
  </si>
  <si>
    <t>אריאל חנן וענת</t>
  </si>
  <si>
    <t>054998182</t>
  </si>
  <si>
    <t xml:space="preserve">1     </t>
  </si>
  <si>
    <t>תיכון</t>
  </si>
  <si>
    <t>01062</t>
  </si>
  <si>
    <t>אריאל ענת</t>
  </si>
  <si>
    <t>ענת</t>
  </si>
  <si>
    <t>057874653</t>
  </si>
  <si>
    <t>--</t>
  </si>
  <si>
    <t>01071</t>
  </si>
  <si>
    <t>אורן יהודה</t>
  </si>
  <si>
    <t>אורן</t>
  </si>
  <si>
    <t>יהודה</t>
  </si>
  <si>
    <t>0107</t>
  </si>
  <si>
    <t>אורן יהודה והניה</t>
  </si>
  <si>
    <t>051033199</t>
  </si>
  <si>
    <t>Z</t>
  </si>
  <si>
    <t>01072</t>
  </si>
  <si>
    <t>אורן הניה</t>
  </si>
  <si>
    <t>הניה</t>
  </si>
  <si>
    <t>050489814</t>
  </si>
  <si>
    <t>01081</t>
  </si>
  <si>
    <t>אלדד שי יוסף</t>
  </si>
  <si>
    <t>שי יוסף</t>
  </si>
  <si>
    <t>0108</t>
  </si>
  <si>
    <t>אלדד שי</t>
  </si>
  <si>
    <t>207351917</t>
  </si>
  <si>
    <t xml:space="preserve">35    </t>
  </si>
  <si>
    <t>01091</t>
  </si>
  <si>
    <t>אמיתי אליעזר</t>
  </si>
  <si>
    <t>אמיתי</t>
  </si>
  <si>
    <t>אליעזר</t>
  </si>
  <si>
    <t>0109</t>
  </si>
  <si>
    <t>אמיתי אליעזר ופרדי</t>
  </si>
  <si>
    <t>004606539</t>
  </si>
  <si>
    <t>01092</t>
  </si>
  <si>
    <t>013206131</t>
  </si>
  <si>
    <t>01101</t>
  </si>
  <si>
    <t>אדלר מרדכי</t>
  </si>
  <si>
    <t>אדלר</t>
  </si>
  <si>
    <t>מרדכי</t>
  </si>
  <si>
    <t>0110</t>
  </si>
  <si>
    <t>051865699</t>
  </si>
  <si>
    <t>גרוש</t>
  </si>
  <si>
    <t>01111</t>
  </si>
  <si>
    <t>אמיר מיכה</t>
  </si>
  <si>
    <t>אמיר</t>
  </si>
  <si>
    <t>מיכה</t>
  </si>
  <si>
    <t>0111</t>
  </si>
  <si>
    <t>אמיר מיכה ותמר</t>
  </si>
  <si>
    <t>056656085</t>
  </si>
  <si>
    <t>01112</t>
  </si>
  <si>
    <t>אמיר תמר</t>
  </si>
  <si>
    <t>תמר</t>
  </si>
  <si>
    <t>057780108</t>
  </si>
  <si>
    <t>01121</t>
  </si>
  <si>
    <t>אלירז שמואל</t>
  </si>
  <si>
    <t>אלירז</t>
  </si>
  <si>
    <t>שמואל</t>
  </si>
  <si>
    <t>0112</t>
  </si>
  <si>
    <t>אלירז שמואל ועפרה</t>
  </si>
  <si>
    <t>051396232</t>
  </si>
  <si>
    <t>01122</t>
  </si>
  <si>
    <t>אלירז עפרה</t>
  </si>
  <si>
    <t>עפרה</t>
  </si>
  <si>
    <t>052823911</t>
  </si>
  <si>
    <t>01132</t>
  </si>
  <si>
    <t>בן דוד )אלדד( רינה</t>
  </si>
  <si>
    <t>בן דוד )אלדד(</t>
  </si>
  <si>
    <t>רינה</t>
  </si>
  <si>
    <t>0113</t>
  </si>
  <si>
    <t>211684451</t>
  </si>
  <si>
    <t>01141</t>
  </si>
  <si>
    <t>אביעד עמיחי</t>
  </si>
  <si>
    <t>אביעד</t>
  </si>
  <si>
    <t>עמיחי</t>
  </si>
  <si>
    <t>0114</t>
  </si>
  <si>
    <t>אביעד עמיחי ורבקה</t>
  </si>
  <si>
    <t>054778915</t>
  </si>
  <si>
    <t>01142</t>
  </si>
  <si>
    <t>אביעד רבקה</t>
  </si>
  <si>
    <t>רבקה</t>
  </si>
  <si>
    <t>056354079</t>
  </si>
  <si>
    <t>01151</t>
  </si>
  <si>
    <t>אלדד נפתלי</t>
  </si>
  <si>
    <t>נפתלי</t>
  </si>
  <si>
    <t>057457699</t>
  </si>
  <si>
    <t>01152</t>
  </si>
  <si>
    <t>אלדד מאשי</t>
  </si>
  <si>
    <t>מאשי</t>
  </si>
  <si>
    <t>058002593</t>
  </si>
  <si>
    <t>01181</t>
  </si>
  <si>
    <t>אריאל אסף</t>
  </si>
  <si>
    <t>אסף</t>
  </si>
  <si>
    <t>0118</t>
  </si>
  <si>
    <t>אריאל אסף ואלישבע</t>
  </si>
  <si>
    <t>206904666</t>
  </si>
  <si>
    <t>01182</t>
  </si>
  <si>
    <t>אריאל אלישבע</t>
  </si>
  <si>
    <t>אלישבע</t>
  </si>
  <si>
    <t>315657932</t>
  </si>
  <si>
    <t>01183</t>
  </si>
  <si>
    <t>אריאל ירדן</t>
  </si>
  <si>
    <t>ירדן</t>
  </si>
  <si>
    <t>235226933</t>
  </si>
  <si>
    <t>01184</t>
  </si>
  <si>
    <t>אריאל טליה</t>
  </si>
  <si>
    <t>טליה</t>
  </si>
  <si>
    <t>240069922</t>
  </si>
  <si>
    <t>01191</t>
  </si>
  <si>
    <t>קפלן שמואל חיים</t>
  </si>
  <si>
    <t>קפלן</t>
  </si>
  <si>
    <t>שמואל חיים</t>
  </si>
  <si>
    <t>0119</t>
  </si>
  <si>
    <t>קפלן שמואל וחני )אלדד(</t>
  </si>
  <si>
    <t>059253021</t>
  </si>
  <si>
    <t>01192</t>
  </si>
  <si>
    <t>קפלן )אבינר( חנה</t>
  </si>
  <si>
    <t>קפלן )אבינר(</t>
  </si>
  <si>
    <t>חנה</t>
  </si>
  <si>
    <t>200123792</t>
  </si>
  <si>
    <t>01195</t>
  </si>
  <si>
    <t>קפלן מאיר מרדכי</t>
  </si>
  <si>
    <t>מאיר מרדכי</t>
  </si>
  <si>
    <t>340242551</t>
  </si>
  <si>
    <t xml:space="preserve">4     </t>
  </si>
  <si>
    <t>01202</t>
  </si>
  <si>
    <t>אריאל נעמה שולמית</t>
  </si>
  <si>
    <t>נעמה שולמית</t>
  </si>
  <si>
    <t>0120</t>
  </si>
  <si>
    <t>אריאל נעמה</t>
  </si>
  <si>
    <t>213195423</t>
  </si>
  <si>
    <t>01211</t>
  </si>
  <si>
    <t>אלדד מורדכי</t>
  </si>
  <si>
    <t>מורדכי</t>
  </si>
  <si>
    <t>0121</t>
  </si>
  <si>
    <t>אלדד מוטי</t>
  </si>
  <si>
    <t>024474892</t>
  </si>
  <si>
    <t>01231</t>
  </si>
  <si>
    <t>אונגר משה      נתן</t>
  </si>
  <si>
    <t>אונגר</t>
  </si>
  <si>
    <t>משה      נתן</t>
  </si>
  <si>
    <t>0123</t>
  </si>
  <si>
    <t>אונגר משה</t>
  </si>
  <si>
    <t>060958279</t>
  </si>
  <si>
    <t>01233</t>
  </si>
  <si>
    <t>אונגר שילה</t>
  </si>
  <si>
    <t>שילה</t>
  </si>
  <si>
    <t>0148</t>
  </si>
  <si>
    <t>שושן-המר אדווה</t>
  </si>
  <si>
    <t>222126013</t>
  </si>
  <si>
    <t>01482</t>
  </si>
  <si>
    <t>המר-שושן אדוה</t>
  </si>
  <si>
    <t>01252</t>
  </si>
  <si>
    <t>אדלר בלימה</t>
  </si>
  <si>
    <t>בלימה</t>
  </si>
  <si>
    <t>0125</t>
  </si>
  <si>
    <t>017069824</t>
  </si>
  <si>
    <t>01261</t>
  </si>
  <si>
    <t>אביעד ברק צבי</t>
  </si>
  <si>
    <t>ברק צבי</t>
  </si>
  <si>
    <t>0126</t>
  </si>
  <si>
    <t>אביעד ברק ושיר</t>
  </si>
  <si>
    <t>308357821</t>
  </si>
  <si>
    <t>01262</t>
  </si>
  <si>
    <t>אביעד שיר אסנת</t>
  </si>
  <si>
    <t>שיר אסנת</t>
  </si>
  <si>
    <t>311176606</t>
  </si>
  <si>
    <t>01263</t>
  </si>
  <si>
    <t>אביעד מיכאל יצחק</t>
  </si>
  <si>
    <t>מיכאל יצחק</t>
  </si>
  <si>
    <t>229510581</t>
  </si>
  <si>
    <t>01264</t>
  </si>
  <si>
    <t>אביעד גפן חנה</t>
  </si>
  <si>
    <t>גפן חנה</t>
  </si>
  <si>
    <t>229952361</t>
  </si>
  <si>
    <t>קדמון</t>
  </si>
  <si>
    <t>נועם</t>
  </si>
  <si>
    <t>0129</t>
  </si>
  <si>
    <t>קדמון נועם וצליל</t>
  </si>
  <si>
    <t>01292</t>
  </si>
  <si>
    <t>קדמון צליל</t>
  </si>
  <si>
    <t>צליל</t>
  </si>
  <si>
    <t>322602392</t>
  </si>
  <si>
    <t>אורי</t>
  </si>
  <si>
    <t>01301</t>
  </si>
  <si>
    <t>אריאל יאיר</t>
  </si>
  <si>
    <t>יאיר</t>
  </si>
  <si>
    <t>0130</t>
  </si>
  <si>
    <t>אריאל יאיר ואילת</t>
  </si>
  <si>
    <t>038021804</t>
  </si>
  <si>
    <t>01302</t>
  </si>
  <si>
    <t>אריאל איילת</t>
  </si>
  <si>
    <t>איילת</t>
  </si>
  <si>
    <t>039899349</t>
  </si>
  <si>
    <t>01303</t>
  </si>
  <si>
    <t>אריאל שחר</t>
  </si>
  <si>
    <t>שחר</t>
  </si>
  <si>
    <t>334617156</t>
  </si>
  <si>
    <t>01304</t>
  </si>
  <si>
    <t>אריאל עידו</t>
  </si>
  <si>
    <t>עידו</t>
  </si>
  <si>
    <t>221030042</t>
  </si>
  <si>
    <t>01305</t>
  </si>
  <si>
    <t>אריאל הילה</t>
  </si>
  <si>
    <t>הילה</t>
  </si>
  <si>
    <t>223721457</t>
  </si>
  <si>
    <t>01306</t>
  </si>
  <si>
    <t>אריאל נוגה</t>
  </si>
  <si>
    <t>נוגה</t>
  </si>
  <si>
    <t>228146551</t>
  </si>
  <si>
    <t>01341</t>
  </si>
  <si>
    <t>אלדד שלמה פינחס</t>
  </si>
  <si>
    <t>שלמה פינחס</t>
  </si>
  <si>
    <t>0134</t>
  </si>
  <si>
    <t>אלדד שלומי ונעה</t>
  </si>
  <si>
    <t>301088449</t>
  </si>
  <si>
    <t>01342</t>
  </si>
  <si>
    <t>אלדד נעה     נעמה</t>
  </si>
  <si>
    <t>נעה     נעמה</t>
  </si>
  <si>
    <t>305596322</t>
  </si>
  <si>
    <t>01343</t>
  </si>
  <si>
    <t>אלדד טליה            אידה</t>
  </si>
  <si>
    <t>טליה            אידה</t>
  </si>
  <si>
    <t>336845698</t>
  </si>
  <si>
    <t>01344</t>
  </si>
  <si>
    <t>אלדד עמיחי  שמואל</t>
  </si>
  <si>
    <t>עמיחי  שמואל</t>
  </si>
  <si>
    <t>340296508</t>
  </si>
  <si>
    <t>01345</t>
  </si>
  <si>
    <t>אלדד הראל</t>
  </si>
  <si>
    <t>הראל</t>
  </si>
  <si>
    <t>226798312</t>
  </si>
  <si>
    <t>01346</t>
  </si>
  <si>
    <t>אלדד איתי יוסף</t>
  </si>
  <si>
    <t>איתי יוסף</t>
  </si>
  <si>
    <t>234426773</t>
  </si>
  <si>
    <t>01347</t>
  </si>
  <si>
    <t>אלדד עומר</t>
  </si>
  <si>
    <t>עומר</t>
  </si>
  <si>
    <t>242967123</t>
  </si>
  <si>
    <t>01361</t>
  </si>
  <si>
    <t>שפר הלל יוסף</t>
  </si>
  <si>
    <t>שפר</t>
  </si>
  <si>
    <t>הלל יוסף</t>
  </si>
  <si>
    <t>0136</t>
  </si>
  <si>
    <t>שפר אלדד מעיין</t>
  </si>
  <si>
    <t>213381627</t>
  </si>
  <si>
    <t>01362</t>
  </si>
  <si>
    <t>שפר מעיין אהבה</t>
  </si>
  <si>
    <t>מעיין אהבה</t>
  </si>
  <si>
    <t>325183697</t>
  </si>
  <si>
    <t>01363</t>
  </si>
  <si>
    <t>שפר טוהר</t>
  </si>
  <si>
    <t>טוהר</t>
  </si>
  <si>
    <t>241729532</t>
  </si>
  <si>
    <t>01364</t>
  </si>
  <si>
    <t>שפר עדן</t>
  </si>
  <si>
    <t>עדן</t>
  </si>
  <si>
    <t>241729540</t>
  </si>
  <si>
    <t>01441</t>
  </si>
  <si>
    <t>אריה צוריאל</t>
  </si>
  <si>
    <t>אריה</t>
  </si>
  <si>
    <t>צוריאל</t>
  </si>
  <si>
    <t>0144</t>
  </si>
  <si>
    <t>אריה צוריאל ואורלי</t>
  </si>
  <si>
    <t>200617793</t>
  </si>
  <si>
    <t>01442</t>
  </si>
  <si>
    <t>אריה אורלי</t>
  </si>
  <si>
    <t>אורלי</t>
  </si>
  <si>
    <t>201307246</t>
  </si>
  <si>
    <t>01443</t>
  </si>
  <si>
    <t>אריה הדר</t>
  </si>
  <si>
    <t>הדר</t>
  </si>
  <si>
    <t>338915960</t>
  </si>
  <si>
    <t>01444</t>
  </si>
  <si>
    <t>אריה גלי</t>
  </si>
  <si>
    <t>גלי</t>
  </si>
  <si>
    <t>343344008</t>
  </si>
  <si>
    <t>01445</t>
  </si>
  <si>
    <t>אריה יובל</t>
  </si>
  <si>
    <t>יובל</t>
  </si>
  <si>
    <t>229004775</t>
  </si>
  <si>
    <t>01452</t>
  </si>
  <si>
    <t>אביעד נטע</t>
  </si>
  <si>
    <t>נטע</t>
  </si>
  <si>
    <t>0145</t>
  </si>
  <si>
    <t>314715285</t>
  </si>
  <si>
    <t>01461</t>
  </si>
  <si>
    <t>אלדד נעם</t>
  </si>
  <si>
    <t>נעם</t>
  </si>
  <si>
    <t>0146</t>
  </si>
  <si>
    <t>אלדד נעם ושי</t>
  </si>
  <si>
    <t>205867658</t>
  </si>
  <si>
    <t>01462</t>
  </si>
  <si>
    <t>אלדד-יעקב שי</t>
  </si>
  <si>
    <t>אלדד-יעקב</t>
  </si>
  <si>
    <t>שי</t>
  </si>
  <si>
    <t>206937963</t>
  </si>
  <si>
    <t>01472</t>
  </si>
  <si>
    <t>שלו )אלדד( חן</t>
  </si>
  <si>
    <t>שלו )אלדד(</t>
  </si>
  <si>
    <t>חן</t>
  </si>
  <si>
    <t>0147</t>
  </si>
  <si>
    <t>אלדד חן</t>
  </si>
  <si>
    <t>206799959</t>
  </si>
  <si>
    <t>01471</t>
  </si>
  <si>
    <t>שלו שי שמעון</t>
  </si>
  <si>
    <t>01481</t>
  </si>
  <si>
    <t>שושן אבי</t>
  </si>
  <si>
    <t>שושן</t>
  </si>
  <si>
    <t>אבי</t>
  </si>
  <si>
    <t>033406497</t>
  </si>
  <si>
    <t>נשוי בשנית</t>
  </si>
  <si>
    <t>המר-שושן</t>
  </si>
  <si>
    <t>אדוה</t>
  </si>
  <si>
    <t>036819514</t>
  </si>
  <si>
    <t>01492</t>
  </si>
  <si>
    <t>אמיר מורן</t>
  </si>
  <si>
    <t>מורן</t>
  </si>
  <si>
    <t>0149</t>
  </si>
  <si>
    <t>318234010</t>
  </si>
  <si>
    <t>01511</t>
  </si>
  <si>
    <t>אמיר יצחק</t>
  </si>
  <si>
    <t>יצחק</t>
  </si>
  <si>
    <t>0151</t>
  </si>
  <si>
    <t>318234028</t>
  </si>
  <si>
    <t>02021</t>
  </si>
  <si>
    <t>ברודי אמנון</t>
  </si>
  <si>
    <t>ברודי</t>
  </si>
  <si>
    <t>אמנון</t>
  </si>
  <si>
    <t>0202</t>
  </si>
  <si>
    <t>ברודי אמנון אתי</t>
  </si>
  <si>
    <t>050649383</t>
  </si>
  <si>
    <t>02022</t>
  </si>
  <si>
    <t>ברודי אתי</t>
  </si>
  <si>
    <t>אתי</t>
  </si>
  <si>
    <t>050872654</t>
  </si>
  <si>
    <t>02062</t>
  </si>
  <si>
    <t>בן-יעקב שאולה</t>
  </si>
  <si>
    <t>בן-יעקב</t>
  </si>
  <si>
    <t>שאולה</t>
  </si>
  <si>
    <t>0206</t>
  </si>
  <si>
    <t>בן יעקב שאולה</t>
  </si>
  <si>
    <t>003160678</t>
  </si>
  <si>
    <t>902061</t>
  </si>
  <si>
    <t>בן-יעקב אברהם ז"ל</t>
  </si>
  <si>
    <t>אלמן</t>
  </si>
  <si>
    <t>02111</t>
  </si>
  <si>
    <t>ברודי נועם</t>
  </si>
  <si>
    <t>0211</t>
  </si>
  <si>
    <t>ברודי נעם וקרן</t>
  </si>
  <si>
    <t>חבר במסב</t>
  </si>
  <si>
    <t>031943954</t>
  </si>
  <si>
    <t>02112</t>
  </si>
  <si>
    <t>ברודי קרן</t>
  </si>
  <si>
    <t>קרן</t>
  </si>
  <si>
    <t>031880529</t>
  </si>
  <si>
    <t>02115</t>
  </si>
  <si>
    <t>ברודי רועי</t>
  </si>
  <si>
    <t>רועי</t>
  </si>
  <si>
    <t>219041050</t>
  </si>
  <si>
    <t>02121</t>
  </si>
  <si>
    <t>בירנבאום צבי</t>
  </si>
  <si>
    <t>בירנבאום</t>
  </si>
  <si>
    <t>צבי</t>
  </si>
  <si>
    <t>0212</t>
  </si>
  <si>
    <t>בירנבאום צביקה ואורה</t>
  </si>
  <si>
    <t>054015409</t>
  </si>
  <si>
    <t>02122</t>
  </si>
  <si>
    <t>בירנבאום אורה</t>
  </si>
  <si>
    <t>אורה</t>
  </si>
  <si>
    <t>056488497</t>
  </si>
  <si>
    <t>02141</t>
  </si>
  <si>
    <t>סרג`</t>
  </si>
  <si>
    <t>0214</t>
  </si>
  <si>
    <t>בן חמו סרג` ורחל</t>
  </si>
  <si>
    <t>011235751</t>
  </si>
  <si>
    <t>02142</t>
  </si>
  <si>
    <t>בן חמו רחל אן</t>
  </si>
  <si>
    <t>בן חמו</t>
  </si>
  <si>
    <t>רחל אן</t>
  </si>
  <si>
    <t>015436124</t>
  </si>
  <si>
    <t>02161</t>
  </si>
  <si>
    <t>בר פלד יואב</t>
  </si>
  <si>
    <t>בר פלד</t>
  </si>
  <si>
    <t>יואב</t>
  </si>
  <si>
    <t>0216</t>
  </si>
  <si>
    <t>בר פלד יואב וחנה</t>
  </si>
  <si>
    <t>051207397</t>
  </si>
  <si>
    <t>02162</t>
  </si>
  <si>
    <t>בר פלד חנה</t>
  </si>
  <si>
    <t>051963973</t>
  </si>
  <si>
    <t>02171</t>
  </si>
  <si>
    <t>ברודי אלחנן</t>
  </si>
  <si>
    <t>אלחנן</t>
  </si>
  <si>
    <t>0217</t>
  </si>
  <si>
    <t>ברודי אלחנן ורחל</t>
  </si>
  <si>
    <t>051789634</t>
  </si>
  <si>
    <t>02172</t>
  </si>
  <si>
    <t>ברודי רחל</t>
  </si>
  <si>
    <t>רחל</t>
  </si>
  <si>
    <t>053954905</t>
  </si>
  <si>
    <t>02181</t>
  </si>
  <si>
    <t>בן-טל רפאל</t>
  </si>
  <si>
    <t>בן-טל</t>
  </si>
  <si>
    <t>רפאל</t>
  </si>
  <si>
    <t>0218</t>
  </si>
  <si>
    <t>בן טל רפי ושושנה</t>
  </si>
  <si>
    <t>053446498</t>
  </si>
  <si>
    <t>02182</t>
  </si>
  <si>
    <t>בן-טל שושנה</t>
  </si>
  <si>
    <t>שושנה</t>
  </si>
  <si>
    <t>053461802</t>
  </si>
  <si>
    <t>02191</t>
  </si>
  <si>
    <t>בשן בנימין</t>
  </si>
  <si>
    <t>בשן</t>
  </si>
  <si>
    <t>בנימין</t>
  </si>
  <si>
    <t>0219</t>
  </si>
  <si>
    <t>בשן בנימין ורחל</t>
  </si>
  <si>
    <t>053038089</t>
  </si>
  <si>
    <t>02192</t>
  </si>
  <si>
    <t>בשן רחל</t>
  </si>
  <si>
    <t>054551023</t>
  </si>
  <si>
    <t>02201</t>
  </si>
  <si>
    <t>בן-עמי צבי</t>
  </si>
  <si>
    <t>בן-עמי</t>
  </si>
  <si>
    <t>0220</t>
  </si>
  <si>
    <t>בן עמי צבי והדסה</t>
  </si>
  <si>
    <t>011181591</t>
  </si>
  <si>
    <t>02202</t>
  </si>
  <si>
    <t>בן-עמי הדסה</t>
  </si>
  <si>
    <t>הדסה</t>
  </si>
  <si>
    <t>053571121</t>
  </si>
  <si>
    <t>02221</t>
  </si>
  <si>
    <t>בר יתיר</t>
  </si>
  <si>
    <t>בר</t>
  </si>
  <si>
    <t>יתיר</t>
  </si>
  <si>
    <t>0226</t>
  </si>
  <si>
    <t>בר מאור ושלי</t>
  </si>
  <si>
    <t>329118590</t>
  </si>
  <si>
    <t>02261</t>
  </si>
  <si>
    <t>בר מאור</t>
  </si>
  <si>
    <t xml:space="preserve">3     </t>
  </si>
  <si>
    <t>02231</t>
  </si>
  <si>
    <t>ברבן נועם</t>
  </si>
  <si>
    <t>ברבן</t>
  </si>
  <si>
    <t>0237</t>
  </si>
  <si>
    <t>ברבן אבי ותמי</t>
  </si>
  <si>
    <t>214287997</t>
  </si>
  <si>
    <t>02371</t>
  </si>
  <si>
    <t>ברבן אברהם</t>
  </si>
  <si>
    <t>02241</t>
  </si>
  <si>
    <t>ברבן יהונתן</t>
  </si>
  <si>
    <t>יהונתן</t>
  </si>
  <si>
    <t>214288003</t>
  </si>
  <si>
    <t>מאור</t>
  </si>
  <si>
    <t>040063240</t>
  </si>
  <si>
    <t>02262</t>
  </si>
  <si>
    <t>בר שלי</t>
  </si>
  <si>
    <t>שלי</t>
  </si>
  <si>
    <t>031521842</t>
  </si>
  <si>
    <t>02264</t>
  </si>
  <si>
    <t>בר אגת</t>
  </si>
  <si>
    <t>אגת</t>
  </si>
  <si>
    <t>218570430</t>
  </si>
  <si>
    <t>02265</t>
  </si>
  <si>
    <t>בר נטף</t>
  </si>
  <si>
    <t>נטף</t>
  </si>
  <si>
    <t>221007834</t>
  </si>
  <si>
    <t>02271</t>
  </si>
  <si>
    <t>ברודי עודד</t>
  </si>
  <si>
    <t>עודד</t>
  </si>
  <si>
    <t>0227</t>
  </si>
  <si>
    <t>ברודי עודד ואביבית</t>
  </si>
  <si>
    <t>040012577</t>
  </si>
  <si>
    <t>02272</t>
  </si>
  <si>
    <t>ברודי אביבית</t>
  </si>
  <si>
    <t>אביבית</t>
  </si>
  <si>
    <t>200539450</t>
  </si>
  <si>
    <t>02273</t>
  </si>
  <si>
    <t>ברודי עילאי דוד</t>
  </si>
  <si>
    <t>עילאי דוד</t>
  </si>
  <si>
    <t>222128688</t>
  </si>
  <si>
    <t>02274</t>
  </si>
  <si>
    <t>ברודי כרם       גרטל</t>
  </si>
  <si>
    <t>כרם       גרטל</t>
  </si>
  <si>
    <t>224662486</t>
  </si>
  <si>
    <t>02275</t>
  </si>
  <si>
    <t>ברודי עלמא   פנינה</t>
  </si>
  <si>
    <t>עלמא   פנינה</t>
  </si>
  <si>
    <t>228159562</t>
  </si>
  <si>
    <t>02281</t>
  </si>
  <si>
    <t>ברודי גיא</t>
  </si>
  <si>
    <t>גיא</t>
  </si>
  <si>
    <t>216789438</t>
  </si>
  <si>
    <t>אברהם</t>
  </si>
  <si>
    <t>058488685</t>
  </si>
  <si>
    <t>02372</t>
  </si>
  <si>
    <t>ברבן תמר</t>
  </si>
  <si>
    <t>058875436</t>
  </si>
  <si>
    <t>02391</t>
  </si>
  <si>
    <t>ברודי ניתאי  שמעון</t>
  </si>
  <si>
    <t>ניתאי  שמעון</t>
  </si>
  <si>
    <t>214959926</t>
  </si>
  <si>
    <t>02492</t>
  </si>
  <si>
    <t>עבדיה )ביטון( לוטם</t>
  </si>
  <si>
    <t>עבדיה )ביטון(</t>
  </si>
  <si>
    <t>לוטם</t>
  </si>
  <si>
    <t>0249</t>
  </si>
  <si>
    <t>עובדיה לוטם</t>
  </si>
  <si>
    <t>021586219</t>
  </si>
  <si>
    <t>02493</t>
  </si>
  <si>
    <t>ביטון שמאי</t>
  </si>
  <si>
    <t>ביטון</t>
  </si>
  <si>
    <t>שמאי</t>
  </si>
  <si>
    <t>219150349</t>
  </si>
  <si>
    <t>02494</t>
  </si>
  <si>
    <t>ביטון גפן</t>
  </si>
  <si>
    <t>גפן</t>
  </si>
  <si>
    <t>221227770</t>
  </si>
  <si>
    <t>02501</t>
  </si>
  <si>
    <t>בן עמי ירדן חיים</t>
  </si>
  <si>
    <t>בן עמי</t>
  </si>
  <si>
    <t>ירדן חיים</t>
  </si>
  <si>
    <t>0250</t>
  </si>
  <si>
    <t>בן עמי ירדן ודנה</t>
  </si>
  <si>
    <t>305663395</t>
  </si>
  <si>
    <t>02502</t>
  </si>
  <si>
    <t>בן עמי דנה</t>
  </si>
  <si>
    <t>דנה</t>
  </si>
  <si>
    <t>203298997</t>
  </si>
  <si>
    <t>02503</t>
  </si>
  <si>
    <t>בן עמי מעיין</t>
  </si>
  <si>
    <t>מעיין</t>
  </si>
  <si>
    <t>233645746</t>
  </si>
  <si>
    <t>02504</t>
  </si>
  <si>
    <t>בן עמי נטע אלי</t>
  </si>
  <si>
    <t>נטע אלי</t>
  </si>
  <si>
    <t>238807374</t>
  </si>
  <si>
    <t>02521</t>
  </si>
  <si>
    <t>בן אהרון ערן</t>
  </si>
  <si>
    <t>בן אהרון</t>
  </si>
  <si>
    <t>ערן</t>
  </si>
  <si>
    <t>0252</t>
  </si>
  <si>
    <t>בן אהרון ערן ודפנה</t>
  </si>
  <si>
    <t>040864050</t>
  </si>
  <si>
    <t>02522</t>
  </si>
  <si>
    <t>בן אהרון דפנה-רבקה</t>
  </si>
  <si>
    <t>דפנה-רבקה</t>
  </si>
  <si>
    <t>039633086</t>
  </si>
  <si>
    <t>02523</t>
  </si>
  <si>
    <t>בן אהרון מיכל</t>
  </si>
  <si>
    <t>מיכל</t>
  </si>
  <si>
    <t>217811926</t>
  </si>
  <si>
    <t>02524</t>
  </si>
  <si>
    <t>בן אהרון יאיר</t>
  </si>
  <si>
    <t>335837811</t>
  </si>
  <si>
    <t>02525</t>
  </si>
  <si>
    <t>בן אהרון אילה</t>
  </si>
  <si>
    <t>אילה</t>
  </si>
  <si>
    <t>341581189</t>
  </si>
  <si>
    <t>02526</t>
  </si>
  <si>
    <t>בן אהרון הילל</t>
  </si>
  <si>
    <t>הילל</t>
  </si>
  <si>
    <t>226405181</t>
  </si>
  <si>
    <t>02561</t>
  </si>
  <si>
    <t>בירנבאום זמיר</t>
  </si>
  <si>
    <t>זמיר</t>
  </si>
  <si>
    <t>0256</t>
  </si>
  <si>
    <t>201108826</t>
  </si>
  <si>
    <t>02581</t>
  </si>
  <si>
    <t>ברבן גיא</t>
  </si>
  <si>
    <t>0258</t>
  </si>
  <si>
    <t>208577049</t>
  </si>
  <si>
    <t>03011</t>
  </si>
  <si>
    <t>גוטליב דב</t>
  </si>
  <si>
    <t>גוטליב</t>
  </si>
  <si>
    <t>דב</t>
  </si>
  <si>
    <t>0301</t>
  </si>
  <si>
    <t>גוטליב דב ונעמי</t>
  </si>
  <si>
    <t>069892461</t>
  </si>
  <si>
    <t>03012</t>
  </si>
  <si>
    <t>גוטליב נעמי</t>
  </si>
  <si>
    <t>נעמי</t>
  </si>
  <si>
    <t>069892479</t>
  </si>
  <si>
    <t>03022</t>
  </si>
  <si>
    <t>גלבוע חנה</t>
  </si>
  <si>
    <t>גלבוע</t>
  </si>
  <si>
    <t>0302</t>
  </si>
  <si>
    <t>גלבוע מרדכי ז"ל וחנה</t>
  </si>
  <si>
    <t>005615661</t>
  </si>
  <si>
    <t>903021</t>
  </si>
  <si>
    <t>גלבוע מרדכי ז"ל</t>
  </si>
  <si>
    <t>03031</t>
  </si>
  <si>
    <t>גרינבלט משה</t>
  </si>
  <si>
    <t>גרינבלט</t>
  </si>
  <si>
    <t>משה</t>
  </si>
  <si>
    <t>0303</t>
  </si>
  <si>
    <t>גרינבלט משה ורותי</t>
  </si>
  <si>
    <t>047081542</t>
  </si>
  <si>
    <t>03032</t>
  </si>
  <si>
    <t>גרינבלט רותי</t>
  </si>
  <si>
    <t>רותי</t>
  </si>
  <si>
    <t>046278339</t>
  </si>
  <si>
    <t>03041</t>
  </si>
  <si>
    <t>גביר שמואל</t>
  </si>
  <si>
    <t>גביר</t>
  </si>
  <si>
    <t>0304</t>
  </si>
  <si>
    <t>גביר שמואל ואילה</t>
  </si>
  <si>
    <t>028640100</t>
  </si>
  <si>
    <t>03042</t>
  </si>
  <si>
    <t>גביר אילה</t>
  </si>
  <si>
    <t>024888554</t>
  </si>
  <si>
    <t>03051</t>
  </si>
  <si>
    <t>גריסמן אורי</t>
  </si>
  <si>
    <t>גריסמן</t>
  </si>
  <si>
    <t>0305</t>
  </si>
  <si>
    <t>גרייסמן אורי וחנה</t>
  </si>
  <si>
    <t>050393107</t>
  </si>
  <si>
    <t>03052</t>
  </si>
  <si>
    <t>גריסמן חנה</t>
  </si>
  <si>
    <t>004999108</t>
  </si>
  <si>
    <t>03061</t>
  </si>
  <si>
    <t>גוזלנד שמעון</t>
  </si>
  <si>
    <t>גוזלנד</t>
  </si>
  <si>
    <t>שמעון</t>
  </si>
  <si>
    <t>0306</t>
  </si>
  <si>
    <t>גוזלנד שמעון ומוריה</t>
  </si>
  <si>
    <t>033779844</t>
  </si>
  <si>
    <t>03062</t>
  </si>
  <si>
    <t>גוזלנד מוריה</t>
  </si>
  <si>
    <t>מוריה</t>
  </si>
  <si>
    <t>040065740</t>
  </si>
  <si>
    <t>03063</t>
  </si>
  <si>
    <t>גוזלנד רוני    אסתר</t>
  </si>
  <si>
    <t>רוני    אסתר</t>
  </si>
  <si>
    <t>217449818</t>
  </si>
  <si>
    <t>03064</t>
  </si>
  <si>
    <t>גוזלנד אביב    הדר</t>
  </si>
  <si>
    <t>אביב    הדר</t>
  </si>
  <si>
    <t>335845798</t>
  </si>
  <si>
    <t>03065</t>
  </si>
  <si>
    <t>גוזלנד כרמל       הודיה</t>
  </si>
  <si>
    <t>כרמל       הודיה</t>
  </si>
  <si>
    <t>338546641</t>
  </si>
  <si>
    <t>03066</t>
  </si>
  <si>
    <t>גוזלנד לשם אביה</t>
  </si>
  <si>
    <t>לשם אביה</t>
  </si>
  <si>
    <t>223723701</t>
  </si>
  <si>
    <t>03071</t>
  </si>
  <si>
    <t>גוטליב ידידיה</t>
  </si>
  <si>
    <t>ידידיה</t>
  </si>
  <si>
    <t>0307</t>
  </si>
  <si>
    <t>גוטליב ידידיה ואהבה</t>
  </si>
  <si>
    <t>029606829</t>
  </si>
  <si>
    <t>03072</t>
  </si>
  <si>
    <t>גוטליב אהבה</t>
  </si>
  <si>
    <t>אהבה</t>
  </si>
  <si>
    <t>037583481</t>
  </si>
  <si>
    <t>03075</t>
  </si>
  <si>
    <t>גוטליב גומא</t>
  </si>
  <si>
    <t>גומא</t>
  </si>
  <si>
    <t>217515675</t>
  </si>
  <si>
    <t>03076</t>
  </si>
  <si>
    <t>גוטליב מגל</t>
  </si>
  <si>
    <t>מגל</t>
  </si>
  <si>
    <t>339269938</t>
  </si>
  <si>
    <t>03081</t>
  </si>
  <si>
    <t>גביר ארז יוסף</t>
  </si>
  <si>
    <t>ארז יוסף</t>
  </si>
  <si>
    <t>0308</t>
  </si>
  <si>
    <t>גביר ארז ונטע</t>
  </si>
  <si>
    <t>206955403</t>
  </si>
  <si>
    <t>03082</t>
  </si>
  <si>
    <t>גביר נטע</t>
  </si>
  <si>
    <t>206106890</t>
  </si>
  <si>
    <t>03083</t>
  </si>
  <si>
    <t>גביר רותם</t>
  </si>
  <si>
    <t>רותם</t>
  </si>
  <si>
    <t>234522589</t>
  </si>
  <si>
    <t>03084</t>
  </si>
  <si>
    <t>גביר ארבל</t>
  </si>
  <si>
    <t>ארבל</t>
  </si>
  <si>
    <t>237468897</t>
  </si>
  <si>
    <t>03091</t>
  </si>
  <si>
    <t>גלבוע נעם נפתלי</t>
  </si>
  <si>
    <t>נעם נפתלי</t>
  </si>
  <si>
    <t>0309</t>
  </si>
  <si>
    <t>גלבוע נעם</t>
  </si>
  <si>
    <t>038832366</t>
  </si>
  <si>
    <t>03092</t>
  </si>
  <si>
    <t>גלבוע נעה</t>
  </si>
  <si>
    <t>נעה</t>
  </si>
  <si>
    <t>0320</t>
  </si>
  <si>
    <t>300007879</t>
  </si>
  <si>
    <t>03094</t>
  </si>
  <si>
    <t>גלבוע הדר מלכה</t>
  </si>
  <si>
    <t>הדר מלכה</t>
  </si>
  <si>
    <t>334614831</t>
  </si>
  <si>
    <t>03095</t>
  </si>
  <si>
    <t>גלבוע נטע</t>
  </si>
  <si>
    <t>224648949</t>
  </si>
  <si>
    <t>03101</t>
  </si>
  <si>
    <t>גביר אלון יאיר</t>
  </si>
  <si>
    <t>אלון יאיר</t>
  </si>
  <si>
    <t>0310</t>
  </si>
  <si>
    <t>גביר אלון ואור</t>
  </si>
  <si>
    <t>208882159</t>
  </si>
  <si>
    <t>03102</t>
  </si>
  <si>
    <t>גביר אור</t>
  </si>
  <si>
    <t>אור</t>
  </si>
  <si>
    <t>318229465</t>
  </si>
  <si>
    <t>03103</t>
  </si>
  <si>
    <t>גביר כרמל</t>
  </si>
  <si>
    <t>כרמל</t>
  </si>
  <si>
    <t>241310200</t>
  </si>
  <si>
    <t>03112</t>
  </si>
  <si>
    <t>גביר אוריה</t>
  </si>
  <si>
    <t>אוריה</t>
  </si>
  <si>
    <t>0311</t>
  </si>
  <si>
    <t>208256776</t>
  </si>
  <si>
    <t>03121</t>
  </si>
  <si>
    <t>כרמל איתמר</t>
  </si>
  <si>
    <t>איתמר</t>
  </si>
  <si>
    <t>0312</t>
  </si>
  <si>
    <t>כרמל איתמר ולימור</t>
  </si>
  <si>
    <t>065758195</t>
  </si>
  <si>
    <t>03122</t>
  </si>
  <si>
    <t>כרמל לימור</t>
  </si>
  <si>
    <t>לימור</t>
  </si>
  <si>
    <t>021629589</t>
  </si>
  <si>
    <t>03123</t>
  </si>
  <si>
    <t>כרמל יהונתן</t>
  </si>
  <si>
    <t>218617736</t>
  </si>
  <si>
    <t>03124</t>
  </si>
  <si>
    <t>כרמל אשחר</t>
  </si>
  <si>
    <t>אשחר</t>
  </si>
  <si>
    <t>221065923</t>
  </si>
  <si>
    <t>03125</t>
  </si>
  <si>
    <t>כרמל הדר</t>
  </si>
  <si>
    <t>224852517</t>
  </si>
  <si>
    <t>03126</t>
  </si>
  <si>
    <t>כרמל שקד</t>
  </si>
  <si>
    <t>שקד</t>
  </si>
  <si>
    <t>227348869</t>
  </si>
  <si>
    <t>03127</t>
  </si>
  <si>
    <t>כרמל גלי אביה</t>
  </si>
  <si>
    <t>גלי אביה</t>
  </si>
  <si>
    <t>236079851</t>
  </si>
  <si>
    <t>03132</t>
  </si>
  <si>
    <t>גביר אשרת</t>
  </si>
  <si>
    <t>אשרת</t>
  </si>
  <si>
    <t>328367784</t>
  </si>
  <si>
    <t>03142</t>
  </si>
  <si>
    <t>גוטליב נעם</t>
  </si>
  <si>
    <t>0314</t>
  </si>
  <si>
    <t>324232537</t>
  </si>
  <si>
    <t xml:space="preserve">236   </t>
  </si>
  <si>
    <t>03152</t>
  </si>
  <si>
    <t>גביר אביה   יונית</t>
  </si>
  <si>
    <t>אביה   יונית</t>
  </si>
  <si>
    <t>213270259</t>
  </si>
  <si>
    <t>03171</t>
  </si>
  <si>
    <t>גורי יעקב</t>
  </si>
  <si>
    <t>גורי</t>
  </si>
  <si>
    <t>יעקב</t>
  </si>
  <si>
    <t>0317</t>
  </si>
  <si>
    <t>גורי יעקב ונעמי</t>
  </si>
  <si>
    <t>062896303</t>
  </si>
  <si>
    <t>03172</t>
  </si>
  <si>
    <t>גורי נעמי</t>
  </si>
  <si>
    <t>036970887</t>
  </si>
  <si>
    <t>03173</t>
  </si>
  <si>
    <t>גורי אילה</t>
  </si>
  <si>
    <t>221164577</t>
  </si>
  <si>
    <t>03174</t>
  </si>
  <si>
    <t>גורי יהונתן</t>
  </si>
  <si>
    <t>222701708</t>
  </si>
  <si>
    <t>03175</t>
  </si>
  <si>
    <t>גורי יהודה</t>
  </si>
  <si>
    <t>224963330</t>
  </si>
  <si>
    <t>03176</t>
  </si>
  <si>
    <t>גורי נדב</t>
  </si>
  <si>
    <t>נדב</t>
  </si>
  <si>
    <t>228955241</t>
  </si>
  <si>
    <t>03177</t>
  </si>
  <si>
    <t>גורי דוד מנחם</t>
  </si>
  <si>
    <t>דוד מנחם</t>
  </si>
  <si>
    <t>236113684</t>
  </si>
  <si>
    <t>03181</t>
  </si>
  <si>
    <t>גוטליב טנא</t>
  </si>
  <si>
    <t>טנא</t>
  </si>
  <si>
    <t>326353513</t>
  </si>
  <si>
    <t>03332</t>
  </si>
  <si>
    <t>גלבוע אמונה</t>
  </si>
  <si>
    <t>אמונה</t>
  </si>
  <si>
    <t>328456181</t>
  </si>
  <si>
    <t>04031</t>
  </si>
  <si>
    <t>דורון גבי</t>
  </si>
  <si>
    <t>דורון</t>
  </si>
  <si>
    <t>גבי</t>
  </si>
  <si>
    <t>0403</t>
  </si>
  <si>
    <t>דורון גבי וברנדה</t>
  </si>
  <si>
    <t>004594016</t>
  </si>
  <si>
    <t>04032</t>
  </si>
  <si>
    <t>דורון ברנדה</t>
  </si>
  <si>
    <t>ברנדה</t>
  </si>
  <si>
    <t>012173845</t>
  </si>
  <si>
    <t>04042</t>
  </si>
  <si>
    <t>דורון מור</t>
  </si>
  <si>
    <t>מור</t>
  </si>
  <si>
    <t>0404</t>
  </si>
  <si>
    <t>207045618</t>
  </si>
  <si>
    <t>04051</t>
  </si>
  <si>
    <t>ריינר הראל</t>
  </si>
  <si>
    <t>ריינר</t>
  </si>
  <si>
    <t>0405</t>
  </si>
  <si>
    <t>ריינר הראל ומעין</t>
  </si>
  <si>
    <t>036895258</t>
  </si>
  <si>
    <t>04052</t>
  </si>
  <si>
    <t>ריינר מעין</t>
  </si>
  <si>
    <t>מעין</t>
  </si>
  <si>
    <t>300810801</t>
  </si>
  <si>
    <t>04053</t>
  </si>
  <si>
    <t>ריינר עלמה</t>
  </si>
  <si>
    <t>עלמה</t>
  </si>
  <si>
    <t>222154254</t>
  </si>
  <si>
    <t>04054</t>
  </si>
  <si>
    <t>ריינר עידו</t>
  </si>
  <si>
    <t>229495411</t>
  </si>
  <si>
    <t>04055</t>
  </si>
  <si>
    <t>ריינר גיא משה</t>
  </si>
  <si>
    <t>גיא משה</t>
  </si>
  <si>
    <t>240654517</t>
  </si>
  <si>
    <t>04061</t>
  </si>
  <si>
    <t>דורון יצחק</t>
  </si>
  <si>
    <t>0406</t>
  </si>
  <si>
    <t>דורון יצחק ואילנה</t>
  </si>
  <si>
    <t>052275351</t>
  </si>
  <si>
    <t>04062</t>
  </si>
  <si>
    <t>דורון אילנה</t>
  </si>
  <si>
    <t>אילנה</t>
  </si>
  <si>
    <t>054299441</t>
  </si>
  <si>
    <t>04071</t>
  </si>
  <si>
    <t>דבורקין שמעון</t>
  </si>
  <si>
    <t>דבורקין</t>
  </si>
  <si>
    <t>0407</t>
  </si>
  <si>
    <t>דבורקין שמעון ורחל</t>
  </si>
  <si>
    <t>055051114</t>
  </si>
  <si>
    <t>04072</t>
  </si>
  <si>
    <t>דבורקין רחל</t>
  </si>
  <si>
    <t>056109028</t>
  </si>
  <si>
    <t>04082</t>
  </si>
  <si>
    <t>דורון מירב</t>
  </si>
  <si>
    <t>מירב</t>
  </si>
  <si>
    <t>0408</t>
  </si>
  <si>
    <t>027703347</t>
  </si>
  <si>
    <t>04085</t>
  </si>
  <si>
    <t>דורון     פולזין ליה      חנה</t>
  </si>
  <si>
    <t>דורון     פולזין</t>
  </si>
  <si>
    <t>ליה      חנה</t>
  </si>
  <si>
    <t>335378402</t>
  </si>
  <si>
    <t>04111</t>
  </si>
  <si>
    <t>דבורקין דגן</t>
  </si>
  <si>
    <t>דגן</t>
  </si>
  <si>
    <t>0411</t>
  </si>
  <si>
    <t>דבורקין דגן ואופיר</t>
  </si>
  <si>
    <t>203786876</t>
  </si>
  <si>
    <t>04112</t>
  </si>
  <si>
    <t>דבורקין אופיר</t>
  </si>
  <si>
    <t>אופיר</t>
  </si>
  <si>
    <t>304981319</t>
  </si>
  <si>
    <t>04113</t>
  </si>
  <si>
    <t>דבורקין ענבר</t>
  </si>
  <si>
    <t>ענבר</t>
  </si>
  <si>
    <t>236079331</t>
  </si>
  <si>
    <t>04114</t>
  </si>
  <si>
    <t>דבורקין עומר</t>
  </si>
  <si>
    <t>240069716</t>
  </si>
  <si>
    <t>04131</t>
  </si>
  <si>
    <t>דורון אסף</t>
  </si>
  <si>
    <t>0413</t>
  </si>
  <si>
    <t>024870677</t>
  </si>
  <si>
    <t>05022</t>
  </si>
  <si>
    <t>הרטוב שרה</t>
  </si>
  <si>
    <t>הרטוב</t>
  </si>
  <si>
    <t>שרה</t>
  </si>
  <si>
    <t>0502</t>
  </si>
  <si>
    <t>005981568</t>
  </si>
  <si>
    <t>05041</t>
  </si>
  <si>
    <t>המר בועז</t>
  </si>
  <si>
    <t>המר</t>
  </si>
  <si>
    <t>בועז</t>
  </si>
  <si>
    <t>0504</t>
  </si>
  <si>
    <t>המר בועז ודליה</t>
  </si>
  <si>
    <t>056447758</t>
  </si>
  <si>
    <t>05042</t>
  </si>
  <si>
    <t>המר דליה</t>
  </si>
  <si>
    <t>דליה</t>
  </si>
  <si>
    <t>022443774</t>
  </si>
  <si>
    <t>05047</t>
  </si>
  <si>
    <t>המר פלג       טל</t>
  </si>
  <si>
    <t>פלג       טל</t>
  </si>
  <si>
    <t>329119747</t>
  </si>
  <si>
    <t xml:space="preserve">33    </t>
  </si>
  <si>
    <t>05052</t>
  </si>
  <si>
    <t>המר נילי</t>
  </si>
  <si>
    <t>נילי</t>
  </si>
  <si>
    <t>0505</t>
  </si>
  <si>
    <t>המר יוסי ונילי</t>
  </si>
  <si>
    <t>053525986</t>
  </si>
  <si>
    <t>05051</t>
  </si>
  <si>
    <t>המר יוסי</t>
  </si>
  <si>
    <t>05061</t>
  </si>
  <si>
    <t>הרטוב חגי</t>
  </si>
  <si>
    <t>חגי</t>
  </si>
  <si>
    <t>0506</t>
  </si>
  <si>
    <t>הרטוב חגי וניצה</t>
  </si>
  <si>
    <t>055520977</t>
  </si>
  <si>
    <t>05062</t>
  </si>
  <si>
    <t>הרטוב ניצה</t>
  </si>
  <si>
    <t>ניצה</t>
  </si>
  <si>
    <t>054684626</t>
  </si>
  <si>
    <t>05071</t>
  </si>
  <si>
    <t>הופמן אבי</t>
  </si>
  <si>
    <t>הופמן</t>
  </si>
  <si>
    <t>0507</t>
  </si>
  <si>
    <t>הופמן אבי ושולי</t>
  </si>
  <si>
    <t>051662856</t>
  </si>
  <si>
    <t>05072</t>
  </si>
  <si>
    <t>הופמן שולי</t>
  </si>
  <si>
    <t>שולי</t>
  </si>
  <si>
    <t>054078944</t>
  </si>
  <si>
    <t>05091</t>
  </si>
  <si>
    <t>המר שחף</t>
  </si>
  <si>
    <t>שחף</t>
  </si>
  <si>
    <t>0509</t>
  </si>
  <si>
    <t>207897216</t>
  </si>
  <si>
    <t>05101</t>
  </si>
  <si>
    <t>הולצר מרדכי</t>
  </si>
  <si>
    <t>הולצר</t>
  </si>
  <si>
    <t>0510</t>
  </si>
  <si>
    <t>הולצר מוטי ולאה</t>
  </si>
  <si>
    <t>033809930</t>
  </si>
  <si>
    <t>05102</t>
  </si>
  <si>
    <t>הולצר לאה   אמיליה</t>
  </si>
  <si>
    <t>לאה   אמיליה</t>
  </si>
  <si>
    <t>017726712</t>
  </si>
  <si>
    <t>05104</t>
  </si>
  <si>
    <t>הולצר נגה</t>
  </si>
  <si>
    <t>נגה</t>
  </si>
  <si>
    <t>216957910</t>
  </si>
  <si>
    <t>05105</t>
  </si>
  <si>
    <t>הולצר שיר    אביה</t>
  </si>
  <si>
    <t>שיר    אביה</t>
  </si>
  <si>
    <t>222145013</t>
  </si>
  <si>
    <t>05106</t>
  </si>
  <si>
    <t>הולצר רז</t>
  </si>
  <si>
    <t>רז</t>
  </si>
  <si>
    <t>343192308</t>
  </si>
  <si>
    <t>05111</t>
  </si>
  <si>
    <t>הופמן אלעד</t>
  </si>
  <si>
    <t>אלעד</t>
  </si>
  <si>
    <t>0511</t>
  </si>
  <si>
    <t>הופמן אלעד ואלדר</t>
  </si>
  <si>
    <t>066484791</t>
  </si>
  <si>
    <t>05112</t>
  </si>
  <si>
    <t>הופמן אלדר</t>
  </si>
  <si>
    <t>אלדר</t>
  </si>
  <si>
    <t>039372792</t>
  </si>
  <si>
    <t>05113</t>
  </si>
  <si>
    <t>הופמן הודיה</t>
  </si>
  <si>
    <t>הודיה</t>
  </si>
  <si>
    <t>338248669</t>
  </si>
  <si>
    <t>05114</t>
  </si>
  <si>
    <t>הופמן יאיר שמואל</t>
  </si>
  <si>
    <t>יאיר שמואל</t>
  </si>
  <si>
    <t>341465433</t>
  </si>
  <si>
    <t>05115</t>
  </si>
  <si>
    <t>הופמן שירה</t>
  </si>
  <si>
    <t>שירה</t>
  </si>
  <si>
    <t>225170224</t>
  </si>
  <si>
    <t>05116</t>
  </si>
  <si>
    <t>הופמן אייל</t>
  </si>
  <si>
    <t>אייל</t>
  </si>
  <si>
    <t>228205530</t>
  </si>
  <si>
    <t>05141</t>
  </si>
  <si>
    <t>הופמן אוריה מנחם</t>
  </si>
  <si>
    <t>אוריה מנחם</t>
  </si>
  <si>
    <t>0514</t>
  </si>
  <si>
    <t>הופמן אוריה וגל</t>
  </si>
  <si>
    <t>203388954</t>
  </si>
  <si>
    <t xml:space="preserve">2     </t>
  </si>
  <si>
    <t>05142</t>
  </si>
  <si>
    <t>הופמן גל אור</t>
  </si>
  <si>
    <t>גל אור</t>
  </si>
  <si>
    <t>208398925</t>
  </si>
  <si>
    <t>05143</t>
  </si>
  <si>
    <t>הופמן אריאל מאיר</t>
  </si>
  <si>
    <t>אריאל מאיר</t>
  </si>
  <si>
    <t>238706477</t>
  </si>
  <si>
    <t>05161</t>
  </si>
  <si>
    <t>הולצר דור</t>
  </si>
  <si>
    <t>דור</t>
  </si>
  <si>
    <t>214856510</t>
  </si>
  <si>
    <t>05221</t>
  </si>
  <si>
    <t>המר אלמוג</t>
  </si>
  <si>
    <t>אלמוג</t>
  </si>
  <si>
    <t>0522</t>
  </si>
  <si>
    <t>207206756</t>
  </si>
  <si>
    <t>05231</t>
  </si>
  <si>
    <t>הבר נועם  אהרון</t>
  </si>
  <si>
    <t>הבר</t>
  </si>
  <si>
    <t>נועם  אהרון</t>
  </si>
  <si>
    <t>0523</t>
  </si>
  <si>
    <t>הבר נעם ושירה</t>
  </si>
  <si>
    <t>036827962</t>
  </si>
  <si>
    <t>05232</t>
  </si>
  <si>
    <t>הבר שירה</t>
  </si>
  <si>
    <t>034704395</t>
  </si>
  <si>
    <t>05233</t>
  </si>
  <si>
    <t>הבר מיה  מלכה</t>
  </si>
  <si>
    <t>מיה  מלכה</t>
  </si>
  <si>
    <t>221867401</t>
  </si>
  <si>
    <t>05234</t>
  </si>
  <si>
    <t>הבר מתן  בניה</t>
  </si>
  <si>
    <t>מתן  בניה</t>
  </si>
  <si>
    <t>341884617</t>
  </si>
  <si>
    <t>05235</t>
  </si>
  <si>
    <t>הבר שוהם  שרה</t>
  </si>
  <si>
    <t>שוהם  שרה</t>
  </si>
  <si>
    <t>226306785</t>
  </si>
  <si>
    <t>05236</t>
  </si>
  <si>
    <t>הבר זוהר הודיה</t>
  </si>
  <si>
    <t>זוהר הודיה</t>
  </si>
  <si>
    <t>235225091</t>
  </si>
  <si>
    <t>06011</t>
  </si>
  <si>
    <t>פרץ עומר</t>
  </si>
  <si>
    <t>פרץ</t>
  </si>
  <si>
    <t>0601</t>
  </si>
  <si>
    <t>פרץ עומר וצופיה</t>
  </si>
  <si>
    <t>312410616</t>
  </si>
  <si>
    <t>06012</t>
  </si>
  <si>
    <t>פרץ צופיה</t>
  </si>
  <si>
    <t>צופיה</t>
  </si>
  <si>
    <t>314962283</t>
  </si>
  <si>
    <t>06013</t>
  </si>
  <si>
    <t>פרץ אביב</t>
  </si>
  <si>
    <t>אביב</t>
  </si>
  <si>
    <t>240653543</t>
  </si>
  <si>
    <t>06032</t>
  </si>
  <si>
    <t>וולברג מרים</t>
  </si>
  <si>
    <t>וולברג</t>
  </si>
  <si>
    <t>מרים</t>
  </si>
  <si>
    <t>0603</t>
  </si>
  <si>
    <t>וולברג משה ז"ל ומרים</t>
  </si>
  <si>
    <t>000677054</t>
  </si>
  <si>
    <t>06031</t>
  </si>
  <si>
    <t>וולברג משה</t>
  </si>
  <si>
    <t>06041</t>
  </si>
  <si>
    <t>וייס יזהר</t>
  </si>
  <si>
    <t>וייס</t>
  </si>
  <si>
    <t>יזהר</t>
  </si>
  <si>
    <t>0604</t>
  </si>
  <si>
    <t>034772285</t>
  </si>
  <si>
    <t>06051</t>
  </si>
  <si>
    <t>וילדשטיין דוד</t>
  </si>
  <si>
    <t>וילדשטיין</t>
  </si>
  <si>
    <t>דוד</t>
  </si>
  <si>
    <t>0605</t>
  </si>
  <si>
    <t>וילדשטיין דוד ורותי</t>
  </si>
  <si>
    <t>051339091</t>
  </si>
  <si>
    <t>06052</t>
  </si>
  <si>
    <t>055729693</t>
  </si>
  <si>
    <t>06061</t>
  </si>
  <si>
    <t>וייס שלמה</t>
  </si>
  <si>
    <t>שלמה</t>
  </si>
  <si>
    <t>0606</t>
  </si>
  <si>
    <t>וייס שלמה ותמי</t>
  </si>
  <si>
    <t>050549468</t>
  </si>
  <si>
    <t>06062</t>
  </si>
  <si>
    <t>וייס תמי</t>
  </si>
  <si>
    <t>תמי</t>
  </si>
  <si>
    <t>053451464</t>
  </si>
  <si>
    <t>06081</t>
  </si>
  <si>
    <t>וילק שרגא</t>
  </si>
  <si>
    <t>וילק</t>
  </si>
  <si>
    <t>שרגא</t>
  </si>
  <si>
    <t>0608</t>
  </si>
  <si>
    <t>וילק שרגא ואילנה</t>
  </si>
  <si>
    <t>015161664</t>
  </si>
  <si>
    <t>06082</t>
  </si>
  <si>
    <t>וילק אילנה</t>
  </si>
  <si>
    <t>056646300</t>
  </si>
  <si>
    <t>06091</t>
  </si>
  <si>
    <t>וייס גיל</t>
  </si>
  <si>
    <t>0609</t>
  </si>
  <si>
    <t>065667081</t>
  </si>
  <si>
    <t>06131</t>
  </si>
  <si>
    <t>ויסטוך משה</t>
  </si>
  <si>
    <t>ויסטוך</t>
  </si>
  <si>
    <t>0613</t>
  </si>
  <si>
    <t>ויסטוך משה ונעה</t>
  </si>
  <si>
    <t>035848605</t>
  </si>
  <si>
    <t>06132</t>
  </si>
  <si>
    <t>ויסטוך נועה</t>
  </si>
  <si>
    <t>נועה</t>
  </si>
  <si>
    <t>066165820</t>
  </si>
  <si>
    <t>06133</t>
  </si>
  <si>
    <t>ויסטוך יהודה</t>
  </si>
  <si>
    <t>216976555</t>
  </si>
  <si>
    <t>06134</t>
  </si>
  <si>
    <t>ויסטוך עדי</t>
  </si>
  <si>
    <t>עדי</t>
  </si>
  <si>
    <t>218645141</t>
  </si>
  <si>
    <t>06135</t>
  </si>
  <si>
    <t>ויסטוך תמר    דבורה</t>
  </si>
  <si>
    <t>תמר    דבורה</t>
  </si>
  <si>
    <t>220203905</t>
  </si>
  <si>
    <t>06136</t>
  </si>
  <si>
    <t>ויסטוך רוני    מזל</t>
  </si>
  <si>
    <t>רוני    מזל</t>
  </si>
  <si>
    <t>338626211</t>
  </si>
  <si>
    <t>06137</t>
  </si>
  <si>
    <t>ויסטוך אורי   שמואל</t>
  </si>
  <si>
    <t>אורי   שמואל</t>
  </si>
  <si>
    <t>339996472</t>
  </si>
  <si>
    <t>06138</t>
  </si>
  <si>
    <t>ויסטוך שחר</t>
  </si>
  <si>
    <t>228172557</t>
  </si>
  <si>
    <t>06141</t>
  </si>
  <si>
    <t>וילק נדב</t>
  </si>
  <si>
    <t>0614</t>
  </si>
  <si>
    <t>וילק נדב ואורטל</t>
  </si>
  <si>
    <t>201562220</t>
  </si>
  <si>
    <t>06142</t>
  </si>
  <si>
    <t>וילק אורטל</t>
  </si>
  <si>
    <t>אורטל</t>
  </si>
  <si>
    <t>305580342</t>
  </si>
  <si>
    <t>06143</t>
  </si>
  <si>
    <t>וילק אמרי</t>
  </si>
  <si>
    <t>אמרי</t>
  </si>
  <si>
    <t>344152996</t>
  </si>
  <si>
    <t>06144</t>
  </si>
  <si>
    <t>וילק מעיין</t>
  </si>
  <si>
    <t>235127222</t>
  </si>
  <si>
    <t>06145</t>
  </si>
  <si>
    <t>וילק עפרי</t>
  </si>
  <si>
    <t>עפרי</t>
  </si>
  <si>
    <t>238725642</t>
  </si>
  <si>
    <t>06201</t>
  </si>
  <si>
    <t>וייס מתן</t>
  </si>
  <si>
    <t>מתן</t>
  </si>
  <si>
    <t>212942304</t>
  </si>
  <si>
    <t>07011</t>
  </si>
  <si>
    <t>זיסק ישראל</t>
  </si>
  <si>
    <t>זיסק</t>
  </si>
  <si>
    <t>ישראל</t>
  </si>
  <si>
    <t>0701</t>
  </si>
  <si>
    <t>זיסק ישראל וגלית</t>
  </si>
  <si>
    <t>023509003</t>
  </si>
  <si>
    <t>070110</t>
  </si>
  <si>
    <t>זיסק טוהר</t>
  </si>
  <si>
    <t>338510456</t>
  </si>
  <si>
    <t>07012</t>
  </si>
  <si>
    <t>זיסק גלית</t>
  </si>
  <si>
    <t>גלית</t>
  </si>
  <si>
    <t>029384898</t>
  </si>
  <si>
    <t>07018</t>
  </si>
  <si>
    <t>זיסק ארגמן    משה</t>
  </si>
  <si>
    <t>ארגמן    משה</t>
  </si>
  <si>
    <t>218908358</t>
  </si>
  <si>
    <t>07019</t>
  </si>
  <si>
    <t>זיסק שלהבת  אורנה</t>
  </si>
  <si>
    <t>שלהבת  אורנה</t>
  </si>
  <si>
    <t>219626793</t>
  </si>
  <si>
    <t>07021</t>
  </si>
  <si>
    <t>זיסק דביר</t>
  </si>
  <si>
    <t>דביר</t>
  </si>
  <si>
    <t>0702</t>
  </si>
  <si>
    <t>207207333</t>
  </si>
  <si>
    <t>07032</t>
  </si>
  <si>
    <t>רדה עטרה</t>
  </si>
  <si>
    <t>רדה</t>
  </si>
  <si>
    <t>עטרה</t>
  </si>
  <si>
    <t>0703</t>
  </si>
  <si>
    <t>207521915</t>
  </si>
  <si>
    <t>07031</t>
  </si>
  <si>
    <t>רדה דניאל</t>
  </si>
  <si>
    <t>07051</t>
  </si>
  <si>
    <t>זיו עמית</t>
  </si>
  <si>
    <t>זיו</t>
  </si>
  <si>
    <t>עמית</t>
  </si>
  <si>
    <t>0705</t>
  </si>
  <si>
    <t>זיו עמית ואסתי</t>
  </si>
  <si>
    <t>300945557</t>
  </si>
  <si>
    <t>07052</t>
  </si>
  <si>
    <t>זיו אסתר</t>
  </si>
  <si>
    <t>אסתר</t>
  </si>
  <si>
    <t>302640248</t>
  </si>
  <si>
    <t>07053</t>
  </si>
  <si>
    <t>זיו עדי אמונה</t>
  </si>
  <si>
    <t>עדי אמונה</t>
  </si>
  <si>
    <t>221404932</t>
  </si>
  <si>
    <t>07054</t>
  </si>
  <si>
    <t>זיו מאיה</t>
  </si>
  <si>
    <t>מאיה</t>
  </si>
  <si>
    <t>339031494</t>
  </si>
  <si>
    <t>07055</t>
  </si>
  <si>
    <t>זיו נווה</t>
  </si>
  <si>
    <t>נווה</t>
  </si>
  <si>
    <t>224120758</t>
  </si>
  <si>
    <t>07056</t>
  </si>
  <si>
    <t>זיו נועם</t>
  </si>
  <si>
    <t>228199295</t>
  </si>
  <si>
    <t>07057</t>
  </si>
  <si>
    <t>זיו ראם זאב</t>
  </si>
  <si>
    <t>ראם זאב</t>
  </si>
  <si>
    <t>233952738</t>
  </si>
  <si>
    <t>07058</t>
  </si>
  <si>
    <t>זיו בניה</t>
  </si>
  <si>
    <t>בניה</t>
  </si>
  <si>
    <t>238776751</t>
  </si>
  <si>
    <t>07062</t>
  </si>
  <si>
    <t>זיסק שלומציון רחל</t>
  </si>
  <si>
    <t>שלומציון רחל</t>
  </si>
  <si>
    <t>0706</t>
  </si>
  <si>
    <t>זיסק שלומציון</t>
  </si>
  <si>
    <t>325260255</t>
  </si>
  <si>
    <t>07081</t>
  </si>
  <si>
    <t>מזרחי הלל אריה</t>
  </si>
  <si>
    <t>מזרחי</t>
  </si>
  <si>
    <t>הלל אריה</t>
  </si>
  <si>
    <t>0708</t>
  </si>
  <si>
    <t>זיסק תפארת</t>
  </si>
  <si>
    <t>212376701</t>
  </si>
  <si>
    <t>07082</t>
  </si>
  <si>
    <t>מזרחי תפארת</t>
  </si>
  <si>
    <t>תפארת</t>
  </si>
  <si>
    <t>326252947</t>
  </si>
  <si>
    <t>08031</t>
  </si>
  <si>
    <t>חורש אבנר</t>
  </si>
  <si>
    <t>חורש</t>
  </si>
  <si>
    <t>אבנר</t>
  </si>
  <si>
    <t>0803</t>
  </si>
  <si>
    <t>חורש אבנר וחני</t>
  </si>
  <si>
    <t>050455278</t>
  </si>
  <si>
    <t>08032</t>
  </si>
  <si>
    <t>חורש חני</t>
  </si>
  <si>
    <t>חני</t>
  </si>
  <si>
    <t>054729975</t>
  </si>
  <si>
    <t>08041</t>
  </si>
  <si>
    <t>חורש גד</t>
  </si>
  <si>
    <t>גד</t>
  </si>
  <si>
    <t>0804</t>
  </si>
  <si>
    <t>חורש גדי ושרי</t>
  </si>
  <si>
    <t>053480778</t>
  </si>
  <si>
    <t>08042</t>
  </si>
  <si>
    <t>חורש שרי</t>
  </si>
  <si>
    <t>שרי</t>
  </si>
  <si>
    <t>013009444</t>
  </si>
  <si>
    <t>08051</t>
  </si>
  <si>
    <t>חורש עופר</t>
  </si>
  <si>
    <t>עופר</t>
  </si>
  <si>
    <t>0805</t>
  </si>
  <si>
    <t>חורש עופר ולידור</t>
  </si>
  <si>
    <t>037394509</t>
  </si>
  <si>
    <t>08052</t>
  </si>
  <si>
    <t>חורש לידור רחל</t>
  </si>
  <si>
    <t>לידור רחל</t>
  </si>
  <si>
    <t>043397595</t>
  </si>
  <si>
    <t>08055</t>
  </si>
  <si>
    <t>חורש יאיר    נריה</t>
  </si>
  <si>
    <t>יאיר    נריה</t>
  </si>
  <si>
    <t>332065754</t>
  </si>
  <si>
    <t>08056</t>
  </si>
  <si>
    <t>חורש קדם    אמונה</t>
  </si>
  <si>
    <t>קדם    אמונה</t>
  </si>
  <si>
    <t>220378806</t>
  </si>
  <si>
    <t>08057</t>
  </si>
  <si>
    <t>חורש נוה טוב</t>
  </si>
  <si>
    <t>נוה טוב</t>
  </si>
  <si>
    <t>221719149</t>
  </si>
  <si>
    <t>08058</t>
  </si>
  <si>
    <t>חורש הללי   מרים</t>
  </si>
  <si>
    <t>הללי   מרים</t>
  </si>
  <si>
    <t>340088863</t>
  </si>
  <si>
    <t>08059</t>
  </si>
  <si>
    <t>חורש אורי  אהבה</t>
  </si>
  <si>
    <t>אורי  אהבה</t>
  </si>
  <si>
    <t>229964663</t>
  </si>
  <si>
    <t>08061</t>
  </si>
  <si>
    <t>חורש יהונתן  חיים</t>
  </si>
  <si>
    <t>יהונתן  חיים</t>
  </si>
  <si>
    <t>328333505</t>
  </si>
  <si>
    <t>08092</t>
  </si>
  <si>
    <t>325943850</t>
  </si>
  <si>
    <t xml:space="preserve">8     </t>
  </si>
  <si>
    <t>08131</t>
  </si>
  <si>
    <t>גדסי מיכאל</t>
  </si>
  <si>
    <t>גדסי</t>
  </si>
  <si>
    <t>מיכאל</t>
  </si>
  <si>
    <t>0813</t>
  </si>
  <si>
    <t>גדסי מיכאל ותמר</t>
  </si>
  <si>
    <t>200035418</t>
  </si>
  <si>
    <t>08132</t>
  </si>
  <si>
    <t>גדסי תמר</t>
  </si>
  <si>
    <t>305588204</t>
  </si>
  <si>
    <t>08133</t>
  </si>
  <si>
    <t>גדסי שקד</t>
  </si>
  <si>
    <t>228118741</t>
  </si>
  <si>
    <t>08134</t>
  </si>
  <si>
    <t>גדסי רוני</t>
  </si>
  <si>
    <t>רוני</t>
  </si>
  <si>
    <t>234903102</t>
  </si>
  <si>
    <t>08135</t>
  </si>
  <si>
    <t>גדסי הילי אור</t>
  </si>
  <si>
    <t>הילי אור</t>
  </si>
  <si>
    <t>241301167</t>
  </si>
  <si>
    <t>08151</t>
  </si>
  <si>
    <t>חסון טל</t>
  </si>
  <si>
    <t>חסון</t>
  </si>
  <si>
    <t>טל</t>
  </si>
  <si>
    <t>0815</t>
  </si>
  <si>
    <t>חסון טל וחגית</t>
  </si>
  <si>
    <t>301077376</t>
  </si>
  <si>
    <t>08152</t>
  </si>
  <si>
    <t>חסון חגית</t>
  </si>
  <si>
    <t>חגית</t>
  </si>
  <si>
    <t>037073459</t>
  </si>
  <si>
    <t>08153</t>
  </si>
  <si>
    <t>כהן יהונתן  דביר</t>
  </si>
  <si>
    <t>כהן</t>
  </si>
  <si>
    <t>יהונתן  דביר</t>
  </si>
  <si>
    <t>333571180</t>
  </si>
  <si>
    <t>08154</t>
  </si>
  <si>
    <t>חסון איתן</t>
  </si>
  <si>
    <t>איתן</t>
  </si>
  <si>
    <t>340294602</t>
  </si>
  <si>
    <t>08155</t>
  </si>
  <si>
    <t>חסון נועם שמואל</t>
  </si>
  <si>
    <t>נועם שמואל</t>
  </si>
  <si>
    <t>341669711</t>
  </si>
  <si>
    <t>08156</t>
  </si>
  <si>
    <t>חסון מעין תמר</t>
  </si>
  <si>
    <t>מעין תמר</t>
  </si>
  <si>
    <t>228120341</t>
  </si>
  <si>
    <t>08157</t>
  </si>
  <si>
    <t>חסון זיו</t>
  </si>
  <si>
    <t>235042678</t>
  </si>
  <si>
    <t>08161</t>
  </si>
  <si>
    <t>חסין משה</t>
  </si>
  <si>
    <t>חסין</t>
  </si>
  <si>
    <t>0816</t>
  </si>
  <si>
    <t>חסין משה ושלומית</t>
  </si>
  <si>
    <t>301316691</t>
  </si>
  <si>
    <t xml:space="preserve">61    </t>
  </si>
  <si>
    <t>08162</t>
  </si>
  <si>
    <t>חסין שלומית</t>
  </si>
  <si>
    <t>שלומית</t>
  </si>
  <si>
    <t>200520369</t>
  </si>
  <si>
    <t>08163</t>
  </si>
  <si>
    <t>חסין שליו</t>
  </si>
  <si>
    <t>שליו</t>
  </si>
  <si>
    <t>222243685</t>
  </si>
  <si>
    <t>08164</t>
  </si>
  <si>
    <t>חסין ארבל</t>
  </si>
  <si>
    <t>224938563</t>
  </si>
  <si>
    <t>08165</t>
  </si>
  <si>
    <t>חסין אימרי</t>
  </si>
  <si>
    <t>אימרי</t>
  </si>
  <si>
    <t>234733624</t>
  </si>
  <si>
    <t>08166</t>
  </si>
  <si>
    <t>חסין חן ישראל</t>
  </si>
  <si>
    <t>חן ישראל</t>
  </si>
  <si>
    <t>240326421</t>
  </si>
  <si>
    <t>10012</t>
  </si>
  <si>
    <t>יקיר שחר</t>
  </si>
  <si>
    <t>יקיר</t>
  </si>
  <si>
    <t>1001</t>
  </si>
  <si>
    <t>211776513</t>
  </si>
  <si>
    <t>10021</t>
  </si>
  <si>
    <t>יקיר גדעון</t>
  </si>
  <si>
    <t>גדעון</t>
  </si>
  <si>
    <t>1002</t>
  </si>
  <si>
    <t>יקיר גדעון ומרים</t>
  </si>
  <si>
    <t>003652146</t>
  </si>
  <si>
    <t>10022</t>
  </si>
  <si>
    <t>יקיר מרים</t>
  </si>
  <si>
    <t>006740500</t>
  </si>
  <si>
    <t>10031</t>
  </si>
  <si>
    <t>ישורון שמשון</t>
  </si>
  <si>
    <t>ישורון</t>
  </si>
  <si>
    <t>שמשון</t>
  </si>
  <si>
    <t>1003</t>
  </si>
  <si>
    <t>ישורון שמשון ורותי</t>
  </si>
  <si>
    <t>050409770</t>
  </si>
  <si>
    <t>10032</t>
  </si>
  <si>
    <t>ישורון רות</t>
  </si>
  <si>
    <t>רות</t>
  </si>
  <si>
    <t>050651165</t>
  </si>
  <si>
    <t>10042</t>
  </si>
  <si>
    <t>יוגב ענת</t>
  </si>
  <si>
    <t>יוגב</t>
  </si>
  <si>
    <t>1004</t>
  </si>
  <si>
    <t>024805251</t>
  </si>
  <si>
    <t>10046</t>
  </si>
  <si>
    <t>יוגב עומר</t>
  </si>
  <si>
    <t>217746114</t>
  </si>
  <si>
    <t>10047</t>
  </si>
  <si>
    <t>יוגב נטע</t>
  </si>
  <si>
    <t>217746122</t>
  </si>
  <si>
    <t>10051</t>
  </si>
  <si>
    <t>יקיר הראל</t>
  </si>
  <si>
    <t>1005</t>
  </si>
  <si>
    <t>יקיר הראל ואורית</t>
  </si>
  <si>
    <t>029353950</t>
  </si>
  <si>
    <t>10052</t>
  </si>
  <si>
    <t>יקיר אורית</t>
  </si>
  <si>
    <t>אורית</t>
  </si>
  <si>
    <t>038566394</t>
  </si>
  <si>
    <t>10056</t>
  </si>
  <si>
    <t>יקיר יהל    אלישב</t>
  </si>
  <si>
    <t>יהל    אלישב</t>
  </si>
  <si>
    <t>334577152</t>
  </si>
  <si>
    <t>10061</t>
  </si>
  <si>
    <t>יקיר עילי</t>
  </si>
  <si>
    <t>עילי</t>
  </si>
  <si>
    <t>216468058</t>
  </si>
  <si>
    <t>10072</t>
  </si>
  <si>
    <t>יוגב מעין רחל</t>
  </si>
  <si>
    <t>מעין רחל</t>
  </si>
  <si>
    <t>211736558</t>
  </si>
  <si>
    <t>10081</t>
  </si>
  <si>
    <t>יורקביץ בר יוחאי</t>
  </si>
  <si>
    <t>יורקביץ</t>
  </si>
  <si>
    <t>בר יוחאי</t>
  </si>
  <si>
    <t>1008</t>
  </si>
  <si>
    <t>206883761</t>
  </si>
  <si>
    <t>10111</t>
  </si>
  <si>
    <t>יוגב מינו</t>
  </si>
  <si>
    <t>מינו</t>
  </si>
  <si>
    <t>1011</t>
  </si>
  <si>
    <t>024813180</t>
  </si>
  <si>
    <t>10122</t>
  </si>
  <si>
    <t>יקיר נעם</t>
  </si>
  <si>
    <t>213243371</t>
  </si>
  <si>
    <t>10131</t>
  </si>
  <si>
    <t>יוגב רועי</t>
  </si>
  <si>
    <t>1013</t>
  </si>
  <si>
    <t>325184117</t>
  </si>
  <si>
    <t>10141</t>
  </si>
  <si>
    <t>יוגב אור</t>
  </si>
  <si>
    <t>1014</t>
  </si>
  <si>
    <t>325184125</t>
  </si>
  <si>
    <t>11021</t>
  </si>
  <si>
    <t>כפיר קלי</t>
  </si>
  <si>
    <t>כפיר</t>
  </si>
  <si>
    <t>קלי</t>
  </si>
  <si>
    <t>1102</t>
  </si>
  <si>
    <t>כפיר קלי ויהודית</t>
  </si>
  <si>
    <t>075928754</t>
  </si>
  <si>
    <t>11022</t>
  </si>
  <si>
    <t>כפיר יהודית</t>
  </si>
  <si>
    <t>יהודית</t>
  </si>
  <si>
    <t>009366915</t>
  </si>
  <si>
    <t>11032</t>
  </si>
  <si>
    <t>כלפה רותי</t>
  </si>
  <si>
    <t>כלפה</t>
  </si>
  <si>
    <t>1103</t>
  </si>
  <si>
    <t>012257473</t>
  </si>
  <si>
    <t>911031</t>
  </si>
  <si>
    <t>כלפה עמנואל ז"ל )אורי(</t>
  </si>
  <si>
    <t>11041</t>
  </si>
  <si>
    <t>כהן דוד</t>
  </si>
  <si>
    <t>1104</t>
  </si>
  <si>
    <t>כהן דוד ונחמי</t>
  </si>
  <si>
    <t>012204699</t>
  </si>
  <si>
    <t>11042</t>
  </si>
  <si>
    <t>כהן נחמי</t>
  </si>
  <si>
    <t>נחמי</t>
  </si>
  <si>
    <t>054719026</t>
  </si>
  <si>
    <t>11061</t>
  </si>
  <si>
    <t>כהן ידעיה   יעקב</t>
  </si>
  <si>
    <t>ידעיה   יעקב</t>
  </si>
  <si>
    <t>991106</t>
  </si>
  <si>
    <t>כהן ידעיה</t>
  </si>
  <si>
    <t xml:space="preserve">סגור      </t>
  </si>
  <si>
    <t>לא פעילים</t>
  </si>
  <si>
    <t>315965475</t>
  </si>
  <si>
    <t>11071</t>
  </si>
  <si>
    <t>כהן יונתן</t>
  </si>
  <si>
    <t>יונתן</t>
  </si>
  <si>
    <t>1107</t>
  </si>
  <si>
    <t>כהן יוני וטלי</t>
  </si>
  <si>
    <t>011815164</t>
  </si>
  <si>
    <t>11072</t>
  </si>
  <si>
    <t>כהן טל</t>
  </si>
  <si>
    <t>052712833</t>
  </si>
  <si>
    <t>11073</t>
  </si>
  <si>
    <t>כהן יאיר</t>
  </si>
  <si>
    <t>218265650</t>
  </si>
  <si>
    <t>11074</t>
  </si>
  <si>
    <t>כהן רון    ישראל</t>
  </si>
  <si>
    <t>רון    ישראל</t>
  </si>
  <si>
    <t>334874633</t>
  </si>
  <si>
    <t>11075</t>
  </si>
  <si>
    <t>כהן נעם</t>
  </si>
  <si>
    <t>221159619</t>
  </si>
  <si>
    <t>11076</t>
  </si>
  <si>
    <t>כהן ישי</t>
  </si>
  <si>
    <t>ישי</t>
  </si>
  <si>
    <t>340115138</t>
  </si>
  <si>
    <t>11077</t>
  </si>
  <si>
    <t>כהן מעיין</t>
  </si>
  <si>
    <t>330021262</t>
  </si>
  <si>
    <t>11091</t>
  </si>
  <si>
    <t>כהן אלדד</t>
  </si>
  <si>
    <t>1109</t>
  </si>
  <si>
    <t>כהן אלדד והודיה</t>
  </si>
  <si>
    <t>316428556</t>
  </si>
  <si>
    <t>11092</t>
  </si>
  <si>
    <t>כהן הודיה</t>
  </si>
  <si>
    <t>316462100</t>
  </si>
  <si>
    <t>11093</t>
  </si>
  <si>
    <t>כהן שקד</t>
  </si>
  <si>
    <t>236874277</t>
  </si>
  <si>
    <t>11094</t>
  </si>
  <si>
    <t>כהן הדר אור</t>
  </si>
  <si>
    <t>הדר אור</t>
  </si>
  <si>
    <t>238714042</t>
  </si>
  <si>
    <t>11101</t>
  </si>
  <si>
    <t>כהן יזרעאל</t>
  </si>
  <si>
    <t>יזרעאל</t>
  </si>
  <si>
    <t>1110</t>
  </si>
  <si>
    <t>208692053</t>
  </si>
  <si>
    <t>11121</t>
  </si>
  <si>
    <t>כהן בעז עוזר</t>
  </si>
  <si>
    <t>בעז עוזר</t>
  </si>
  <si>
    <t>1112</t>
  </si>
  <si>
    <t>כהן בועז ותמר</t>
  </si>
  <si>
    <t>029538972</t>
  </si>
  <si>
    <t>11122</t>
  </si>
  <si>
    <t>כהן תמר</t>
  </si>
  <si>
    <t>027381722</t>
  </si>
  <si>
    <t>11127</t>
  </si>
  <si>
    <t>כהן הדס     טליה</t>
  </si>
  <si>
    <t>הדס     טליה</t>
  </si>
  <si>
    <t>219948916</t>
  </si>
  <si>
    <t>11131</t>
  </si>
  <si>
    <t>כהן הראל עוזיה</t>
  </si>
  <si>
    <t>הראל עוזיה</t>
  </si>
  <si>
    <t>1113</t>
  </si>
  <si>
    <t>כהן הראל    עוזיה</t>
  </si>
  <si>
    <t>212156244</t>
  </si>
  <si>
    <t>11152</t>
  </si>
  <si>
    <t>פלג רוני</t>
  </si>
  <si>
    <t>פלג</t>
  </si>
  <si>
    <t>1115</t>
  </si>
  <si>
    <t>פלג יואב ורוני )כהן(</t>
  </si>
  <si>
    <t>213111693</t>
  </si>
  <si>
    <t>11151</t>
  </si>
  <si>
    <t>פלג יואב</t>
  </si>
  <si>
    <t>11162</t>
  </si>
  <si>
    <t>כהן חושן</t>
  </si>
  <si>
    <t>חושן</t>
  </si>
  <si>
    <t>1119</t>
  </si>
  <si>
    <t>כהן שרון ושמחה</t>
  </si>
  <si>
    <t>330677279</t>
  </si>
  <si>
    <t>11191</t>
  </si>
  <si>
    <t>כהן שרון</t>
  </si>
  <si>
    <t>שרון</t>
  </si>
  <si>
    <t>028811305</t>
  </si>
  <si>
    <t>11192</t>
  </si>
  <si>
    <t>כהן שמחה</t>
  </si>
  <si>
    <t>שמחה</t>
  </si>
  <si>
    <t>024177933</t>
  </si>
  <si>
    <t>11195</t>
  </si>
  <si>
    <t>כהן לביא     דוד</t>
  </si>
  <si>
    <t>לביא     דוד</t>
  </si>
  <si>
    <t>334574480</t>
  </si>
  <si>
    <t>11201</t>
  </si>
  <si>
    <t>כהן נהוראי</t>
  </si>
  <si>
    <t>נהוראי</t>
  </si>
  <si>
    <t>215895095</t>
  </si>
  <si>
    <t xml:space="preserve">18    </t>
  </si>
  <si>
    <t>12022</t>
  </si>
  <si>
    <t>לבבי נטע</t>
  </si>
  <si>
    <t>לבבי</t>
  </si>
  <si>
    <t>1202</t>
  </si>
  <si>
    <t>327506119</t>
  </si>
  <si>
    <t>12032</t>
  </si>
  <si>
    <t>לבנה מרים</t>
  </si>
  <si>
    <t>לבנה</t>
  </si>
  <si>
    <t>1203</t>
  </si>
  <si>
    <t>004594073</t>
  </si>
  <si>
    <t>12041</t>
  </si>
  <si>
    <t>לבבי הלל</t>
  </si>
  <si>
    <t>הלל</t>
  </si>
  <si>
    <t>1204</t>
  </si>
  <si>
    <t>208052449</t>
  </si>
  <si>
    <t>12051</t>
  </si>
  <si>
    <t>לבבי אליהו</t>
  </si>
  <si>
    <t>אליהו</t>
  </si>
  <si>
    <t>1205</t>
  </si>
  <si>
    <t>לבבי אליהו ונעמי</t>
  </si>
  <si>
    <t>030266514</t>
  </si>
  <si>
    <t>12052</t>
  </si>
  <si>
    <t>לבבי נעמי</t>
  </si>
  <si>
    <t>051337020</t>
  </si>
  <si>
    <t>12071</t>
  </si>
  <si>
    <t>לבבי צבי</t>
  </si>
  <si>
    <t>1207</t>
  </si>
  <si>
    <t>לבבי צבי וחנה</t>
  </si>
  <si>
    <t>050745538</t>
  </si>
  <si>
    <t>12072</t>
  </si>
  <si>
    <t>לבבי חנה</t>
  </si>
  <si>
    <t>052271863</t>
  </si>
  <si>
    <t>12081</t>
  </si>
  <si>
    <t>לאופר שמעון</t>
  </si>
  <si>
    <t>לאופר</t>
  </si>
  <si>
    <t>1208</t>
  </si>
  <si>
    <t>לאופר שמעון ותמר</t>
  </si>
  <si>
    <t>050146919</t>
  </si>
  <si>
    <t>12082</t>
  </si>
  <si>
    <t>לאופר תמר</t>
  </si>
  <si>
    <t>051536530</t>
  </si>
  <si>
    <t>12091</t>
  </si>
  <si>
    <t>ליבוביץ משה</t>
  </si>
  <si>
    <t>ליבוביץ</t>
  </si>
  <si>
    <t>1209</t>
  </si>
  <si>
    <t>ליבוביץ משה ושורי</t>
  </si>
  <si>
    <t>011198660</t>
  </si>
  <si>
    <t>12092</t>
  </si>
  <si>
    <t>ליבוביץ שורי</t>
  </si>
  <si>
    <t>שורי</t>
  </si>
  <si>
    <t>011198678</t>
  </si>
  <si>
    <t>12101</t>
  </si>
  <si>
    <t>ליקוב חיים</t>
  </si>
  <si>
    <t>ליקוב</t>
  </si>
  <si>
    <t>חיים</t>
  </si>
  <si>
    <t>1210</t>
  </si>
  <si>
    <t>לייקוב חיים ולאה</t>
  </si>
  <si>
    <t>067470831</t>
  </si>
  <si>
    <t>12102</t>
  </si>
  <si>
    <t>ליקוב לאה</t>
  </si>
  <si>
    <t>לאה</t>
  </si>
  <si>
    <t>069520112</t>
  </si>
  <si>
    <t>12112</t>
  </si>
  <si>
    <t>לזר מרים</t>
  </si>
  <si>
    <t>לזר</t>
  </si>
  <si>
    <t>1211</t>
  </si>
  <si>
    <t>064220973</t>
  </si>
  <si>
    <t>12121</t>
  </si>
  <si>
    <t>לבבי מתנאל</t>
  </si>
  <si>
    <t>מתנאל</t>
  </si>
  <si>
    <t>1212</t>
  </si>
  <si>
    <t>208259838</t>
  </si>
  <si>
    <t xml:space="preserve">235   </t>
  </si>
  <si>
    <t>12131</t>
  </si>
  <si>
    <t>הורן יהודה  שלום</t>
  </si>
  <si>
    <t>הורן</t>
  </si>
  <si>
    <t>יהודה  שלום</t>
  </si>
  <si>
    <t>1213</t>
  </si>
  <si>
    <t>הורן יהודה ויעל</t>
  </si>
  <si>
    <t>300349404</t>
  </si>
  <si>
    <t>12132</t>
  </si>
  <si>
    <t>הורן יעל</t>
  </si>
  <si>
    <t>יעל</t>
  </si>
  <si>
    <t>032507634</t>
  </si>
  <si>
    <t>12133</t>
  </si>
  <si>
    <t>הורן מעין</t>
  </si>
  <si>
    <t>221978331</t>
  </si>
  <si>
    <t>12134</t>
  </si>
  <si>
    <t>הורן מתן</t>
  </si>
  <si>
    <t>340626258</t>
  </si>
  <si>
    <t>12135</t>
  </si>
  <si>
    <t>הורן כרמל</t>
  </si>
  <si>
    <t>226019503</t>
  </si>
  <si>
    <t>12136</t>
  </si>
  <si>
    <t>הורן טל</t>
  </si>
  <si>
    <t>228972766</t>
  </si>
  <si>
    <t>12137</t>
  </si>
  <si>
    <t>הורן רועי</t>
  </si>
  <si>
    <t>238820856</t>
  </si>
  <si>
    <t>12141</t>
  </si>
  <si>
    <t>ליפטשר אבינועם</t>
  </si>
  <si>
    <t>ליפטשר</t>
  </si>
  <si>
    <t>אבינועם</t>
  </si>
  <si>
    <t>1214</t>
  </si>
  <si>
    <t>ליפטשר אבינועם ועופרה</t>
  </si>
  <si>
    <t>053945812</t>
  </si>
  <si>
    <t>12142</t>
  </si>
  <si>
    <t>ליפטשר עפרה</t>
  </si>
  <si>
    <t>057455545</t>
  </si>
  <si>
    <t>12143</t>
  </si>
  <si>
    <t>ליפטשר יפתח</t>
  </si>
  <si>
    <t>יפתח</t>
  </si>
  <si>
    <t>331535773</t>
  </si>
  <si>
    <t>12144</t>
  </si>
  <si>
    <t>ליפטשר חרות</t>
  </si>
  <si>
    <t>חרות</t>
  </si>
  <si>
    <t>334457371</t>
  </si>
  <si>
    <t>12145</t>
  </si>
  <si>
    <t>ליפטשר אסף</t>
  </si>
  <si>
    <t>334457389</t>
  </si>
  <si>
    <t>12151</t>
  </si>
  <si>
    <t>לאונגר משה</t>
  </si>
  <si>
    <t>לאונגר</t>
  </si>
  <si>
    <t>1215</t>
  </si>
  <si>
    <t>לאונגר משה ודבורה</t>
  </si>
  <si>
    <t>015114440</t>
  </si>
  <si>
    <t>12152</t>
  </si>
  <si>
    <t>לאונגר דבורה</t>
  </si>
  <si>
    <t>דבורה</t>
  </si>
  <si>
    <t>051357317</t>
  </si>
  <si>
    <t>12161</t>
  </si>
  <si>
    <t>ליפטשר דוד</t>
  </si>
  <si>
    <t>1216</t>
  </si>
  <si>
    <t>ליפטשר דוד ואלישבע</t>
  </si>
  <si>
    <t>051536407</t>
  </si>
  <si>
    <t>12162</t>
  </si>
  <si>
    <t>ליפטשר אלישבע</t>
  </si>
  <si>
    <t>051330140</t>
  </si>
  <si>
    <t>12181</t>
  </si>
  <si>
    <t>לזר מיכאל</t>
  </si>
  <si>
    <t>1218</t>
  </si>
  <si>
    <t>לזר מיקי וריקי</t>
  </si>
  <si>
    <t>057882516</t>
  </si>
  <si>
    <t>12182</t>
  </si>
  <si>
    <t>רימון לזר רבקה</t>
  </si>
  <si>
    <t>רימון לזר</t>
  </si>
  <si>
    <t>034923409</t>
  </si>
  <si>
    <t>12187</t>
  </si>
  <si>
    <t>לזר ירדן</t>
  </si>
  <si>
    <t>218899862</t>
  </si>
  <si>
    <t>12188</t>
  </si>
  <si>
    <t>לזר עמית</t>
  </si>
  <si>
    <t>221011901</t>
  </si>
  <si>
    <t>12189</t>
  </si>
  <si>
    <t>לזר אלה</t>
  </si>
  <si>
    <t>אלה</t>
  </si>
  <si>
    <t>339521247</t>
  </si>
  <si>
    <t>12191</t>
  </si>
  <si>
    <t>לבבי נחומי</t>
  </si>
  <si>
    <t>נחומי</t>
  </si>
  <si>
    <t>1219</t>
  </si>
  <si>
    <t>לבבי נחומי ושני</t>
  </si>
  <si>
    <t>027212364</t>
  </si>
  <si>
    <t>12192</t>
  </si>
  <si>
    <t>לבבי שני</t>
  </si>
  <si>
    <t>שני</t>
  </si>
  <si>
    <t>032872160</t>
  </si>
  <si>
    <t>12195</t>
  </si>
  <si>
    <t>לבבי יוגב</t>
  </si>
  <si>
    <t>331814103</t>
  </si>
  <si>
    <t>12196</t>
  </si>
  <si>
    <t>לבבי ניר</t>
  </si>
  <si>
    <t>ניר</t>
  </si>
  <si>
    <t>334848801</t>
  </si>
  <si>
    <t>12197</t>
  </si>
  <si>
    <t>לבבי מורן</t>
  </si>
  <si>
    <t>221602287</t>
  </si>
  <si>
    <t>12221</t>
  </si>
  <si>
    <t>לזר איתמר</t>
  </si>
  <si>
    <t>1222</t>
  </si>
  <si>
    <t>לזר איתמר וליאורה</t>
  </si>
  <si>
    <t>022116271</t>
  </si>
  <si>
    <t>12222</t>
  </si>
  <si>
    <t>לזר ליאורה</t>
  </si>
  <si>
    <t>ליאורה</t>
  </si>
  <si>
    <t>059768978</t>
  </si>
  <si>
    <t>12231</t>
  </si>
  <si>
    <t>לבבי נחום )אלי(</t>
  </si>
  <si>
    <t>נחום )אלי(</t>
  </si>
  <si>
    <t>1223</t>
  </si>
  <si>
    <t>לבבי נחום ושלומית</t>
  </si>
  <si>
    <t>025064148</t>
  </si>
  <si>
    <t>12232</t>
  </si>
  <si>
    <t>לבבי שלומית</t>
  </si>
  <si>
    <t>033085986</t>
  </si>
  <si>
    <t>12237</t>
  </si>
  <si>
    <t>לבבי רינת    חנה</t>
  </si>
  <si>
    <t>רינת    חנה</t>
  </si>
  <si>
    <t>217519552</t>
  </si>
  <si>
    <t>12241</t>
  </si>
  <si>
    <t>לאופר יובל</t>
  </si>
  <si>
    <t>1224</t>
  </si>
  <si>
    <t>לאופר יובל ואורנית</t>
  </si>
  <si>
    <t>043162650</t>
  </si>
  <si>
    <t>12242</t>
  </si>
  <si>
    <t>לאופר אורנית       מתוקה</t>
  </si>
  <si>
    <t>אורנית       מתוקה</t>
  </si>
  <si>
    <t>040406696</t>
  </si>
  <si>
    <t>12243</t>
  </si>
  <si>
    <t>לאופר יהונתן</t>
  </si>
  <si>
    <t>335204566</t>
  </si>
  <si>
    <t>12244</t>
  </si>
  <si>
    <t>לאופר נופר</t>
  </si>
  <si>
    <t>נופר</t>
  </si>
  <si>
    <t>224854471</t>
  </si>
  <si>
    <t>12251</t>
  </si>
  <si>
    <t>מלאכי</t>
  </si>
  <si>
    <t>215323387</t>
  </si>
  <si>
    <t>12262</t>
  </si>
  <si>
    <t>לבבי טליה )אילת(</t>
  </si>
  <si>
    <t>טליה )אילת(</t>
  </si>
  <si>
    <t>1226</t>
  </si>
  <si>
    <t>לבבי טליה</t>
  </si>
  <si>
    <t>032368482</t>
  </si>
  <si>
    <t xml:space="preserve">64    </t>
  </si>
  <si>
    <t>12281</t>
  </si>
  <si>
    <t>לבבי אלישב</t>
  </si>
  <si>
    <t>אלישב</t>
  </si>
  <si>
    <t>325183945</t>
  </si>
  <si>
    <t>12292</t>
  </si>
  <si>
    <t>לבבי רותם</t>
  </si>
  <si>
    <t>216151159</t>
  </si>
  <si>
    <t>12302</t>
  </si>
  <si>
    <t>לייקוב בתיה</t>
  </si>
  <si>
    <t>לייקוב</t>
  </si>
  <si>
    <t>בתיה</t>
  </si>
  <si>
    <t>1230</t>
  </si>
  <si>
    <t>033797796</t>
  </si>
  <si>
    <t>12321</t>
  </si>
  <si>
    <t>לזר עידן</t>
  </si>
  <si>
    <t>עידן</t>
  </si>
  <si>
    <t>1232</t>
  </si>
  <si>
    <t>316582170</t>
  </si>
  <si>
    <t>12351</t>
  </si>
  <si>
    <t>לאופר שחר</t>
  </si>
  <si>
    <t>1235</t>
  </si>
  <si>
    <t>לאופר שחר ועדי</t>
  </si>
  <si>
    <t>305628091</t>
  </si>
  <si>
    <t>12352</t>
  </si>
  <si>
    <t>לאופר עדי אסתר</t>
  </si>
  <si>
    <t>עדי אסתר</t>
  </si>
  <si>
    <t>203525332</t>
  </si>
  <si>
    <t>12353</t>
  </si>
  <si>
    <t>לאופר יער אהרון</t>
  </si>
  <si>
    <t>יער אהרון</t>
  </si>
  <si>
    <t>238250278</t>
  </si>
  <si>
    <t>12354</t>
  </si>
  <si>
    <t>לאופר כליל</t>
  </si>
  <si>
    <t>כליל</t>
  </si>
  <si>
    <t>240326249</t>
  </si>
  <si>
    <t>12391</t>
  </si>
  <si>
    <t>לבבי יוסף</t>
  </si>
  <si>
    <t>יוסף</t>
  </si>
  <si>
    <t>1239</t>
  </si>
  <si>
    <t>לבבי יוסף וליאור</t>
  </si>
  <si>
    <t>203785563</t>
  </si>
  <si>
    <t>12392</t>
  </si>
  <si>
    <t>לבבי ליאור צפורה</t>
  </si>
  <si>
    <t>ליאור צפורה</t>
  </si>
  <si>
    <t>203294806</t>
  </si>
  <si>
    <t>12393</t>
  </si>
  <si>
    <t>לבבי עמנואל שלום</t>
  </si>
  <si>
    <t>עמנואל שלום</t>
  </si>
  <si>
    <t>225994342</t>
  </si>
  <si>
    <t>12394</t>
  </si>
  <si>
    <t>לבבי דרור</t>
  </si>
  <si>
    <t>דרור</t>
  </si>
  <si>
    <t>228956090</t>
  </si>
  <si>
    <t>12395</t>
  </si>
  <si>
    <t>לבבי אורי   ציון</t>
  </si>
  <si>
    <t>אורי   ציון</t>
  </si>
  <si>
    <t>236804670</t>
  </si>
  <si>
    <t>12501</t>
  </si>
  <si>
    <t>לזר שוהם יוסף</t>
  </si>
  <si>
    <t>שוהם יוסף</t>
  </si>
  <si>
    <t>1250</t>
  </si>
  <si>
    <t>לזר שוהם</t>
  </si>
  <si>
    <t>318206133</t>
  </si>
  <si>
    <t>12611</t>
  </si>
  <si>
    <t>לבקוביץ ירון אלעזר</t>
  </si>
  <si>
    <t>לבקוביץ</t>
  </si>
  <si>
    <t>ירון אלעזר</t>
  </si>
  <si>
    <t>1261</t>
  </si>
  <si>
    <t>לבקוביץ ירון ועטרה</t>
  </si>
  <si>
    <t>060172392</t>
  </si>
  <si>
    <t>12612</t>
  </si>
  <si>
    <t>לבקוביץ עטרה</t>
  </si>
  <si>
    <t>034703611</t>
  </si>
  <si>
    <t>12614</t>
  </si>
  <si>
    <t>לבקוביץ עמית בנימין</t>
  </si>
  <si>
    <t>עמית בנימין</t>
  </si>
  <si>
    <t>216981357</t>
  </si>
  <si>
    <t>12615</t>
  </si>
  <si>
    <t>לבקוביץ כפיר יצחק</t>
  </si>
  <si>
    <t>כפיר יצחק</t>
  </si>
  <si>
    <t>335229217</t>
  </si>
  <si>
    <t>12616</t>
  </si>
  <si>
    <t>לבקוביץ יהב  מרים</t>
  </si>
  <si>
    <t>יהב  מרים</t>
  </si>
  <si>
    <t>339269953</t>
  </si>
  <si>
    <t>12621</t>
  </si>
  <si>
    <t>לבקוביץ רואי יוסף</t>
  </si>
  <si>
    <t>רואי יוסף</t>
  </si>
  <si>
    <t>328268339</t>
  </si>
  <si>
    <t>13011</t>
  </si>
  <si>
    <t>מידב כפיר</t>
  </si>
  <si>
    <t>מידב</t>
  </si>
  <si>
    <t>1301</t>
  </si>
  <si>
    <t>מידב כפיר ורחל</t>
  </si>
  <si>
    <t>024834533</t>
  </si>
  <si>
    <t>13012</t>
  </si>
  <si>
    <t>מידב רחל</t>
  </si>
  <si>
    <t>015158488</t>
  </si>
  <si>
    <t>13015</t>
  </si>
  <si>
    <t>מידב שחל   מיכאל</t>
  </si>
  <si>
    <t>שחל   מיכאל</t>
  </si>
  <si>
    <t>329637987</t>
  </si>
  <si>
    <t>13016</t>
  </si>
  <si>
    <t>מידב קדם</t>
  </si>
  <si>
    <t>קדם</t>
  </si>
  <si>
    <t>334625902</t>
  </si>
  <si>
    <t>13017</t>
  </si>
  <si>
    <t>מידב טל    חיה מושקה</t>
  </si>
  <si>
    <t>טל    חיה מושקה</t>
  </si>
  <si>
    <t>340687136</t>
  </si>
  <si>
    <t>13018</t>
  </si>
  <si>
    <t>מידב ענג   דבורה לאה</t>
  </si>
  <si>
    <t>ענג   דבורה לאה</t>
  </si>
  <si>
    <t>224969667</t>
  </si>
  <si>
    <t>13032</t>
  </si>
  <si>
    <t>מידב לשם שרה</t>
  </si>
  <si>
    <t>לשם שרה</t>
  </si>
  <si>
    <t>1303</t>
  </si>
  <si>
    <t>מידב לשם</t>
  </si>
  <si>
    <t>209827369</t>
  </si>
  <si>
    <t>13041</t>
  </si>
  <si>
    <t>מור יוסף אליה</t>
  </si>
  <si>
    <t>מור יוסף</t>
  </si>
  <si>
    <t>אליה</t>
  </si>
  <si>
    <t>1304</t>
  </si>
  <si>
    <t>מור יוסף אליה ושילת</t>
  </si>
  <si>
    <t>205419310</t>
  </si>
  <si>
    <t>13042</t>
  </si>
  <si>
    <t>מור יוסף שילת</t>
  </si>
  <si>
    <t>שילת</t>
  </si>
  <si>
    <t>205516354</t>
  </si>
  <si>
    <t>13043</t>
  </si>
  <si>
    <t>מור יוסף עברי שלום</t>
  </si>
  <si>
    <t>עברי שלום</t>
  </si>
  <si>
    <t>340660331</t>
  </si>
  <si>
    <t>13044</t>
  </si>
  <si>
    <t>מור יוסף עומר</t>
  </si>
  <si>
    <t>229088968</t>
  </si>
  <si>
    <t>13045</t>
  </si>
  <si>
    <t>מור יוסף רוני</t>
  </si>
  <si>
    <t>236089637</t>
  </si>
  <si>
    <t>13046</t>
  </si>
  <si>
    <t>מור יוסף אלה</t>
  </si>
  <si>
    <t>241305838</t>
  </si>
  <si>
    <t>13051</t>
  </si>
  <si>
    <t>מידב לביא    יעקב</t>
  </si>
  <si>
    <t>לביא    יעקב</t>
  </si>
  <si>
    <t>1305</t>
  </si>
  <si>
    <t>מידב לביא</t>
  </si>
  <si>
    <t>329591275</t>
  </si>
  <si>
    <t>13061</t>
  </si>
  <si>
    <t>מנשאוף יאיר</t>
  </si>
  <si>
    <t>מנשאוף</t>
  </si>
  <si>
    <t>1306</t>
  </si>
  <si>
    <t>מנשאוף שלומית ויאיר</t>
  </si>
  <si>
    <t>204071575</t>
  </si>
  <si>
    <t>13062</t>
  </si>
  <si>
    <t>מנשאוף שלומית</t>
  </si>
  <si>
    <t>203441084</t>
  </si>
  <si>
    <t>13063</t>
  </si>
  <si>
    <t>מנשאוף דרור דוד</t>
  </si>
  <si>
    <t>דרור דוד</t>
  </si>
  <si>
    <t>225231943</t>
  </si>
  <si>
    <t>13064</t>
  </si>
  <si>
    <t>מנשאוף שקד בניה</t>
  </si>
  <si>
    <t>שקד בניה</t>
  </si>
  <si>
    <t>228327169</t>
  </si>
  <si>
    <t>13065</t>
  </si>
  <si>
    <t>מנשאוף רותם תמר</t>
  </si>
  <si>
    <t>רותם תמר</t>
  </si>
  <si>
    <t>241320449</t>
  </si>
  <si>
    <t>14012</t>
  </si>
  <si>
    <t>נדיבי רבקה</t>
  </si>
  <si>
    <t>נדיבי</t>
  </si>
  <si>
    <t>1401</t>
  </si>
  <si>
    <t>004593984</t>
  </si>
  <si>
    <t>15012</t>
  </si>
  <si>
    <t>סוקל רחל</t>
  </si>
  <si>
    <t>סוקל</t>
  </si>
  <si>
    <t>1501</t>
  </si>
  <si>
    <t>003507613</t>
  </si>
  <si>
    <t>15021</t>
  </si>
  <si>
    <t>סולומון איזיק</t>
  </si>
  <si>
    <t>סולומון</t>
  </si>
  <si>
    <t>איזיק</t>
  </si>
  <si>
    <t>1502</t>
  </si>
  <si>
    <t>סולומון אייזיק וקלר</t>
  </si>
  <si>
    <t>015646326</t>
  </si>
  <si>
    <t>15022</t>
  </si>
  <si>
    <t>סולומון קלייר</t>
  </si>
  <si>
    <t>קלייר</t>
  </si>
  <si>
    <t>015719305</t>
  </si>
  <si>
    <t>15031</t>
  </si>
  <si>
    <t>סהר אבשלום</t>
  </si>
  <si>
    <t>סהר</t>
  </si>
  <si>
    <t>אבשלום</t>
  </si>
  <si>
    <t>1503</t>
  </si>
  <si>
    <t>סהר אבשלום ונעמה</t>
  </si>
  <si>
    <t>025520891</t>
  </si>
  <si>
    <t>15032</t>
  </si>
  <si>
    <t>סהר נעמה</t>
  </si>
  <si>
    <t>נעמה</t>
  </si>
  <si>
    <t>025592759</t>
  </si>
  <si>
    <t>15037</t>
  </si>
  <si>
    <t>סהר שפע</t>
  </si>
  <si>
    <t>שפע</t>
  </si>
  <si>
    <t>331549402</t>
  </si>
  <si>
    <t>15038</t>
  </si>
  <si>
    <t>סהר אורי</t>
  </si>
  <si>
    <t>335208278</t>
  </si>
  <si>
    <t>15061</t>
  </si>
  <si>
    <t>קדוש נסאל ניסים</t>
  </si>
  <si>
    <t>קדוש</t>
  </si>
  <si>
    <t>נסאל ניסים</t>
  </si>
  <si>
    <t>1506</t>
  </si>
  <si>
    <t>קדוש נסאל ואליענה</t>
  </si>
  <si>
    <t>302664552</t>
  </si>
  <si>
    <t>15062</t>
  </si>
  <si>
    <t>קדוש אליענה</t>
  </si>
  <si>
    <t>אליענה</t>
  </si>
  <si>
    <t>301769295</t>
  </si>
  <si>
    <t>15063</t>
  </si>
  <si>
    <t>קדוש אסיף תמר</t>
  </si>
  <si>
    <t>אסיף תמר</t>
  </si>
  <si>
    <t>225972769</t>
  </si>
  <si>
    <t>15064</t>
  </si>
  <si>
    <t>קדוש ארבל</t>
  </si>
  <si>
    <t>228997417</t>
  </si>
  <si>
    <t>15065</t>
  </si>
  <si>
    <t>קדוש סיני מזל</t>
  </si>
  <si>
    <t>סיני מזל</t>
  </si>
  <si>
    <t>234615177</t>
  </si>
  <si>
    <t>15082</t>
  </si>
  <si>
    <t>סהר אופק</t>
  </si>
  <si>
    <t>אופק</t>
  </si>
  <si>
    <t>91508</t>
  </si>
  <si>
    <t>207074204</t>
  </si>
  <si>
    <t>15092</t>
  </si>
  <si>
    <t>בן דוד סהר יהב</t>
  </si>
  <si>
    <t>בן דוד סהר</t>
  </si>
  <si>
    <t>יהב</t>
  </si>
  <si>
    <t>91509</t>
  </si>
  <si>
    <t>סהר יהב</t>
  </si>
  <si>
    <t>207522699</t>
  </si>
  <si>
    <t>15102</t>
  </si>
  <si>
    <t>סהר תהל</t>
  </si>
  <si>
    <t>תהל</t>
  </si>
  <si>
    <t>1510</t>
  </si>
  <si>
    <t>215164377</t>
  </si>
  <si>
    <t>15111</t>
  </si>
  <si>
    <t>סולומון נתנאל - רלף</t>
  </si>
  <si>
    <t>נתנאל - רלף</t>
  </si>
  <si>
    <t>1511</t>
  </si>
  <si>
    <t>סולומון נתנאל</t>
  </si>
  <si>
    <t>208257212</t>
  </si>
  <si>
    <t>15121</t>
  </si>
  <si>
    <t>סהר דולב</t>
  </si>
  <si>
    <t>דולב</t>
  </si>
  <si>
    <t>1512</t>
  </si>
  <si>
    <t>322573999</t>
  </si>
  <si>
    <t>15132</t>
  </si>
  <si>
    <t>סולומון אנאבל סופי</t>
  </si>
  <si>
    <t>אנאבל סופי</t>
  </si>
  <si>
    <t>328275789</t>
  </si>
  <si>
    <t>16021</t>
  </si>
  <si>
    <t>עובדיה ישראל</t>
  </si>
  <si>
    <t>עובדיה</t>
  </si>
  <si>
    <t>1602</t>
  </si>
  <si>
    <t>עובדיה ישראל ווונדי</t>
  </si>
  <si>
    <t>051214922</t>
  </si>
  <si>
    <t>16022</t>
  </si>
  <si>
    <t>עובדיה וונדי</t>
  </si>
  <si>
    <t>וונדי</t>
  </si>
  <si>
    <t>013515572</t>
  </si>
  <si>
    <t>16071</t>
  </si>
  <si>
    <t>גרוס אלעד</t>
  </si>
  <si>
    <t>גרוס</t>
  </si>
  <si>
    <t>1607</t>
  </si>
  <si>
    <t>גרוס אלעד ואביב</t>
  </si>
  <si>
    <t>203529540</t>
  </si>
  <si>
    <t>16072</t>
  </si>
  <si>
    <t>גרוס אביב</t>
  </si>
  <si>
    <t>311225445</t>
  </si>
  <si>
    <t>16073</t>
  </si>
  <si>
    <t>גרוס אופיר  חנה</t>
  </si>
  <si>
    <t>אופיר  חנה</t>
  </si>
  <si>
    <t>234936466</t>
  </si>
  <si>
    <t>16074</t>
  </si>
  <si>
    <t>גרוס ליבי אור</t>
  </si>
  <si>
    <t>ליבי אור</t>
  </si>
  <si>
    <t>238725618</t>
  </si>
  <si>
    <t>17012</t>
  </si>
  <si>
    <t>אברהם שירה</t>
  </si>
  <si>
    <t>1701</t>
  </si>
  <si>
    <t>פז שירה</t>
  </si>
  <si>
    <t>207319690</t>
  </si>
  <si>
    <t>17032</t>
  </si>
  <si>
    <t>פורת אסתר</t>
  </si>
  <si>
    <t>פורת</t>
  </si>
  <si>
    <t>1703</t>
  </si>
  <si>
    <t>000032300</t>
  </si>
  <si>
    <t>17061</t>
  </si>
  <si>
    <t>פטרסון אליהו</t>
  </si>
  <si>
    <t>פטרסון</t>
  </si>
  <si>
    <t>1706</t>
  </si>
  <si>
    <t>פטרסון אליהו וג`נט</t>
  </si>
  <si>
    <t>015158462</t>
  </si>
  <si>
    <t>17071</t>
  </si>
  <si>
    <t>פלישמן ברוך</t>
  </si>
  <si>
    <t>פלישמן</t>
  </si>
  <si>
    <t>ברוך</t>
  </si>
  <si>
    <t>1707</t>
  </si>
  <si>
    <t>פליישמן ברוך ואסי</t>
  </si>
  <si>
    <t>054782966</t>
  </si>
  <si>
    <t>17072</t>
  </si>
  <si>
    <t>פלישמן אסנת</t>
  </si>
  <si>
    <t>אסנת</t>
  </si>
  <si>
    <t>055132922</t>
  </si>
  <si>
    <t>17082</t>
  </si>
  <si>
    <t>פז תמר</t>
  </si>
  <si>
    <t>פז</t>
  </si>
  <si>
    <t>1708</t>
  </si>
  <si>
    <t>פז תמי</t>
  </si>
  <si>
    <t>058726142</t>
  </si>
  <si>
    <t>17101</t>
  </si>
  <si>
    <t>פרג`ון מרדכי</t>
  </si>
  <si>
    <t>פרג`ון</t>
  </si>
  <si>
    <t>1710</t>
  </si>
  <si>
    <t>פרג`ון מוטי ואורית</t>
  </si>
  <si>
    <t>056584758</t>
  </si>
  <si>
    <t>17102</t>
  </si>
  <si>
    <t>פרג`ון אורית</t>
  </si>
  <si>
    <t>059692061</t>
  </si>
  <si>
    <t>17121</t>
  </si>
  <si>
    <t>פליישמן דורי-אביגדור</t>
  </si>
  <si>
    <t>פליישמן</t>
  </si>
  <si>
    <t>דורי-אביגדור</t>
  </si>
  <si>
    <t>1712</t>
  </si>
  <si>
    <t>פליישמן דורי ודינה</t>
  </si>
  <si>
    <t>039907795</t>
  </si>
  <si>
    <t>17122</t>
  </si>
  <si>
    <t>פליישמן דינה</t>
  </si>
  <si>
    <t>דינה</t>
  </si>
  <si>
    <t>300005386</t>
  </si>
  <si>
    <t>17123</t>
  </si>
  <si>
    <t>פליישמן איתן שי</t>
  </si>
  <si>
    <t>איתן שי</t>
  </si>
  <si>
    <t>226036507</t>
  </si>
  <si>
    <t>17124</t>
  </si>
  <si>
    <t>פליישמן מאור</t>
  </si>
  <si>
    <t>236114864</t>
  </si>
  <si>
    <t>17141</t>
  </si>
  <si>
    <t>גוב ארי מרדכי</t>
  </si>
  <si>
    <t>גוב ארי</t>
  </si>
  <si>
    <t>1714</t>
  </si>
  <si>
    <t>גוב ארי מוטי ואורטל</t>
  </si>
  <si>
    <t>043542612</t>
  </si>
  <si>
    <t>17142</t>
  </si>
  <si>
    <t>גוב ארי אורטל</t>
  </si>
  <si>
    <t>036905719</t>
  </si>
  <si>
    <t>17143</t>
  </si>
  <si>
    <t>גוב ארי אביגיל</t>
  </si>
  <si>
    <t>אביגיל</t>
  </si>
  <si>
    <t>343213880</t>
  </si>
  <si>
    <t>17144</t>
  </si>
  <si>
    <t>גוב ארי אביתר</t>
  </si>
  <si>
    <t>אביתר</t>
  </si>
  <si>
    <t>228133708</t>
  </si>
  <si>
    <t>17145</t>
  </si>
  <si>
    <t>גוב ארי אוריה</t>
  </si>
  <si>
    <t>235176898</t>
  </si>
  <si>
    <t>17146</t>
  </si>
  <si>
    <t>גוב ארי אפרת</t>
  </si>
  <si>
    <t>אפרת</t>
  </si>
  <si>
    <t>238732481</t>
  </si>
  <si>
    <t>17221</t>
  </si>
  <si>
    <t>פרג`ון נוה</t>
  </si>
  <si>
    <t>נוה</t>
  </si>
  <si>
    <t>1722</t>
  </si>
  <si>
    <t>פרג`ון נוה ושקד</t>
  </si>
  <si>
    <t>312494206</t>
  </si>
  <si>
    <t>17222</t>
  </si>
  <si>
    <t>פרג`ון שקד</t>
  </si>
  <si>
    <t>316096270</t>
  </si>
  <si>
    <t>17223</t>
  </si>
  <si>
    <t>פרג`ון בארי רות</t>
  </si>
  <si>
    <t>בארי רות</t>
  </si>
  <si>
    <t>237662002</t>
  </si>
  <si>
    <t>17241</t>
  </si>
  <si>
    <t>פז יצחק</t>
  </si>
  <si>
    <t>1724</t>
  </si>
  <si>
    <t>316094333</t>
  </si>
  <si>
    <t>17252</t>
  </si>
  <si>
    <t>פרג`ון אפרת</t>
  </si>
  <si>
    <t>1725</t>
  </si>
  <si>
    <t>315244079</t>
  </si>
  <si>
    <t>17262</t>
  </si>
  <si>
    <t>רוזנברג פז רננה</t>
  </si>
  <si>
    <t>רוזנברג פז</t>
  </si>
  <si>
    <t>רננה</t>
  </si>
  <si>
    <t>1726</t>
  </si>
  <si>
    <t>207319708</t>
  </si>
  <si>
    <t>19011</t>
  </si>
  <si>
    <t>קרן יהונתן</t>
  </si>
  <si>
    <t>1901</t>
  </si>
  <si>
    <t>208495861</t>
  </si>
  <si>
    <t>19041</t>
  </si>
  <si>
    <t>קרליבך יובל</t>
  </si>
  <si>
    <t>קרליבך</t>
  </si>
  <si>
    <t>1904</t>
  </si>
  <si>
    <t>318850971</t>
  </si>
  <si>
    <t>קרן אסתר</t>
  </si>
  <si>
    <t>1905</t>
  </si>
  <si>
    <t>19061</t>
  </si>
  <si>
    <t>קלוש אריה</t>
  </si>
  <si>
    <t>קלוש</t>
  </si>
  <si>
    <t>1906</t>
  </si>
  <si>
    <t>קלוש אריה ושלומית</t>
  </si>
  <si>
    <t>009882804</t>
  </si>
  <si>
    <t>19062</t>
  </si>
  <si>
    <t>קלוש שלומית</t>
  </si>
  <si>
    <t>054078878</t>
  </si>
  <si>
    <t>19071</t>
  </si>
  <si>
    <t>קליין משה</t>
  </si>
  <si>
    <t>קליין</t>
  </si>
  <si>
    <t>1907</t>
  </si>
  <si>
    <t>קליין משה ונאוה</t>
  </si>
  <si>
    <t>050389261</t>
  </si>
  <si>
    <t>19072</t>
  </si>
  <si>
    <t>קליין נאוה</t>
  </si>
  <si>
    <t>נאוה</t>
  </si>
  <si>
    <t>054196035</t>
  </si>
  <si>
    <t>19081</t>
  </si>
  <si>
    <t>קראוס נחמיה</t>
  </si>
  <si>
    <t>קראוס</t>
  </si>
  <si>
    <t>נחמיה</t>
  </si>
  <si>
    <t>1908</t>
  </si>
  <si>
    <t>קראוס נחמיה ושלומית</t>
  </si>
  <si>
    <t>050770452</t>
  </si>
  <si>
    <t>19082</t>
  </si>
  <si>
    <t>קראוס שלומית</t>
  </si>
  <si>
    <t>054172010</t>
  </si>
  <si>
    <t>19101</t>
  </si>
  <si>
    <t>קרליבך רועי</t>
  </si>
  <si>
    <t>1910</t>
  </si>
  <si>
    <t>קרליבך רועי ועינב</t>
  </si>
  <si>
    <t>203737424</t>
  </si>
  <si>
    <t>19102</t>
  </si>
  <si>
    <t>קרליבך עינב</t>
  </si>
  <si>
    <t>עינב</t>
  </si>
  <si>
    <t>302283759</t>
  </si>
  <si>
    <t>19103</t>
  </si>
  <si>
    <t>קרליבך יהל</t>
  </si>
  <si>
    <t>יהל</t>
  </si>
  <si>
    <t>235225596</t>
  </si>
  <si>
    <t>19104</t>
  </si>
  <si>
    <t>קרליבך עמית</t>
  </si>
  <si>
    <t>236564670</t>
  </si>
  <si>
    <t>19111</t>
  </si>
  <si>
    <t>קרליבך דוד</t>
  </si>
  <si>
    <t>1911</t>
  </si>
  <si>
    <t>קרליבך דוד ומיכל</t>
  </si>
  <si>
    <t>051532950</t>
  </si>
  <si>
    <t>19112</t>
  </si>
  <si>
    <t>קרליבך מיכל</t>
  </si>
  <si>
    <t>076878230</t>
  </si>
  <si>
    <t>19122</t>
  </si>
  <si>
    <t>קרן טליה</t>
  </si>
  <si>
    <t>1912</t>
  </si>
  <si>
    <t>208327676</t>
  </si>
  <si>
    <t>19131</t>
  </si>
  <si>
    <t>קרן בני</t>
  </si>
  <si>
    <t>בני</t>
  </si>
  <si>
    <t>1913</t>
  </si>
  <si>
    <t>קרן בני ורחלי</t>
  </si>
  <si>
    <t>059667501</t>
  </si>
  <si>
    <t>19132</t>
  </si>
  <si>
    <t>קרן רחל</t>
  </si>
  <si>
    <t>024660094</t>
  </si>
  <si>
    <t>19138</t>
  </si>
  <si>
    <t>קרן מעוז    יואל</t>
  </si>
  <si>
    <t>מעוז    יואל</t>
  </si>
  <si>
    <t>216976233</t>
  </si>
  <si>
    <t>19141</t>
  </si>
  <si>
    <t>קרליבך יצחק</t>
  </si>
  <si>
    <t>1914</t>
  </si>
  <si>
    <t>קרליבך יצחק וורד</t>
  </si>
  <si>
    <t>027777135</t>
  </si>
  <si>
    <t>19142</t>
  </si>
  <si>
    <t>קרליבך ורד</t>
  </si>
  <si>
    <t>ורד</t>
  </si>
  <si>
    <t>027948215</t>
  </si>
  <si>
    <t>19147</t>
  </si>
  <si>
    <t>קרליבך ענבר</t>
  </si>
  <si>
    <t>217322783</t>
  </si>
  <si>
    <t>19148</t>
  </si>
  <si>
    <t>קרליבך תאיר</t>
  </si>
  <si>
    <t>תאיר</t>
  </si>
  <si>
    <t>220294011</t>
  </si>
  <si>
    <t>19152</t>
  </si>
  <si>
    <t>קרליבך עדי</t>
  </si>
  <si>
    <t>1915</t>
  </si>
  <si>
    <t>322769290</t>
  </si>
  <si>
    <t>19172</t>
  </si>
  <si>
    <t>קרן נויה</t>
  </si>
  <si>
    <t>נויה</t>
  </si>
  <si>
    <t>1917</t>
  </si>
  <si>
    <t>322379496</t>
  </si>
  <si>
    <t>19182</t>
  </si>
  <si>
    <t>קרן מוריה</t>
  </si>
  <si>
    <t>1918</t>
  </si>
  <si>
    <t>212940605</t>
  </si>
  <si>
    <t>19221</t>
  </si>
  <si>
    <t>קרליבך ישי</t>
  </si>
  <si>
    <t>1922</t>
  </si>
  <si>
    <t>קרליבך ישי ונועה</t>
  </si>
  <si>
    <t>052680881</t>
  </si>
  <si>
    <t>19222</t>
  </si>
  <si>
    <t>קרליבך נועה    אסתר</t>
  </si>
  <si>
    <t>נועה    אסתר</t>
  </si>
  <si>
    <t>039763420</t>
  </si>
  <si>
    <t>19223</t>
  </si>
  <si>
    <t>קרליבך מתן   אביעד</t>
  </si>
  <si>
    <t>מתן   אביעד</t>
  </si>
  <si>
    <t>333550358</t>
  </si>
  <si>
    <t>19224</t>
  </si>
  <si>
    <t>קרליבך שחר    ליאור</t>
  </si>
  <si>
    <t>שחר    ליאור</t>
  </si>
  <si>
    <t>335532602</t>
  </si>
  <si>
    <t>19225</t>
  </si>
  <si>
    <t>קרליבך גילעד</t>
  </si>
  <si>
    <t>גילעד</t>
  </si>
  <si>
    <t>338971575</t>
  </si>
  <si>
    <t>19226</t>
  </si>
  <si>
    <t>קרליבך עלמה</t>
  </si>
  <si>
    <t>223610742</t>
  </si>
  <si>
    <t>19227</t>
  </si>
  <si>
    <t>קרליבך צור</t>
  </si>
  <si>
    <t>צור</t>
  </si>
  <si>
    <t>223296914</t>
  </si>
  <si>
    <t>19231</t>
  </si>
  <si>
    <t>קליין דן-צבי</t>
  </si>
  <si>
    <t>דן-צבי</t>
  </si>
  <si>
    <t>1923</t>
  </si>
  <si>
    <t>קליין דן וחדוה</t>
  </si>
  <si>
    <t>041252222</t>
  </si>
  <si>
    <t>19232</t>
  </si>
  <si>
    <t>קליין חדוה</t>
  </si>
  <si>
    <t>חדוה</t>
  </si>
  <si>
    <t>300902509</t>
  </si>
  <si>
    <t>19233</t>
  </si>
  <si>
    <t>קליין נטע</t>
  </si>
  <si>
    <t>217715630</t>
  </si>
  <si>
    <t>19234</t>
  </si>
  <si>
    <t>קליין עלמה</t>
  </si>
  <si>
    <t>219838232</t>
  </si>
  <si>
    <t>19235</t>
  </si>
  <si>
    <t>קליין אמיתי</t>
  </si>
  <si>
    <t>335768511</t>
  </si>
  <si>
    <t>19236</t>
  </si>
  <si>
    <t>קליין סיני     דוד</t>
  </si>
  <si>
    <t>סיני     דוד</t>
  </si>
  <si>
    <t>342049772</t>
  </si>
  <si>
    <t>19237</t>
  </si>
  <si>
    <t>קליין יותם</t>
  </si>
  <si>
    <t>יותם</t>
  </si>
  <si>
    <t>227204849</t>
  </si>
  <si>
    <t>19242</t>
  </si>
  <si>
    <t>212935043</t>
  </si>
  <si>
    <t>19262</t>
  </si>
  <si>
    <t>קרן הדר</t>
  </si>
  <si>
    <t>1926</t>
  </si>
  <si>
    <t>327508222</t>
  </si>
  <si>
    <t>19311</t>
  </si>
  <si>
    <t>ספיר תומר       סאלי</t>
  </si>
  <si>
    <t>ספיר</t>
  </si>
  <si>
    <t>תומר       סאלי</t>
  </si>
  <si>
    <t>1931</t>
  </si>
  <si>
    <t>ספיר תומר ונעמה</t>
  </si>
  <si>
    <t>200279198</t>
  </si>
  <si>
    <t>19312</t>
  </si>
  <si>
    <t>ספיר נעמה</t>
  </si>
  <si>
    <t>203463997</t>
  </si>
  <si>
    <t>19313</t>
  </si>
  <si>
    <t>ספיר עדי רינה</t>
  </si>
  <si>
    <t>עדי רינה</t>
  </si>
  <si>
    <t>235286168</t>
  </si>
  <si>
    <t>19314</t>
  </si>
  <si>
    <t>ספיר הללי</t>
  </si>
  <si>
    <t>הללי</t>
  </si>
  <si>
    <t>238996540</t>
  </si>
  <si>
    <t>19332</t>
  </si>
  <si>
    <t>קרליבך נעמה</t>
  </si>
  <si>
    <t>330573023</t>
  </si>
  <si>
    <t>19351</t>
  </si>
  <si>
    <t>קליין יוחאי</t>
  </si>
  <si>
    <t>יוחאי</t>
  </si>
  <si>
    <t>1935</t>
  </si>
  <si>
    <t>קליין יוחאי ושלומית</t>
  </si>
  <si>
    <t>060468279</t>
  </si>
  <si>
    <t>19352</t>
  </si>
  <si>
    <t>קליין שלומית</t>
  </si>
  <si>
    <t>036792489</t>
  </si>
  <si>
    <t>19353</t>
  </si>
  <si>
    <t>קליין בארי        אמונה</t>
  </si>
  <si>
    <t>בארי        אמונה</t>
  </si>
  <si>
    <t>333098937</t>
  </si>
  <si>
    <t>19354</t>
  </si>
  <si>
    <t>קליין אחינעם      זיו</t>
  </si>
  <si>
    <t>אחינעם      זיו</t>
  </si>
  <si>
    <t>334892783</t>
  </si>
  <si>
    <t>19355</t>
  </si>
  <si>
    <t>קליין יהונתן         שחר</t>
  </si>
  <si>
    <t>יהונתן         שחר</t>
  </si>
  <si>
    <t>336608849</t>
  </si>
  <si>
    <t>19356</t>
  </si>
  <si>
    <t>קליין הדס    יעקב</t>
  </si>
  <si>
    <t>הדס    יעקב</t>
  </si>
  <si>
    <t>343185500</t>
  </si>
  <si>
    <t>19357</t>
  </si>
  <si>
    <t>קליין עברי  בינימין</t>
  </si>
  <si>
    <t>עברי  בינימין</t>
  </si>
  <si>
    <t>228147880</t>
  </si>
  <si>
    <t>19358</t>
  </si>
  <si>
    <t>קליין מור דרור</t>
  </si>
  <si>
    <t>מור דרור</t>
  </si>
  <si>
    <t>238708630</t>
  </si>
  <si>
    <t>20012</t>
  </si>
  <si>
    <t>רוט שירה</t>
  </si>
  <si>
    <t>רוט</t>
  </si>
  <si>
    <t>2001</t>
  </si>
  <si>
    <t>213240930</t>
  </si>
  <si>
    <t>רון</t>
  </si>
  <si>
    <t>20041</t>
  </si>
  <si>
    <t>דומב יצחק אלישיב</t>
  </si>
  <si>
    <t>דומב</t>
  </si>
  <si>
    <t>יצחק אלישיב</t>
  </si>
  <si>
    <t>2004</t>
  </si>
  <si>
    <t>רוט קרן</t>
  </si>
  <si>
    <t>314679697</t>
  </si>
  <si>
    <t>20042</t>
  </si>
  <si>
    <t>דומב קרן</t>
  </si>
  <si>
    <t>207744764</t>
  </si>
  <si>
    <t>20052</t>
  </si>
  <si>
    <t>רביב דבורה</t>
  </si>
  <si>
    <t>רביב</t>
  </si>
  <si>
    <t>2005</t>
  </si>
  <si>
    <t>042639492</t>
  </si>
  <si>
    <t>92051</t>
  </si>
  <si>
    <t>רביב יעקב</t>
  </si>
  <si>
    <t>20061</t>
  </si>
  <si>
    <t>רוזנברג יעקב</t>
  </si>
  <si>
    <t>רוזנברג</t>
  </si>
  <si>
    <t>2006</t>
  </si>
  <si>
    <t>רוזנברג יעקב ועפרה</t>
  </si>
  <si>
    <t>000919662</t>
  </si>
  <si>
    <t>20062</t>
  </si>
  <si>
    <t>רוזנברג עפרה</t>
  </si>
  <si>
    <t>004593646</t>
  </si>
  <si>
    <t>20071</t>
  </si>
  <si>
    <t>רייך גלעד</t>
  </si>
  <si>
    <t>רייך</t>
  </si>
  <si>
    <t>גלעד</t>
  </si>
  <si>
    <t>2007</t>
  </si>
  <si>
    <t>רייך גלעד ויפעת</t>
  </si>
  <si>
    <t>024142945</t>
  </si>
  <si>
    <t>20072</t>
  </si>
  <si>
    <t>רייך יפעת</t>
  </si>
  <si>
    <t>יפעת</t>
  </si>
  <si>
    <t>024930927</t>
  </si>
  <si>
    <t>20081</t>
  </si>
  <si>
    <t>רמון שלמה</t>
  </si>
  <si>
    <t>רמון</t>
  </si>
  <si>
    <t>2008</t>
  </si>
  <si>
    <t>רימון שלמה וסלבי</t>
  </si>
  <si>
    <t>009435348</t>
  </si>
  <si>
    <t>20082</t>
  </si>
  <si>
    <t>רמון סלבי</t>
  </si>
  <si>
    <t>סלבי</t>
  </si>
  <si>
    <t>076276245</t>
  </si>
  <si>
    <t>20091</t>
  </si>
  <si>
    <t>רון יואב</t>
  </si>
  <si>
    <t>2009</t>
  </si>
  <si>
    <t>רון יואב ומרים</t>
  </si>
  <si>
    <t>030275424</t>
  </si>
  <si>
    <t>20092</t>
  </si>
  <si>
    <t>רון מרים</t>
  </si>
  <si>
    <t>050504752</t>
  </si>
  <si>
    <t>20101</t>
  </si>
  <si>
    <t>רייך מיכאל</t>
  </si>
  <si>
    <t>2010</t>
  </si>
  <si>
    <t>רייך מיכאל ובלה</t>
  </si>
  <si>
    <t>000689174</t>
  </si>
  <si>
    <t>20102</t>
  </si>
  <si>
    <t>רייך בלה</t>
  </si>
  <si>
    <t>בלה</t>
  </si>
  <si>
    <t>007218787</t>
  </si>
  <si>
    <t>20111</t>
  </si>
  <si>
    <t>רביב יצחק</t>
  </si>
  <si>
    <t>2011</t>
  </si>
  <si>
    <t>רביב יצחק ויעל</t>
  </si>
  <si>
    <t>055076616</t>
  </si>
  <si>
    <t>20112</t>
  </si>
  <si>
    <t>רביב יעל</t>
  </si>
  <si>
    <t>057695363</t>
  </si>
  <si>
    <t>20121</t>
  </si>
  <si>
    <t>רגב שמואל</t>
  </si>
  <si>
    <t>רגב</t>
  </si>
  <si>
    <t>2012</t>
  </si>
  <si>
    <t>רגב שמוליק ודפי</t>
  </si>
  <si>
    <t>022671838</t>
  </si>
  <si>
    <t>20122</t>
  </si>
  <si>
    <t>רגב דפי</t>
  </si>
  <si>
    <t>דפי</t>
  </si>
  <si>
    <t>024490856</t>
  </si>
  <si>
    <t>20141</t>
  </si>
  <si>
    <t>רחמים יהושע</t>
  </si>
  <si>
    <t>רחמים</t>
  </si>
  <si>
    <t>יהושע</t>
  </si>
  <si>
    <t>2014</t>
  </si>
  <si>
    <t>רחמים יהושוע ושרה )איצק`(</t>
  </si>
  <si>
    <t>053207577</t>
  </si>
  <si>
    <t>20142</t>
  </si>
  <si>
    <t>רחמים-איצקוביץ שרה</t>
  </si>
  <si>
    <t>רחמים-איצקוביץ</t>
  </si>
  <si>
    <t>056358666</t>
  </si>
  <si>
    <t>20161</t>
  </si>
  <si>
    <t>רביב יגאל</t>
  </si>
  <si>
    <t>יגאל</t>
  </si>
  <si>
    <t>2016</t>
  </si>
  <si>
    <t>רביב יגאל ומירב</t>
  </si>
  <si>
    <t>057735037</t>
  </si>
  <si>
    <t>20162</t>
  </si>
  <si>
    <t>רביב מירב</t>
  </si>
  <si>
    <t>057706830</t>
  </si>
  <si>
    <t>20171</t>
  </si>
  <si>
    <t>רוט צבי</t>
  </si>
  <si>
    <t>2017</t>
  </si>
  <si>
    <t>רוט צבי ונורית</t>
  </si>
  <si>
    <t>022117493</t>
  </si>
  <si>
    <t>20172</t>
  </si>
  <si>
    <t>רוט נורית</t>
  </si>
  <si>
    <t>נורית</t>
  </si>
  <si>
    <t>028559763</t>
  </si>
  <si>
    <t>20177</t>
  </si>
  <si>
    <t>רוט ברק</t>
  </si>
  <si>
    <t>ברק</t>
  </si>
  <si>
    <t>218119311</t>
  </si>
  <si>
    <t>20201</t>
  </si>
  <si>
    <t>רמון ארנון</t>
  </si>
  <si>
    <t>ארנון</t>
  </si>
  <si>
    <t>2020</t>
  </si>
  <si>
    <t>רימון ארנון וסימי</t>
  </si>
  <si>
    <t>029716453</t>
  </si>
  <si>
    <t>20202</t>
  </si>
  <si>
    <t>רמון סימי</t>
  </si>
  <si>
    <t>סימי</t>
  </si>
  <si>
    <t>029542289</t>
  </si>
  <si>
    <t>20206</t>
  </si>
  <si>
    <t>רמון רותם</t>
  </si>
  <si>
    <t>219632312</t>
  </si>
  <si>
    <t>20207</t>
  </si>
  <si>
    <t>רמון ליאור</t>
  </si>
  <si>
    <t>ליאור</t>
  </si>
  <si>
    <t>219632320</t>
  </si>
  <si>
    <t>20222</t>
  </si>
  <si>
    <t>רייך ענת</t>
  </si>
  <si>
    <t>2022</t>
  </si>
  <si>
    <t>028725315</t>
  </si>
  <si>
    <t>20223</t>
  </si>
  <si>
    <t>רייך יובל    יעקב</t>
  </si>
  <si>
    <t>יובל    יעקב</t>
  </si>
  <si>
    <t>218904969</t>
  </si>
  <si>
    <t>20224</t>
  </si>
  <si>
    <t>רייך רעות    שרה</t>
  </si>
  <si>
    <t>רעות    שרה</t>
  </si>
  <si>
    <t>220997217</t>
  </si>
  <si>
    <t>20232</t>
  </si>
  <si>
    <t>רביב רותם</t>
  </si>
  <si>
    <t>2023</t>
  </si>
  <si>
    <t>315243246</t>
  </si>
  <si>
    <t>20242</t>
  </si>
  <si>
    <t>רמון אופיר</t>
  </si>
  <si>
    <t>2024</t>
  </si>
  <si>
    <t>רימון אופיר</t>
  </si>
  <si>
    <t>206963936</t>
  </si>
  <si>
    <t>20271</t>
  </si>
  <si>
    <t>רגב רביד</t>
  </si>
  <si>
    <t>רביד</t>
  </si>
  <si>
    <t>2027</t>
  </si>
  <si>
    <t>207895863</t>
  </si>
  <si>
    <t>20272</t>
  </si>
  <si>
    <t>רגב נועה</t>
  </si>
  <si>
    <t>206967960</t>
  </si>
  <si>
    <t>20273</t>
  </si>
  <si>
    <t>רגב תכלת</t>
  </si>
  <si>
    <t>תכלת</t>
  </si>
  <si>
    <t>237227962</t>
  </si>
  <si>
    <t>20274</t>
  </si>
  <si>
    <t>רגב עמנואל משה</t>
  </si>
  <si>
    <t>עמנואל משה</t>
  </si>
  <si>
    <t>242113066</t>
  </si>
  <si>
    <t>20281</t>
  </si>
  <si>
    <t>רביב כתריאל ניסים</t>
  </si>
  <si>
    <t>כתריאל ניסים</t>
  </si>
  <si>
    <t>2028</t>
  </si>
  <si>
    <t>רביב כתי ולאה</t>
  </si>
  <si>
    <t>022782155</t>
  </si>
  <si>
    <t>20282</t>
  </si>
  <si>
    <t>רביב לאה</t>
  </si>
  <si>
    <t>022983126</t>
  </si>
  <si>
    <t>20301</t>
  </si>
  <si>
    <t>ראבינסאן דגן</t>
  </si>
  <si>
    <t>ראבינסאן</t>
  </si>
  <si>
    <t>2030</t>
  </si>
  <si>
    <t>ראבינסאן דגן ומירית</t>
  </si>
  <si>
    <t>052975893</t>
  </si>
  <si>
    <t>20302</t>
  </si>
  <si>
    <t>ראבינסאן מירית</t>
  </si>
  <si>
    <t>מירית</t>
  </si>
  <si>
    <t>052696069</t>
  </si>
  <si>
    <t>20303</t>
  </si>
  <si>
    <t>ראבינסאן טליה</t>
  </si>
  <si>
    <t>216982314</t>
  </si>
  <si>
    <t>20304</t>
  </si>
  <si>
    <t>ראבינסאן מעין</t>
  </si>
  <si>
    <t>334649506</t>
  </si>
  <si>
    <t>20305</t>
  </si>
  <si>
    <t>ראבינסאן אריאל</t>
  </si>
  <si>
    <t>335429627</t>
  </si>
  <si>
    <t>20306</t>
  </si>
  <si>
    <t>ראבינסאן הדר</t>
  </si>
  <si>
    <t>222141913</t>
  </si>
  <si>
    <t>20307</t>
  </si>
  <si>
    <t>ראבינסאן שירה</t>
  </si>
  <si>
    <t>343608394</t>
  </si>
  <si>
    <t>20311</t>
  </si>
  <si>
    <t>לוי נדב</t>
  </si>
  <si>
    <t>לוי</t>
  </si>
  <si>
    <t>2031</t>
  </si>
  <si>
    <t>לוי נדב ואביב )רגב(</t>
  </si>
  <si>
    <t>203382510</t>
  </si>
  <si>
    <t>20312</t>
  </si>
  <si>
    <t>לוי אביב</t>
  </si>
  <si>
    <t>204566251</t>
  </si>
  <si>
    <t>20313</t>
  </si>
  <si>
    <t>לוי אסיף</t>
  </si>
  <si>
    <t>אסיף</t>
  </si>
  <si>
    <t>340631290</t>
  </si>
  <si>
    <t>20314</t>
  </si>
  <si>
    <t>לוי כרם</t>
  </si>
  <si>
    <t>כרם</t>
  </si>
  <si>
    <t>227348828</t>
  </si>
  <si>
    <t>20315</t>
  </si>
  <si>
    <t>לוי יובל</t>
  </si>
  <si>
    <t>229532940</t>
  </si>
  <si>
    <t>20316</t>
  </si>
  <si>
    <t>לוי נבו</t>
  </si>
  <si>
    <t>נבו</t>
  </si>
  <si>
    <t>237467618</t>
  </si>
  <si>
    <t>20322</t>
  </si>
  <si>
    <t>רביב טליה</t>
  </si>
  <si>
    <t>2032</t>
  </si>
  <si>
    <t>208288886</t>
  </si>
  <si>
    <t>20331</t>
  </si>
  <si>
    <t>סיידנר יהודה אהרון</t>
  </si>
  <si>
    <t>סיידנר</t>
  </si>
  <si>
    <t>יהודה אהרון</t>
  </si>
  <si>
    <t>2033</t>
  </si>
  <si>
    <t>סיידנר יהודה ועומר )רגב(</t>
  </si>
  <si>
    <t>208554436</t>
  </si>
  <si>
    <t>20332</t>
  </si>
  <si>
    <t>סיידנר עמר</t>
  </si>
  <si>
    <t>עמר</t>
  </si>
  <si>
    <t>207229287</t>
  </si>
  <si>
    <t>20333</t>
  </si>
  <si>
    <t>סיידנר באר אהבה</t>
  </si>
  <si>
    <t>באר אהבה</t>
  </si>
  <si>
    <t>228155479</t>
  </si>
  <si>
    <t>20334</t>
  </si>
  <si>
    <t>סיידנר יער</t>
  </si>
  <si>
    <t>יער</t>
  </si>
  <si>
    <t>236075206</t>
  </si>
  <si>
    <t>20335</t>
  </si>
  <si>
    <t>סיידנר רעי</t>
  </si>
  <si>
    <t>רעי</t>
  </si>
  <si>
    <t>238703193</t>
  </si>
  <si>
    <t>20342</t>
  </si>
  <si>
    <t>רביב יובל</t>
  </si>
  <si>
    <t>2034</t>
  </si>
  <si>
    <t>208496919</t>
  </si>
  <si>
    <t>20352</t>
  </si>
  <si>
    <t>מלכה שני</t>
  </si>
  <si>
    <t>מלכה</t>
  </si>
  <si>
    <t>2035</t>
  </si>
  <si>
    <t>רייך שני</t>
  </si>
  <si>
    <t>318509775</t>
  </si>
  <si>
    <t>20361</t>
  </si>
  <si>
    <t>רביב אוהד</t>
  </si>
  <si>
    <t>אוהד</t>
  </si>
  <si>
    <t>2036</t>
  </si>
  <si>
    <t>208321992</t>
  </si>
  <si>
    <t>20371</t>
  </si>
  <si>
    <t>רוט רועי</t>
  </si>
  <si>
    <t>322266875</t>
  </si>
  <si>
    <t>20381</t>
  </si>
  <si>
    <t>רייך שיאל יעקב</t>
  </si>
  <si>
    <t>שיאל יעקב</t>
  </si>
  <si>
    <t>2038</t>
  </si>
  <si>
    <t>רייך שיאל</t>
  </si>
  <si>
    <t>208297499</t>
  </si>
  <si>
    <t>20392</t>
  </si>
  <si>
    <t>רביב שי</t>
  </si>
  <si>
    <t>2039</t>
  </si>
  <si>
    <t>211721758</t>
  </si>
  <si>
    <t>20402</t>
  </si>
  <si>
    <t>רחמים שירה</t>
  </si>
  <si>
    <t>2040</t>
  </si>
  <si>
    <t>209447770</t>
  </si>
  <si>
    <t>20411</t>
  </si>
  <si>
    <t>וולווביק עידו</t>
  </si>
  <si>
    <t>2041</t>
  </si>
  <si>
    <t>וולווביק עידו ומטר</t>
  </si>
  <si>
    <t>20412</t>
  </si>
  <si>
    <t>וולווביק רגב מטר</t>
  </si>
  <si>
    <t>וולווביק רגב</t>
  </si>
  <si>
    <t>מטר</t>
  </si>
  <si>
    <t>322227497</t>
  </si>
  <si>
    <t>עמיאל</t>
  </si>
  <si>
    <t>2042</t>
  </si>
  <si>
    <t>עמיאל בראל ורון</t>
  </si>
  <si>
    <t>20422</t>
  </si>
  <si>
    <t>עמיאל רון</t>
  </si>
  <si>
    <t>323869768</t>
  </si>
  <si>
    <t>20432</t>
  </si>
  <si>
    <t>רוט אפרת</t>
  </si>
  <si>
    <t>2043</t>
  </si>
  <si>
    <t>213114820</t>
  </si>
  <si>
    <t>20442</t>
  </si>
  <si>
    <t>רביב גילי</t>
  </si>
  <si>
    <t>גילי</t>
  </si>
  <si>
    <t>2044</t>
  </si>
  <si>
    <t>212853758</t>
  </si>
  <si>
    <t>20452</t>
  </si>
  <si>
    <t>רחמים תהילה</t>
  </si>
  <si>
    <t>תהילה</t>
  </si>
  <si>
    <t>2045</t>
  </si>
  <si>
    <t>322464439</t>
  </si>
  <si>
    <t>20461</t>
  </si>
  <si>
    <t>רייך שגיא</t>
  </si>
  <si>
    <t>שגיא</t>
  </si>
  <si>
    <t>213827793</t>
  </si>
  <si>
    <t>20472</t>
  </si>
  <si>
    <t>רחמים הודיה</t>
  </si>
  <si>
    <t>325832608</t>
  </si>
  <si>
    <t>20481</t>
  </si>
  <si>
    <t>רמון דור</t>
  </si>
  <si>
    <t>325938678</t>
  </si>
  <si>
    <t>20491</t>
  </si>
  <si>
    <t>רביב אורי</t>
  </si>
  <si>
    <t>328261797</t>
  </si>
  <si>
    <t>20501</t>
  </si>
  <si>
    <t>ריינר אריאל שלמה</t>
  </si>
  <si>
    <t>אריאל שלמה</t>
  </si>
  <si>
    <t>2050</t>
  </si>
  <si>
    <t>ריינר שירה ואריאל</t>
  </si>
  <si>
    <t>305127250</t>
  </si>
  <si>
    <t>20502</t>
  </si>
  <si>
    <t>ריינר שירה</t>
  </si>
  <si>
    <t>305358277</t>
  </si>
  <si>
    <t>20503</t>
  </si>
  <si>
    <t>ריינר אסיף</t>
  </si>
  <si>
    <t>234890713</t>
  </si>
  <si>
    <t>20504</t>
  </si>
  <si>
    <t>ריינר אור    משה</t>
  </si>
  <si>
    <t>אור    משה</t>
  </si>
  <si>
    <t>234890721</t>
  </si>
  <si>
    <t>20505</t>
  </si>
  <si>
    <t>ריינר שחר</t>
  </si>
  <si>
    <t>241345289</t>
  </si>
  <si>
    <t>21011</t>
  </si>
  <si>
    <t>דימנט דביר</t>
  </si>
  <si>
    <t>דימנט</t>
  </si>
  <si>
    <t>2101</t>
  </si>
  <si>
    <t>דימנט דביר ורננה</t>
  </si>
  <si>
    <t>039556881</t>
  </si>
  <si>
    <t>21012</t>
  </si>
  <si>
    <t>דימנט רננה</t>
  </si>
  <si>
    <t>026539460</t>
  </si>
  <si>
    <t>21013</t>
  </si>
  <si>
    <t>דימנט בת-עין תחיה</t>
  </si>
  <si>
    <t>בת-עין תחיה</t>
  </si>
  <si>
    <t>222875445</t>
  </si>
  <si>
    <t>21014</t>
  </si>
  <si>
    <t>דימנט נהר שלום</t>
  </si>
  <si>
    <t>נהר שלום</t>
  </si>
  <si>
    <t>224659375</t>
  </si>
  <si>
    <t>21015</t>
  </si>
  <si>
    <t>דימנט נעמה רחל</t>
  </si>
  <si>
    <t>נעמה רחל</t>
  </si>
  <si>
    <t>343637807</t>
  </si>
  <si>
    <t>21016</t>
  </si>
  <si>
    <t>דימנט צור יוסף</t>
  </si>
  <si>
    <t>צור יוסף</t>
  </si>
  <si>
    <t>234922441</t>
  </si>
  <si>
    <t>21017</t>
  </si>
  <si>
    <t>דימנט זיו אברהם</t>
  </si>
  <si>
    <t>זיו אברהם</t>
  </si>
  <si>
    <t>238235394</t>
  </si>
  <si>
    <t>21022</t>
  </si>
  <si>
    <t>שיין טליה חיה</t>
  </si>
  <si>
    <t>שיין</t>
  </si>
  <si>
    <t>טליה חיה</t>
  </si>
  <si>
    <t>2119</t>
  </si>
  <si>
    <t>שיין נפתלי וגילה</t>
  </si>
  <si>
    <t>326661436</t>
  </si>
  <si>
    <t>21191</t>
  </si>
  <si>
    <t>שיין נפתלי</t>
  </si>
  <si>
    <t>21092</t>
  </si>
  <si>
    <t>שיין ורדה</t>
  </si>
  <si>
    <t>ורדה</t>
  </si>
  <si>
    <t>2109</t>
  </si>
  <si>
    <t>שיין יהודה וורדה</t>
  </si>
  <si>
    <t>049337348</t>
  </si>
  <si>
    <t>21101</t>
  </si>
  <si>
    <t>שאול אריה</t>
  </si>
  <si>
    <t>שאול</t>
  </si>
  <si>
    <t>2110</t>
  </si>
  <si>
    <t>שאול אריה ואמירה</t>
  </si>
  <si>
    <t>051497733</t>
  </si>
  <si>
    <t>21102</t>
  </si>
  <si>
    <t>שאול אמירה</t>
  </si>
  <si>
    <t>אמירה</t>
  </si>
  <si>
    <t>054043344</t>
  </si>
  <si>
    <t>21111</t>
  </si>
  <si>
    <t>שי ישראל</t>
  </si>
  <si>
    <t>2111</t>
  </si>
  <si>
    <t>שי ישראל ורחל</t>
  </si>
  <si>
    <t>057203481</t>
  </si>
  <si>
    <t>21112</t>
  </si>
  <si>
    <t>שי רחל</t>
  </si>
  <si>
    <t>056821861</t>
  </si>
  <si>
    <t>21121</t>
  </si>
  <si>
    <t>שוורץ כרמל</t>
  </si>
  <si>
    <t>שוורץ</t>
  </si>
  <si>
    <t>2115</t>
  </si>
  <si>
    <t>שוורץ רוני ושיראל</t>
  </si>
  <si>
    <t>329463848</t>
  </si>
  <si>
    <t>21151</t>
  </si>
  <si>
    <t>שוורץ רוני</t>
  </si>
  <si>
    <t>21131</t>
  </si>
  <si>
    <t>שאול איתי בנימין</t>
  </si>
  <si>
    <t>איתי בנימין</t>
  </si>
  <si>
    <t>2113</t>
  </si>
  <si>
    <t>שאול איתי ויעל</t>
  </si>
  <si>
    <t>037966173</t>
  </si>
  <si>
    <t>21132</t>
  </si>
  <si>
    <t>שאול יעל</t>
  </si>
  <si>
    <t>032517690</t>
  </si>
  <si>
    <t>21133</t>
  </si>
  <si>
    <t>שאול מעין אמונה</t>
  </si>
  <si>
    <t>מעין אמונה</t>
  </si>
  <si>
    <t>218412989</t>
  </si>
  <si>
    <t>21134</t>
  </si>
  <si>
    <t>שאול יערה</t>
  </si>
  <si>
    <t>יערה</t>
  </si>
  <si>
    <t>335841292</t>
  </si>
  <si>
    <t>21135</t>
  </si>
  <si>
    <t>שאול טליה דבורה</t>
  </si>
  <si>
    <t>טליה דבורה</t>
  </si>
  <si>
    <t>338520703</t>
  </si>
  <si>
    <t>21136</t>
  </si>
  <si>
    <t>שאול אורי יוסף</t>
  </si>
  <si>
    <t>אורי יוסף</t>
  </si>
  <si>
    <t>229640099</t>
  </si>
  <si>
    <t>21137</t>
  </si>
  <si>
    <t>שאול לביא ישראל</t>
  </si>
  <si>
    <t>לביא ישראל</t>
  </si>
  <si>
    <t>234423580</t>
  </si>
  <si>
    <t>031400492</t>
  </si>
  <si>
    <t>21152</t>
  </si>
  <si>
    <t>שוורץ שיראל</t>
  </si>
  <si>
    <t>שיראל</t>
  </si>
  <si>
    <t>034284240</t>
  </si>
  <si>
    <t>21154</t>
  </si>
  <si>
    <t>שוורץ מעיין</t>
  </si>
  <si>
    <t>333562619</t>
  </si>
  <si>
    <t>21155</t>
  </si>
  <si>
    <t>שוורץ אביב</t>
  </si>
  <si>
    <t>335513461</t>
  </si>
  <si>
    <t>21156</t>
  </si>
  <si>
    <t>שוורץ ירדן</t>
  </si>
  <si>
    <t>223880212</t>
  </si>
  <si>
    <t>21157</t>
  </si>
  <si>
    <t>שוורץ יערי</t>
  </si>
  <si>
    <t>יערי</t>
  </si>
  <si>
    <t>226510402</t>
  </si>
  <si>
    <t>21171</t>
  </si>
  <si>
    <t>שי רועי מרדכי</t>
  </si>
  <si>
    <t>רועי מרדכי</t>
  </si>
  <si>
    <t>213439565</t>
  </si>
  <si>
    <t>21182</t>
  </si>
  <si>
    <t>דורון )שבח( רותם</t>
  </si>
  <si>
    <t>דורון )שבח(</t>
  </si>
  <si>
    <t>2118</t>
  </si>
  <si>
    <t>דורון רותם</t>
  </si>
  <si>
    <t>300740602</t>
  </si>
  <si>
    <t>21183</t>
  </si>
  <si>
    <t>שבח יהב</t>
  </si>
  <si>
    <t>שבח</t>
  </si>
  <si>
    <t>335231163</t>
  </si>
  <si>
    <t>21184</t>
  </si>
  <si>
    <t>שבח טל</t>
  </si>
  <si>
    <t>337498893</t>
  </si>
  <si>
    <t>031942857</t>
  </si>
  <si>
    <t>21192</t>
  </si>
  <si>
    <t>שיין גילה ויטה</t>
  </si>
  <si>
    <t>גילה ויטה</t>
  </si>
  <si>
    <t>038554762</t>
  </si>
  <si>
    <t>21195</t>
  </si>
  <si>
    <t>שיין נועה</t>
  </si>
  <si>
    <t>332877810</t>
  </si>
  <si>
    <t>21196</t>
  </si>
  <si>
    <t>שיין שקד שירה</t>
  </si>
  <si>
    <t>שקד שירה</t>
  </si>
  <si>
    <t>220412084</t>
  </si>
  <si>
    <t>21197</t>
  </si>
  <si>
    <t>שיין רועי דוד</t>
  </si>
  <si>
    <t>רועי דוד</t>
  </si>
  <si>
    <t>222741092</t>
  </si>
  <si>
    <t>21198</t>
  </si>
  <si>
    <t>שיין אביב יצחק</t>
  </si>
  <si>
    <t>אביב יצחק</t>
  </si>
  <si>
    <t>343334553</t>
  </si>
  <si>
    <t>21201</t>
  </si>
  <si>
    <t>שילה נתנאל</t>
  </si>
  <si>
    <t>נתנאל</t>
  </si>
  <si>
    <t>2120</t>
  </si>
  <si>
    <t>שילה נתנאל וסיון</t>
  </si>
  <si>
    <t>036992741</t>
  </si>
  <si>
    <t xml:space="preserve">30    </t>
  </si>
  <si>
    <t>21202</t>
  </si>
  <si>
    <t>שילה סיון רעות</t>
  </si>
  <si>
    <t>סיון רעות</t>
  </si>
  <si>
    <t>036550481</t>
  </si>
  <si>
    <t>21203</t>
  </si>
  <si>
    <t>שילה נועה אמונה</t>
  </si>
  <si>
    <t>נועה אמונה</t>
  </si>
  <si>
    <t>218884245</t>
  </si>
  <si>
    <t xml:space="preserve">16    </t>
  </si>
  <si>
    <t>21204</t>
  </si>
  <si>
    <t>שילה איתן צוריה</t>
  </si>
  <si>
    <t>איתן צוריה</t>
  </si>
  <si>
    <t>335298618</t>
  </si>
  <si>
    <t>21205</t>
  </si>
  <si>
    <t>שילה שקד בניה</t>
  </si>
  <si>
    <t>338430945</t>
  </si>
  <si>
    <t>21206</t>
  </si>
  <si>
    <t>שילה דור לביא</t>
  </si>
  <si>
    <t>דור לביא</t>
  </si>
  <si>
    <t>340600873</t>
  </si>
  <si>
    <t>21207</t>
  </si>
  <si>
    <t>שילה יעלה רוני</t>
  </si>
  <si>
    <t>יעלה רוני</t>
  </si>
  <si>
    <t>228145108</t>
  </si>
  <si>
    <t>21211</t>
  </si>
  <si>
    <t>אלבז שריה</t>
  </si>
  <si>
    <t>אלבז</t>
  </si>
  <si>
    <t>שריה</t>
  </si>
  <si>
    <t>2121</t>
  </si>
  <si>
    <t>אלבז שריה ומוריה</t>
  </si>
  <si>
    <t>305049892</t>
  </si>
  <si>
    <t>21212</t>
  </si>
  <si>
    <t>אלבז מוריה</t>
  </si>
  <si>
    <t>303024723</t>
  </si>
  <si>
    <t>21213</t>
  </si>
  <si>
    <t>אלבז דבש תמר</t>
  </si>
  <si>
    <t>דבש תמר</t>
  </si>
  <si>
    <t>344456173</t>
  </si>
  <si>
    <t>21214</t>
  </si>
  <si>
    <t>אלבז אורי</t>
  </si>
  <si>
    <t>234906980</t>
  </si>
  <si>
    <t>21215</t>
  </si>
  <si>
    <t>אלבז נטע</t>
  </si>
  <si>
    <t>237466933</t>
  </si>
  <si>
    <t>21221</t>
  </si>
  <si>
    <t>שרעבי אביאל</t>
  </si>
  <si>
    <t>שרעבי</t>
  </si>
  <si>
    <t>אביאל</t>
  </si>
  <si>
    <t>2122</t>
  </si>
  <si>
    <t>שרעבי אביאל ואסנת</t>
  </si>
  <si>
    <t>040923765</t>
  </si>
  <si>
    <t>21222</t>
  </si>
  <si>
    <t>שרעבי אסנת</t>
  </si>
  <si>
    <t>043139039</t>
  </si>
  <si>
    <t>21223</t>
  </si>
  <si>
    <t>שרעבי אוריה אברהם</t>
  </si>
  <si>
    <t>אוריה אברהם</t>
  </si>
  <si>
    <t>332224526</t>
  </si>
  <si>
    <t>21224</t>
  </si>
  <si>
    <t>שרעבי אחינעם טובה</t>
  </si>
  <si>
    <t>אחינעם טובה</t>
  </si>
  <si>
    <t>335215133</t>
  </si>
  <si>
    <t>21225</t>
  </si>
  <si>
    <t>שרעבי אלון חיים</t>
  </si>
  <si>
    <t>אלון חיים</t>
  </si>
  <si>
    <t>338476518</t>
  </si>
  <si>
    <t>21226</t>
  </si>
  <si>
    <t>שרעבי יונתן יוסף</t>
  </si>
  <si>
    <t>יונתן יוסף</t>
  </si>
  <si>
    <t>339977902</t>
  </si>
  <si>
    <t>21227</t>
  </si>
  <si>
    <t>שרעבי אסף דוד</t>
  </si>
  <si>
    <t>אסף דוד</t>
  </si>
  <si>
    <t>226344430</t>
  </si>
  <si>
    <t>21231</t>
  </si>
  <si>
    <t>שלום ששון</t>
  </si>
  <si>
    <t>שלום</t>
  </si>
  <si>
    <t>ששון</t>
  </si>
  <si>
    <t>2123</t>
  </si>
  <si>
    <t>שלום ששון ותמר</t>
  </si>
  <si>
    <t>023662711</t>
  </si>
  <si>
    <t>21232</t>
  </si>
  <si>
    <t>שלום תמר</t>
  </si>
  <si>
    <t>032265381</t>
  </si>
  <si>
    <t>21251</t>
  </si>
  <si>
    <t>בוהרון אלירם</t>
  </si>
  <si>
    <t>בוהרון</t>
  </si>
  <si>
    <t>אלירם</t>
  </si>
  <si>
    <t>2125</t>
  </si>
  <si>
    <t>בוהרון אלירם והדס</t>
  </si>
  <si>
    <t>208629790</t>
  </si>
  <si>
    <t>21252</t>
  </si>
  <si>
    <t>בוהרון הדס</t>
  </si>
  <si>
    <t>הדס</t>
  </si>
  <si>
    <t>206845331</t>
  </si>
  <si>
    <t>21253</t>
  </si>
  <si>
    <t>בוהרון אורנה תמה</t>
  </si>
  <si>
    <t>אורנה תמה</t>
  </si>
  <si>
    <t>228999215</t>
  </si>
  <si>
    <t>21254</t>
  </si>
  <si>
    <t>בוהרון ציפורה חמדה</t>
  </si>
  <si>
    <t>ציפורה חמדה</t>
  </si>
  <si>
    <t>234902989</t>
  </si>
  <si>
    <t>21255</t>
  </si>
  <si>
    <t>בוהרון איילה חן</t>
  </si>
  <si>
    <t>איילה חן</t>
  </si>
  <si>
    <t>238735708</t>
  </si>
  <si>
    <t>21292</t>
  </si>
  <si>
    <t>שיין המיה</t>
  </si>
  <si>
    <t>המיה</t>
  </si>
  <si>
    <t>330909383</t>
  </si>
  <si>
    <t>22011</t>
  </si>
  <si>
    <t>תורג`מן מיכאל</t>
  </si>
  <si>
    <t>תורג`מן</t>
  </si>
  <si>
    <t>2201</t>
  </si>
  <si>
    <t>תורג`מן מיכאל ומוניק</t>
  </si>
  <si>
    <t>317033454</t>
  </si>
  <si>
    <t>22012</t>
  </si>
  <si>
    <t>תורג`מן מוניק</t>
  </si>
  <si>
    <t>מוניק</t>
  </si>
  <si>
    <t>317033504</t>
  </si>
  <si>
    <t>22022</t>
  </si>
  <si>
    <t>תורג`מן תהל עדן</t>
  </si>
  <si>
    <t>תהל עדן</t>
  </si>
  <si>
    <t>216473033</t>
  </si>
  <si>
    <t>22031</t>
  </si>
  <si>
    <t>תורג`מן דורון</t>
  </si>
  <si>
    <t>2203</t>
  </si>
  <si>
    <t>תורג`מן דורון  וכרמל</t>
  </si>
  <si>
    <t>317033546</t>
  </si>
  <si>
    <t>22032</t>
  </si>
  <si>
    <t>תורג`מן כרמל</t>
  </si>
  <si>
    <t>307889782</t>
  </si>
  <si>
    <t>22033</t>
  </si>
  <si>
    <t>תורג`מן גפן סימי</t>
  </si>
  <si>
    <t>גפן סימי</t>
  </si>
  <si>
    <t>227363801</t>
  </si>
  <si>
    <t>22034</t>
  </si>
  <si>
    <t>תורג`מן טנא שלום</t>
  </si>
  <si>
    <t>טנא שלום</t>
  </si>
  <si>
    <t>235077450</t>
  </si>
  <si>
    <t>22082</t>
  </si>
  <si>
    <t>רקובסקי פריאל</t>
  </si>
  <si>
    <t>רקובסקי</t>
  </si>
  <si>
    <t>פריאל</t>
  </si>
  <si>
    <t>2208</t>
  </si>
  <si>
    <t>רקובסקי עידן ופריאל )תורג`מן(</t>
  </si>
  <si>
    <t>209477116</t>
  </si>
  <si>
    <t>22081</t>
  </si>
  <si>
    <t>רקובסקי עידן</t>
  </si>
  <si>
    <t>22091</t>
  </si>
  <si>
    <t>תורג`מן עמיאור</t>
  </si>
  <si>
    <t>עמיאור</t>
  </si>
  <si>
    <t>2209</t>
  </si>
  <si>
    <t>212915094</t>
  </si>
  <si>
    <t>בית בקהילה</t>
  </si>
  <si>
    <t xml:space="preserve">62    </t>
  </si>
  <si>
    <t>61221</t>
  </si>
  <si>
    <t>נהוראי מאיר</t>
  </si>
  <si>
    <t>מאיר</t>
  </si>
  <si>
    <t>6122</t>
  </si>
  <si>
    <t>הרב נהוראי</t>
  </si>
  <si>
    <t>תושב</t>
  </si>
  <si>
    <t>059680611</t>
  </si>
  <si>
    <t>61222</t>
  </si>
  <si>
    <t>נהוראי עידית</t>
  </si>
  <si>
    <t>עידית</t>
  </si>
  <si>
    <t>022641799</t>
  </si>
  <si>
    <t>61228</t>
  </si>
  <si>
    <t>נהוראי אבישי    דוד</t>
  </si>
  <si>
    <t>אבישי    דוד</t>
  </si>
  <si>
    <t>331748087</t>
  </si>
  <si>
    <t>61321</t>
  </si>
  <si>
    <t>גופר משיי</t>
  </si>
  <si>
    <t>גופר</t>
  </si>
  <si>
    <t>משיי</t>
  </si>
  <si>
    <t>6132</t>
  </si>
  <si>
    <t>גופר משיי ואפרת</t>
  </si>
  <si>
    <t>207521741</t>
  </si>
  <si>
    <t>61322</t>
  </si>
  <si>
    <t>גופר אפרת הודיה</t>
  </si>
  <si>
    <t>אפרת הודיה</t>
  </si>
  <si>
    <t>209794890</t>
  </si>
  <si>
    <t>61331</t>
  </si>
  <si>
    <t>נהוראי אוריה</t>
  </si>
  <si>
    <t>325260461</t>
  </si>
  <si>
    <t>61341</t>
  </si>
  <si>
    <t>הדר שי</t>
  </si>
  <si>
    <t>6134</t>
  </si>
  <si>
    <t>הדר שי ורחל</t>
  </si>
  <si>
    <t>316485200</t>
  </si>
  <si>
    <t>61342</t>
  </si>
  <si>
    <t>הדר רחל</t>
  </si>
  <si>
    <t>332272772</t>
  </si>
  <si>
    <t>61343</t>
  </si>
  <si>
    <t>הדר אליה</t>
  </si>
  <si>
    <t>243112307</t>
  </si>
  <si>
    <t>61351</t>
  </si>
  <si>
    <t>פרוכטר דורון</t>
  </si>
  <si>
    <t>פרוכטר</t>
  </si>
  <si>
    <t>פרוכטר דורון ועומר</t>
  </si>
  <si>
    <t>208016808</t>
  </si>
  <si>
    <t>61352</t>
  </si>
  <si>
    <t>פרוכטר עומר</t>
  </si>
  <si>
    <t>324862333</t>
  </si>
  <si>
    <t>61422</t>
  </si>
  <si>
    <t>יורקביץ נוי</t>
  </si>
  <si>
    <t>נוי</t>
  </si>
  <si>
    <t>6142</t>
  </si>
  <si>
    <t>בקרה הנה"ח - י.נ</t>
  </si>
  <si>
    <t>חסכונות</t>
  </si>
  <si>
    <t>208061408</t>
  </si>
  <si>
    <t>חשבון</t>
  </si>
  <si>
    <t>תאור עברי</t>
  </si>
  <si>
    <t>מצב</t>
  </si>
  <si>
    <t>כתובת</t>
  </si>
  <si>
    <t>עיר</t>
  </si>
  <si>
    <t>מיקוד</t>
  </si>
  <si>
    <t>ארץ</t>
  </si>
  <si>
    <t>תאור ארץ</t>
  </si>
  <si>
    <t>טלפון</t>
  </si>
  <si>
    <t>פקס</t>
  </si>
  <si>
    <t>דואר אלקטרוני</t>
  </si>
  <si>
    <t>מספר עוסק</t>
  </si>
  <si>
    <t>תיק מס הכנסה</t>
  </si>
  <si>
    <t>קוד עיסוק</t>
  </si>
  <si>
    <t>תאור קוד עיסוק</t>
  </si>
  <si>
    <t>בנק</t>
  </si>
  <si>
    <t>תאור בנק</t>
  </si>
  <si>
    <t>סניף בנק</t>
  </si>
  <si>
    <t>חשבון בנק</t>
  </si>
  <si>
    <t>חשבון אב</t>
  </si>
  <si>
    <t>תאור חשבון אב</t>
  </si>
  <si>
    <t>סעיף מאזן בוחן</t>
  </si>
  <si>
    <t>תאור סעיף מאזן בוחן</t>
  </si>
  <si>
    <t>קוד אשראי</t>
  </si>
  <si>
    <t>תאור קוד אשראי</t>
  </si>
  <si>
    <t>מתאריך אשראי</t>
  </si>
  <si>
    <t>קזוז תשלומים</t>
  </si>
  <si>
    <t>מתאריך ניכוי</t>
  </si>
  <si>
    <t>עד תאריך ניכוי</t>
  </si>
  <si>
    <t>אחוז ניכוי</t>
  </si>
  <si>
    <t>קוד ניכוי</t>
  </si>
  <si>
    <t>תאור</t>
  </si>
  <si>
    <t>קוד סוג תיק</t>
  </si>
  <si>
    <t>קוד קבוצה</t>
  </si>
  <si>
    <t>תאור קוד קבוצה</t>
  </si>
  <si>
    <t>אופן התשלום</t>
  </si>
  <si>
    <t>ניכוי כ/ל</t>
  </si>
  <si>
    <t>מוריש</t>
  </si>
  <si>
    <t>תאור עב סעיף 6</t>
  </si>
  <si>
    <t>חברה תקציב אישי</t>
  </si>
  <si>
    <t>קוד תקציב אישי</t>
  </si>
  <si>
    <t>תאור קוד תקציב אישי</t>
  </si>
  <si>
    <t>תאור קוד חבר</t>
  </si>
  <si>
    <t>סיווג</t>
  </si>
  <si>
    <t>תאור עב מאפיין 1 עב</t>
  </si>
  <si>
    <t>אחוז זכאות לחלוקה</t>
  </si>
  <si>
    <t>חלק בירושה</t>
  </si>
  <si>
    <t>שנות וותק</t>
  </si>
  <si>
    <t>תאריך וותק</t>
  </si>
  <si>
    <t>אליעזר אדלר ז"ל</t>
  </si>
  <si>
    <t>סגור</t>
  </si>
  <si>
    <t>משואות יצחק</t>
  </si>
  <si>
    <t>003508272</t>
  </si>
  <si>
    <t>המזרחי המאוחד</t>
  </si>
  <si>
    <t>0</t>
  </si>
  <si>
    <t>סעיף אפס</t>
  </si>
  <si>
    <t>ללא</t>
  </si>
  <si>
    <t>ל</t>
  </si>
  <si>
    <t>01011</t>
  </si>
  <si>
    <t>יוכבד אדלר</t>
  </si>
  <si>
    <t>003508249</t>
  </si>
  <si>
    <t>תקציב</t>
  </si>
  <si>
    <t>01012</t>
  </si>
  <si>
    <t>אלי אליפז</t>
  </si>
  <si>
    <t>009826959</t>
  </si>
  <si>
    <t>01041</t>
  </si>
  <si>
    <t>רבקה אליפז</t>
  </si>
  <si>
    <t>009366188</t>
  </si>
  <si>
    <t>כללי</t>
  </si>
  <si>
    <t>01042</t>
  </si>
  <si>
    <t>איטה אלדד</t>
  </si>
  <si>
    <t>000660142</t>
  </si>
  <si>
    <t>לאומי</t>
  </si>
  <si>
    <t>01052</t>
  </si>
  <si>
    <t>חנן אריאל</t>
  </si>
  <si>
    <t>פתוח</t>
  </si>
  <si>
    <t>ענת אריאל</t>
  </si>
  <si>
    <t>יהודה אורן</t>
  </si>
  <si>
    <t>הניה אורן</t>
  </si>
  <si>
    <t>אליעזר אמיתי</t>
  </si>
  <si>
    <t>פריידי אמיתי</t>
  </si>
  <si>
    <t>מרדכי אדלר</t>
  </si>
  <si>
    <t>מיכה אמיר</t>
  </si>
  <si>
    <t>תמר אמיר</t>
  </si>
  <si>
    <t>שמואל אלירז</t>
  </si>
  <si>
    <t>עפרה אלירז</t>
  </si>
  <si>
    <t>עמיחי אביעד</t>
  </si>
  <si>
    <t>רבקה אביעד</t>
  </si>
  <si>
    <t>נפתלי אלדד</t>
  </si>
  <si>
    <t>מאשה אלדד</t>
  </si>
  <si>
    <t>חנה אבינר קפלן</t>
  </si>
  <si>
    <t>ד.נ. שדה גת</t>
  </si>
  <si>
    <t>מרדכי אלדד</t>
  </si>
  <si>
    <t>משה אונגר</t>
  </si>
  <si>
    <t>אדווה אונגר</t>
  </si>
  <si>
    <t>בלימה אדלר</t>
  </si>
  <si>
    <t>יאיר אריאל</t>
  </si>
  <si>
    <t>אוצר החייל</t>
  </si>
  <si>
    <t>איילת אריאל</t>
  </si>
  <si>
    <t>שלמה אלדד</t>
  </si>
  <si>
    <t>נעה אלדד</t>
  </si>
  <si>
    <t>אמנון ברודי</t>
  </si>
  <si>
    <t>אסתר ברודי</t>
  </si>
  <si>
    <t>עזריאל בן דב</t>
  </si>
  <si>
    <t>010471977</t>
  </si>
  <si>
    <t>02041</t>
  </si>
  <si>
    <t>שושנה בן דב</t>
  </si>
  <si>
    <t>008844672</t>
  </si>
  <si>
    <t>02042</t>
  </si>
  <si>
    <t>מגדה בירנבאום</t>
  </si>
  <si>
    <t>002799658</t>
  </si>
  <si>
    <t>הפועלים</t>
  </si>
  <si>
    <t>02052</t>
  </si>
  <si>
    <t>שאולה בן יעקב</t>
  </si>
  <si>
    <t>tamaramir63@gmail.com</t>
  </si>
  <si>
    <t>צפורה בן טל ז"ל</t>
  </si>
  <si>
    <t>009209115</t>
  </si>
  <si>
    <t>02072</t>
  </si>
  <si>
    <t>תיאה ברודי ז"ל</t>
  </si>
  <si>
    <t>042506063</t>
  </si>
  <si>
    <t>02082</t>
  </si>
  <si>
    <t>דבורה בשן</t>
  </si>
  <si>
    <t>004593653</t>
  </si>
  <si>
    <t>02102</t>
  </si>
  <si>
    <t>נועם ברודי</t>
  </si>
  <si>
    <t>קרן ברודי</t>
  </si>
  <si>
    <t>צבי בירנבאום</t>
  </si>
  <si>
    <t>אורה בירנבאום</t>
  </si>
  <si>
    <t>סרג` בן חמו</t>
  </si>
  <si>
    <t>רחל בן חמו</t>
  </si>
  <si>
    <t>יואב ברפלד</t>
  </si>
  <si>
    <t>חנה ברפלד</t>
  </si>
  <si>
    <t>אלחנן ברודי</t>
  </si>
  <si>
    <t>רחל ברודי</t>
  </si>
  <si>
    <t>רפאל בן טל</t>
  </si>
  <si>
    <t>שושנה בן טל</t>
  </si>
  <si>
    <t>בנימין בשן</t>
  </si>
  <si>
    <t>רחל בשן</t>
  </si>
  <si>
    <t>צבי בן עמי</t>
  </si>
  <si>
    <t>הדסה בן עמי</t>
  </si>
  <si>
    <t>מאור בר</t>
  </si>
  <si>
    <t>01472990</t>
  </si>
  <si>
    <t>שלי בר</t>
  </si>
  <si>
    <t>עודד ברודי</t>
  </si>
  <si>
    <t>אביבית ברודי</t>
  </si>
  <si>
    <t>אבי ברבן</t>
  </si>
  <si>
    <t>דיסקונט</t>
  </si>
  <si>
    <t>תמר ברבן</t>
  </si>
  <si>
    <t>שי ביטון</t>
  </si>
  <si>
    <t>michal_ruimy@walla.com</t>
  </si>
  <si>
    <t>039721907</t>
  </si>
  <si>
    <t>לוטם ביטון</t>
  </si>
  <si>
    <t>בן עמי ירדן</t>
  </si>
  <si>
    <t>ערן בן אהרון</t>
  </si>
  <si>
    <t>אגוד</t>
  </si>
  <si>
    <t>03330116</t>
  </si>
  <si>
    <t>דפנה בן אהרון</t>
  </si>
  <si>
    <t>דב גוטליב</t>
  </si>
  <si>
    <t>נעמי גוטליב</t>
  </si>
  <si>
    <t>מרדכי גלבוע</t>
  </si>
  <si>
    <t>005615653</t>
  </si>
  <si>
    <t>03021</t>
  </si>
  <si>
    <t>חנה גלבוע</t>
  </si>
  <si>
    <t>משה גרינבלט</t>
  </si>
  <si>
    <t>רותי גרינבלט</t>
  </si>
  <si>
    <t>שמואל גביר</t>
  </si>
  <si>
    <t>gvirsh@gmail.com</t>
  </si>
  <si>
    <t>אילה גביר</t>
  </si>
  <si>
    <t>ayala@massuot.co.il</t>
  </si>
  <si>
    <t>אורי גריסמן</t>
  </si>
  <si>
    <t>grei8616045@gmail.com</t>
  </si>
  <si>
    <t>חנה גריסמן</t>
  </si>
  <si>
    <t>שמעון גוזלנד</t>
  </si>
  <si>
    <t>shimongozland@gmail.com</t>
  </si>
  <si>
    <t>מוריה גוזלנד</t>
  </si>
  <si>
    <t>ידידיה גוטליב</t>
  </si>
  <si>
    <t>אהבה גוטליב</t>
  </si>
  <si>
    <t>נעם גלבוע</t>
  </si>
  <si>
    <t>נעה גלבוע</t>
  </si>
  <si>
    <t>איתמר כרמל</t>
  </si>
  <si>
    <t>לימור כרמל</t>
  </si>
  <si>
    <t>יעקב גורי</t>
  </si>
  <si>
    <t>yakovgoory@gmail.com</t>
  </si>
  <si>
    <t>נעמי גורי</t>
  </si>
  <si>
    <t>אברהם דוידוביץ</t>
  </si>
  <si>
    <t>002652352</t>
  </si>
  <si>
    <t>04011</t>
  </si>
  <si>
    <t>יעקב דורון ז"ל</t>
  </si>
  <si>
    <t>007207988</t>
  </si>
  <si>
    <t>04021</t>
  </si>
  <si>
    <t>גבריאל דורון</t>
  </si>
  <si>
    <t>ברנדה דורון</t>
  </si>
  <si>
    <t>ריינר מעיין</t>
  </si>
  <si>
    <t>יצחק דורון</t>
  </si>
  <si>
    <t>ilana789@walla.com</t>
  </si>
  <si>
    <t>אילנה דורון</t>
  </si>
  <si>
    <t>שמעון דבורקין</t>
  </si>
  <si>
    <t>רחל דבורקין</t>
  </si>
  <si>
    <t>מירב דורון הלל</t>
  </si>
  <si>
    <t>merd570@gmail.com</t>
  </si>
  <si>
    <t>אסף דורון</t>
  </si>
  <si>
    <t>assafdoron123@gmail.com</t>
  </si>
  <si>
    <t>אהרון המר</t>
  </si>
  <si>
    <t>009205238</t>
  </si>
  <si>
    <t>05011</t>
  </si>
  <si>
    <t>מלכה המר</t>
  </si>
  <si>
    <t>009205501</t>
  </si>
  <si>
    <t>05012</t>
  </si>
  <si>
    <t>גבריאל הרטוב ז"ל</t>
  </si>
  <si>
    <t>007208731</t>
  </si>
  <si>
    <t>05021</t>
  </si>
  <si>
    <t>שרה הרטוב</t>
  </si>
  <si>
    <t>בועז המר</t>
  </si>
  <si>
    <t>דליה המר</t>
  </si>
  <si>
    <t>נילי המר</t>
  </si>
  <si>
    <t>nilihammer@gmail.com</t>
  </si>
  <si>
    <t>חגי הרטוב</t>
  </si>
  <si>
    <t>ניצה הרטוב</t>
  </si>
  <si>
    <t>אברהם הופמן</t>
  </si>
  <si>
    <t>שולי הופמן</t>
  </si>
  <si>
    <t>מוטי הולצר</t>
  </si>
  <si>
    <t>לאה הולצר</t>
  </si>
  <si>
    <t>אלעד הופמן</t>
  </si>
  <si>
    <t>אלדר הופמן</t>
  </si>
  <si>
    <t>חגית חסון</t>
  </si>
  <si>
    <t>הבינלאומי הראשון</t>
  </si>
  <si>
    <t>הבר נועם אהרון</t>
  </si>
  <si>
    <t>smelammed@gmail.com</t>
  </si>
  <si>
    <t>יצחק וילדשטיין</t>
  </si>
  <si>
    <t>003934429</t>
  </si>
  <si>
    <t>06021</t>
  </si>
  <si>
    <t>יפה וילדשטיין ז"ל</t>
  </si>
  <si>
    <t>003934437</t>
  </si>
  <si>
    <t>מרים וולברג</t>
  </si>
  <si>
    <t>דוד וילדשטיין</t>
  </si>
  <si>
    <t>rutiwild@gmail.com</t>
  </si>
  <si>
    <t>רותי וילדשטיין</t>
  </si>
  <si>
    <t>שלמה וייס</t>
  </si>
  <si>
    <t>שרגא וילק</t>
  </si>
  <si>
    <t>אילנה וילק</t>
  </si>
  <si>
    <t>משה וייסטוך</t>
  </si>
  <si>
    <t>נעה וייסטוך</t>
  </si>
  <si>
    <t>ישראל זיסק</t>
  </si>
  <si>
    <t>גלית זיסק</t>
  </si>
  <si>
    <t>חנן חורש</t>
  </si>
  <si>
    <t>009204306</t>
  </si>
  <si>
    <t>08021</t>
  </si>
  <si>
    <t>מרים חורש ז"ל</t>
  </si>
  <si>
    <t>009204314</t>
  </si>
  <si>
    <t>08022</t>
  </si>
  <si>
    <t>אבנר חורש</t>
  </si>
  <si>
    <t>חנה חורש</t>
  </si>
  <si>
    <t>גדי חורש</t>
  </si>
  <si>
    <t>שרי חורש</t>
  </si>
  <si>
    <t>עופר חורש</t>
  </si>
  <si>
    <t>לידור חורש</t>
  </si>
  <si>
    <t>גדעון יקיר</t>
  </si>
  <si>
    <t>מרים יקיר</t>
  </si>
  <si>
    <t>שמשון ישורון</t>
  </si>
  <si>
    <t>רותי ישורון</t>
  </si>
  <si>
    <t>מינו יוגב</t>
  </si>
  <si>
    <t>ענת יוגב</t>
  </si>
  <si>
    <t>הראל יקיר</t>
  </si>
  <si>
    <t>אורית יקיר</t>
  </si>
  <si>
    <t>אליעזר כהן</t>
  </si>
  <si>
    <t>012204673</t>
  </si>
  <si>
    <t>כהן מריאן</t>
  </si>
  <si>
    <t>012204681</t>
  </si>
  <si>
    <t>קלי כפיר</t>
  </si>
  <si>
    <t>יהודית כפיר</t>
  </si>
  <si>
    <t>עמנואל כלפה</t>
  </si>
  <si>
    <t>069613131</t>
  </si>
  <si>
    <t>רותי כלפה</t>
  </si>
  <si>
    <t>דוד כהן</t>
  </si>
  <si>
    <t>נחמה כהן</t>
  </si>
  <si>
    <t>יוני כהן</t>
  </si>
  <si>
    <t>טל כהן</t>
  </si>
  <si>
    <t>בועז כהן</t>
  </si>
  <si>
    <t>תמי כהן</t>
  </si>
  <si>
    <t>שרון כהן</t>
  </si>
  <si>
    <t>coshar@gmail.com</t>
  </si>
  <si>
    <t>שמחה כהן</t>
  </si>
  <si>
    <t>צפורה לבבי</t>
  </si>
  <si>
    <t>001043652</t>
  </si>
  <si>
    <t>חיים צבי לבון</t>
  </si>
  <si>
    <t>003936713</t>
  </si>
  <si>
    <t>שמואל לבנה</t>
  </si>
  <si>
    <t>מרים לבנה</t>
  </si>
  <si>
    <t>אליהו לבבי</t>
  </si>
  <si>
    <t>נעמי לבבי</t>
  </si>
  <si>
    <t>חוה לאופר</t>
  </si>
  <si>
    <t>001028695</t>
  </si>
  <si>
    <t>צבי לבבי</t>
  </si>
  <si>
    <t>חנה לבבי</t>
  </si>
  <si>
    <t>שמעון לאופר</t>
  </si>
  <si>
    <t>תמר לאופר</t>
  </si>
  <si>
    <t>משה ליבוביץ</t>
  </si>
  <si>
    <t>שרה ליבוביץ</t>
  </si>
  <si>
    <t>חיים לייקוב</t>
  </si>
  <si>
    <t>לאה לייקוב</t>
  </si>
  <si>
    <t>מרים לזר</t>
  </si>
  <si>
    <t>פנחס להב</t>
  </si>
  <si>
    <t>מרים להב</t>
  </si>
  <si>
    <t>הורן יהודה שלום</t>
  </si>
  <si>
    <t>אבינועם ליפטשר</t>
  </si>
  <si>
    <t>עפרה ליפטשר</t>
  </si>
  <si>
    <t>משה לאונגר</t>
  </si>
  <si>
    <t>La.dvora@gmail.com</t>
  </si>
  <si>
    <t>דבורה לאונגר</t>
  </si>
  <si>
    <t>דוד ליפטשר</t>
  </si>
  <si>
    <t>אלישבע ליפטשר</t>
  </si>
  <si>
    <t>מיכאל לזר</t>
  </si>
  <si>
    <t>רבקה לזר</t>
  </si>
  <si>
    <t>נחומי לבבי</t>
  </si>
  <si>
    <t>shnenu7@gmail.com</t>
  </si>
  <si>
    <t>092</t>
  </si>
  <si>
    <t>שני לבבי</t>
  </si>
  <si>
    <t>איתמר לזר</t>
  </si>
  <si>
    <t>itamarleser@gmail.com</t>
  </si>
  <si>
    <t>ליאורה לזר</t>
  </si>
  <si>
    <t>נחום לבבי</t>
  </si>
  <si>
    <t>שלומית לבבי</t>
  </si>
  <si>
    <t>יובל לאופר</t>
  </si>
  <si>
    <t>yuvallaufer@gmail.com</t>
  </si>
  <si>
    <t>מסד</t>
  </si>
  <si>
    <t>אורנית לאופר</t>
  </si>
  <si>
    <t>oranitlaufer@gmail.com</t>
  </si>
  <si>
    <t>בתיה לייקוב</t>
  </si>
  <si>
    <t>לבבי ליאור ציפורה</t>
  </si>
  <si>
    <t>ירון לבקוביץ</t>
  </si>
  <si>
    <t>yaron820@gmail.com</t>
  </si>
  <si>
    <t>עטרה לבקוביץ</t>
  </si>
  <si>
    <t>atara85@walla.com</t>
  </si>
  <si>
    <t>כפיר מידב</t>
  </si>
  <si>
    <t>rachelmeidav@gmail.com</t>
  </si>
  <si>
    <t>רחל מידב</t>
  </si>
  <si>
    <t>מנשאוף  יאיר</t>
  </si>
  <si>
    <t>רבקה נדיבי</t>
  </si>
  <si>
    <t>רחל סוקל</t>
  </si>
  <si>
    <t>אייזיק סולמון</t>
  </si>
  <si>
    <t>קלייר סולמון</t>
  </si>
  <si>
    <t>אבשלום סהר</t>
  </si>
  <si>
    <t>saharonim@gmail.com,saharonim@gmail.com</t>
  </si>
  <si>
    <t>נעמה סהר</t>
  </si>
  <si>
    <t>נסאל ניסים קדוש</t>
  </si>
  <si>
    <t>אליענה קדוש</t>
  </si>
  <si>
    <t>חיה עמית</t>
  </si>
  <si>
    <t>004593745</t>
  </si>
  <si>
    <t>ישראל עובדיה</t>
  </si>
  <si>
    <t>וונדי עובדיה</t>
  </si>
  <si>
    <t>אלעד גרוס</t>
  </si>
  <si>
    <t>Eladg922@gmail.com</t>
  </si>
  <si>
    <t>אביב גרוס</t>
  </si>
  <si>
    <t>aviviovadia@gmail.com</t>
  </si>
  <si>
    <t>הדרה פז</t>
  </si>
  <si>
    <t>007859861</t>
  </si>
  <si>
    <t>אסתר פורת</t>
  </si>
  <si>
    <t>אליהו פטרסון</t>
  </si>
  <si>
    <t>ברוך פלישמן</t>
  </si>
  <si>
    <t>אסנת פלישמן</t>
  </si>
  <si>
    <t>תמי פז</t>
  </si>
  <si>
    <t>מרדכי פרג`ון</t>
  </si>
  <si>
    <t>אורית פרג`ון</t>
  </si>
  <si>
    <t>אביגדור פליישמן</t>
  </si>
  <si>
    <t>דינה פליישמן</t>
  </si>
  <si>
    <t>מרכנתיל דיסקונט</t>
  </si>
  <si>
    <t>אורטל גוב ארי</t>
  </si>
  <si>
    <t>שמואל קרן ז"ל</t>
  </si>
  <si>
    <t>041633413</t>
  </si>
  <si>
    <t>אריה קלוש</t>
  </si>
  <si>
    <t>שלומית קלוש</t>
  </si>
  <si>
    <t>משה קליין</t>
  </si>
  <si>
    <t>נאוה קליין</t>
  </si>
  <si>
    <t>נחמיה קראוס</t>
  </si>
  <si>
    <t>שלומית קראוס</t>
  </si>
  <si>
    <t>shlomit@massuot.com</t>
  </si>
  <si>
    <t>דוד קרליבך</t>
  </si>
  <si>
    <t>מיכל קרליבך</t>
  </si>
  <si>
    <t>אסתר קרן</t>
  </si>
  <si>
    <t>רחל קרן</t>
  </si>
  <si>
    <t>בנימין קרן</t>
  </si>
  <si>
    <t>יצחק קרליבך</t>
  </si>
  <si>
    <t>085</t>
  </si>
  <si>
    <t>ורד קרליבך</t>
  </si>
  <si>
    <t>נועה קרליבך</t>
  </si>
  <si>
    <t>דן קליין</t>
  </si>
  <si>
    <t>חדוה קליין</t>
  </si>
  <si>
    <t>תומר ספיר</t>
  </si>
  <si>
    <t>נעמה ספיר</t>
  </si>
  <si>
    <t>אליהו רובינשטיין</t>
  </si>
  <si>
    <t>שרה רוט</t>
  </si>
  <si>
    <t>071939615</t>
  </si>
  <si>
    <t>דבורה רביב</t>
  </si>
  <si>
    <t>יעקב רוזנברג</t>
  </si>
  <si>
    <t>03120625</t>
  </si>
  <si>
    <t>עפרה רוזנברג</t>
  </si>
  <si>
    <t>גלעד רייך</t>
  </si>
  <si>
    <t>יפעת רייך</t>
  </si>
  <si>
    <t>שלמה רמון</t>
  </si>
  <si>
    <t>rimon.new@gmail.com</t>
  </si>
  <si>
    <t>סילבי רמון</t>
  </si>
  <si>
    <t>יואב רון</t>
  </si>
  <si>
    <t>מרים רון</t>
  </si>
  <si>
    <t>מיכאל רייך</t>
  </si>
  <si>
    <t>raich@bezeqint.net</t>
  </si>
  <si>
    <t>בלה רייך</t>
  </si>
  <si>
    <t>יצחק רביב</t>
  </si>
  <si>
    <t>יעל רביב</t>
  </si>
  <si>
    <t>שמואל רגב</t>
  </si>
  <si>
    <t>דפנה רגב</t>
  </si>
  <si>
    <t>שרה רחמים</t>
  </si>
  <si>
    <t>יגאל רביב</t>
  </si>
  <si>
    <t>מירב רביב</t>
  </si>
  <si>
    <t>צבי רוט</t>
  </si>
  <si>
    <t>ארנון רימון</t>
  </si>
  <si>
    <t>סימי רימון</t>
  </si>
  <si>
    <t>ענת רייך</t>
  </si>
  <si>
    <t>כתי רביב</t>
  </si>
  <si>
    <t>ravivleah@gmail.com</t>
  </si>
  <si>
    <t>לאה רביב</t>
  </si>
  <si>
    <t>דגן ראבינסאן</t>
  </si>
  <si>
    <t>מירית ראבינסאן</t>
  </si>
  <si>
    <t>נדב לוי</t>
  </si>
  <si>
    <t>nadavlevy@gmail.com</t>
  </si>
  <si>
    <t>אביב לוי</t>
  </si>
  <si>
    <t>avivre11@gmail.com</t>
  </si>
  <si>
    <t>יהודה סיידנר</t>
  </si>
  <si>
    <t>yehudaharon@gmail.com</t>
  </si>
  <si>
    <t>עמר סיידנר</t>
  </si>
  <si>
    <t>omerseidner6666@gmail.com</t>
  </si>
  <si>
    <t>ריינר אריאל</t>
  </si>
  <si>
    <t>דביר דימנט</t>
  </si>
  <si>
    <t>`</t>
  </si>
  <si>
    <t>רננה דימנט</t>
  </si>
  <si>
    <t>שמואל שפירא ז"ל</t>
  </si>
  <si>
    <t>002545051</t>
  </si>
  <si>
    <t>רחל שפירא</t>
  </si>
  <si>
    <t>008529737</t>
  </si>
  <si>
    <t>קלמן שטרומר</t>
  </si>
  <si>
    <t>007100662</t>
  </si>
  <si>
    <t>רות שטרומר</t>
  </si>
  <si>
    <t>010471712</t>
  </si>
  <si>
    <t>יהודית שילה</t>
  </si>
  <si>
    <t>046277026</t>
  </si>
  <si>
    <t>יצחק שאול</t>
  </si>
  <si>
    <t>003936168</t>
  </si>
  <si>
    <t>יוסף שלסינגר</t>
  </si>
  <si>
    <t>008331779</t>
  </si>
  <si>
    <t>יהודה שיין</t>
  </si>
  <si>
    <t>007207889</t>
  </si>
  <si>
    <t>ורדה שיין</t>
  </si>
  <si>
    <t>אריה שאול</t>
  </si>
  <si>
    <t>אמירה שאול</t>
  </si>
  <si>
    <t>ישראל שי</t>
  </si>
  <si>
    <t>israelshai50@gmail.com</t>
  </si>
  <si>
    <t>רחל שי</t>
  </si>
  <si>
    <t>איתי שאול</t>
  </si>
  <si>
    <t>יעל שאול</t>
  </si>
  <si>
    <t>רוני שוורץ</t>
  </si>
  <si>
    <t>שיראל שוורץ</t>
  </si>
  <si>
    <t>רותם דורון</t>
  </si>
  <si>
    <t>rotem1doron@gmail.com</t>
  </si>
  <si>
    <t>נפתלי שיין</t>
  </si>
  <si>
    <t>גילה שיין</t>
  </si>
  <si>
    <t>תמר ישורון</t>
  </si>
  <si>
    <t>מיכאל תורגמן</t>
  </si>
  <si>
    <t>מוניק תורגמן</t>
  </si>
  <si>
    <t>דורון תורג`מן</t>
  </si>
  <si>
    <t>carmeltur12@gmail.com</t>
  </si>
  <si>
    <t>כרמל תורג`מן</t>
  </si>
  <si>
    <t>דמי עזיבה</t>
  </si>
  <si>
    <t>חישוב ל25 שנות ותק</t>
  </si>
  <si>
    <t>חישוב לגיל 65</t>
  </si>
  <si>
    <t>מחיר לשנת ותק</t>
  </si>
  <si>
    <t>תוספת</t>
  </si>
  <si>
    <t>השלמה ל25 שנות ותק</t>
  </si>
  <si>
    <t>מחיר לחודש</t>
  </si>
  <si>
    <t>ותק מחברה 40</t>
  </si>
  <si>
    <t>דמי עזיבה 25 שנות ותק</t>
  </si>
  <si>
    <t>דמי עזיבה לגיל 65</t>
  </si>
  <si>
    <t>0224</t>
  </si>
  <si>
    <t>ברבן יונתן</t>
  </si>
  <si>
    <t>0315</t>
  </si>
  <si>
    <t>גביר אביה</t>
  </si>
  <si>
    <t>0620</t>
  </si>
  <si>
    <t>דניאל</t>
  </si>
  <si>
    <t>רדה דניאל ועטרה</t>
  </si>
  <si>
    <t>209196435</t>
  </si>
  <si>
    <t>07033</t>
  </si>
  <si>
    <t>רדה חירות</t>
  </si>
  <si>
    <t>חירות</t>
  </si>
  <si>
    <t>236786018</t>
  </si>
  <si>
    <t>07034</t>
  </si>
  <si>
    <t>רדה הילה</t>
  </si>
  <si>
    <t>241543511</t>
  </si>
  <si>
    <t>חורש אחינועם</t>
  </si>
  <si>
    <t>אחינועם</t>
  </si>
  <si>
    <t>1007</t>
  </si>
  <si>
    <t>יוגב מעין</t>
  </si>
  <si>
    <t>17261</t>
  </si>
  <si>
    <t>רוזנברג נעם</t>
  </si>
  <si>
    <t>רוזנברג נעם ורננה</t>
  </si>
  <si>
    <t>206432189</t>
  </si>
  <si>
    <t>17263</t>
  </si>
  <si>
    <t>רוזנברג נריה ברוך</t>
  </si>
  <si>
    <t>נריה ברוך</t>
  </si>
  <si>
    <t>241310796</t>
  </si>
  <si>
    <t>קרליבך הילה שרה</t>
  </si>
  <si>
    <t>הילה שרה</t>
  </si>
  <si>
    <t>1924</t>
  </si>
  <si>
    <t>קרליבך הילה</t>
  </si>
  <si>
    <t>2046</t>
  </si>
  <si>
    <t>2047</t>
  </si>
  <si>
    <t>2102</t>
  </si>
  <si>
    <t>שיין טליה</t>
  </si>
  <si>
    <t>2117</t>
  </si>
  <si>
    <t>שי רועי</t>
  </si>
  <si>
    <t>9996135</t>
  </si>
  <si>
    <t>בר מצווה שנה</t>
  </si>
  <si>
    <t>בת מצווה שנה</t>
  </si>
  <si>
    <t>חתונה שנה</t>
  </si>
  <si>
    <t>לימוד שנה</t>
  </si>
  <si>
    <t>חתונה</t>
  </si>
  <si>
    <t>שנה</t>
  </si>
  <si>
    <t>זכאות מוותק</t>
  </si>
  <si>
    <t>סכום של ותק מחברה 40</t>
  </si>
  <si>
    <t>סכום תקציב בניה</t>
  </si>
  <si>
    <t>ותק זוגי שכבר קיבלו תקציב בנייה</t>
  </si>
  <si>
    <t>ותק לחישוב זכאות</t>
  </si>
  <si>
    <t>חישוב תקציב בניה</t>
  </si>
  <si>
    <t>ממוצע תקציב לחבר 3 חודשים אחרונים</t>
  </si>
  <si>
    <t>סימון מעמדות לדוח</t>
  </si>
  <si>
    <t>דמי עזיבה 25 שנה</t>
  </si>
  <si>
    <t>דמי עזיבה 65 שנה</t>
  </si>
  <si>
    <t>סה"כ דמי עזיבה</t>
  </si>
  <si>
    <t>סה"כ תקציבים מיוחדים</t>
  </si>
  <si>
    <t>סה"כ בגין חובות עבר</t>
  </si>
  <si>
    <t>זכויות ותקציבים מיוחדים</t>
  </si>
  <si>
    <t>מס'</t>
  </si>
  <si>
    <t>סה"כ זכויות וחובות עבר</t>
  </si>
  <si>
    <t xml:space="preserve">תקציב ממוצע </t>
  </si>
  <si>
    <t>תוספת 65% (כלליות)</t>
  </si>
  <si>
    <t xml:space="preserve">סה"כ </t>
  </si>
  <si>
    <t>תוספת 40%</t>
  </si>
  <si>
    <t>כפול מספר השנים (25)</t>
  </si>
  <si>
    <t>הנידון : מענק השלמת דמי עזיבה גיל 65</t>
  </si>
  <si>
    <t>תוספת 50%</t>
  </si>
  <si>
    <t>חישוב:</t>
  </si>
  <si>
    <t>תאריך לידה:</t>
  </si>
  <si>
    <t>תאריך הצטרפות:</t>
  </si>
  <si>
    <t>סה"כ וותק:</t>
  </si>
  <si>
    <t>סה"כ (מחיר  לשנת וותק מלאה)</t>
  </si>
  <si>
    <t>עבור 25 שנות ותק</t>
  </si>
  <si>
    <t>עבור יתרת הוותק</t>
  </si>
  <si>
    <t>סה"כ לזיכוי - 25 שנות וותק</t>
  </si>
  <si>
    <t>סה"כ לזיכוי - גיל 65</t>
  </si>
  <si>
    <t>זיכוי ע"ח  דמי עזיבה -15% עבור 25 שנות וותק</t>
  </si>
  <si>
    <t>ותק הורים</t>
  </si>
  <si>
    <t>בקרת ותק הורים מול גיל ילד</t>
  </si>
  <si>
    <t>0103</t>
  </si>
  <si>
    <t>0105</t>
  </si>
  <si>
    <t>0209</t>
  </si>
  <si>
    <t>בן חמו סרג`</t>
  </si>
  <si>
    <t>0809</t>
  </si>
  <si>
    <t>לבבי מלאכי</t>
  </si>
  <si>
    <t>2037</t>
  </si>
  <si>
    <t>21018</t>
  </si>
  <si>
    <t>דימנט באר מרים</t>
  </si>
  <si>
    <t>באר מרים</t>
  </si>
  <si>
    <t>243115672</t>
  </si>
  <si>
    <t>21208</t>
  </si>
  <si>
    <t>שילה דגן עמיחי</t>
  </si>
  <si>
    <t>דגן עמיחי</t>
  </si>
  <si>
    <t>243095155</t>
  </si>
  <si>
    <t>61402</t>
  </si>
  <si>
    <t>טל ליעד אביה</t>
  </si>
  <si>
    <t>ליעד אביה</t>
  </si>
  <si>
    <t>6140</t>
  </si>
  <si>
    <t>טל ליעד</t>
  </si>
  <si>
    <t>325408417</t>
  </si>
  <si>
    <t>92044</t>
  </si>
  <si>
    <t>90402</t>
  </si>
  <si>
    <t>90501</t>
  </si>
  <si>
    <t>90802</t>
  </si>
  <si>
    <t>91901</t>
  </si>
  <si>
    <t>91101</t>
  </si>
  <si>
    <t>1201</t>
  </si>
  <si>
    <t>92001</t>
  </si>
  <si>
    <t>92002</t>
  </si>
  <si>
    <t>1206</t>
  </si>
  <si>
    <t>92106</t>
  </si>
  <si>
    <t>2107</t>
  </si>
  <si>
    <t>1903</t>
  </si>
  <si>
    <t>קוד תקציב משפחה מקורי</t>
  </si>
  <si>
    <t>מענק חתונה</t>
  </si>
  <si>
    <t>גיל מצוות</t>
  </si>
  <si>
    <t>תאריך קליטה</t>
  </si>
  <si>
    <t>סך מדרג שימושים</t>
  </si>
  <si>
    <t>השתתפות העסקים בקהילה</t>
  </si>
  <si>
    <t>סה"כ תזרים מעסקים</t>
  </si>
  <si>
    <t>רר"ל</t>
  </si>
  <si>
    <t>עסקים</t>
  </si>
  <si>
    <t>ח. רווחים</t>
  </si>
  <si>
    <t>קהילה</t>
  </si>
  <si>
    <t>הורשה</t>
  </si>
  <si>
    <t>PN (בניית בתים)</t>
  </si>
  <si>
    <t>השקעות קהילה ותשתיות</t>
  </si>
  <si>
    <t>תקציבים מיוחדים</t>
  </si>
  <si>
    <t>שנה ממוצעת</t>
  </si>
  <si>
    <t>סה"כ</t>
  </si>
  <si>
    <t>P.N</t>
  </si>
  <si>
    <t>רר"ל נטו</t>
  </si>
  <si>
    <t>חלוקת רווחים</t>
  </si>
  <si>
    <t>P.N.</t>
  </si>
  <si>
    <t>סכום כולל</t>
  </si>
  <si>
    <t>חוב המשק לחברים</t>
  </si>
  <si>
    <t>תשתיות לבניה</t>
  </si>
  <si>
    <t xml:space="preserve">ממוצע לשנה </t>
  </si>
  <si>
    <t>שנות החזר</t>
  </si>
  <si>
    <t xml:space="preserve">זכויות בניה </t>
  </si>
  <si>
    <t>אג"ח</t>
  </si>
  <si>
    <t>השתתפות עסקים בקהילה</t>
  </si>
  <si>
    <t>קרן להשקעות קהילה</t>
  </si>
  <si>
    <t>קרן לחיזוק הון עצמי עסקים</t>
  </si>
  <si>
    <t>זכויות בגין הורים</t>
  </si>
  <si>
    <t>ניתוח רגישות</t>
  </si>
  <si>
    <t>תזרים מעסקים</t>
  </si>
  <si>
    <t>קיטון בהוצאות קהילה</t>
  </si>
  <si>
    <t>תזרים עסקים</t>
  </si>
  <si>
    <t>השתתפות בעלויות קהילה</t>
  </si>
  <si>
    <t>סך רר"ל</t>
  </si>
  <si>
    <t>סך  ררל אחרי שימושי מפל</t>
  </si>
  <si>
    <t>מספר חברים</t>
  </si>
  <si>
    <t>שיוויוני</t>
  </si>
  <si>
    <t>מספר שנות הכשרה</t>
  </si>
  <si>
    <t>שווי שנה מייצגת</t>
  </si>
  <si>
    <t>עלות מנייה שוויונית</t>
  </si>
  <si>
    <t>חלוקה דור א'</t>
  </si>
  <si>
    <t>חלוקה דור ב'</t>
  </si>
  <si>
    <t>מצטבר</t>
  </si>
  <si>
    <t>שנים 1-5</t>
  </si>
  <si>
    <t>שנים 6-10</t>
  </si>
  <si>
    <t>שנים 11-15</t>
  </si>
  <si>
    <t>שנים 16-20</t>
  </si>
  <si>
    <t>שנים 21-25</t>
  </si>
  <si>
    <t xml:space="preserve">סך מניות </t>
  </si>
  <si>
    <t>תקרה לקרן השקעות קהילה</t>
  </si>
  <si>
    <t>תקרה לחיזוק עסקים</t>
  </si>
  <si>
    <t>שנים 26-30</t>
  </si>
  <si>
    <t>החזר אג"ח</t>
  </si>
  <si>
    <t>חלוקה שוויונית דור ב</t>
  </si>
  <si>
    <t>יחס אג"ח - שוויוני</t>
  </si>
  <si>
    <t>תעודה לחבר ותיק</t>
  </si>
  <si>
    <t>יורש (3 אחים)</t>
  </si>
  <si>
    <t>העברה מינימלית לקהילה</t>
  </si>
  <si>
    <t>גידול שנתי בתזרים מהעסקים</t>
  </si>
  <si>
    <t>שנות המודל</t>
  </si>
  <si>
    <t>חבר ותיק</t>
  </si>
  <si>
    <t>חלוקה שיוויונית</t>
  </si>
  <si>
    <t>חלוקה רעיוניות</t>
  </si>
  <si>
    <t>הכשרה</t>
  </si>
  <si>
    <t>מניות רגילות</t>
  </si>
  <si>
    <t>מניות יורש</t>
  </si>
  <si>
    <t>סך מניות</t>
  </si>
  <si>
    <t>ח.ו.</t>
  </si>
  <si>
    <t>שורה</t>
  </si>
  <si>
    <t>חש. נגדי</t>
  </si>
  <si>
    <t>סת</t>
  </si>
  <si>
    <t>פרטים</t>
  </si>
  <si>
    <t>ותק חבר</t>
  </si>
  <si>
    <t>זכאות</t>
  </si>
  <si>
    <t>תאריך פטירה</t>
  </si>
  <si>
    <t>ג"ח רווחי 2022</t>
  </si>
  <si>
    <t>ז</t>
  </si>
  <si>
    <t>גמר חשבון רווחי 22</t>
  </si>
  <si>
    <t>בירנבוים מגדה</t>
  </si>
  <si>
    <t>שיין יהודה</t>
  </si>
  <si>
    <t>אדלר יוכבד</t>
  </si>
  <si>
    <t>אריאל אריה</t>
  </si>
  <si>
    <t>אלדד אברהם</t>
  </si>
  <si>
    <t>איצקוביץ שרה</t>
  </si>
  <si>
    <t>איצקוביץ אלימלך</t>
  </si>
  <si>
    <t>איצקוביץ דובי</t>
  </si>
  <si>
    <t>איצקוביץ חסידה</t>
  </si>
  <si>
    <t>אריאל שולה</t>
  </si>
  <si>
    <t>אדלר אליעזר</t>
  </si>
  <si>
    <t>אליפז אלי</t>
  </si>
  <si>
    <t>אליפז רבקה</t>
  </si>
  <si>
    <t>אלדד איטה</t>
  </si>
  <si>
    <t>בוקסבאום יעקב</t>
  </si>
  <si>
    <t>באום מאיר</t>
  </si>
  <si>
    <t>בן טל יאיר</t>
  </si>
  <si>
    <t>בשן דבורה</t>
  </si>
  <si>
    <t>בן טל אביגדור</t>
  </si>
  <si>
    <t>בן יעקב אברהם</t>
  </si>
  <si>
    <t>ברודי שמעון</t>
  </si>
  <si>
    <t>ברטפלד יסכה</t>
  </si>
  <si>
    <t>ברטפלד יעקב</t>
  </si>
  <si>
    <t>באום חנה</t>
  </si>
  <si>
    <t>בוקסבאום שרה</t>
  </si>
  <si>
    <t>ברי מאיר</t>
  </si>
  <si>
    <t>בירנבאום אריה</t>
  </si>
  <si>
    <t>ברודי תיאה</t>
  </si>
  <si>
    <t>בן טל ציפורה</t>
  </si>
  <si>
    <t>בן דב שושנה</t>
  </si>
  <si>
    <t>גלבוע מרדכי</t>
  </si>
  <si>
    <t>בן דב עזריאל</t>
  </si>
  <si>
    <t>בשן אליעזר</t>
  </si>
  <si>
    <t>דיין צבי</t>
  </si>
  <si>
    <t>דיין רחל</t>
  </si>
  <si>
    <t>דבורקין יהודה</t>
  </si>
  <si>
    <t>דורון יעקב</t>
  </si>
  <si>
    <t>דוידוביץ אברהם</t>
  </si>
  <si>
    <t>דורון רחל</t>
  </si>
  <si>
    <t>הרטוב גבריאל</t>
  </si>
  <si>
    <t>המר אהרון</t>
  </si>
  <si>
    <t>המר יוסף</t>
  </si>
  <si>
    <t>וייס יהודה</t>
  </si>
  <si>
    <t>וייס מלכה</t>
  </si>
  <si>
    <t>וייס רחל</t>
  </si>
  <si>
    <t>וילדשטיין יפה</t>
  </si>
  <si>
    <t>וילדשטיין יצחק</t>
  </si>
  <si>
    <t>חובב דינה</t>
  </si>
  <si>
    <t>חובב משה</t>
  </si>
  <si>
    <t>חורש חנן</t>
  </si>
  <si>
    <t>חורש מרים</t>
  </si>
  <si>
    <t>ישורון שלום</t>
  </si>
  <si>
    <t>כהן אליעזר</t>
  </si>
  <si>
    <t>כלפה עמנואל</t>
  </si>
  <si>
    <t>כהן דינה</t>
  </si>
  <si>
    <t>לבבי ציפורה</t>
  </si>
  <si>
    <t>לבבי נחום</t>
  </si>
  <si>
    <t>לבון אסתר</t>
  </si>
  <si>
    <t>לזר ימימה</t>
  </si>
  <si>
    <t>לזר שמעון</t>
  </si>
  <si>
    <t>לאופר נחמיה</t>
  </si>
  <si>
    <t>לבנה שמואל</t>
  </si>
  <si>
    <t>ליפטשר ברוך</t>
  </si>
  <si>
    <t>ליפטשר רחל</t>
  </si>
  <si>
    <t>להב מרים</t>
  </si>
  <si>
    <t>להב פנחס</t>
  </si>
  <si>
    <t>נדיבי חיים</t>
  </si>
  <si>
    <t>מושקוביץ אורה</t>
  </si>
  <si>
    <t>מרצ`ינובסקי אבא</t>
  </si>
  <si>
    <t>מרצ`ינובסקי פרומקה</t>
  </si>
  <si>
    <t>לבון חיים צבי</t>
  </si>
  <si>
    <t>לאופר חווה</t>
  </si>
  <si>
    <t>מושקוביץ משה</t>
  </si>
  <si>
    <t>המר מלכה</t>
  </si>
  <si>
    <t>מושקוביץ יעל</t>
  </si>
  <si>
    <t>ניר דוד</t>
  </si>
  <si>
    <t>סוקל יהושוע</t>
  </si>
  <si>
    <t>עמית מרדכי</t>
  </si>
  <si>
    <t>עמית חיה</t>
  </si>
  <si>
    <t>פורת אהרון</t>
  </si>
  <si>
    <t>פז אבא</t>
  </si>
  <si>
    <t>פז ברוך</t>
  </si>
  <si>
    <t>פרנקל נחמה</t>
  </si>
  <si>
    <t>פרנקל דוד</t>
  </si>
  <si>
    <t>פז הדרה</t>
  </si>
  <si>
    <t>קלוש רבקה</t>
  </si>
  <si>
    <t>קליין דוד</t>
  </si>
  <si>
    <t>קליין יפה</t>
  </si>
  <si>
    <t>קראוס אביגדור</t>
  </si>
  <si>
    <t>קרליבך עמנואל</t>
  </si>
  <si>
    <t>קלוש יונה</t>
  </si>
  <si>
    <t>קרן שמואל</t>
  </si>
  <si>
    <t>קראוס דבורה</t>
  </si>
  <si>
    <t>קרליבך יפה</t>
  </si>
  <si>
    <t>רובינשטיין אליהו</t>
  </si>
  <si>
    <t>רובינשטיין רות</t>
  </si>
  <si>
    <t>רוט יוסי</t>
  </si>
  <si>
    <t>רון פועה</t>
  </si>
  <si>
    <t>רון שלמה</t>
  </si>
  <si>
    <t>רוט סוניה</t>
  </si>
  <si>
    <t>שלסינגר יוסף</t>
  </si>
  <si>
    <t>שלסינגר מרים</t>
  </si>
  <si>
    <t>שאול פנינה</t>
  </si>
  <si>
    <t>שדמי יצחק</t>
  </si>
  <si>
    <t>שדמי לאה</t>
  </si>
  <si>
    <t>שילה שמעון</t>
  </si>
  <si>
    <t>שפייר מרתה</t>
  </si>
  <si>
    <t>שרייבר ראובן</t>
  </si>
  <si>
    <t>שפייר יהודה</t>
  </si>
  <si>
    <t>שפירא שמואל</t>
  </si>
  <si>
    <t>שפירא רחל</t>
  </si>
  <si>
    <t>שטרומר קלמן</t>
  </si>
  <si>
    <t>שאול יצחק</t>
  </si>
  <si>
    <t>שטרומר רות</t>
  </si>
  <si>
    <t>שילה יהודית</t>
  </si>
  <si>
    <t>שרייבר מלכה</t>
  </si>
  <si>
    <t>בן ישר מנחם</t>
  </si>
  <si>
    <t>בן ישר חדוה</t>
  </si>
  <si>
    <t>דוידויץ רבקה</t>
  </si>
  <si>
    <t>מניות חבר</t>
  </si>
  <si>
    <t>כלל משואה</t>
  </si>
  <si>
    <t xml:space="preserve">קרן לתשתיות </t>
  </si>
  <si>
    <t>תקרה לקרן תשתיות</t>
  </si>
  <si>
    <t>קרן תשתיות</t>
  </si>
  <si>
    <t>חלויות קהילה</t>
  </si>
  <si>
    <t>בסיס הצמדה (מדד נובמבר 2025</t>
  </si>
  <si>
    <t xml:space="preserve"> סכום צמוד (מרץ 2025) </t>
  </si>
  <si>
    <t xml:space="preserve"> סכום עדכני (דצמבר 2025) </t>
  </si>
  <si>
    <t xml:space="preserve">הולדת בן/בת ראשון </t>
  </si>
  <si>
    <t>הולדת בן/בת שני ומעלה</t>
  </si>
  <si>
    <t xml:space="preserve">בר מצוה </t>
  </si>
  <si>
    <t xml:space="preserve">בת מצוה </t>
  </si>
  <si>
    <t xml:space="preserve">מסיבת חתונה לבן/בת </t>
  </si>
  <si>
    <t>תקציב להורים ציוד לבן /בת מתחתן/ת</t>
  </si>
  <si>
    <t>תקציב להורים ציוד לבן/בת משוחרר מצה"ל</t>
  </si>
  <si>
    <t>מענק שחרור</t>
  </si>
  <si>
    <t>הלוואת לימודים (הופכת למענק לאחר חברות)</t>
  </si>
  <si>
    <t>בסיס הצמדה - מדד נובמבר 2025</t>
  </si>
  <si>
    <t xml:space="preserve">תקציב לחבר שנכנס לבית קבע </t>
  </si>
  <si>
    <t>הנחות עבודה</t>
  </si>
  <si>
    <t>שנות תעודת החוב</t>
  </si>
  <si>
    <t>סך תעודת החוב</t>
  </si>
  <si>
    <t>קיטון שנתי בהעברה מהעסקים</t>
  </si>
  <si>
    <t>מס' מניות</t>
  </si>
  <si>
    <t>תעודת חוב</t>
  </si>
  <si>
    <t>חבר צעיר</t>
  </si>
  <si>
    <t>יחס דור א' - דור ב'</t>
  </si>
  <si>
    <t>שווי שנה מייצגת (זוג)</t>
  </si>
  <si>
    <t>חלוקה שנתית ממוצעת לתקופה</t>
  </si>
  <si>
    <t>ממוצע 1-10</t>
  </si>
  <si>
    <t>ממוצע 11-20</t>
  </si>
  <si>
    <t>חלוקה דור א</t>
  </si>
  <si>
    <t>חלוקה דור ב</t>
  </si>
  <si>
    <t>ממוצע 21-30</t>
  </si>
  <si>
    <t xml:space="preserve">סך חלוקות רווחים לתקופה </t>
  </si>
  <si>
    <t>סך חלוקה שיוויונית</t>
  </si>
  <si>
    <t>חלוקה בשנה</t>
  </si>
  <si>
    <t>חלוקה לפי תעודות חוב</t>
  </si>
  <si>
    <t>שנים</t>
  </si>
  <si>
    <t>יתרת העודף השנתי</t>
  </si>
  <si>
    <t>יתרה לאחר זכויות</t>
  </si>
  <si>
    <t>היתרה לחישוב לחלוקה ליורשים</t>
  </si>
  <si>
    <t>יורשים קרן משואה</t>
  </si>
  <si>
    <t>צרכים מיוחדים</t>
  </si>
  <si>
    <t>קרן עזרה הדדית</t>
  </si>
  <si>
    <t xml:space="preserve">חלוקת רווחים </t>
  </si>
  <si>
    <t>חישוב עזר</t>
  </si>
  <si>
    <t>שיקול דעת</t>
  </si>
  <si>
    <t>צביעת דירות</t>
  </si>
  <si>
    <t>טבלת עזר</t>
  </si>
  <si>
    <t>זכאים לתקציב רק חברים בבתי קבע!</t>
  </si>
  <si>
    <t>סכום למשפחה</t>
  </si>
  <si>
    <t>שנות זכאות</t>
  </si>
  <si>
    <t xml:space="preserve">שנת שינוי </t>
  </si>
  <si>
    <t>מספר משפחות</t>
  </si>
  <si>
    <t xml:space="preserve">שם </t>
  </si>
  <si>
    <t>שנת צביעה אחרונה</t>
  </si>
  <si>
    <t>רחמים יהושוע ושרה</t>
  </si>
  <si>
    <t>קפלן שמואל וחני</t>
  </si>
  <si>
    <t>צביעה</t>
  </si>
  <si>
    <t>צביעה שנה</t>
  </si>
  <si>
    <t>סיעוד</t>
  </si>
  <si>
    <t>השתתפות עסקים בפנסיה</t>
  </si>
  <si>
    <t>העברה מינימלית לפנסיה</t>
  </si>
  <si>
    <t>תקציב צביעה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</si>
</sst>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 * #,##0_ ;_ * \-#,##0_ ;_ * &quot;-&quot;??_ ;_ @_ "/>
    <numFmt numFmtId="165" formatCode="#,##0_ ;[Red]\-#,##0\ "/>
    <numFmt numFmtId="166" formatCode="0.0"/>
    <numFmt numFmtId="167" formatCode="0.0%"/>
    <numFmt numFmtId="168" formatCode="_ * #,##0_ ;_ * \-#,##0_ ;_ * &quot;-&quot;?_ ;_ @_ "/>
    <numFmt numFmtId="169" formatCode="#,##0_ ;\-#,##0\ "/>
    <numFmt numFmtId="170" formatCode="0.000000"/>
    <numFmt numFmtId="171" formatCode="_ * #,##0.000000_ ;_ * \-#,##0.000000_ ;_ * &quot;-&quot;??_ ;_ @_ "/>
    <numFmt numFmtId="172" formatCode="_ * #,##0.0000_ ;_ * \-#,##0.0000_ ;_ * &quot;-&quot;??_ ;_ @_ "/>
  </numFmts>
  <fonts count="2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4"/>
      <color rgb="FF800000"/>
      <name val="Ariel"/>
      <charset val="177"/>
    </font>
    <font>
      <sz val="10"/>
      <color theme="1"/>
      <name val="Calibri"/>
      <family val="2"/>
      <charset val="177"/>
      <scheme val="minor"/>
    </font>
    <font>
      <b/>
      <sz val="11"/>
      <name val="Calibri"/>
      <family val="2"/>
      <charset val="177"/>
      <scheme val="minor"/>
    </font>
    <font>
      <sz val="8"/>
      <name val="Calibri"/>
      <family val="2"/>
      <charset val="177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charset val="177"/>
      <scheme val="minor"/>
    </font>
    <font>
      <sz val="8"/>
      <color theme="1"/>
      <name val="Calibri"/>
      <family val="2"/>
      <charset val="177"/>
      <scheme val="minor"/>
    </font>
    <font>
      <u/>
      <sz val="11"/>
      <color theme="1"/>
      <name val="Calibri"/>
      <family val="2"/>
      <charset val="177"/>
      <scheme val="minor"/>
    </font>
    <font>
      <b/>
      <u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charset val="177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charset val="177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theme="9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9" fontId="1" fillId="0" borderId="0" applyFont="0" applyFill="0" applyBorder="0" applyAlignment="0" applyProtection="0"/>
  </cellStyleXfs>
  <cellXfs count="320">
    <xf numFmtId="0" fontId="0" fillId="0" borderId="0" xfId="0"/>
    <xf numFmtId="164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0" borderId="0" xfId="1" applyNumberFormat="1" applyFont="1"/>
    <xf numFmtId="0" fontId="0" fillId="0" borderId="0" xfId="0" quotePrefix="1"/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3" xfId="0" applyBorder="1"/>
    <xf numFmtId="0" fontId="0" fillId="0" borderId="4" xfId="0" applyBorder="1"/>
    <xf numFmtId="164" fontId="0" fillId="3" borderId="0" xfId="1" applyNumberFormat="1" applyFont="1" applyFill="1"/>
    <xf numFmtId="0" fontId="0" fillId="0" borderId="4" xfId="0" quotePrefix="1" applyBorder="1"/>
    <xf numFmtId="9" fontId="0" fillId="0" borderId="0" xfId="0" applyNumberFormat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center" vertical="top" wrapText="1"/>
    </xf>
    <xf numFmtId="0" fontId="0" fillId="6" borderId="0" xfId="0" applyFill="1" applyAlignment="1">
      <alignment vertical="top" wrapText="1"/>
    </xf>
    <xf numFmtId="43" fontId="0" fillId="0" borderId="0" xfId="1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7" borderId="0" xfId="0" applyFill="1" applyAlignment="1">
      <alignment horizontal="center" vertical="top" wrapText="1"/>
    </xf>
    <xf numFmtId="0" fontId="6" fillId="8" borderId="7" xfId="0" applyFont="1" applyFill="1" applyBorder="1" applyAlignment="1">
      <alignment horizontal="center" vertical="top" wrapText="1"/>
    </xf>
    <xf numFmtId="165" fontId="0" fillId="0" borderId="0" xfId="0" applyNumberFormat="1"/>
    <xf numFmtId="0" fontId="0" fillId="0" borderId="1" xfId="0" applyBorder="1"/>
    <xf numFmtId="0" fontId="0" fillId="0" borderId="8" xfId="0" applyBorder="1"/>
    <xf numFmtId="0" fontId="0" fillId="0" borderId="2" xfId="0" applyBorder="1"/>
    <xf numFmtId="0" fontId="2" fillId="0" borderId="9" xfId="0" applyFont="1" applyBorder="1"/>
    <xf numFmtId="0" fontId="2" fillId="3" borderId="9" xfId="0" applyFont="1" applyFill="1" applyBorder="1"/>
    <xf numFmtId="0" fontId="0" fillId="3" borderId="0" xfId="0" applyFill="1"/>
    <xf numFmtId="0" fontId="2" fillId="3" borderId="5" xfId="0" applyFont="1" applyFill="1" applyBorder="1"/>
    <xf numFmtId="0" fontId="0" fillId="3" borderId="10" xfId="0" applyFill="1" applyBorder="1"/>
    <xf numFmtId="0" fontId="3" fillId="0" borderId="0" xfId="0" applyFont="1"/>
    <xf numFmtId="0" fontId="8" fillId="15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>
      <alignment horizontal="center" vertical="center"/>
    </xf>
    <xf numFmtId="164" fontId="3" fillId="2" borderId="0" xfId="1" applyNumberFormat="1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164" fontId="2" fillId="13" borderId="7" xfId="1" applyNumberFormat="1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vertical="center" wrapText="1"/>
    </xf>
    <xf numFmtId="0" fontId="2" fillId="14" borderId="7" xfId="0" applyFont="1" applyFill="1" applyBorder="1" applyAlignment="1">
      <alignment vertical="center" wrapText="1"/>
    </xf>
    <xf numFmtId="0" fontId="6" fillId="16" borderId="0" xfId="0" applyFont="1" applyFill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3" fillId="17" borderId="0" xfId="0" applyFont="1" applyFill="1" applyAlignment="1">
      <alignment horizontal="center" vertical="center"/>
    </xf>
    <xf numFmtId="164" fontId="3" fillId="17" borderId="0" xfId="1" applyNumberFormat="1" applyFont="1" applyFill="1" applyAlignment="1">
      <alignment horizontal="center" vertical="center"/>
    </xf>
    <xf numFmtId="0" fontId="3" fillId="17" borderId="0" xfId="0" applyFont="1" applyFill="1" applyAlignment="1">
      <alignment horizontal="right" vertical="center"/>
    </xf>
    <xf numFmtId="0" fontId="3" fillId="17" borderId="11" xfId="0" applyFont="1" applyFill="1" applyBorder="1" applyAlignment="1">
      <alignment horizontal="center" vertical="center"/>
    </xf>
    <xf numFmtId="0" fontId="3" fillId="17" borderId="11" xfId="0" applyFont="1" applyFill="1" applyBorder="1" applyAlignment="1">
      <alignment horizontal="right" vertical="center"/>
    </xf>
    <xf numFmtId="164" fontId="3" fillId="17" borderId="1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4" fontId="3" fillId="17" borderId="0" xfId="1" applyNumberFormat="1" applyFont="1" applyFill="1" applyBorder="1" applyAlignment="1">
      <alignment horizontal="center" vertical="center"/>
    </xf>
    <xf numFmtId="0" fontId="11" fillId="15" borderId="0" xfId="0" applyFont="1" applyFill="1"/>
    <xf numFmtId="0" fontId="3" fillId="11" borderId="11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 wrapText="1"/>
    </xf>
    <xf numFmtId="164" fontId="10" fillId="17" borderId="11" xfId="1" applyNumberFormat="1" applyFont="1" applyFill="1" applyBorder="1" applyAlignment="1">
      <alignment horizontal="right" vertical="center"/>
    </xf>
    <xf numFmtId="164" fontId="5" fillId="0" borderId="0" xfId="1" applyNumberFormat="1" applyFont="1"/>
    <xf numFmtId="164" fontId="5" fillId="10" borderId="0" xfId="0" applyNumberFormat="1" applyFont="1" applyFill="1"/>
    <xf numFmtId="164" fontId="5" fillId="11" borderId="0" xfId="0" applyNumberFormat="1" applyFont="1" applyFill="1"/>
    <xf numFmtId="164" fontId="5" fillId="17" borderId="0" xfId="0" applyNumberFormat="1" applyFont="1" applyFill="1"/>
    <xf numFmtId="164" fontId="5" fillId="18" borderId="0" xfId="0" applyNumberFormat="1" applyFont="1" applyFill="1"/>
    <xf numFmtId="164" fontId="5" fillId="0" borderId="0" xfId="0" applyNumberFormat="1" applyFont="1"/>
    <xf numFmtId="0" fontId="5" fillId="0" borderId="0" xfId="0" applyFont="1"/>
    <xf numFmtId="0" fontId="12" fillId="8" borderId="0" xfId="0" applyFont="1" applyFill="1" applyAlignment="1">
      <alignment horizontal="center" vertical="top" wrapText="1"/>
    </xf>
    <xf numFmtId="0" fontId="3" fillId="20" borderId="12" xfId="0" applyFont="1" applyFill="1" applyBorder="1" applyAlignment="1">
      <alignment horizontal="center" vertical="center" wrapText="1"/>
    </xf>
    <xf numFmtId="164" fontId="13" fillId="21" borderId="13" xfId="0" applyNumberFormat="1" applyFont="1" applyFill="1" applyBorder="1"/>
    <xf numFmtId="164" fontId="13" fillId="0" borderId="0" xfId="1" applyNumberFormat="1" applyFont="1"/>
    <xf numFmtId="0" fontId="3" fillId="17" borderId="10" xfId="0" applyFont="1" applyFill="1" applyBorder="1" applyAlignment="1">
      <alignment horizontal="center" vertical="center"/>
    </xf>
    <xf numFmtId="0" fontId="3" fillId="17" borderId="10" xfId="0" applyFont="1" applyFill="1" applyBorder="1" applyAlignment="1">
      <alignment horizontal="right" vertical="center"/>
    </xf>
    <xf numFmtId="0" fontId="10" fillId="17" borderId="10" xfId="0" applyFont="1" applyFill="1" applyBorder="1" applyAlignment="1">
      <alignment horizontal="center" vertical="center"/>
    </xf>
    <xf numFmtId="164" fontId="3" fillId="17" borderId="10" xfId="1" applyNumberFormat="1" applyFont="1" applyFill="1" applyBorder="1" applyAlignment="1">
      <alignment horizontal="center" vertical="center"/>
    </xf>
    <xf numFmtId="43" fontId="0" fillId="0" borderId="0" xfId="0" applyNumberFormat="1"/>
    <xf numFmtId="164" fontId="3" fillId="17" borderId="10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8" fillId="0" borderId="0" xfId="1" applyNumberFormat="1" applyFont="1"/>
    <xf numFmtId="164" fontId="16" fillId="0" borderId="0" xfId="1" applyNumberFormat="1" applyFont="1"/>
    <xf numFmtId="14" fontId="3" fillId="0" borderId="0" xfId="0" applyNumberFormat="1" applyFont="1"/>
    <xf numFmtId="2" fontId="0" fillId="0" borderId="0" xfId="0" applyNumberFormat="1"/>
    <xf numFmtId="14" fontId="14" fillId="0" borderId="0" xfId="0" applyNumberFormat="1" applyFont="1"/>
    <xf numFmtId="166" fontId="0" fillId="0" borderId="0" xfId="0" applyNumberFormat="1"/>
    <xf numFmtId="1" fontId="0" fillId="0" borderId="0" xfId="0" applyNumberFormat="1"/>
    <xf numFmtId="164" fontId="3" fillId="0" borderId="0" xfId="1" applyNumberFormat="1" applyFont="1"/>
    <xf numFmtId="164" fontId="17" fillId="0" borderId="0" xfId="1" applyNumberFormat="1" applyFont="1"/>
    <xf numFmtId="166" fontId="3" fillId="0" borderId="0" xfId="0" applyNumberFormat="1" applyFo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11" borderId="0" xfId="0" applyFill="1"/>
    <xf numFmtId="0" fontId="0" fillId="0" borderId="0" xfId="0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right"/>
    </xf>
    <xf numFmtId="0" fontId="2" fillId="22" borderId="14" xfId="0" applyFont="1" applyFill="1" applyBorder="1" applyAlignment="1">
      <alignment horizontal="center" vertical="center" wrapText="1"/>
    </xf>
    <xf numFmtId="164" fontId="0" fillId="0" borderId="2" xfId="1" applyNumberFormat="1" applyFont="1" applyBorder="1"/>
    <xf numFmtId="164" fontId="0" fillId="0" borderId="6" xfId="0" applyNumberFormat="1" applyBorder="1"/>
    <xf numFmtId="0" fontId="14" fillId="0" borderId="15" xfId="0" applyFont="1" applyBorder="1"/>
    <xf numFmtId="164" fontId="14" fillId="0" borderId="16" xfId="1" applyNumberFormat="1" applyFont="1" applyBorder="1"/>
    <xf numFmtId="164" fontId="0" fillId="0" borderId="0" xfId="1" applyNumberFormat="1" applyFont="1" applyBorder="1" applyAlignment="1">
      <alignment vertical="center"/>
    </xf>
    <xf numFmtId="17" fontId="0" fillId="0" borderId="0" xfId="0" applyNumberFormat="1"/>
    <xf numFmtId="1" fontId="0" fillId="11" borderId="0" xfId="1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" fontId="0" fillId="11" borderId="0" xfId="1" applyNumberFormat="1" applyFont="1" applyFill="1" applyBorder="1" applyAlignment="1">
      <alignment horizontal="center" vertical="center"/>
    </xf>
    <xf numFmtId="0" fontId="13" fillId="23" borderId="0" xfId="0" applyFont="1" applyFill="1"/>
    <xf numFmtId="0" fontId="13" fillId="23" borderId="0" xfId="0" applyFont="1" applyFill="1" applyAlignment="1">
      <alignment horizontal="center"/>
    </xf>
    <xf numFmtId="0" fontId="20" fillId="0" borderId="0" xfId="0" applyFont="1"/>
    <xf numFmtId="164" fontId="20" fillId="0" borderId="0" xfId="1" applyNumberFormat="1" applyFont="1"/>
    <xf numFmtId="0" fontId="20" fillId="11" borderId="0" xfId="0" applyFont="1" applyFill="1"/>
    <xf numFmtId="167" fontId="20" fillId="11" borderId="0" xfId="4" applyNumberFormat="1" applyFont="1" applyFill="1"/>
    <xf numFmtId="164" fontId="20" fillId="11" borderId="0" xfId="0" applyNumberFormat="1" applyFont="1" applyFill="1"/>
    <xf numFmtId="167" fontId="20" fillId="0" borderId="0" xfId="4" applyNumberFormat="1" applyFont="1"/>
    <xf numFmtId="164" fontId="20" fillId="0" borderId="0" xfId="0" applyNumberFormat="1" applyFont="1"/>
    <xf numFmtId="167" fontId="20" fillId="0" borderId="0" xfId="4" applyNumberFormat="1" applyFont="1" applyFill="1"/>
    <xf numFmtId="10" fontId="0" fillId="0" borderId="0" xfId="4" applyNumberFormat="1" applyFont="1"/>
    <xf numFmtId="0" fontId="20" fillId="0" borderId="0" xfId="0" applyFont="1" applyAlignment="1">
      <alignment horizontal="right" readingOrder="2"/>
    </xf>
    <xf numFmtId="0" fontId="13" fillId="23" borderId="0" xfId="0" applyFont="1" applyFill="1" applyAlignment="1">
      <alignment horizontal="right" readingOrder="2"/>
    </xf>
    <xf numFmtId="167" fontId="13" fillId="23" borderId="0" xfId="4" applyNumberFormat="1" applyFont="1" applyFill="1"/>
    <xf numFmtId="164" fontId="13" fillId="23" borderId="0" xfId="0" applyNumberFormat="1" applyFont="1" applyFill="1"/>
    <xf numFmtId="38" fontId="13" fillId="23" borderId="0" xfId="1" applyNumberFormat="1" applyFont="1" applyFill="1"/>
    <xf numFmtId="0" fontId="13" fillId="0" borderId="0" xfId="0" applyFont="1"/>
    <xf numFmtId="167" fontId="0" fillId="0" borderId="0" xfId="0" applyNumberFormat="1"/>
    <xf numFmtId="167" fontId="0" fillId="11" borderId="0" xfId="0" applyNumberFormat="1" applyFill="1"/>
    <xf numFmtId="168" fontId="0" fillId="11" borderId="0" xfId="0" applyNumberFormat="1" applyFill="1"/>
    <xf numFmtId="168" fontId="0" fillId="0" borderId="0" xfId="0" applyNumberFormat="1"/>
    <xf numFmtId="164" fontId="3" fillId="0" borderId="0" xfId="0" applyNumberFormat="1" applyFont="1"/>
    <xf numFmtId="0" fontId="0" fillId="11" borderId="0" xfId="0" applyFill="1" applyAlignment="1">
      <alignment horizontal="right"/>
    </xf>
    <xf numFmtId="9" fontId="0" fillId="11" borderId="0" xfId="0" applyNumberFormat="1" applyFill="1"/>
    <xf numFmtId="164" fontId="0" fillId="11" borderId="0" xfId="0" applyNumberFormat="1" applyFill="1"/>
    <xf numFmtId="38" fontId="20" fillId="0" borderId="0" xfId="1" applyNumberFormat="1" applyFont="1" applyFill="1"/>
    <xf numFmtId="9" fontId="13" fillId="23" borderId="0" xfId="4" applyFont="1" applyFill="1"/>
    <xf numFmtId="0" fontId="3" fillId="24" borderId="0" xfId="0" applyFont="1" applyFill="1"/>
    <xf numFmtId="167" fontId="3" fillId="24" borderId="0" xfId="0" applyNumberFormat="1" applyFont="1" applyFill="1"/>
    <xf numFmtId="168" fontId="3" fillId="24" borderId="0" xfId="0" applyNumberFormat="1" applyFont="1" applyFill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11" borderId="0" xfId="0" applyFont="1" applyFill="1" applyAlignment="1">
      <alignment horizontal="right" vertical="center"/>
    </xf>
    <xf numFmtId="0" fontId="20" fillId="0" borderId="0" xfId="0" applyFont="1" applyAlignment="1">
      <alignment horizontal="right" vertical="center"/>
    </xf>
    <xf numFmtId="168" fontId="3" fillId="24" borderId="0" xfId="0" applyNumberFormat="1" applyFont="1" applyFill="1" applyAlignment="1">
      <alignment vertical="center"/>
    </xf>
    <xf numFmtId="0" fontId="0" fillId="24" borderId="0" xfId="0" applyFill="1" applyAlignment="1">
      <alignment vertical="center"/>
    </xf>
    <xf numFmtId="0" fontId="13" fillId="24" borderId="0" xfId="0" applyFont="1" applyFill="1" applyAlignment="1">
      <alignment horizontal="center" vertical="center" wrapText="1"/>
    </xf>
    <xf numFmtId="0" fontId="3" fillId="24" borderId="0" xfId="0" applyFont="1" applyFill="1" applyAlignment="1">
      <alignment vertical="center"/>
    </xf>
    <xf numFmtId="168" fontId="5" fillId="0" borderId="0" xfId="0" applyNumberFormat="1" applyFont="1" applyAlignment="1">
      <alignment horizontal="right" vertical="center"/>
    </xf>
    <xf numFmtId="168" fontId="5" fillId="11" borderId="0" xfId="0" applyNumberFormat="1" applyFont="1" applyFill="1" applyAlignment="1">
      <alignment horizontal="right" vertical="center"/>
    </xf>
    <xf numFmtId="0" fontId="20" fillId="0" borderId="11" xfId="0" applyFont="1" applyBorder="1"/>
    <xf numFmtId="164" fontId="20" fillId="0" borderId="11" xfId="1" applyNumberFormat="1" applyFont="1" applyBorder="1"/>
    <xf numFmtId="164" fontId="13" fillId="0" borderId="0" xfId="0" applyNumberFormat="1" applyFont="1"/>
    <xf numFmtId="9" fontId="20" fillId="0" borderId="0" xfId="0" applyNumberFormat="1" applyFont="1" applyAlignment="1">
      <alignment horizontal="center"/>
    </xf>
    <xf numFmtId="164" fontId="20" fillId="11" borderId="0" xfId="1" applyNumberFormat="1" applyFont="1" applyFill="1"/>
    <xf numFmtId="0" fontId="20" fillId="0" borderId="11" xfId="0" applyFont="1" applyBorder="1" applyAlignment="1">
      <alignment horizontal="right" vertical="center"/>
    </xf>
    <xf numFmtId="0" fontId="13" fillId="17" borderId="0" xfId="0" applyFont="1" applyFill="1"/>
    <xf numFmtId="164" fontId="13" fillId="17" borderId="0" xfId="1" applyNumberFormat="1" applyFont="1" applyFill="1"/>
    <xf numFmtId="0" fontId="13" fillId="17" borderId="0" xfId="0" applyFont="1" applyFill="1" applyAlignment="1">
      <alignment horizontal="right" vertical="center"/>
    </xf>
    <xf numFmtId="164" fontId="13" fillId="18" borderId="0" xfId="0" applyNumberFormat="1" applyFont="1" applyFill="1"/>
    <xf numFmtId="0" fontId="13" fillId="18" borderId="0" xfId="0" applyFont="1" applyFill="1" applyAlignment="1">
      <alignment horizontal="right" vertical="center"/>
    </xf>
    <xf numFmtId="164" fontId="13" fillId="18" borderId="0" xfId="1" applyNumberFormat="1" applyFont="1" applyFill="1"/>
    <xf numFmtId="10" fontId="20" fillId="0" borderId="0" xfId="4" applyNumberFormat="1" applyFont="1"/>
    <xf numFmtId="0" fontId="13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16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4" fontId="20" fillId="0" borderId="0" xfId="0" applyNumberFormat="1" applyFont="1" applyAlignment="1">
      <alignment vertical="center"/>
    </xf>
    <xf numFmtId="0" fontId="20" fillId="0" borderId="11" xfId="0" applyFont="1" applyBorder="1" applyAlignment="1">
      <alignment vertical="center"/>
    </xf>
    <xf numFmtId="164" fontId="20" fillId="0" borderId="11" xfId="0" applyNumberFormat="1" applyFont="1" applyBorder="1" applyAlignment="1">
      <alignment vertical="center"/>
    </xf>
    <xf numFmtId="0" fontId="13" fillId="17" borderId="0" xfId="0" applyFont="1" applyFill="1" applyAlignment="1">
      <alignment vertical="center"/>
    </xf>
    <xf numFmtId="164" fontId="13" fillId="17" borderId="0" xfId="0" applyNumberFormat="1" applyFont="1" applyFill="1" applyAlignment="1">
      <alignment vertical="center"/>
    </xf>
    <xf numFmtId="164" fontId="20" fillId="18" borderId="0" xfId="0" applyNumberFormat="1" applyFont="1" applyFill="1" applyAlignment="1">
      <alignment vertical="center"/>
    </xf>
    <xf numFmtId="164" fontId="13" fillId="17" borderId="11" xfId="0" applyNumberFormat="1" applyFont="1" applyFill="1" applyBorder="1" applyAlignment="1">
      <alignment vertical="center"/>
    </xf>
    <xf numFmtId="164" fontId="20" fillId="0" borderId="0" xfId="1" applyNumberFormat="1" applyFont="1" applyAlignment="1">
      <alignment vertical="center"/>
    </xf>
    <xf numFmtId="38" fontId="13" fillId="23" borderId="17" xfId="1" applyNumberFormat="1" applyFont="1" applyFill="1" applyBorder="1"/>
    <xf numFmtId="38" fontId="20" fillId="0" borderId="18" xfId="1" applyNumberFormat="1" applyFont="1" applyFill="1" applyBorder="1"/>
    <xf numFmtId="38" fontId="13" fillId="23" borderId="18" xfId="1" applyNumberFormat="1" applyFont="1" applyFill="1" applyBorder="1"/>
    <xf numFmtId="164" fontId="20" fillId="0" borderId="18" xfId="1" applyNumberFormat="1" applyFont="1" applyBorder="1"/>
    <xf numFmtId="164" fontId="20" fillId="11" borderId="18" xfId="0" applyNumberFormat="1" applyFont="1" applyFill="1" applyBorder="1"/>
    <xf numFmtId="164" fontId="20" fillId="0" borderId="18" xfId="0" applyNumberFormat="1" applyFont="1" applyBorder="1"/>
    <xf numFmtId="164" fontId="13" fillId="23" borderId="18" xfId="0" applyNumberFormat="1" applyFont="1" applyFill="1" applyBorder="1"/>
    <xf numFmtId="168" fontId="0" fillId="11" borderId="18" xfId="0" applyNumberFormat="1" applyFill="1" applyBorder="1"/>
    <xf numFmtId="168" fontId="0" fillId="0" borderId="18" xfId="0" applyNumberFormat="1" applyBorder="1"/>
    <xf numFmtId="164" fontId="0" fillId="0" borderId="18" xfId="0" applyNumberFormat="1" applyBorder="1"/>
    <xf numFmtId="164" fontId="0" fillId="11" borderId="18" xfId="0" applyNumberFormat="1" applyFill="1" applyBorder="1"/>
    <xf numFmtId="168" fontId="3" fillId="24" borderId="19" xfId="0" applyNumberFormat="1" applyFont="1" applyFill="1" applyBorder="1"/>
    <xf numFmtId="0" fontId="0" fillId="0" borderId="18" xfId="0" applyBorder="1"/>
    <xf numFmtId="38" fontId="13" fillId="23" borderId="20" xfId="1" applyNumberFormat="1" applyFont="1" applyFill="1" applyBorder="1"/>
    <xf numFmtId="38" fontId="13" fillId="23" borderId="21" xfId="1" applyNumberFormat="1" applyFont="1" applyFill="1" applyBorder="1"/>
    <xf numFmtId="164" fontId="13" fillId="18" borderId="0" xfId="1" applyNumberFormat="1" applyFont="1" applyFill="1" applyAlignment="1">
      <alignment vertical="center"/>
    </xf>
    <xf numFmtId="0" fontId="20" fillId="11" borderId="0" xfId="0" applyFont="1" applyFill="1" applyAlignment="1">
      <alignment vertical="center"/>
    </xf>
    <xf numFmtId="9" fontId="20" fillId="11" borderId="0" xfId="0" applyNumberFormat="1" applyFont="1" applyFill="1" applyAlignment="1">
      <alignment vertical="center"/>
    </xf>
    <xf numFmtId="164" fontId="20" fillId="0" borderId="11" xfId="1" applyNumberFormat="1" applyFont="1" applyBorder="1" applyAlignment="1">
      <alignment vertical="center"/>
    </xf>
    <xf numFmtId="0" fontId="20" fillId="0" borderId="0" xfId="0" applyFont="1" applyAlignment="1">
      <alignment horizontal="center" vertical="center" wrapText="1"/>
    </xf>
    <xf numFmtId="0" fontId="20" fillId="25" borderId="0" xfId="0" applyFont="1" applyFill="1"/>
    <xf numFmtId="164" fontId="20" fillId="25" borderId="0" xfId="0" applyNumberFormat="1" applyFont="1" applyFill="1" applyAlignment="1">
      <alignment vertical="center"/>
    </xf>
    <xf numFmtId="0" fontId="20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17" borderId="23" xfId="0" applyFont="1" applyFill="1" applyBorder="1" applyAlignment="1">
      <alignment horizontal="center" vertical="center" wrapText="1"/>
    </xf>
    <xf numFmtId="0" fontId="13" fillId="18" borderId="24" xfId="0" applyFont="1" applyFill="1" applyBorder="1" applyAlignment="1">
      <alignment horizontal="center" vertical="center" wrapText="1"/>
    </xf>
    <xf numFmtId="0" fontId="20" fillId="21" borderId="0" xfId="0" applyFont="1" applyFill="1"/>
    <xf numFmtId="164" fontId="20" fillId="21" borderId="0" xfId="1" applyNumberFormat="1" applyFont="1" applyFill="1"/>
    <xf numFmtId="164" fontId="13" fillId="21" borderId="0" xfId="1" applyNumberFormat="1" applyFont="1" applyFill="1"/>
    <xf numFmtId="164" fontId="20" fillId="21" borderId="0" xfId="0" applyNumberFormat="1" applyFont="1" applyFill="1"/>
    <xf numFmtId="0" fontId="13" fillId="0" borderId="0" xfId="0" applyFont="1" applyAlignment="1">
      <alignment horizontal="center" vertical="center" wrapText="1"/>
    </xf>
    <xf numFmtId="0" fontId="13" fillId="21" borderId="0" xfId="0" applyFont="1" applyFill="1"/>
    <xf numFmtId="164" fontId="20" fillId="0" borderId="0" xfId="1" applyNumberFormat="1" applyFont="1" applyAlignment="1">
      <alignment horizontal="center" vertical="center" wrapText="1"/>
    </xf>
    <xf numFmtId="169" fontId="13" fillId="0" borderId="0" xfId="1" applyNumberFormat="1" applyFont="1" applyFill="1" applyAlignment="1">
      <alignment horizontal="right" vertical="center" readingOrder="2"/>
    </xf>
    <xf numFmtId="0" fontId="13" fillId="18" borderId="22" xfId="0" applyFont="1" applyFill="1" applyBorder="1" applyAlignment="1">
      <alignment horizontal="center" vertical="center" wrapText="1"/>
    </xf>
    <xf numFmtId="43" fontId="20" fillId="0" borderId="0" xfId="0" applyNumberFormat="1" applyFont="1"/>
    <xf numFmtId="164" fontId="20" fillId="18" borderId="0" xfId="0" applyNumberFormat="1" applyFont="1" applyFill="1" applyAlignment="1">
      <alignment horizontal="center"/>
    </xf>
    <xf numFmtId="169" fontId="13" fillId="21" borderId="0" xfId="1" applyNumberFormat="1" applyFont="1" applyFill="1" applyAlignment="1">
      <alignment horizontal="right" vertical="center" readingOrder="2"/>
    </xf>
    <xf numFmtId="170" fontId="20" fillId="0" borderId="0" xfId="0" applyNumberFormat="1" applyFont="1" applyAlignment="1">
      <alignment vertical="center"/>
    </xf>
    <xf numFmtId="43" fontId="0" fillId="0" borderId="0" xfId="1" applyFont="1"/>
    <xf numFmtId="4" fontId="0" fillId="0" borderId="0" xfId="0" applyNumberFormat="1"/>
    <xf numFmtId="1" fontId="3" fillId="0" borderId="0" xfId="0" applyNumberFormat="1" applyFont="1"/>
    <xf numFmtId="164" fontId="3" fillId="0" borderId="0" xfId="1" applyNumberFormat="1" applyFont="1" applyAlignment="1">
      <alignment horizontal="right"/>
    </xf>
    <xf numFmtId="171" fontId="3" fillId="0" borderId="0" xfId="0" applyNumberFormat="1" applyFont="1"/>
    <xf numFmtId="43" fontId="3" fillId="0" borderId="0" xfId="1" applyFont="1"/>
    <xf numFmtId="43" fontId="0" fillId="0" borderId="6" xfId="0" applyNumberFormat="1" applyBorder="1"/>
    <xf numFmtId="43" fontId="3" fillId="0" borderId="0" xfId="0" applyNumberFormat="1" applyFont="1"/>
    <xf numFmtId="172" fontId="0" fillId="0" borderId="2" xfId="0" applyNumberFormat="1" applyBorder="1"/>
    <xf numFmtId="172" fontId="0" fillId="0" borderId="4" xfId="0" applyNumberFormat="1" applyBorder="1"/>
    <xf numFmtId="0" fontId="13" fillId="18" borderId="23" xfId="0" applyFont="1" applyFill="1" applyBorder="1" applyAlignment="1">
      <alignment horizontal="center" vertical="center" wrapText="1"/>
    </xf>
    <xf numFmtId="164" fontId="0" fillId="2" borderId="0" xfId="1" applyNumberFormat="1" applyFont="1" applyFill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164" fontId="3" fillId="2" borderId="0" xfId="1" applyNumberFormat="1" applyFont="1" applyFill="1" applyAlignment="1">
      <alignment horizontal="center" vertical="center" wrapText="1"/>
    </xf>
    <xf numFmtId="0" fontId="21" fillId="0" borderId="0" xfId="0" applyFont="1" applyAlignment="1">
      <alignment vertical="center"/>
    </xf>
    <xf numFmtId="164" fontId="21" fillId="0" borderId="0" xfId="1" applyNumberFormat="1" applyFont="1" applyAlignment="1">
      <alignment horizontal="center" vertical="center"/>
    </xf>
    <xf numFmtId="164" fontId="21" fillId="0" borderId="0" xfId="1" applyNumberFormat="1" applyFont="1" applyBorder="1" applyAlignment="1">
      <alignment horizontal="center" vertical="center"/>
    </xf>
    <xf numFmtId="0" fontId="22" fillId="15" borderId="0" xfId="0" applyFont="1" applyFill="1"/>
    <xf numFmtId="43" fontId="20" fillId="21" borderId="0" xfId="0" applyNumberFormat="1" applyFont="1" applyFill="1"/>
    <xf numFmtId="169" fontId="0" fillId="11" borderId="0" xfId="1" applyNumberFormat="1" applyFont="1" applyFill="1" applyAlignment="1">
      <alignment horizontal="center" vertical="center"/>
    </xf>
    <xf numFmtId="0" fontId="3" fillId="17" borderId="25" xfId="0" applyFont="1" applyFill="1" applyBorder="1" applyAlignment="1">
      <alignment horizontal="right" vertical="center"/>
    </xf>
    <xf numFmtId="164" fontId="3" fillId="17" borderId="25" xfId="0" applyNumberFormat="1" applyFont="1" applyFill="1" applyBorder="1" applyAlignment="1">
      <alignment horizontal="center" vertical="center"/>
    </xf>
    <xf numFmtId="169" fontId="3" fillId="17" borderId="25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4" fontId="14" fillId="0" borderId="0" xfId="1" applyNumberFormat="1" applyFont="1" applyAlignment="1">
      <alignment horizontal="center" vertical="center"/>
    </xf>
    <xf numFmtId="169" fontId="14" fillId="11" borderId="0" xfId="1" applyNumberFormat="1" applyFont="1" applyFill="1" applyAlignment="1">
      <alignment horizontal="center" vertical="center"/>
    </xf>
    <xf numFmtId="164" fontId="14" fillId="0" borderId="0" xfId="1" applyNumberFormat="1" applyFont="1" applyBorder="1" applyAlignment="1">
      <alignment horizontal="center" vertical="center"/>
    </xf>
    <xf numFmtId="164" fontId="20" fillId="0" borderId="0" xfId="1" applyNumberFormat="1" applyFont="1" applyFill="1"/>
    <xf numFmtId="169" fontId="20" fillId="11" borderId="0" xfId="1" applyNumberFormat="1" applyFont="1" applyFill="1" applyAlignment="1">
      <alignment horizontal="center"/>
    </xf>
    <xf numFmtId="0" fontId="3" fillId="0" borderId="8" xfId="0" applyFont="1" applyBorder="1"/>
    <xf numFmtId="0" fontId="3" fillId="0" borderId="2" xfId="0" applyFont="1" applyBorder="1"/>
    <xf numFmtId="0" fontId="20" fillId="0" borderId="3" xfId="0" applyFont="1" applyBorder="1" applyAlignment="1">
      <alignment vertical="center"/>
    </xf>
    <xf numFmtId="1" fontId="20" fillId="0" borderId="0" xfId="0" applyNumberFormat="1" applyFont="1" applyAlignment="1">
      <alignment horizontal="center" vertical="center"/>
    </xf>
    <xf numFmtId="164" fontId="20" fillId="18" borderId="4" xfId="1" applyNumberFormat="1" applyFont="1" applyFill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8" borderId="4" xfId="1" applyNumberFormat="1" applyFont="1" applyFill="1" applyBorder="1"/>
    <xf numFmtId="1" fontId="0" fillId="0" borderId="10" xfId="0" applyNumberFormat="1" applyBorder="1" applyAlignment="1">
      <alignment horizontal="center"/>
    </xf>
    <xf numFmtId="164" fontId="0" fillId="18" borderId="6" xfId="1" applyNumberFormat="1" applyFont="1" applyFill="1" applyBorder="1"/>
    <xf numFmtId="14" fontId="23" fillId="0" borderId="0" xfId="0" applyNumberFormat="1" applyFont="1"/>
    <xf numFmtId="0" fontId="20" fillId="11" borderId="0" xfId="0" applyFont="1" applyFill="1" applyAlignment="1">
      <alignment horizontal="center" vertical="center"/>
    </xf>
    <xf numFmtId="9" fontId="20" fillId="11" borderId="0" xfId="0" applyNumberFormat="1" applyFont="1" applyFill="1" applyAlignment="1">
      <alignment horizontal="center" vertical="center"/>
    </xf>
    <xf numFmtId="1" fontId="20" fillId="0" borderId="3" xfId="0" applyNumberFormat="1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0" fontId="20" fillId="0" borderId="1" xfId="0" applyFont="1" applyBorder="1"/>
    <xf numFmtId="164" fontId="20" fillId="0" borderId="2" xfId="0" applyNumberFormat="1" applyFont="1" applyBorder="1"/>
    <xf numFmtId="0" fontId="20" fillId="0" borderId="3" xfId="0" applyFont="1" applyBorder="1"/>
    <xf numFmtId="164" fontId="20" fillId="11" borderId="4" xfId="0" applyNumberFormat="1" applyFont="1" applyFill="1" applyBorder="1"/>
    <xf numFmtId="0" fontId="20" fillId="0" borderId="5" xfId="0" applyFont="1" applyBorder="1"/>
    <xf numFmtId="164" fontId="20" fillId="0" borderId="6" xfId="0" applyNumberFormat="1" applyFont="1" applyBorder="1"/>
    <xf numFmtId="0" fontId="13" fillId="0" borderId="3" xfId="0" applyFont="1" applyBorder="1" applyAlignment="1">
      <alignment horizontal="center"/>
    </xf>
    <xf numFmtId="0" fontId="13" fillId="0" borderId="4" xfId="0" applyFont="1" applyBorder="1"/>
    <xf numFmtId="164" fontId="20" fillId="0" borderId="0" xfId="1" applyNumberFormat="1" applyFont="1" applyBorder="1" applyAlignment="1">
      <alignment horizontal="center"/>
    </xf>
    <xf numFmtId="1" fontId="20" fillId="0" borderId="0" xfId="0" applyNumberFormat="1" applyFont="1"/>
    <xf numFmtId="164" fontId="20" fillId="18" borderId="4" xfId="0" applyNumberFormat="1" applyFont="1" applyFill="1" applyBorder="1"/>
    <xf numFmtId="43" fontId="20" fillId="0" borderId="10" xfId="1" applyFont="1" applyBorder="1"/>
    <xf numFmtId="1" fontId="20" fillId="0" borderId="10" xfId="0" applyNumberFormat="1" applyFont="1" applyBorder="1"/>
    <xf numFmtId="164" fontId="20" fillId="18" borderId="6" xfId="0" applyNumberFormat="1" applyFont="1" applyFill="1" applyBorder="1"/>
    <xf numFmtId="164" fontId="20" fillId="0" borderId="0" xfId="1" applyNumberFormat="1" applyFont="1" applyBorder="1"/>
    <xf numFmtId="164" fontId="20" fillId="0" borderId="10" xfId="1" applyNumberFormat="1" applyFont="1" applyBorder="1" applyAlignment="1">
      <alignment horizontal="center"/>
    </xf>
    <xf numFmtId="164" fontId="20" fillId="0" borderId="10" xfId="1" applyNumberFormat="1" applyFont="1" applyBorder="1"/>
    <xf numFmtId="0" fontId="13" fillId="18" borderId="26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9" fontId="20" fillId="0" borderId="0" xfId="4" applyFont="1"/>
    <xf numFmtId="164" fontId="13" fillId="26" borderId="0" xfId="1" applyNumberFormat="1" applyFont="1" applyFill="1"/>
    <xf numFmtId="164" fontId="20" fillId="26" borderId="0" xfId="1" applyNumberFormat="1" applyFont="1" applyFill="1"/>
    <xf numFmtId="164" fontId="20" fillId="26" borderId="0" xfId="0" applyNumberFormat="1" applyFont="1" applyFill="1" applyAlignment="1">
      <alignment horizontal="center"/>
    </xf>
    <xf numFmtId="9" fontId="20" fillId="18" borderId="0" xfId="0" applyNumberFormat="1" applyFont="1" applyFill="1" applyAlignment="1">
      <alignment horizontal="center"/>
    </xf>
    <xf numFmtId="0" fontId="0" fillId="0" borderId="0" xfId="0" applyAlignment="1">
      <alignment horizontal="right" readingOrder="2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0" fillId="0" borderId="4" xfId="0" applyNumberFormat="1" applyBorder="1"/>
    <xf numFmtId="0" fontId="24" fillId="0" borderId="0" xfId="0" applyFont="1" applyAlignment="1">
      <alignment horizontal="right" readingOrder="2"/>
    </xf>
    <xf numFmtId="0" fontId="24" fillId="0" borderId="0" xfId="0" applyFont="1"/>
    <xf numFmtId="0" fontId="0" fillId="0" borderId="5" xfId="0" applyBorder="1" applyAlignment="1">
      <alignment wrapText="1"/>
    </xf>
    <xf numFmtId="0" fontId="0" fillId="27" borderId="27" xfId="0" applyFill="1" applyBorder="1" applyAlignment="1">
      <alignment horizontal="center" vertical="center" wrapText="1" readingOrder="2"/>
    </xf>
    <xf numFmtId="0" fontId="0" fillId="27" borderId="27" xfId="0" applyFill="1" applyBorder="1" applyAlignment="1">
      <alignment horizontal="center" vertical="center" wrapText="1"/>
    </xf>
    <xf numFmtId="164" fontId="3" fillId="27" borderId="27" xfId="1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right" readingOrder="2"/>
    </xf>
    <xf numFmtId="0" fontId="0" fillId="0" borderId="27" xfId="0" applyBorder="1"/>
    <xf numFmtId="164" fontId="0" fillId="0" borderId="27" xfId="1" applyNumberFormat="1" applyFont="1" applyBorder="1"/>
    <xf numFmtId="0" fontId="14" fillId="0" borderId="0" xfId="0" applyFont="1"/>
    <xf numFmtId="0" fontId="25" fillId="0" borderId="0" xfId="0" applyFont="1"/>
    <xf numFmtId="164" fontId="5" fillId="28" borderId="0" xfId="0" applyNumberFormat="1" applyFont="1" applyFill="1"/>
    <xf numFmtId="0" fontId="6" fillId="12" borderId="0" xfId="0" applyFont="1" applyFill="1" applyAlignment="1">
      <alignment horizontal="center" vertical="center" wrapText="1"/>
    </xf>
    <xf numFmtId="0" fontId="13" fillId="29" borderId="23" xfId="0" applyFont="1" applyFill="1" applyBorder="1" applyAlignment="1">
      <alignment horizontal="center" vertical="center" wrapText="1"/>
    </xf>
    <xf numFmtId="0" fontId="10" fillId="17" borderId="0" xfId="0" applyFont="1" applyFill="1" applyAlignment="1">
      <alignment horizontal="center" vertical="center"/>
    </xf>
    <xf numFmtId="0" fontId="10" fillId="17" borderId="1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top" wrapText="1"/>
    </xf>
    <xf numFmtId="0" fontId="13" fillId="0" borderId="2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" fontId="13" fillId="18" borderId="1" xfId="0" applyNumberFormat="1" applyFont="1" applyFill="1" applyBorder="1" applyAlignment="1">
      <alignment horizontal="center"/>
    </xf>
    <xf numFmtId="16" fontId="13" fillId="18" borderId="8" xfId="0" applyNumberFormat="1" applyFont="1" applyFill="1" applyBorder="1" applyAlignment="1">
      <alignment horizontal="center"/>
    </xf>
    <xf numFmtId="16" fontId="13" fillId="18" borderId="2" xfId="0" applyNumberFormat="1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13" fillId="18" borderId="8" xfId="0" applyFont="1" applyFill="1" applyBorder="1" applyAlignment="1">
      <alignment horizontal="center"/>
    </xf>
    <xf numFmtId="0" fontId="13" fillId="18" borderId="2" xfId="0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0" fillId="12" borderId="0" xfId="0" applyFill="1" applyAlignment="1">
      <alignment horizontal="center"/>
    </xf>
    <xf numFmtId="0" fontId="10" fillId="27" borderId="22" xfId="0" applyFont="1" applyFill="1" applyBorder="1" applyAlignment="1">
      <alignment horizontal="center"/>
    </xf>
    <xf numFmtId="0" fontId="10" fillId="27" borderId="24" xfId="0" applyFont="1" applyFill="1" applyBorder="1" applyAlignment="1">
      <alignment horizontal="center"/>
    </xf>
  </cellXfs>
  <cellStyles count="5">
    <cellStyle name="Comma" xfId="1" builtinId="3"/>
    <cellStyle name="Comma 2" xfId="2" xr:uid="{D017A7E3-0303-4664-BD39-DA7221C6DF7A}"/>
    <cellStyle name="Normal" xfId="0" builtinId="0"/>
    <cellStyle name="Normal 2" xfId="3" xr:uid="{6E42B7F2-9F8D-465F-8C09-228D5726E959}"/>
    <cellStyle name="Percent" xfId="4" builtinId="5"/>
  </cellStyles>
  <dxfs count="50">
    <dxf>
      <numFmt numFmtId="2" formatCode="0.00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7"/>
        <scheme val="minor"/>
      </font>
      <numFmt numFmtId="0" formatCode="General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" formatCode="0"/>
    </dxf>
    <dxf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" formatCode="0"/>
    </dxf>
    <dxf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" formatCode="0"/>
    </dxf>
    <dxf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77"/>
        <scheme val="minor"/>
      </font>
      <numFmt numFmtId="1" formatCode="0"/>
    </dxf>
    <dxf>
      <numFmt numFmtId="164" formatCode="_ * #,##0_ ;_ * \-#,##0_ ;_ * &quot;-&quot;??_ ;_ @_ 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3" formatCode="dd/mm/yy"/>
      <alignment horizontal="center" vertical="bottom" textRotation="0" wrapText="0" indent="0" justifyLastLine="0" shrinkToFit="0" readingOrder="0"/>
    </dxf>
    <dxf>
      <numFmt numFmtId="173" formatCode="dd/mm/yy"/>
    </dxf>
    <dxf>
      <numFmt numFmtId="173" formatCode="dd/mm/yy"/>
    </dxf>
    <dxf>
      <alignment horizontal="center" vertical="bottom" textRotation="0" wrapText="1" indent="0" justifyLastLine="0" shrinkToFit="0" readingOrder="0"/>
    </dxf>
    <dxf>
      <numFmt numFmtId="0" formatCode="General"/>
    </dxf>
    <dxf>
      <numFmt numFmtId="173" formatCode="dd/mm/yy"/>
    </dxf>
    <dxf>
      <numFmt numFmtId="173" formatCode="dd/mm/yy"/>
    </dxf>
    <dxf>
      <numFmt numFmtId="173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72.30.1.205\users\BuisnessManagement\&#1499;&#1505;&#1508;&#1497;&#1501;\&#1508;&#1512;&#1493;&#1497;&#1511;&#1496;%20&#1488;&#1497;&#1490;&#1500;\&#1508;&#1512;&#1511;%20&#1489;\&#1508;&#1512;&#1511;%20&#1489;%20-%20&#1514;&#1511;&#1510;&#1497;&#1489;&#1497;&#1501;%20&#1502;&#1497;&#1493;&#1495;&#1491;&#1497;&#1501;%20&#1490;&#1512;&#1505;&#1492;%209%2019-11-2025.xlsx" TargetMode="External"/><Relationship Id="rId1" Type="http://schemas.openxmlformats.org/officeDocument/2006/relationships/externalLinkPath" Target="file:///\\172.30.1.205\users\BuisnessManagement\&#1499;&#1505;&#1508;&#1497;&#1501;\&#1508;&#1512;&#1493;&#1497;&#1511;&#1496;%20&#1488;&#1497;&#1490;&#1500;\&#1508;&#1512;&#1511;%20&#1489;\&#1508;&#1512;&#1511;%20&#1489;%20-%20&#1514;&#1511;&#1510;&#1497;&#1489;&#1497;&#1501;%20&#1502;&#1497;&#1493;&#1495;&#1491;&#1497;&#1501;%20&#1490;&#1512;&#1505;&#1492;%209%2019-11-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Eagle%20project\&#1514;&#1511;&#1510;&#1497;&#1489;&#1497;&#1501;%20&#1493;&#1495;&#1489;&#1512;&#1497;&#1501;%20&#1490;&#1512;&#1505;&#1492;%209%208-9-2025.xlsx" TargetMode="External"/><Relationship Id="rId1" Type="http://schemas.openxmlformats.org/officeDocument/2006/relationships/externalLinkPath" Target="file:///U:\Eagle%20project\&#1514;&#1511;&#1510;&#1497;&#1489;&#1497;&#1501;%20&#1493;&#1495;&#1489;&#1512;&#1497;&#1501;%20&#1490;&#1512;&#1505;&#1492;%209%208-9-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yaronl/AppData/Local/Microsoft/Windows/INetCache/Content.Outlook/4XXT4AXV/17-12-2025%20&#1511;&#1512;&#1503;%20&#1502;&#1513;&#1493;&#1488;&#1492;%20&#1502;&#1504;&#1497;&#1493;&#1514;%20&#1495;&#1489;&#1512;&#1497;&#1501;.xlsx" TargetMode="External"/><Relationship Id="rId2" Type="http://schemas.openxmlformats.org/officeDocument/2006/relationships/externalLinkPath" Target="file:///C:\Users\yaronl\AppData\Local\Microsoft\Windows\INetCache\Content.Outlook\4XXT4AXV\17-12-2025%20&#1511;&#1512;&#1503;%20&#1502;&#1513;&#1493;&#1488;&#1492;%20&#1502;&#1504;&#1497;&#1493;&#1514;%20&#1495;&#1489;&#1512;&#1497;&#1501;.xlsx" TargetMode="External"/><Relationship Id="rId1" Type="http://schemas.openxmlformats.org/officeDocument/2006/relationships/externalLinkPath" Target="/Users/yaronl/AppData/Local/Microsoft/Windows/INetCache/Content.Outlook/4XXT4AXV/17-12-2025%20&#1511;&#1512;&#1503;%20&#1502;&#1513;&#1493;&#1488;&#1492;%20&#1502;&#1504;&#1497;&#1493;&#1514;%20&#1495;&#1489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חברים"/>
      <sheetName val="תקציבים מיוחדים"/>
      <sheetName val="פריסת שנים"/>
      <sheetName val="בנייה"/>
      <sheetName val="ותק חברה 40"/>
      <sheetName val="הנחות"/>
      <sheetName val="חישוב דמי עזיבה - 25 שנת 2024"/>
    </sheetNames>
    <sheetDataSet>
      <sheetData sheetId="0">
        <row r="6">
          <cell r="AV6">
            <v>0</v>
          </cell>
          <cell r="AW6" t="str">
            <v>פעוט</v>
          </cell>
        </row>
        <row r="7">
          <cell r="AV7">
            <v>3</v>
          </cell>
          <cell r="AW7" t="str">
            <v>גנים</v>
          </cell>
        </row>
        <row r="8">
          <cell r="AV8">
            <v>6</v>
          </cell>
          <cell r="AW8" t="str">
            <v>יסודי</v>
          </cell>
        </row>
        <row r="9">
          <cell r="AV9">
            <v>13</v>
          </cell>
          <cell r="AW9" t="str">
            <v>חטיבה</v>
          </cell>
        </row>
        <row r="10">
          <cell r="AV10">
            <v>15</v>
          </cell>
          <cell r="AW10" t="str">
            <v>תיכון</v>
          </cell>
        </row>
        <row r="11">
          <cell r="AV11">
            <v>18</v>
          </cell>
          <cell r="AW11" t="str">
            <v>--</v>
          </cell>
        </row>
        <row r="12">
          <cell r="AV12">
            <v>99</v>
          </cell>
          <cell r="AW12" t="str">
            <v>Z</v>
          </cell>
        </row>
      </sheetData>
      <sheetData sheetId="1"/>
      <sheetData sheetId="2"/>
      <sheetData sheetId="3"/>
      <sheetData sheetId="4"/>
      <sheetData sheetId="5">
        <row r="2">
          <cell r="J2" t="str">
            <v>קוד מעמד</v>
          </cell>
          <cell r="K2" t="str">
            <v>מעמד</v>
          </cell>
        </row>
        <row r="3">
          <cell r="J3">
            <v>1</v>
          </cell>
          <cell r="K3" t="str">
            <v>חבר                                         ^חבר</v>
          </cell>
        </row>
        <row r="4">
          <cell r="J4">
            <v>2</v>
          </cell>
          <cell r="K4" t="str">
            <v>מועמד                                       ^מועמד</v>
          </cell>
        </row>
        <row r="5">
          <cell r="J5">
            <v>3</v>
          </cell>
          <cell r="K5" t="str">
            <v>חייל בשרות חובה</v>
          </cell>
        </row>
        <row r="6">
          <cell r="J6">
            <v>4</v>
          </cell>
          <cell r="K6" t="str">
            <v>ילד</v>
          </cell>
        </row>
        <row r="7">
          <cell r="J7">
            <v>6</v>
          </cell>
          <cell r="K7" t="str">
            <v>תושב-בר רשות</v>
          </cell>
        </row>
        <row r="8">
          <cell r="J8">
            <v>8</v>
          </cell>
          <cell r="K8" t="str">
            <v>שרות לאומי</v>
          </cell>
        </row>
        <row r="9">
          <cell r="J9">
            <v>16</v>
          </cell>
          <cell r="K9" t="str">
            <v>ילד-הורים בחופשה ממושכת</v>
          </cell>
        </row>
        <row r="10">
          <cell r="J10">
            <v>17</v>
          </cell>
          <cell r="K10" t="str">
            <v>ילד תושב</v>
          </cell>
        </row>
        <row r="11">
          <cell r="J11">
            <v>18</v>
          </cell>
          <cell r="K11" t="str">
            <v>בן/בת לימוד תורני                           ^מועמד</v>
          </cell>
        </row>
        <row r="12">
          <cell r="J12">
            <v>30</v>
          </cell>
          <cell r="K12" t="str">
            <v>חבר בחופשה</v>
          </cell>
        </row>
        <row r="13">
          <cell r="J13">
            <v>31</v>
          </cell>
          <cell r="K13" t="str">
            <v>ילד-מסיימי שמינית                           ^מועמד</v>
          </cell>
        </row>
        <row r="14">
          <cell r="J14">
            <v>33</v>
          </cell>
          <cell r="K14" t="str">
            <v>חינוך מיוחד 12-81</v>
          </cell>
        </row>
        <row r="15">
          <cell r="J15">
            <v>35</v>
          </cell>
          <cell r="K15" t="str">
            <v>מסלול צעירים -עד גיל 03</v>
          </cell>
        </row>
        <row r="16">
          <cell r="J16">
            <v>36</v>
          </cell>
          <cell r="K16" t="str">
            <v>מסלול צעירים - זכאי 3/2 ביטוח בריאות</v>
          </cell>
        </row>
        <row r="17">
          <cell r="J17">
            <v>61</v>
          </cell>
          <cell r="K17" t="str">
            <v>תושב זמני</v>
          </cell>
        </row>
        <row r="18">
          <cell r="J18">
            <v>62</v>
          </cell>
          <cell r="K18" t="str">
            <v>בנות בית בקהילה</v>
          </cell>
        </row>
        <row r="19">
          <cell r="J19">
            <v>64</v>
          </cell>
          <cell r="K19" t="str">
            <v>תושב בר רשות-זכאי ב.ל.                      ^מועמד</v>
          </cell>
        </row>
        <row r="20">
          <cell r="J20">
            <v>235</v>
          </cell>
          <cell r="K20" t="str">
            <v>מועמד קשב - עד גיל 03                  ^מועמד</v>
          </cell>
        </row>
        <row r="21">
          <cell r="J21">
            <v>236</v>
          </cell>
          <cell r="K21" t="str">
            <v>מועמד קשב- זכאי 3/2 בריאות        ^מועמד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קציבים"/>
      <sheetName val="הנחות "/>
      <sheetName val="ריכוז נתונים"/>
      <sheetName val="חברים"/>
      <sheetName val="עבודה"/>
      <sheetName val="הנחות עבודה"/>
      <sheetName val="לברור"/>
      <sheetName val="ציר זיכויים"/>
      <sheetName val="זיכוי תקציב מפורט"/>
      <sheetName val="שימושים קהילה"/>
      <sheetName val="בריאות"/>
      <sheetName val="חינוך"/>
      <sheetName val="תקציבים מיוחדים"/>
      <sheetName val="חברים לא בקובץ"/>
      <sheetName val="סידור תקציבים"/>
      <sheetName val="נתוני עבודה 24"/>
    </sheetNames>
    <sheetDataSet>
      <sheetData sheetId="0">
        <row r="1">
          <cell r="B1" t="str">
            <v>סכומים לחיוב / זיכוי</v>
          </cell>
          <cell r="H1">
            <v>3821.5976695736435</v>
          </cell>
          <cell r="I1">
            <v>3821.5976695736435</v>
          </cell>
          <cell r="J1">
            <v>789.88163447530872</v>
          </cell>
          <cell r="K1">
            <v>1559.4693621647511</v>
          </cell>
          <cell r="L1">
            <v>1737.3225417901235</v>
          </cell>
        </row>
        <row r="2">
          <cell r="A2">
            <v>247</v>
          </cell>
          <cell r="B2" t="str">
            <v>סיכומים</v>
          </cell>
          <cell r="F2">
            <v>286</v>
          </cell>
          <cell r="G2">
            <v>571</v>
          </cell>
          <cell r="H2">
            <v>20</v>
          </cell>
          <cell r="I2">
            <v>32</v>
          </cell>
          <cell r="J2">
            <v>97</v>
          </cell>
          <cell r="K2">
            <v>31</v>
          </cell>
          <cell r="L2">
            <v>46</v>
          </cell>
        </row>
        <row r="3">
          <cell r="A3" t="str">
            <v>נתוני בסיס</v>
          </cell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A4" t="str">
            <v>קוד תקציב</v>
          </cell>
          <cell r="B4" t="str">
            <v>תאור תקציב</v>
          </cell>
          <cell r="C4" t="str">
            <v>מצב</v>
          </cell>
          <cell r="D4" t="str">
            <v>סוג תקציב</v>
          </cell>
          <cell r="E4" t="str">
            <v>גיל ממוצע</v>
          </cell>
          <cell r="F4" t="str">
            <v>חברים למשפחה</v>
          </cell>
          <cell r="G4" t="str">
            <v>נפשות למשפחה</v>
          </cell>
          <cell r="H4" t="str">
            <v>פעוט</v>
          </cell>
          <cell r="I4" t="str">
            <v>גנים</v>
          </cell>
          <cell r="J4" t="str">
            <v>יסודי</v>
          </cell>
          <cell r="K4" t="str">
            <v>חטיבה</v>
          </cell>
          <cell r="L4" t="str">
            <v>תיכון</v>
          </cell>
        </row>
        <row r="5">
          <cell r="A5" t="str">
            <v>0701</v>
          </cell>
          <cell r="B5" t="str">
            <v>זיסק ישראל וגלית</v>
          </cell>
          <cell r="C5" t="str">
            <v xml:space="preserve">פתוח      </v>
          </cell>
          <cell r="D5" t="str">
            <v>חבר</v>
          </cell>
          <cell r="E5">
            <v>31</v>
          </cell>
          <cell r="F5">
            <v>2</v>
          </cell>
          <cell r="G5">
            <v>5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2</v>
          </cell>
        </row>
        <row r="6">
          <cell r="A6" t="str">
            <v>2101</v>
          </cell>
          <cell r="B6" t="str">
            <v>דימנט דביר ורננה</v>
          </cell>
          <cell r="C6" t="str">
            <v xml:space="preserve">פתוח      </v>
          </cell>
          <cell r="D6" t="str">
            <v>חבר</v>
          </cell>
          <cell r="E6">
            <v>16.571428571428573</v>
          </cell>
          <cell r="F6">
            <v>2</v>
          </cell>
          <cell r="G6">
            <v>7</v>
          </cell>
          <cell r="H6">
            <v>1</v>
          </cell>
          <cell r="I6">
            <v>1</v>
          </cell>
          <cell r="J6">
            <v>3</v>
          </cell>
          <cell r="K6">
            <v>0</v>
          </cell>
          <cell r="L6">
            <v>0</v>
          </cell>
        </row>
        <row r="7">
          <cell r="A7" t="str">
            <v>0705</v>
          </cell>
          <cell r="B7" t="str">
            <v>זיו עמית ואסתי</v>
          </cell>
          <cell r="C7" t="str">
            <v xml:space="preserve">פתוח      </v>
          </cell>
          <cell r="D7" t="str">
            <v>חבר</v>
          </cell>
          <cell r="E7">
            <v>14.625</v>
          </cell>
          <cell r="F7">
            <v>2</v>
          </cell>
          <cell r="G7">
            <v>8</v>
          </cell>
          <cell r="H7">
            <v>1</v>
          </cell>
          <cell r="I7">
            <v>1</v>
          </cell>
          <cell r="J7">
            <v>3</v>
          </cell>
          <cell r="K7">
            <v>1</v>
          </cell>
          <cell r="L7">
            <v>0</v>
          </cell>
        </row>
        <row r="8">
          <cell r="A8" t="str">
            <v>0317</v>
          </cell>
          <cell r="B8" t="str">
            <v>גורי יעקב ונעמי</v>
          </cell>
          <cell r="C8" t="str">
            <v xml:space="preserve">פתוח      </v>
          </cell>
          <cell r="D8" t="str">
            <v>חבר</v>
          </cell>
          <cell r="E8">
            <v>17.714285714285715</v>
          </cell>
          <cell r="F8">
            <v>2</v>
          </cell>
          <cell r="G8">
            <v>7</v>
          </cell>
          <cell r="H8">
            <v>0</v>
          </cell>
          <cell r="I8">
            <v>2</v>
          </cell>
          <cell r="J8">
            <v>2</v>
          </cell>
          <cell r="K8">
            <v>1</v>
          </cell>
          <cell r="L8">
            <v>0</v>
          </cell>
        </row>
        <row r="9">
          <cell r="A9" t="str">
            <v>1923</v>
          </cell>
          <cell r="B9" t="str">
            <v>קליין דן וחדוה</v>
          </cell>
          <cell r="C9" t="str">
            <v xml:space="preserve">פתוח      </v>
          </cell>
          <cell r="D9" t="str">
            <v>חבר</v>
          </cell>
          <cell r="E9">
            <v>19.857142857142858</v>
          </cell>
          <cell r="F9">
            <v>2</v>
          </cell>
          <cell r="G9">
            <v>7</v>
          </cell>
          <cell r="H9">
            <v>0</v>
          </cell>
          <cell r="I9">
            <v>0</v>
          </cell>
          <cell r="J9">
            <v>3</v>
          </cell>
          <cell r="K9">
            <v>1</v>
          </cell>
          <cell r="L9">
            <v>1</v>
          </cell>
        </row>
        <row r="10">
          <cell r="A10" t="str">
            <v>0504</v>
          </cell>
          <cell r="B10" t="str">
            <v>המר בועז ודליה</v>
          </cell>
          <cell r="C10" t="str">
            <v xml:space="preserve">פתוח      </v>
          </cell>
          <cell r="D10" t="str">
            <v>חבר</v>
          </cell>
          <cell r="E10">
            <v>48</v>
          </cell>
          <cell r="F10">
            <v>2</v>
          </cell>
          <cell r="G10">
            <v>3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0312</v>
          </cell>
          <cell r="B11" t="str">
            <v>כרמל איתמר ולימור</v>
          </cell>
          <cell r="C11" t="str">
            <v xml:space="preserve">פתוח      </v>
          </cell>
          <cell r="D11" t="str">
            <v>חבר</v>
          </cell>
          <cell r="E11">
            <v>18.571428571428573</v>
          </cell>
          <cell r="F11">
            <v>2</v>
          </cell>
          <cell r="G11">
            <v>7</v>
          </cell>
          <cell r="H11">
            <v>0</v>
          </cell>
          <cell r="I11">
            <v>1</v>
          </cell>
          <cell r="J11">
            <v>2</v>
          </cell>
          <cell r="K11">
            <v>1</v>
          </cell>
          <cell r="L11">
            <v>1</v>
          </cell>
        </row>
        <row r="12">
          <cell r="A12" t="str">
            <v>1935</v>
          </cell>
          <cell r="B12" t="str">
            <v>קליין יוחאי ושלומית</v>
          </cell>
          <cell r="C12" t="str">
            <v xml:space="preserve">פתוח      </v>
          </cell>
          <cell r="D12" t="str">
            <v>חבר</v>
          </cell>
          <cell r="E12">
            <v>17.625</v>
          </cell>
          <cell r="F12">
            <v>2</v>
          </cell>
          <cell r="G12">
            <v>8</v>
          </cell>
          <cell r="H12">
            <v>1</v>
          </cell>
          <cell r="I12">
            <v>0</v>
          </cell>
          <cell r="J12">
            <v>3</v>
          </cell>
          <cell r="K12">
            <v>1</v>
          </cell>
          <cell r="L12">
            <v>1</v>
          </cell>
        </row>
        <row r="13">
          <cell r="A13" t="str">
            <v>2031</v>
          </cell>
          <cell r="B13" t="str">
            <v>לוי נדב ואביב )רגב(</v>
          </cell>
          <cell r="C13" t="str">
            <v xml:space="preserve">פתוח      </v>
          </cell>
          <cell r="D13" t="str">
            <v>חבר</v>
          </cell>
          <cell r="E13">
            <v>14.666666666666666</v>
          </cell>
          <cell r="F13">
            <v>2</v>
          </cell>
          <cell r="G13">
            <v>6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0</v>
          </cell>
        </row>
        <row r="14">
          <cell r="A14" t="str">
            <v>1304</v>
          </cell>
          <cell r="B14" t="str">
            <v>מור יוסף אליה ושילת</v>
          </cell>
          <cell r="C14" t="str">
            <v xml:space="preserve">פתוח      </v>
          </cell>
          <cell r="D14" t="str">
            <v>חבר</v>
          </cell>
          <cell r="E14">
            <v>13.333333333333334</v>
          </cell>
          <cell r="F14">
            <v>2</v>
          </cell>
          <cell r="G14">
            <v>6</v>
          </cell>
          <cell r="H14">
            <v>1</v>
          </cell>
          <cell r="I14">
            <v>1</v>
          </cell>
          <cell r="J14">
            <v>2</v>
          </cell>
          <cell r="K14">
            <v>0</v>
          </cell>
          <cell r="L14">
            <v>0</v>
          </cell>
        </row>
        <row r="15">
          <cell r="A15" t="str">
            <v>2050</v>
          </cell>
          <cell r="B15" t="str">
            <v>ריינר שירה ואריאל</v>
          </cell>
          <cell r="C15" t="str">
            <v xml:space="preserve">פתוח      </v>
          </cell>
          <cell r="D15" t="str">
            <v>חבר</v>
          </cell>
          <cell r="E15">
            <v>15.6</v>
          </cell>
          <cell r="F15">
            <v>2</v>
          </cell>
          <cell r="G15">
            <v>5</v>
          </cell>
          <cell r="H15">
            <v>1</v>
          </cell>
          <cell r="I15">
            <v>2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0813</v>
          </cell>
          <cell r="B16" t="str">
            <v>גדסי מיכאל ותמר</v>
          </cell>
          <cell r="C16" t="str">
            <v xml:space="preserve">פתוח      </v>
          </cell>
          <cell r="D16" t="str">
            <v>חבר</v>
          </cell>
          <cell r="E16">
            <v>16.399999999999999</v>
          </cell>
          <cell r="F16">
            <v>2</v>
          </cell>
          <cell r="G16">
            <v>5</v>
          </cell>
          <cell r="H16">
            <v>1</v>
          </cell>
          <cell r="I16">
            <v>1</v>
          </cell>
          <cell r="J16">
            <v>1</v>
          </cell>
          <cell r="K16">
            <v>0</v>
          </cell>
          <cell r="L16">
            <v>0</v>
          </cell>
        </row>
        <row r="17">
          <cell r="A17" t="str">
            <v>1708</v>
          </cell>
          <cell r="B17" t="str">
            <v>פז תמי</v>
          </cell>
          <cell r="C17" t="str">
            <v xml:space="preserve">פתוח      </v>
          </cell>
          <cell r="D17" t="str">
            <v>חבר</v>
          </cell>
          <cell r="E17">
            <v>61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1218</v>
          </cell>
          <cell r="B18" t="str">
            <v>לזר מיקי וריקי</v>
          </cell>
          <cell r="C18" t="str">
            <v xml:space="preserve">פתוח      </v>
          </cell>
          <cell r="D18" t="str">
            <v>חבר</v>
          </cell>
          <cell r="E18">
            <v>30</v>
          </cell>
          <cell r="F18">
            <v>2</v>
          </cell>
          <cell r="G18">
            <v>5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</row>
        <row r="19">
          <cell r="A19" t="str">
            <v>2113</v>
          </cell>
          <cell r="B19" t="str">
            <v>שאול איתי ויעל</v>
          </cell>
          <cell r="C19" t="str">
            <v xml:space="preserve">פתוח      </v>
          </cell>
          <cell r="D19" t="str">
            <v>חבר</v>
          </cell>
          <cell r="E19">
            <v>18.857142857142858</v>
          </cell>
          <cell r="F19">
            <v>2</v>
          </cell>
          <cell r="G19">
            <v>7</v>
          </cell>
          <cell r="H19">
            <v>0</v>
          </cell>
          <cell r="I19">
            <v>1</v>
          </cell>
          <cell r="J19">
            <v>2</v>
          </cell>
          <cell r="K19">
            <v>1</v>
          </cell>
          <cell r="L19">
            <v>1</v>
          </cell>
        </row>
        <row r="20">
          <cell r="A20" t="str">
            <v>2119</v>
          </cell>
          <cell r="B20" t="str">
            <v>שיין נפתלי וגילה</v>
          </cell>
          <cell r="C20" t="str">
            <v xml:space="preserve">פתוח      </v>
          </cell>
          <cell r="D20" t="str">
            <v>חבר</v>
          </cell>
          <cell r="E20">
            <v>23.625</v>
          </cell>
          <cell r="F20">
            <v>2</v>
          </cell>
          <cell r="G20">
            <v>8</v>
          </cell>
          <cell r="H20">
            <v>0</v>
          </cell>
          <cell r="I20">
            <v>0</v>
          </cell>
          <cell r="J20">
            <v>2</v>
          </cell>
          <cell r="K20">
            <v>1</v>
          </cell>
          <cell r="L20">
            <v>1</v>
          </cell>
        </row>
        <row r="21">
          <cell r="A21" t="str">
            <v>0805</v>
          </cell>
          <cell r="B21" t="str">
            <v>חורש עופר ולידור</v>
          </cell>
          <cell r="C21" t="str">
            <v xml:space="preserve">פתוח      </v>
          </cell>
          <cell r="D21" t="str">
            <v>חבר</v>
          </cell>
          <cell r="E21">
            <v>20.888888888888889</v>
          </cell>
          <cell r="F21">
            <v>2</v>
          </cell>
          <cell r="G21">
            <v>9</v>
          </cell>
          <cell r="H21">
            <v>0</v>
          </cell>
          <cell r="I21">
            <v>1</v>
          </cell>
          <cell r="J21">
            <v>2</v>
          </cell>
          <cell r="K21">
            <v>1</v>
          </cell>
          <cell r="L21">
            <v>1</v>
          </cell>
        </row>
        <row r="22">
          <cell r="A22" t="str">
            <v>0411</v>
          </cell>
          <cell r="B22" t="str">
            <v>דבורקין דגן ואופיר</v>
          </cell>
          <cell r="C22" t="str">
            <v xml:space="preserve">פתוח      </v>
          </cell>
          <cell r="D22" t="str">
            <v>חבר</v>
          </cell>
          <cell r="E22">
            <v>18</v>
          </cell>
          <cell r="F22">
            <v>2</v>
          </cell>
          <cell r="G22">
            <v>4</v>
          </cell>
          <cell r="H22">
            <v>1</v>
          </cell>
          <cell r="I22">
            <v>1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0105</v>
          </cell>
          <cell r="B23" t="str">
            <v>אלדד אברהם</v>
          </cell>
          <cell r="C23" t="str">
            <v xml:space="preserve">פתוח      </v>
          </cell>
          <cell r="D23" t="str">
            <v>חבר</v>
          </cell>
          <cell r="E23" t="e">
            <v>#DIV/0!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1119</v>
          </cell>
          <cell r="B24" t="str">
            <v>כהן שרון ושמחה</v>
          </cell>
          <cell r="C24" t="str">
            <v xml:space="preserve">פתוח      </v>
          </cell>
          <cell r="D24" t="str">
            <v>חבר</v>
          </cell>
          <cell r="E24">
            <v>32.200000000000003</v>
          </cell>
          <cell r="F24">
            <v>2</v>
          </cell>
          <cell r="G24">
            <v>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</v>
          </cell>
        </row>
        <row r="25">
          <cell r="A25" t="str">
            <v>0320</v>
          </cell>
          <cell r="B25" t="str">
            <v>גלבוע נעה</v>
          </cell>
          <cell r="C25" t="str">
            <v xml:space="preserve">פתוח      </v>
          </cell>
          <cell r="D25" t="str">
            <v>חבר</v>
          </cell>
          <cell r="E25">
            <v>39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A26" t="str">
            <v>1910</v>
          </cell>
          <cell r="B26" t="str">
            <v>קרליבך רועי ועינב</v>
          </cell>
          <cell r="C26" t="str">
            <v xml:space="preserve">פתוח      </v>
          </cell>
          <cell r="D26" t="str">
            <v>חבר</v>
          </cell>
          <cell r="E26">
            <v>17.75</v>
          </cell>
          <cell r="F26">
            <v>2</v>
          </cell>
          <cell r="G26">
            <v>4</v>
          </cell>
          <cell r="H26">
            <v>1</v>
          </cell>
          <cell r="I26">
            <v>1</v>
          </cell>
          <cell r="J26">
            <v>0</v>
          </cell>
          <cell r="K26">
            <v>0</v>
          </cell>
          <cell r="L26">
            <v>0</v>
          </cell>
        </row>
        <row r="27">
          <cell r="A27" t="str">
            <v>0614</v>
          </cell>
          <cell r="B27" t="str">
            <v>וילק נדב ואורטל</v>
          </cell>
          <cell r="C27" t="str">
            <v xml:space="preserve">פתוח      </v>
          </cell>
          <cell r="D27" t="str">
            <v>חבר</v>
          </cell>
          <cell r="E27">
            <v>17</v>
          </cell>
          <cell r="F27">
            <v>2</v>
          </cell>
          <cell r="G27">
            <v>5</v>
          </cell>
          <cell r="H27">
            <v>1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</row>
        <row r="28">
          <cell r="A28" t="str">
            <v>1004</v>
          </cell>
          <cell r="B28" t="str">
            <v>יוגב ענת</v>
          </cell>
          <cell r="C28" t="str">
            <v xml:space="preserve">פתוח      </v>
          </cell>
          <cell r="D28" t="str">
            <v>חבר</v>
          </cell>
          <cell r="E28">
            <v>29.666666666666668</v>
          </cell>
          <cell r="F28">
            <v>1</v>
          </cell>
          <cell r="G28">
            <v>3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2</v>
          </cell>
        </row>
        <row r="29">
          <cell r="A29" t="str">
            <v>1230</v>
          </cell>
          <cell r="B29" t="str">
            <v>לייקוב בתיה</v>
          </cell>
          <cell r="C29" t="str">
            <v xml:space="preserve">פתוח      </v>
          </cell>
          <cell r="D29" t="str">
            <v>חבר</v>
          </cell>
          <cell r="E29">
            <v>48</v>
          </cell>
          <cell r="F29">
            <v>1</v>
          </cell>
          <cell r="G29">
            <v>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>1301</v>
          </cell>
          <cell r="B30" t="str">
            <v>מידב כפיר ורחל</v>
          </cell>
          <cell r="C30" t="str">
            <v xml:space="preserve">פתוח      </v>
          </cell>
          <cell r="D30" t="str">
            <v>חבר</v>
          </cell>
          <cell r="E30">
            <v>26.333333333333332</v>
          </cell>
          <cell r="F30">
            <v>2</v>
          </cell>
          <cell r="G30">
            <v>6</v>
          </cell>
          <cell r="H30">
            <v>0</v>
          </cell>
          <cell r="I30">
            <v>0</v>
          </cell>
          <cell r="J30">
            <v>2</v>
          </cell>
          <cell r="K30">
            <v>0</v>
          </cell>
          <cell r="L30">
            <v>2</v>
          </cell>
        </row>
        <row r="31">
          <cell r="A31" t="str">
            <v>2122</v>
          </cell>
          <cell r="B31" t="str">
            <v>שרעבי אביאל ואסנת</v>
          </cell>
          <cell r="C31" t="str">
            <v xml:space="preserve">פתוח      </v>
          </cell>
          <cell r="D31" t="str">
            <v>חבר</v>
          </cell>
          <cell r="E31">
            <v>21</v>
          </cell>
          <cell r="F31">
            <v>2</v>
          </cell>
          <cell r="G31">
            <v>7</v>
          </cell>
          <cell r="H31">
            <v>0</v>
          </cell>
          <cell r="I31">
            <v>0</v>
          </cell>
          <cell r="J31">
            <v>3</v>
          </cell>
          <cell r="K31">
            <v>1</v>
          </cell>
          <cell r="L31">
            <v>1</v>
          </cell>
        </row>
        <row r="32">
          <cell r="A32" t="str">
            <v>0115</v>
          </cell>
          <cell r="B32" t="str">
            <v>אלדד נפתלי ומאשי</v>
          </cell>
          <cell r="C32" t="str">
            <v xml:space="preserve">פתוח      </v>
          </cell>
          <cell r="D32" t="str">
            <v>חבר</v>
          </cell>
          <cell r="E32">
            <v>50.333333333333336</v>
          </cell>
          <cell r="F32">
            <v>2</v>
          </cell>
          <cell r="G32">
            <v>3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A33" t="str">
            <v>2118</v>
          </cell>
          <cell r="B33" t="str">
            <v>דורון רותם</v>
          </cell>
          <cell r="C33" t="str">
            <v xml:space="preserve">פתוח      </v>
          </cell>
          <cell r="D33" t="str">
            <v>חבר</v>
          </cell>
          <cell r="E33">
            <v>21.666666666666668</v>
          </cell>
          <cell r="F33">
            <v>1</v>
          </cell>
          <cell r="G33">
            <v>3</v>
          </cell>
          <cell r="H33">
            <v>0</v>
          </cell>
          <cell r="I33">
            <v>0</v>
          </cell>
          <cell r="J33">
            <v>1</v>
          </cell>
          <cell r="K33">
            <v>1</v>
          </cell>
          <cell r="L33">
            <v>0</v>
          </cell>
        </row>
        <row r="34">
          <cell r="A34" t="str">
            <v>0815</v>
          </cell>
          <cell r="B34" t="str">
            <v>חסון טל וחגית</v>
          </cell>
          <cell r="C34" t="str">
            <v xml:space="preserve">פתוח      </v>
          </cell>
          <cell r="D34" t="str">
            <v>חבר</v>
          </cell>
          <cell r="E34">
            <v>17.428571428571427</v>
          </cell>
          <cell r="F34">
            <v>2</v>
          </cell>
          <cell r="G34">
            <v>7</v>
          </cell>
          <cell r="H34">
            <v>0</v>
          </cell>
          <cell r="I34">
            <v>1</v>
          </cell>
          <cell r="J34">
            <v>3</v>
          </cell>
          <cell r="K34">
            <v>0</v>
          </cell>
          <cell r="L34">
            <v>1</v>
          </cell>
        </row>
        <row r="35">
          <cell r="A35" t="str">
            <v>0613</v>
          </cell>
          <cell r="B35" t="str">
            <v>ויסטוך משה ונעה</v>
          </cell>
          <cell r="C35" t="str">
            <v xml:space="preserve">פתוח      </v>
          </cell>
          <cell r="D35" t="str">
            <v>חבר</v>
          </cell>
          <cell r="E35">
            <v>20.5</v>
          </cell>
          <cell r="F35">
            <v>2</v>
          </cell>
          <cell r="G35">
            <v>8</v>
          </cell>
          <cell r="H35">
            <v>0</v>
          </cell>
          <cell r="I35">
            <v>0</v>
          </cell>
          <cell r="J35">
            <v>3</v>
          </cell>
          <cell r="K35">
            <v>1</v>
          </cell>
          <cell r="L35">
            <v>1</v>
          </cell>
        </row>
        <row r="36">
          <cell r="A36" t="str">
            <v>1931</v>
          </cell>
          <cell r="B36" t="str">
            <v>ספיר תומר ונעמה</v>
          </cell>
          <cell r="C36" t="str">
            <v xml:space="preserve">פתוח      </v>
          </cell>
          <cell r="D36" t="str">
            <v>חבר</v>
          </cell>
          <cell r="E36">
            <v>19.5</v>
          </cell>
          <cell r="F36">
            <v>2</v>
          </cell>
          <cell r="G36">
            <v>4</v>
          </cell>
          <cell r="H36">
            <v>1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1214</v>
          </cell>
          <cell r="B37" t="str">
            <v>ליפטשר אבינועם ועופרה</v>
          </cell>
          <cell r="C37" t="str">
            <v xml:space="preserve">פתוח      </v>
          </cell>
          <cell r="D37" t="str">
            <v>חבר</v>
          </cell>
          <cell r="E37">
            <v>36</v>
          </cell>
          <cell r="F37">
            <v>2</v>
          </cell>
          <cell r="G37">
            <v>5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3</v>
          </cell>
        </row>
        <row r="38">
          <cell r="A38" t="str">
            <v>0134</v>
          </cell>
          <cell r="B38" t="str">
            <v>אלדד שלומי ונעה</v>
          </cell>
          <cell r="C38" t="str">
            <v xml:space="preserve">פתוח      </v>
          </cell>
          <cell r="D38" t="str">
            <v>חבר</v>
          </cell>
          <cell r="E38">
            <v>15.285714285714286</v>
          </cell>
          <cell r="F38">
            <v>2</v>
          </cell>
          <cell r="G38">
            <v>7</v>
          </cell>
          <cell r="H38">
            <v>1</v>
          </cell>
          <cell r="I38">
            <v>1</v>
          </cell>
          <cell r="J38">
            <v>2</v>
          </cell>
          <cell r="K38">
            <v>1</v>
          </cell>
          <cell r="L38">
            <v>0</v>
          </cell>
        </row>
        <row r="39">
          <cell r="A39" t="str">
            <v>2123</v>
          </cell>
          <cell r="B39" t="str">
            <v>שלום ששון ותמר</v>
          </cell>
          <cell r="C39" t="str">
            <v xml:space="preserve">פתוח      </v>
          </cell>
          <cell r="D39" t="str">
            <v>חבר</v>
          </cell>
          <cell r="E39">
            <v>53.5</v>
          </cell>
          <cell r="F39">
            <v>1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1213</v>
          </cell>
          <cell r="B40" t="str">
            <v>הורן יהודה ויעל</v>
          </cell>
          <cell r="C40" t="str">
            <v xml:space="preserve">פתוח      </v>
          </cell>
          <cell r="D40" t="str">
            <v>חבר</v>
          </cell>
          <cell r="E40">
            <v>16.428571428571427</v>
          </cell>
          <cell r="F40">
            <v>2</v>
          </cell>
          <cell r="G40">
            <v>7</v>
          </cell>
          <cell r="H40">
            <v>1</v>
          </cell>
          <cell r="I40">
            <v>1</v>
          </cell>
          <cell r="J40">
            <v>3</v>
          </cell>
          <cell r="K40">
            <v>0</v>
          </cell>
          <cell r="L40">
            <v>0</v>
          </cell>
        </row>
        <row r="41">
          <cell r="A41" t="str">
            <v>2107</v>
          </cell>
          <cell r="B41" t="str">
            <v>שלסינגר מרים</v>
          </cell>
          <cell r="C41" t="str">
            <v xml:space="preserve">פתוח      </v>
          </cell>
          <cell r="D41" t="str">
            <v>חבר</v>
          </cell>
          <cell r="E41" t="e">
            <v>#DIV/0!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0523</v>
          </cell>
          <cell r="B42" t="str">
            <v>הבר נעם ושירה</v>
          </cell>
          <cell r="C42" t="str">
            <v xml:space="preserve">פתוח      </v>
          </cell>
          <cell r="D42" t="str">
            <v>חבר</v>
          </cell>
          <cell r="E42">
            <v>18.5</v>
          </cell>
          <cell r="F42">
            <v>2</v>
          </cell>
          <cell r="G42">
            <v>6</v>
          </cell>
          <cell r="H42">
            <v>0</v>
          </cell>
          <cell r="I42">
            <v>1</v>
          </cell>
          <cell r="J42">
            <v>3</v>
          </cell>
          <cell r="K42">
            <v>0</v>
          </cell>
          <cell r="L42">
            <v>0</v>
          </cell>
        </row>
        <row r="43">
          <cell r="A43" t="str">
            <v>1922</v>
          </cell>
          <cell r="B43" t="str">
            <v>קרליבך ישי ונועה</v>
          </cell>
          <cell r="C43" t="str">
            <v xml:space="preserve">פתוח      </v>
          </cell>
          <cell r="D43" t="str">
            <v>חבר</v>
          </cell>
          <cell r="E43">
            <v>20.142857142857142</v>
          </cell>
          <cell r="F43">
            <v>2</v>
          </cell>
          <cell r="G43">
            <v>7</v>
          </cell>
          <cell r="H43">
            <v>0</v>
          </cell>
          <cell r="I43">
            <v>0</v>
          </cell>
          <cell r="J43">
            <v>3</v>
          </cell>
          <cell r="K43">
            <v>1</v>
          </cell>
          <cell r="L43">
            <v>1</v>
          </cell>
        </row>
        <row r="44">
          <cell r="A44" t="str">
            <v>0252</v>
          </cell>
          <cell r="B44" t="str">
            <v>בן אהרון ערן ודפנה</v>
          </cell>
          <cell r="C44" t="str">
            <v xml:space="preserve">פתוח      </v>
          </cell>
          <cell r="D44" t="str">
            <v>חבר</v>
          </cell>
          <cell r="E44">
            <v>22</v>
          </cell>
          <cell r="F44">
            <v>2</v>
          </cell>
          <cell r="G44">
            <v>6</v>
          </cell>
          <cell r="H44">
            <v>0</v>
          </cell>
          <cell r="I44">
            <v>0</v>
          </cell>
          <cell r="J44">
            <v>2</v>
          </cell>
          <cell r="K44">
            <v>1</v>
          </cell>
          <cell r="L44">
            <v>1</v>
          </cell>
        </row>
        <row r="45">
          <cell r="A45" t="str">
            <v>0249</v>
          </cell>
          <cell r="B45" t="str">
            <v>עובדיה לוטם</v>
          </cell>
          <cell r="C45" t="str">
            <v xml:space="preserve">פתוח      </v>
          </cell>
          <cell r="D45" t="str">
            <v>חבר</v>
          </cell>
          <cell r="E45">
            <v>22.666666666666668</v>
          </cell>
          <cell r="F45">
            <v>1</v>
          </cell>
          <cell r="G45">
            <v>3</v>
          </cell>
          <cell r="H45">
            <v>0</v>
          </cell>
          <cell r="I45">
            <v>0</v>
          </cell>
          <cell r="J45">
            <v>0</v>
          </cell>
          <cell r="K45">
            <v>1</v>
          </cell>
          <cell r="L45">
            <v>1</v>
          </cell>
        </row>
        <row r="46">
          <cell r="A46" t="str">
            <v>1103</v>
          </cell>
          <cell r="B46" t="str">
            <v>כלפה רותי</v>
          </cell>
          <cell r="C46" t="str">
            <v xml:space="preserve">פתוח      </v>
          </cell>
          <cell r="D46" t="str">
            <v>חבר</v>
          </cell>
          <cell r="E46">
            <v>80</v>
          </cell>
          <cell r="F46">
            <v>1</v>
          </cell>
          <cell r="G46">
            <v>1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A47" t="str">
            <v>1501</v>
          </cell>
          <cell r="B47" t="str">
            <v>סוקל רחל</v>
          </cell>
          <cell r="C47" t="str">
            <v xml:space="preserve">פתוח      </v>
          </cell>
          <cell r="D47" t="str">
            <v>חבר</v>
          </cell>
          <cell r="E47">
            <v>96</v>
          </cell>
          <cell r="F47">
            <v>1</v>
          </cell>
          <cell r="G47">
            <v>1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A48" t="str">
            <v>2109</v>
          </cell>
          <cell r="B48" t="str">
            <v>שיין יהודה וורדה</v>
          </cell>
          <cell r="C48" t="str">
            <v xml:space="preserve">פתוח      </v>
          </cell>
          <cell r="D48" t="str">
            <v>חבר</v>
          </cell>
          <cell r="E48">
            <v>83</v>
          </cell>
          <cell r="F48">
            <v>1</v>
          </cell>
          <cell r="G48">
            <v>1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A49" t="str">
            <v>2005</v>
          </cell>
          <cell r="B49" t="str">
            <v>רביב דבורה</v>
          </cell>
          <cell r="C49" t="str">
            <v xml:space="preserve">פתוח      </v>
          </cell>
          <cell r="D49" t="str">
            <v>חבר</v>
          </cell>
          <cell r="E49">
            <v>89</v>
          </cell>
          <cell r="F49">
            <v>1</v>
          </cell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0119</v>
          </cell>
          <cell r="B50" t="str">
            <v>קפלן שמואל וחני )אלדד(</v>
          </cell>
          <cell r="C50" t="str">
            <v xml:space="preserve">פתוח      </v>
          </cell>
          <cell r="D50" t="str">
            <v>חבר</v>
          </cell>
          <cell r="E50">
            <v>40.666666666666664</v>
          </cell>
          <cell r="F50">
            <v>1</v>
          </cell>
          <cell r="G50">
            <v>3</v>
          </cell>
          <cell r="H50">
            <v>0</v>
          </cell>
          <cell r="I50">
            <v>0</v>
          </cell>
          <cell r="J50">
            <v>1</v>
          </cell>
          <cell r="K50">
            <v>0</v>
          </cell>
          <cell r="L50">
            <v>0</v>
          </cell>
        </row>
        <row r="51">
          <cell r="A51" t="str">
            <v>0111</v>
          </cell>
          <cell r="B51" t="str">
            <v>אמיר מיכה ותמר</v>
          </cell>
          <cell r="C51" t="str">
            <v xml:space="preserve">פתוח      </v>
          </cell>
          <cell r="D51" t="str">
            <v>חבר</v>
          </cell>
          <cell r="E51">
            <v>63</v>
          </cell>
          <cell r="F51">
            <v>2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 t="str">
            <v>0407</v>
          </cell>
          <cell r="B52" t="str">
            <v>דבורקין שמעון ורחל</v>
          </cell>
          <cell r="C52" t="str">
            <v xml:space="preserve">פתוח      </v>
          </cell>
          <cell r="D52" t="str">
            <v>חבר</v>
          </cell>
          <cell r="E52">
            <v>66.5</v>
          </cell>
          <cell r="F52">
            <v>2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2020</v>
          </cell>
          <cell r="B53" t="str">
            <v>רימון ארנון וסימי</v>
          </cell>
          <cell r="C53" t="str">
            <v xml:space="preserve">פתוח      </v>
          </cell>
          <cell r="D53" t="str">
            <v>חבר</v>
          </cell>
          <cell r="E53">
            <v>31.4</v>
          </cell>
          <cell r="F53">
            <v>2</v>
          </cell>
          <cell r="G53">
            <v>5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</v>
          </cell>
        </row>
        <row r="54">
          <cell r="A54" t="str">
            <v>1607</v>
          </cell>
          <cell r="B54" t="str">
            <v>גרוס אלעד ואביב</v>
          </cell>
          <cell r="C54" t="str">
            <v xml:space="preserve">פתוח      </v>
          </cell>
          <cell r="D54" t="str">
            <v>חבר</v>
          </cell>
          <cell r="E54">
            <v>18</v>
          </cell>
          <cell r="F54">
            <v>2</v>
          </cell>
          <cell r="G54">
            <v>4</v>
          </cell>
          <cell r="H54">
            <v>1</v>
          </cell>
          <cell r="I54">
            <v>1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>2203</v>
          </cell>
          <cell r="B55" t="str">
            <v>תורג`מן דורון  וכרמל</v>
          </cell>
          <cell r="C55" t="str">
            <v xml:space="preserve">פתוח      </v>
          </cell>
          <cell r="D55" t="str">
            <v>חבר</v>
          </cell>
          <cell r="E55">
            <v>19.25</v>
          </cell>
          <cell r="F55">
            <v>2</v>
          </cell>
          <cell r="G55">
            <v>4</v>
          </cell>
          <cell r="H55">
            <v>0</v>
          </cell>
          <cell r="I55">
            <v>1</v>
          </cell>
          <cell r="J55">
            <v>1</v>
          </cell>
          <cell r="K55">
            <v>0</v>
          </cell>
          <cell r="L55">
            <v>0</v>
          </cell>
        </row>
        <row r="56">
          <cell r="A56" t="str">
            <v>0505</v>
          </cell>
          <cell r="B56" t="str">
            <v>המר יוסי ונילי</v>
          </cell>
          <cell r="C56" t="str">
            <v xml:space="preserve">פתוח      </v>
          </cell>
          <cell r="D56" t="str">
            <v>חבר</v>
          </cell>
          <cell r="E56">
            <v>69</v>
          </cell>
          <cell r="F56">
            <v>1</v>
          </cell>
          <cell r="G56">
            <v>1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0123</v>
          </cell>
          <cell r="B57" t="str">
            <v>אונגר משה</v>
          </cell>
          <cell r="C57" t="str">
            <v xml:space="preserve">פתוח      </v>
          </cell>
          <cell r="D57" t="str">
            <v>חבר</v>
          </cell>
          <cell r="E57">
            <v>43</v>
          </cell>
          <cell r="F57">
            <v>1</v>
          </cell>
          <cell r="G57">
            <v>1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 t="str">
            <v>0309</v>
          </cell>
          <cell r="B58" t="str">
            <v>גלבוע נעם</v>
          </cell>
          <cell r="C58" t="str">
            <v xml:space="preserve">פתוח      </v>
          </cell>
          <cell r="D58" t="str">
            <v>חבר</v>
          </cell>
          <cell r="E58">
            <v>21.5</v>
          </cell>
          <cell r="F58">
            <v>1</v>
          </cell>
          <cell r="G58">
            <v>4</v>
          </cell>
          <cell r="H58">
            <v>0</v>
          </cell>
          <cell r="I58">
            <v>0</v>
          </cell>
          <cell r="J58">
            <v>1</v>
          </cell>
          <cell r="K58">
            <v>0</v>
          </cell>
          <cell r="L58">
            <v>1</v>
          </cell>
        </row>
        <row r="59">
          <cell r="A59" t="str">
            <v>0603</v>
          </cell>
          <cell r="B59" t="str">
            <v>וולברג משה ז"ל ומרים</v>
          </cell>
          <cell r="C59" t="str">
            <v xml:space="preserve">פתוח      </v>
          </cell>
          <cell r="D59" t="str">
            <v>חבר</v>
          </cell>
          <cell r="E59">
            <v>90</v>
          </cell>
          <cell r="F59">
            <v>1</v>
          </cell>
          <cell r="G59">
            <v>1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A60" t="str">
            <v>0307</v>
          </cell>
          <cell r="B60" t="str">
            <v>גוטליב ידידיה ואהבה</v>
          </cell>
          <cell r="C60" t="str">
            <v xml:space="preserve">פתוח      </v>
          </cell>
          <cell r="D60" t="str">
            <v>חבר</v>
          </cell>
          <cell r="E60">
            <v>30</v>
          </cell>
          <cell r="F60">
            <v>2</v>
          </cell>
          <cell r="G60">
            <v>5</v>
          </cell>
          <cell r="H60">
            <v>0</v>
          </cell>
          <cell r="I60">
            <v>0</v>
          </cell>
          <cell r="J60">
            <v>1</v>
          </cell>
          <cell r="K60">
            <v>0</v>
          </cell>
          <cell r="L60">
            <v>1</v>
          </cell>
        </row>
        <row r="61">
          <cell r="A61" t="str">
            <v>2030</v>
          </cell>
          <cell r="B61" t="str">
            <v>ראבינסאן דגן ומירית</v>
          </cell>
          <cell r="C61" t="str">
            <v xml:space="preserve">פתוח      </v>
          </cell>
          <cell r="D61" t="str">
            <v>חבר</v>
          </cell>
          <cell r="E61">
            <v>21.571428571428573</v>
          </cell>
          <cell r="F61">
            <v>2</v>
          </cell>
          <cell r="G61">
            <v>7</v>
          </cell>
          <cell r="H61">
            <v>0</v>
          </cell>
          <cell r="I61">
            <v>0</v>
          </cell>
          <cell r="J61">
            <v>2</v>
          </cell>
          <cell r="K61">
            <v>1</v>
          </cell>
          <cell r="L61">
            <v>2</v>
          </cell>
        </row>
        <row r="62">
          <cell r="A62" t="str">
            <v>1712</v>
          </cell>
          <cell r="B62" t="str">
            <v>פליישמן דורי ודינה</v>
          </cell>
          <cell r="C62" t="str">
            <v xml:space="preserve">פתוח      </v>
          </cell>
          <cell r="D62" t="str">
            <v>חבר</v>
          </cell>
          <cell r="E62">
            <v>22.75</v>
          </cell>
          <cell r="F62">
            <v>2</v>
          </cell>
          <cell r="G62">
            <v>4</v>
          </cell>
          <cell r="H62">
            <v>0</v>
          </cell>
          <cell r="I62">
            <v>1</v>
          </cell>
          <cell r="J62">
            <v>1</v>
          </cell>
          <cell r="K62">
            <v>0</v>
          </cell>
          <cell r="L62">
            <v>0</v>
          </cell>
        </row>
        <row r="63">
          <cell r="A63" t="str">
            <v>2120</v>
          </cell>
          <cell r="B63" t="str">
            <v>שילה נתנאל וסיון</v>
          </cell>
          <cell r="C63" t="str">
            <v xml:space="preserve">פתוח      </v>
          </cell>
          <cell r="D63" t="str">
            <v>חבר</v>
          </cell>
          <cell r="E63">
            <v>19.714285714285715</v>
          </cell>
          <cell r="F63">
            <v>0</v>
          </cell>
          <cell r="G63">
            <v>7</v>
          </cell>
          <cell r="H63">
            <v>0</v>
          </cell>
          <cell r="I63">
            <v>0</v>
          </cell>
          <cell r="J63">
            <v>3</v>
          </cell>
          <cell r="K63">
            <v>1</v>
          </cell>
          <cell r="L63">
            <v>1</v>
          </cell>
        </row>
        <row r="64">
          <cell r="A64" t="str">
            <v>0226</v>
          </cell>
          <cell r="B64" t="str">
            <v>בר מאור ושלי</v>
          </cell>
          <cell r="C64" t="str">
            <v xml:space="preserve">פתוח      </v>
          </cell>
          <cell r="D64" t="str">
            <v>חבר</v>
          </cell>
          <cell r="E64">
            <v>28</v>
          </cell>
          <cell r="F64">
            <v>2</v>
          </cell>
          <cell r="G64">
            <v>5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1</v>
          </cell>
        </row>
        <row r="65">
          <cell r="A65" t="str">
            <v>2022</v>
          </cell>
          <cell r="B65" t="str">
            <v>רייך ענת</v>
          </cell>
          <cell r="C65" t="str">
            <v xml:space="preserve">פתוח      </v>
          </cell>
          <cell r="D65" t="str">
            <v>חבר</v>
          </cell>
          <cell r="E65">
            <v>28</v>
          </cell>
          <cell r="F65">
            <v>1</v>
          </cell>
          <cell r="G65">
            <v>3</v>
          </cell>
          <cell r="H65">
            <v>0</v>
          </cell>
          <cell r="I65">
            <v>0</v>
          </cell>
          <cell r="J65">
            <v>0</v>
          </cell>
          <cell r="K65">
            <v>1</v>
          </cell>
          <cell r="L65">
            <v>1</v>
          </cell>
        </row>
        <row r="66">
          <cell r="A66" t="str">
            <v>1714</v>
          </cell>
          <cell r="B66" t="str">
            <v>גוב ארי מוטי ואורטל</v>
          </cell>
          <cell r="C66" t="str">
            <v xml:space="preserve">פתוח      </v>
          </cell>
          <cell r="D66" t="str">
            <v>חבר</v>
          </cell>
          <cell r="E66">
            <v>17.333333333333332</v>
          </cell>
          <cell r="F66">
            <v>2</v>
          </cell>
          <cell r="G66">
            <v>6</v>
          </cell>
          <cell r="H66">
            <v>1</v>
          </cell>
          <cell r="I66">
            <v>1</v>
          </cell>
          <cell r="J66">
            <v>2</v>
          </cell>
          <cell r="K66">
            <v>0</v>
          </cell>
          <cell r="L66">
            <v>0</v>
          </cell>
        </row>
        <row r="67">
          <cell r="A67" t="str">
            <v>1503</v>
          </cell>
          <cell r="B67" t="str">
            <v>סהר אבשלום ונעמה</v>
          </cell>
          <cell r="C67" t="str">
            <v xml:space="preserve">פתוח      </v>
          </cell>
          <cell r="D67" t="str">
            <v>חבר</v>
          </cell>
          <cell r="E67">
            <v>34</v>
          </cell>
          <cell r="F67">
            <v>2</v>
          </cell>
          <cell r="G67">
            <v>4</v>
          </cell>
          <cell r="H67">
            <v>0</v>
          </cell>
          <cell r="I67">
            <v>0</v>
          </cell>
          <cell r="J67">
            <v>0</v>
          </cell>
          <cell r="K67">
            <v>1</v>
          </cell>
          <cell r="L67">
            <v>0</v>
          </cell>
        </row>
        <row r="68">
          <cell r="A68" t="str">
            <v>0306</v>
          </cell>
          <cell r="B68" t="str">
            <v>גוזלנד שמעון ומוריה</v>
          </cell>
          <cell r="C68" t="str">
            <v xml:space="preserve">פתוח      </v>
          </cell>
          <cell r="D68" t="str">
            <v>חבר</v>
          </cell>
          <cell r="E68">
            <v>24.333333333333332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  <cell r="L68">
            <v>1</v>
          </cell>
        </row>
        <row r="69">
          <cell r="A69" t="str">
            <v>1710</v>
          </cell>
          <cell r="B69" t="str">
            <v>פרג`ון מוטי ואורית</v>
          </cell>
          <cell r="C69" t="str">
            <v xml:space="preserve">פתוח      </v>
          </cell>
          <cell r="D69" t="str">
            <v>חבר</v>
          </cell>
          <cell r="E69">
            <v>62.5</v>
          </cell>
          <cell r="F69">
            <v>2</v>
          </cell>
          <cell r="G69">
            <v>2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 t="str">
            <v>1401</v>
          </cell>
          <cell r="B70" t="str">
            <v>נדיבי רבקה</v>
          </cell>
          <cell r="C70" t="str">
            <v xml:space="preserve">פתוח      </v>
          </cell>
          <cell r="D70" t="str">
            <v>חבר</v>
          </cell>
          <cell r="E70">
            <v>99</v>
          </cell>
          <cell r="F70">
            <v>1</v>
          </cell>
          <cell r="G70">
            <v>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 t="str">
            <v>0408</v>
          </cell>
          <cell r="B71" t="str">
            <v>דורון מירב</v>
          </cell>
          <cell r="C71" t="str">
            <v xml:space="preserve">פתוח      </v>
          </cell>
          <cell r="D71" t="str">
            <v>חבר</v>
          </cell>
          <cell r="E71">
            <v>34.5</v>
          </cell>
          <cell r="F71">
            <v>1</v>
          </cell>
          <cell r="G71">
            <v>2</v>
          </cell>
          <cell r="H71">
            <v>0</v>
          </cell>
          <cell r="I71">
            <v>0</v>
          </cell>
          <cell r="J71">
            <v>0</v>
          </cell>
          <cell r="K71">
            <v>1</v>
          </cell>
          <cell r="L71">
            <v>0</v>
          </cell>
        </row>
        <row r="72">
          <cell r="A72" t="str">
            <v>1203</v>
          </cell>
          <cell r="B72" t="str">
            <v>לבנה מרים</v>
          </cell>
          <cell r="C72" t="str">
            <v xml:space="preserve">פתוח      </v>
          </cell>
          <cell r="D72" t="str">
            <v>חבר</v>
          </cell>
          <cell r="E72">
            <v>97</v>
          </cell>
          <cell r="F72">
            <v>1</v>
          </cell>
          <cell r="G72">
            <v>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 t="str">
            <v>1211</v>
          </cell>
          <cell r="B73" t="str">
            <v>לזר מרים</v>
          </cell>
          <cell r="C73" t="str">
            <v xml:space="preserve">פתוח      </v>
          </cell>
          <cell r="D73" t="str">
            <v>חבר</v>
          </cell>
          <cell r="E73">
            <v>95</v>
          </cell>
          <cell r="F73">
            <v>1</v>
          </cell>
          <cell r="G73">
            <v>1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 t="str">
            <v>1703</v>
          </cell>
          <cell r="B74" t="str">
            <v>פורת אסתר</v>
          </cell>
          <cell r="C74" t="str">
            <v xml:space="preserve">פתוח      </v>
          </cell>
          <cell r="D74" t="str">
            <v>חבר</v>
          </cell>
          <cell r="E74">
            <v>93</v>
          </cell>
          <cell r="F74">
            <v>1</v>
          </cell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 t="str">
            <v>1905</v>
          </cell>
          <cell r="B75" t="str">
            <v>קרן אסתר</v>
          </cell>
          <cell r="C75" t="str">
            <v xml:space="preserve">פתוח      </v>
          </cell>
          <cell r="D75" t="str">
            <v>חבר</v>
          </cell>
          <cell r="E75">
            <v>94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 t="str">
            <v>0502</v>
          </cell>
          <cell r="B76" t="str">
            <v>הרטוב שרה</v>
          </cell>
          <cell r="C76" t="str">
            <v xml:space="preserve">פתוח      </v>
          </cell>
          <cell r="D76" t="str">
            <v>חבר</v>
          </cell>
          <cell r="E76">
            <v>99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 t="str">
            <v>0206</v>
          </cell>
          <cell r="B77" t="str">
            <v>בן יעקב שאולה</v>
          </cell>
          <cell r="C77" t="str">
            <v xml:space="preserve">פתוח      </v>
          </cell>
          <cell r="D77" t="str">
            <v>חבר</v>
          </cell>
          <cell r="E77">
            <v>86</v>
          </cell>
          <cell r="F77">
            <v>1</v>
          </cell>
          <cell r="G77">
            <v>1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 t="str">
            <v>0302</v>
          </cell>
          <cell r="B78" t="str">
            <v>גלבוע מרדכי ז"ל וחנה</v>
          </cell>
          <cell r="C78" t="str">
            <v xml:space="preserve">פתוח      </v>
          </cell>
          <cell r="D78" t="str">
            <v>חבר</v>
          </cell>
          <cell r="E78">
            <v>100</v>
          </cell>
          <cell r="F78">
            <v>1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 t="str">
            <v>0405</v>
          </cell>
          <cell r="B79" t="str">
            <v>ריינר הראל ומעין</v>
          </cell>
          <cell r="C79" t="str">
            <v xml:space="preserve">פתוח      </v>
          </cell>
          <cell r="D79" t="str">
            <v>חבר</v>
          </cell>
          <cell r="E79">
            <v>19</v>
          </cell>
          <cell r="F79">
            <v>2</v>
          </cell>
          <cell r="G79">
            <v>5</v>
          </cell>
          <cell r="H79">
            <v>1</v>
          </cell>
          <cell r="I79">
            <v>1</v>
          </cell>
          <cell r="J79">
            <v>1</v>
          </cell>
          <cell r="K79">
            <v>0</v>
          </cell>
          <cell r="L79">
            <v>0</v>
          </cell>
        </row>
        <row r="80">
          <cell r="A80" t="str">
            <v>0148</v>
          </cell>
          <cell r="B80" t="str">
            <v>שושן-המר אדווה</v>
          </cell>
          <cell r="C80" t="str">
            <v xml:space="preserve">פתוח      </v>
          </cell>
          <cell r="D80" t="str">
            <v>חבר</v>
          </cell>
          <cell r="E80">
            <v>33.666666666666664</v>
          </cell>
          <cell r="F80">
            <v>1</v>
          </cell>
          <cell r="G80">
            <v>3</v>
          </cell>
          <cell r="H80">
            <v>0</v>
          </cell>
          <cell r="I80">
            <v>0</v>
          </cell>
          <cell r="J80">
            <v>1</v>
          </cell>
          <cell r="K80">
            <v>0</v>
          </cell>
          <cell r="L80">
            <v>0</v>
          </cell>
        </row>
        <row r="81">
          <cell r="A81" t="str">
            <v>2017</v>
          </cell>
          <cell r="B81" t="str">
            <v>רוט צבי ונורית</v>
          </cell>
          <cell r="C81" t="str">
            <v xml:space="preserve">פתוח      </v>
          </cell>
          <cell r="D81" t="str">
            <v>חבר</v>
          </cell>
          <cell r="E81">
            <v>38.75</v>
          </cell>
          <cell r="F81">
            <v>1</v>
          </cell>
          <cell r="G81">
            <v>4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</row>
        <row r="82">
          <cell r="A82" t="str">
            <v>1005</v>
          </cell>
          <cell r="B82" t="str">
            <v>יקיר הראל ואורית</v>
          </cell>
          <cell r="C82" t="str">
            <v xml:space="preserve">פתוח      </v>
          </cell>
          <cell r="D82" t="str">
            <v>חבר</v>
          </cell>
          <cell r="E82">
            <v>31.4</v>
          </cell>
          <cell r="F82">
            <v>2</v>
          </cell>
          <cell r="G82">
            <v>5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</v>
          </cell>
        </row>
        <row r="83">
          <cell r="A83" t="str">
            <v>0106</v>
          </cell>
          <cell r="B83" t="str">
            <v>אריאל חנן וענת</v>
          </cell>
          <cell r="C83" t="str">
            <v xml:space="preserve">פתוח      </v>
          </cell>
          <cell r="D83" t="str">
            <v>חבר</v>
          </cell>
          <cell r="E83">
            <v>64.5</v>
          </cell>
          <cell r="F83">
            <v>2</v>
          </cell>
          <cell r="G83">
            <v>2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0125</v>
          </cell>
          <cell r="B84" t="str">
            <v>אדלר בלימה</v>
          </cell>
          <cell r="C84" t="str">
            <v xml:space="preserve">פתוח      </v>
          </cell>
          <cell r="D84" t="str">
            <v>חבר</v>
          </cell>
          <cell r="E84">
            <v>73</v>
          </cell>
          <cell r="F84">
            <v>1</v>
          </cell>
          <cell r="G84">
            <v>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 t="str">
            <v>0121</v>
          </cell>
          <cell r="B85" t="str">
            <v>אלדד מוטי</v>
          </cell>
          <cell r="C85" t="str">
            <v xml:space="preserve">פתוח      </v>
          </cell>
          <cell r="D85" t="str">
            <v>חבר</v>
          </cell>
          <cell r="E85">
            <v>56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 t="str">
            <v>0237</v>
          </cell>
          <cell r="B86" t="str">
            <v>ברבן אבי ותמי</v>
          </cell>
          <cell r="C86" t="str">
            <v xml:space="preserve">פתוח      </v>
          </cell>
          <cell r="D86" t="str">
            <v>חבר</v>
          </cell>
          <cell r="E86">
            <v>41.5</v>
          </cell>
          <cell r="F86">
            <v>2</v>
          </cell>
          <cell r="G86">
            <v>4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A87" t="str">
            <v>1223</v>
          </cell>
          <cell r="B87" t="str">
            <v>לבבי נחום ושלומית</v>
          </cell>
          <cell r="C87" t="str">
            <v xml:space="preserve">פתוח      </v>
          </cell>
          <cell r="D87" t="str">
            <v>חבר</v>
          </cell>
          <cell r="E87">
            <v>32</v>
          </cell>
          <cell r="F87">
            <v>2</v>
          </cell>
          <cell r="G87">
            <v>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</row>
        <row r="88">
          <cell r="A88" t="str">
            <v>0401</v>
          </cell>
          <cell r="B88" t="str">
            <v>דוידוביץ אברהם ורבקה</v>
          </cell>
          <cell r="C88" t="str">
            <v xml:space="preserve">פתוח      </v>
          </cell>
          <cell r="D88" t="str">
            <v>חבר</v>
          </cell>
          <cell r="E88" t="e">
            <v>#DIV/0!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 t="str">
            <v>1226</v>
          </cell>
          <cell r="B89" t="str">
            <v>לבבי טליה</v>
          </cell>
          <cell r="C89" t="str">
            <v xml:space="preserve">פתוח      </v>
          </cell>
          <cell r="D89" t="str">
            <v>חבר</v>
          </cell>
          <cell r="E89">
            <v>50</v>
          </cell>
          <cell r="F89">
            <v>0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 t="str">
            <v>1222</v>
          </cell>
          <cell r="B90" t="str">
            <v>לזר איתמר וליאורה</v>
          </cell>
          <cell r="C90" t="str">
            <v xml:space="preserve">פתוח      </v>
          </cell>
          <cell r="D90" t="str">
            <v>חבר</v>
          </cell>
          <cell r="E90">
            <v>58.5</v>
          </cell>
          <cell r="F90">
            <v>2</v>
          </cell>
          <cell r="G90">
            <v>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 t="str">
            <v>0413</v>
          </cell>
          <cell r="B91" t="str">
            <v>דורון אסף</v>
          </cell>
          <cell r="C91" t="str">
            <v xml:space="preserve">פתוח      </v>
          </cell>
          <cell r="D91" t="str">
            <v>חבר</v>
          </cell>
          <cell r="E91">
            <v>55</v>
          </cell>
          <cell r="F91">
            <v>1</v>
          </cell>
          <cell r="G91">
            <v>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 t="str">
            <v>1112</v>
          </cell>
          <cell r="B92" t="str">
            <v>כהן בועז ותמר</v>
          </cell>
          <cell r="C92" t="str">
            <v xml:space="preserve">פתוח      </v>
          </cell>
          <cell r="D92" t="str">
            <v>חבר</v>
          </cell>
          <cell r="E92">
            <v>39.666666666666664</v>
          </cell>
          <cell r="F92">
            <v>2</v>
          </cell>
          <cell r="G92">
            <v>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A93" t="str">
            <v>0605</v>
          </cell>
          <cell r="B93" t="str">
            <v>וילדשטיין דוד ורותי</v>
          </cell>
          <cell r="C93" t="str">
            <v xml:space="preserve">פתוח      </v>
          </cell>
          <cell r="D93" t="str">
            <v>חבר</v>
          </cell>
          <cell r="E93">
            <v>69.5</v>
          </cell>
          <cell r="F93">
            <v>2</v>
          </cell>
          <cell r="G93">
            <v>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A94" t="str">
            <v>0212</v>
          </cell>
          <cell r="B94" t="str">
            <v>בירנבאום צביקה ואורה</v>
          </cell>
          <cell r="C94" t="str">
            <v xml:space="preserve">פתוח      </v>
          </cell>
          <cell r="D94" t="str">
            <v>חבר</v>
          </cell>
          <cell r="E94">
            <v>67</v>
          </cell>
          <cell r="F94">
            <v>2</v>
          </cell>
          <cell r="G94">
            <v>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A95" t="str">
            <v>0114</v>
          </cell>
          <cell r="B95" t="str">
            <v>אביעד עמיחי ורבקה</v>
          </cell>
          <cell r="C95" t="str">
            <v xml:space="preserve">פתוח      </v>
          </cell>
          <cell r="D95" t="str">
            <v>חבר</v>
          </cell>
          <cell r="E95">
            <v>66.5</v>
          </cell>
          <cell r="F95">
            <v>2</v>
          </cell>
          <cell r="G95">
            <v>2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A96" t="str">
            <v>0110</v>
          </cell>
          <cell r="B96" t="str">
            <v>אדלר מרדכי</v>
          </cell>
          <cell r="C96" t="str">
            <v xml:space="preserve">פתוח      </v>
          </cell>
          <cell r="D96" t="str">
            <v>חבר</v>
          </cell>
          <cell r="E96">
            <v>72</v>
          </cell>
          <cell r="F96">
            <v>1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A97" t="str">
            <v>1706</v>
          </cell>
          <cell r="B97" t="str">
            <v>פטרסון אליהו וג`נט</v>
          </cell>
          <cell r="C97" t="str">
            <v xml:space="preserve">פתוח      </v>
          </cell>
          <cell r="D97" t="str">
            <v>חבר</v>
          </cell>
          <cell r="E97">
            <v>78</v>
          </cell>
          <cell r="F97">
            <v>1</v>
          </cell>
          <cell r="G97">
            <v>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 t="str">
            <v>1107</v>
          </cell>
          <cell r="B98" t="str">
            <v>כהן יוני וטלי</v>
          </cell>
          <cell r="C98" t="str">
            <v xml:space="preserve">פתוח      </v>
          </cell>
          <cell r="D98" t="str">
            <v>חבר</v>
          </cell>
          <cell r="E98">
            <v>22</v>
          </cell>
          <cell r="F98">
            <v>2</v>
          </cell>
          <cell r="G98">
            <v>7</v>
          </cell>
          <cell r="H98">
            <v>0</v>
          </cell>
          <cell r="I98">
            <v>0</v>
          </cell>
          <cell r="J98">
            <v>2</v>
          </cell>
          <cell r="K98">
            <v>1</v>
          </cell>
          <cell r="L98">
            <v>2</v>
          </cell>
        </row>
        <row r="99">
          <cell r="A99" t="str">
            <v>1102</v>
          </cell>
          <cell r="B99" t="str">
            <v>כפיר קלי ויהודית</v>
          </cell>
          <cell r="C99" t="str">
            <v xml:space="preserve">פתוח      </v>
          </cell>
          <cell r="D99" t="str">
            <v>חבר</v>
          </cell>
          <cell r="E99">
            <v>77.5</v>
          </cell>
          <cell r="F99">
            <v>2</v>
          </cell>
          <cell r="G99">
            <v>2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 t="str">
            <v>1003</v>
          </cell>
          <cell r="B100" t="str">
            <v>ישורון שמשון ורותי</v>
          </cell>
          <cell r="C100" t="str">
            <v xml:space="preserve">פתוח      </v>
          </cell>
          <cell r="D100" t="str">
            <v>חבר</v>
          </cell>
          <cell r="E100">
            <v>74.5</v>
          </cell>
          <cell r="F100">
            <v>2</v>
          </cell>
          <cell r="G100">
            <v>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</row>
        <row r="101">
          <cell r="A101" t="str">
            <v>2009</v>
          </cell>
          <cell r="B101" t="str">
            <v>רון יואב ומרים</v>
          </cell>
          <cell r="C101" t="str">
            <v xml:space="preserve">פתוח      </v>
          </cell>
          <cell r="D101" t="str">
            <v>חבר</v>
          </cell>
          <cell r="E101">
            <v>74.5</v>
          </cell>
          <cell r="F101">
            <v>2</v>
          </cell>
          <cell r="G101">
            <v>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 t="str">
            <v>1205</v>
          </cell>
          <cell r="B102" t="str">
            <v>לבבי אליהו ונעמי</v>
          </cell>
          <cell r="C102" t="str">
            <v xml:space="preserve">פתוח      </v>
          </cell>
          <cell r="D102" t="str">
            <v>חבר</v>
          </cell>
          <cell r="E102">
            <v>74</v>
          </cell>
          <cell r="F102">
            <v>2</v>
          </cell>
          <cell r="G102">
            <v>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 t="str">
            <v>2008</v>
          </cell>
          <cell r="B103" t="str">
            <v>רימון שלמה וסלבי</v>
          </cell>
          <cell r="C103" t="str">
            <v xml:space="preserve">פתוח      </v>
          </cell>
          <cell r="D103" t="str">
            <v>חבר</v>
          </cell>
          <cell r="E103">
            <v>76</v>
          </cell>
          <cell r="F103">
            <v>2</v>
          </cell>
          <cell r="G103">
            <v>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0303</v>
          </cell>
          <cell r="B104" t="str">
            <v>גרינבלט משה ורותי</v>
          </cell>
          <cell r="C104" t="str">
            <v xml:space="preserve">פתוח      </v>
          </cell>
          <cell r="D104" t="str">
            <v>חבר</v>
          </cell>
          <cell r="E104">
            <v>76.5</v>
          </cell>
          <cell r="F104">
            <v>2</v>
          </cell>
          <cell r="G104">
            <v>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 t="str">
            <v>1215</v>
          </cell>
          <cell r="B105" t="str">
            <v>לאונגר משה ודבורה</v>
          </cell>
          <cell r="C105" t="str">
            <v xml:space="preserve">פתוח      </v>
          </cell>
          <cell r="D105" t="str">
            <v>חבר</v>
          </cell>
          <cell r="E105">
            <v>73</v>
          </cell>
          <cell r="F105">
            <v>2</v>
          </cell>
          <cell r="G105">
            <v>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A106" t="str">
            <v>1216</v>
          </cell>
          <cell r="B106" t="str">
            <v>ליפטשר דוד ואלישבע</v>
          </cell>
          <cell r="C106" t="str">
            <v xml:space="preserve">פתוח      </v>
          </cell>
          <cell r="D106" t="str">
            <v>חבר</v>
          </cell>
          <cell r="E106">
            <v>73</v>
          </cell>
          <cell r="F106">
            <v>2</v>
          </cell>
          <cell r="G106">
            <v>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0403</v>
          </cell>
          <cell r="B107" t="str">
            <v>דורון גבי וברנדה</v>
          </cell>
          <cell r="C107" t="str">
            <v xml:space="preserve">פתוח      </v>
          </cell>
          <cell r="D107" t="str">
            <v>חבר</v>
          </cell>
          <cell r="E107">
            <v>78</v>
          </cell>
          <cell r="F107">
            <v>2</v>
          </cell>
          <cell r="G107">
            <v>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 t="str">
            <v>0305</v>
          </cell>
          <cell r="B108" t="str">
            <v>גרייסמן אורי וחנה</v>
          </cell>
          <cell r="C108" t="str">
            <v xml:space="preserve">פתוח      </v>
          </cell>
          <cell r="D108" t="str">
            <v>חבר</v>
          </cell>
          <cell r="E108">
            <v>75</v>
          </cell>
          <cell r="F108">
            <v>2</v>
          </cell>
          <cell r="G108">
            <v>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>1602</v>
          </cell>
          <cell r="B109" t="str">
            <v>עובדיה ישראל ווונדי</v>
          </cell>
          <cell r="C109" t="str">
            <v xml:space="preserve">פתוח      </v>
          </cell>
          <cell r="D109" t="str">
            <v>חבר</v>
          </cell>
          <cell r="E109">
            <v>71.5</v>
          </cell>
          <cell r="F109">
            <v>2</v>
          </cell>
          <cell r="G109">
            <v>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 t="str">
            <v>1002</v>
          </cell>
          <cell r="B110" t="str">
            <v>יקיר גדעון ומרים</v>
          </cell>
          <cell r="C110" t="str">
            <v xml:space="preserve">פתוח      </v>
          </cell>
          <cell r="D110" t="str">
            <v>חבר</v>
          </cell>
          <cell r="E110">
            <v>79</v>
          </cell>
          <cell r="F110">
            <v>2</v>
          </cell>
          <cell r="G110">
            <v>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 t="str">
            <v>2006</v>
          </cell>
          <cell r="B111" t="str">
            <v>רוזנברג יעקב ועפרה</v>
          </cell>
          <cell r="C111" t="str">
            <v xml:space="preserve">פתוח      </v>
          </cell>
          <cell r="D111" t="str">
            <v>חבר</v>
          </cell>
          <cell r="E111">
            <v>78.5</v>
          </cell>
          <cell r="F111">
            <v>2</v>
          </cell>
          <cell r="G111">
            <v>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 t="str">
            <v>1914</v>
          </cell>
          <cell r="B112" t="str">
            <v>קרליבך יצחק וורד</v>
          </cell>
          <cell r="C112" t="str">
            <v xml:space="preserve">פתוח      </v>
          </cell>
          <cell r="D112" t="str">
            <v>חבר</v>
          </cell>
          <cell r="E112">
            <v>30.333333333333332</v>
          </cell>
          <cell r="F112">
            <v>2</v>
          </cell>
          <cell r="G112">
            <v>6</v>
          </cell>
          <cell r="H112">
            <v>0</v>
          </cell>
          <cell r="I112">
            <v>0</v>
          </cell>
          <cell r="J112">
            <v>0</v>
          </cell>
          <cell r="K112">
            <v>1</v>
          </cell>
          <cell r="L112">
            <v>1</v>
          </cell>
        </row>
        <row r="113">
          <cell r="A113" t="str">
            <v>0301</v>
          </cell>
          <cell r="B113" t="str">
            <v>גוטליב דב ונעמי</v>
          </cell>
          <cell r="C113" t="str">
            <v xml:space="preserve">פתוח      </v>
          </cell>
          <cell r="D113" t="str">
            <v>חבר</v>
          </cell>
          <cell r="E113">
            <v>84</v>
          </cell>
          <cell r="F113">
            <v>2</v>
          </cell>
          <cell r="G113">
            <v>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 t="str">
            <v>1210</v>
          </cell>
          <cell r="B114" t="str">
            <v>לייקוב חיים ולאה</v>
          </cell>
          <cell r="C114" t="str">
            <v xml:space="preserve">פתוח      </v>
          </cell>
          <cell r="D114" t="str">
            <v>חבר</v>
          </cell>
          <cell r="E114">
            <v>84</v>
          </cell>
          <cell r="F114">
            <v>2</v>
          </cell>
          <cell r="G114">
            <v>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 t="str">
            <v>0506</v>
          </cell>
          <cell r="B115" t="str">
            <v>הרטוב חגי וניצה</v>
          </cell>
          <cell r="C115" t="str">
            <v xml:space="preserve">פתוח      </v>
          </cell>
          <cell r="D115" t="str">
            <v>חבר</v>
          </cell>
          <cell r="E115">
            <v>67.5</v>
          </cell>
          <cell r="F115">
            <v>2</v>
          </cell>
          <cell r="G115">
            <v>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A116" t="str">
            <v>1506</v>
          </cell>
          <cell r="B116" t="str">
            <v>קדוש נסאל ואליענה</v>
          </cell>
          <cell r="C116" t="str">
            <v xml:space="preserve">פתוח      </v>
          </cell>
          <cell r="D116" t="str">
            <v>חבר</v>
          </cell>
          <cell r="E116">
            <v>18</v>
          </cell>
          <cell r="F116">
            <v>2</v>
          </cell>
          <cell r="G116">
            <v>5</v>
          </cell>
          <cell r="H116">
            <v>0</v>
          </cell>
          <cell r="I116">
            <v>1</v>
          </cell>
          <cell r="J116">
            <v>2</v>
          </cell>
          <cell r="K116">
            <v>0</v>
          </cell>
          <cell r="L116">
            <v>0</v>
          </cell>
        </row>
        <row r="117">
          <cell r="A117" t="str">
            <v>1911</v>
          </cell>
          <cell r="B117" t="str">
            <v>קרליבך דוד ומיכל</v>
          </cell>
          <cell r="C117" t="str">
            <v xml:space="preserve">פתוח      </v>
          </cell>
          <cell r="D117" t="str">
            <v>חבר</v>
          </cell>
          <cell r="E117">
            <v>71.5</v>
          </cell>
          <cell r="F117">
            <v>2</v>
          </cell>
          <cell r="G117">
            <v>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A118" t="str">
            <v>0218</v>
          </cell>
          <cell r="B118" t="str">
            <v>בן טל רפי ושושנה</v>
          </cell>
          <cell r="C118" t="str">
            <v xml:space="preserve">פתוח      </v>
          </cell>
          <cell r="D118" t="str">
            <v>חבר</v>
          </cell>
          <cell r="E118">
            <v>70</v>
          </cell>
          <cell r="F118">
            <v>2</v>
          </cell>
          <cell r="G118">
            <v>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A119" t="str">
            <v>0219</v>
          </cell>
          <cell r="B119" t="str">
            <v>בשן בנימין ורחל</v>
          </cell>
          <cell r="C119" t="str">
            <v xml:space="preserve">פתוח      </v>
          </cell>
          <cell r="D119" t="str">
            <v>חבר</v>
          </cell>
          <cell r="E119">
            <v>70</v>
          </cell>
          <cell r="F119">
            <v>2</v>
          </cell>
          <cell r="G119">
            <v>2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A120" t="str">
            <v>0304</v>
          </cell>
          <cell r="B120" t="str">
            <v>גביר שמואל ואילה</v>
          </cell>
          <cell r="C120" t="str">
            <v xml:space="preserve">פתוח      </v>
          </cell>
          <cell r="D120" t="str">
            <v>חבר</v>
          </cell>
          <cell r="E120">
            <v>37.25</v>
          </cell>
          <cell r="F120">
            <v>2</v>
          </cell>
          <cell r="G120">
            <v>4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>1209</v>
          </cell>
          <cell r="B121" t="str">
            <v>ליבוביץ משה ושורי</v>
          </cell>
          <cell r="C121" t="str">
            <v xml:space="preserve">פתוח      </v>
          </cell>
          <cell r="D121" t="str">
            <v>חבר</v>
          </cell>
          <cell r="E121">
            <v>71</v>
          </cell>
          <cell r="F121">
            <v>2</v>
          </cell>
          <cell r="G121">
            <v>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A122" t="str">
            <v>0406</v>
          </cell>
          <cell r="B122" t="str">
            <v>דורון יצחק ואילנה</v>
          </cell>
          <cell r="C122" t="str">
            <v xml:space="preserve">פתוח      </v>
          </cell>
          <cell r="D122" t="str">
            <v>חבר</v>
          </cell>
          <cell r="E122">
            <v>70</v>
          </cell>
          <cell r="F122">
            <v>2</v>
          </cell>
          <cell r="G122">
            <v>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A123" t="str">
            <v>0803</v>
          </cell>
          <cell r="B123" t="str">
            <v>חורש אבנר וחני</v>
          </cell>
          <cell r="C123" t="str">
            <v xml:space="preserve">פתוח      </v>
          </cell>
          <cell r="D123" t="str">
            <v>חבר</v>
          </cell>
          <cell r="E123">
            <v>71</v>
          </cell>
          <cell r="F123">
            <v>2</v>
          </cell>
          <cell r="G123">
            <v>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A124" t="str">
            <v>1907</v>
          </cell>
          <cell r="B124" t="str">
            <v>קליין משה ונאוה</v>
          </cell>
          <cell r="C124" t="str">
            <v xml:space="preserve">פתוח      </v>
          </cell>
          <cell r="D124" t="str">
            <v>חבר</v>
          </cell>
          <cell r="E124">
            <v>71.5</v>
          </cell>
          <cell r="F124">
            <v>2</v>
          </cell>
          <cell r="G124">
            <v>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A125" t="str">
            <v>2110</v>
          </cell>
          <cell r="B125" t="str">
            <v>שאול אריה ואמירה</v>
          </cell>
          <cell r="C125" t="str">
            <v xml:space="preserve">פתוח      </v>
          </cell>
          <cell r="D125" t="str">
            <v>חבר</v>
          </cell>
          <cell r="E125">
            <v>71</v>
          </cell>
          <cell r="F125">
            <v>2</v>
          </cell>
          <cell r="G125">
            <v>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A126" t="str">
            <v>0507</v>
          </cell>
          <cell r="B126" t="str">
            <v>הופמן אבי ושולי</v>
          </cell>
          <cell r="C126" t="str">
            <v xml:space="preserve">פתוח      </v>
          </cell>
          <cell r="D126" t="str">
            <v>חבר</v>
          </cell>
          <cell r="E126">
            <v>71</v>
          </cell>
          <cell r="F126">
            <v>2</v>
          </cell>
          <cell r="G126">
            <v>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0144</v>
          </cell>
          <cell r="B127" t="str">
            <v>אריה צוריאל ואורלי</v>
          </cell>
          <cell r="C127" t="str">
            <v xml:space="preserve">פתוח      </v>
          </cell>
          <cell r="D127" t="str">
            <v>חבר</v>
          </cell>
          <cell r="E127">
            <v>19.8</v>
          </cell>
          <cell r="F127">
            <v>2</v>
          </cell>
          <cell r="G127">
            <v>5</v>
          </cell>
          <cell r="H127">
            <v>0</v>
          </cell>
          <cell r="I127">
            <v>0</v>
          </cell>
          <cell r="J127">
            <v>3</v>
          </cell>
          <cell r="K127">
            <v>0</v>
          </cell>
          <cell r="L127">
            <v>0</v>
          </cell>
        </row>
        <row r="128">
          <cell r="A128" t="str">
            <v>1011</v>
          </cell>
          <cell r="B128" t="str">
            <v>יוגב מינו</v>
          </cell>
          <cell r="C128" t="str">
            <v xml:space="preserve">פתוח      </v>
          </cell>
          <cell r="D128" t="str">
            <v>חבר</v>
          </cell>
          <cell r="E128">
            <v>55</v>
          </cell>
          <cell r="F128">
            <v>1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A129" t="str">
            <v>2111</v>
          </cell>
          <cell r="B129" t="str">
            <v>שי ישראל ורחל</v>
          </cell>
          <cell r="C129" t="str">
            <v xml:space="preserve">פתוח      </v>
          </cell>
          <cell r="D129" t="str">
            <v>חבר</v>
          </cell>
          <cell r="E129">
            <v>50</v>
          </cell>
          <cell r="F129">
            <v>2</v>
          </cell>
          <cell r="G129">
            <v>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 t="str">
            <v>1906</v>
          </cell>
          <cell r="B130" t="str">
            <v>קלוש אריה ושלומית</v>
          </cell>
          <cell r="C130" t="str">
            <v xml:space="preserve">פתוח      </v>
          </cell>
          <cell r="D130" t="str">
            <v>חבר</v>
          </cell>
          <cell r="E130">
            <v>74.5</v>
          </cell>
          <cell r="F130">
            <v>2</v>
          </cell>
          <cell r="G130">
            <v>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A131" t="str">
            <v>1302</v>
          </cell>
          <cell r="B131" t="str">
            <v>מושקוביץ משה ז"ל ויעל</v>
          </cell>
          <cell r="C131" t="str">
            <v xml:space="preserve">פתוח      </v>
          </cell>
          <cell r="D131" t="str">
            <v>חבר</v>
          </cell>
          <cell r="E131" t="e">
            <v>#DIV/0!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A132" t="str">
            <v>1507</v>
          </cell>
          <cell r="B132" t="str">
            <v>סולומון מיכאל )מיקי(</v>
          </cell>
          <cell r="C132" t="str">
            <v xml:space="preserve">פתוח      </v>
          </cell>
          <cell r="D132" t="str">
            <v>חבר</v>
          </cell>
          <cell r="E132" t="e">
            <v>#DIV/0!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A133" t="str">
            <v>1925</v>
          </cell>
          <cell r="B133" t="str">
            <v>קראוס אביגדור</v>
          </cell>
          <cell r="C133" t="str">
            <v xml:space="preserve">פתוח      </v>
          </cell>
          <cell r="D133" t="str">
            <v>חבר</v>
          </cell>
          <cell r="E133" t="e">
            <v>#DIV/0!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A134" t="str">
            <v>0205</v>
          </cell>
          <cell r="B134" t="str">
            <v>בירנבאום מגדה</v>
          </cell>
          <cell r="C134" t="str">
            <v xml:space="preserve">פתוח      </v>
          </cell>
          <cell r="D134" t="str">
            <v>חבר</v>
          </cell>
          <cell r="E134" t="e">
            <v>#DIV/0!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A135" t="str">
            <v>90210</v>
          </cell>
          <cell r="B135" t="str">
            <v>בשן דבורה</v>
          </cell>
          <cell r="C135" t="str">
            <v xml:space="preserve">פתוח      </v>
          </cell>
          <cell r="D135" t="str">
            <v>חבר</v>
          </cell>
          <cell r="E135" t="e">
            <v>#DIV/0!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A136" t="str">
            <v>0246</v>
          </cell>
          <cell r="B136" t="str">
            <v>בן טל דרור ונעמה</v>
          </cell>
          <cell r="C136" t="str">
            <v xml:space="preserve">פתוח      </v>
          </cell>
          <cell r="D136" t="str">
            <v>חבר</v>
          </cell>
          <cell r="E136" t="e">
            <v>#DIV/0!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0414</v>
          </cell>
          <cell r="B137" t="str">
            <v>דורון נתנאל</v>
          </cell>
          <cell r="C137" t="str">
            <v xml:space="preserve">פתוח      </v>
          </cell>
          <cell r="D137" t="str">
            <v>חבר</v>
          </cell>
          <cell r="E137" t="e">
            <v>#DIV/0!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A138" t="str">
            <v>2026</v>
          </cell>
          <cell r="B138" t="str">
            <v>רון משה</v>
          </cell>
          <cell r="C138" t="str">
            <v xml:space="preserve">פתוח      </v>
          </cell>
          <cell r="D138" t="str">
            <v>חבר</v>
          </cell>
          <cell r="E138" t="e">
            <v>#DIV/0!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A139" t="str">
            <v>0521</v>
          </cell>
          <cell r="B139" t="str">
            <v>הרטוב כרמל</v>
          </cell>
          <cell r="C139" t="str">
            <v xml:space="preserve">פתוח      </v>
          </cell>
          <cell r="D139" t="str">
            <v>חבר</v>
          </cell>
          <cell r="E139" t="e">
            <v>#DIV/0!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A140" t="str">
            <v>0615</v>
          </cell>
          <cell r="B140" t="str">
            <v>וילדשטיין רונן</v>
          </cell>
          <cell r="C140" t="str">
            <v xml:space="preserve">פתוח      </v>
          </cell>
          <cell r="D140" t="str">
            <v>חבר</v>
          </cell>
          <cell r="E140" t="e">
            <v>#DIV/0!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A141" t="str">
            <v>0609</v>
          </cell>
          <cell r="B141" t="str">
            <v>וייס גיל</v>
          </cell>
          <cell r="C141" t="str">
            <v xml:space="preserve">פתוח      </v>
          </cell>
          <cell r="D141" t="str">
            <v>חבר</v>
          </cell>
          <cell r="E141">
            <v>43</v>
          </cell>
          <cell r="F141">
            <v>0</v>
          </cell>
          <cell r="G141">
            <v>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A142" t="str">
            <v>2025</v>
          </cell>
          <cell r="B142" t="str">
            <v>רביב אדר</v>
          </cell>
          <cell r="C142" t="str">
            <v xml:space="preserve">פתוח      </v>
          </cell>
          <cell r="D142" t="str">
            <v>חבר</v>
          </cell>
          <cell r="E142" t="e">
            <v>#DIV/0!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A143" t="str">
            <v>0604</v>
          </cell>
          <cell r="B143" t="str">
            <v>וייס יזהר</v>
          </cell>
          <cell r="C143" t="str">
            <v xml:space="preserve">פתוח      </v>
          </cell>
          <cell r="D143" t="str">
            <v>חבר</v>
          </cell>
          <cell r="E143">
            <v>47</v>
          </cell>
          <cell r="F143">
            <v>0</v>
          </cell>
          <cell r="G143">
            <v>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A144" t="str">
            <v>0703</v>
          </cell>
          <cell r="B144" t="str">
            <v>רדה דניאל ועטרה )זיסק(</v>
          </cell>
          <cell r="C144" t="str">
            <v xml:space="preserve">פתוח      </v>
          </cell>
          <cell r="D144" t="str">
            <v>חבר</v>
          </cell>
          <cell r="E144">
            <v>28</v>
          </cell>
          <cell r="F144">
            <v>0</v>
          </cell>
          <cell r="G144">
            <v>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 t="str">
            <v>0416</v>
          </cell>
          <cell r="B145" t="str">
            <v>דורון דותן</v>
          </cell>
          <cell r="C145" t="str">
            <v xml:space="preserve">פתוח      </v>
          </cell>
          <cell r="D145" t="str">
            <v>חבר</v>
          </cell>
          <cell r="E145" t="e">
            <v>#DIV/0!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A146" t="str">
            <v>0108</v>
          </cell>
          <cell r="B146" t="str">
            <v>אלדד שי</v>
          </cell>
          <cell r="C146" t="str">
            <v xml:space="preserve">פתוח      </v>
          </cell>
          <cell r="D146" t="str">
            <v>חבר</v>
          </cell>
          <cell r="E146">
            <v>27</v>
          </cell>
          <cell r="F146">
            <v>0</v>
          </cell>
          <cell r="G146">
            <v>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A147" t="str">
            <v>0704</v>
          </cell>
          <cell r="B147" t="str">
            <v>זיסק נריה ז"ל - ספר תורה</v>
          </cell>
          <cell r="C147" t="str">
            <v xml:space="preserve">פתוח      </v>
          </cell>
          <cell r="D147" t="str">
            <v>חבר</v>
          </cell>
          <cell r="E147" t="e">
            <v>#DIV/0!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A148" t="str">
            <v>1110</v>
          </cell>
          <cell r="B148" t="str">
            <v>כהן יזרעאל</v>
          </cell>
          <cell r="C148" t="str">
            <v xml:space="preserve">פתוח      </v>
          </cell>
          <cell r="D148" t="str">
            <v>חבר</v>
          </cell>
          <cell r="E148">
            <v>26</v>
          </cell>
          <cell r="F148">
            <v>0</v>
          </cell>
          <cell r="G148">
            <v>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2104</v>
          </cell>
          <cell r="B149" t="str">
            <v>שילה יהודית</v>
          </cell>
          <cell r="C149" t="str">
            <v xml:space="preserve">פתוח      </v>
          </cell>
          <cell r="D149" t="str">
            <v>חבר</v>
          </cell>
          <cell r="E149" t="e">
            <v>#DIV/0!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A150" t="str">
            <v>0261</v>
          </cell>
          <cell r="B150" t="str">
            <v>בן טל רז - הלואה</v>
          </cell>
          <cell r="C150" t="str">
            <v xml:space="preserve">פתוח      </v>
          </cell>
          <cell r="D150" t="str">
            <v>חבר</v>
          </cell>
          <cell r="E150" t="e">
            <v>#DIV/0!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6127</v>
          </cell>
          <cell r="B151" t="str">
            <v>גביר שמוליק-הורים</v>
          </cell>
          <cell r="C151" t="str">
            <v xml:space="preserve">פתוח      </v>
          </cell>
          <cell r="D151" t="str">
            <v>חבר</v>
          </cell>
          <cell r="E151" t="e">
            <v>#DIV/0!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0103</v>
          </cell>
          <cell r="B152" t="str">
            <v>אריאל אריה</v>
          </cell>
          <cell r="C152" t="str">
            <v xml:space="preserve">פתוח      </v>
          </cell>
          <cell r="D152" t="str">
            <v>חבר</v>
          </cell>
          <cell r="E152" t="e">
            <v>#DIV/0!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0201</v>
          </cell>
          <cell r="B153" t="str">
            <v>בן ישר מנחם וחדוה ז"ל</v>
          </cell>
          <cell r="C153" t="str">
            <v xml:space="preserve">פתוח      </v>
          </cell>
          <cell r="D153" t="str">
            <v>חבר</v>
          </cell>
          <cell r="E153" t="e">
            <v>#DIV/0!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0209</v>
          </cell>
          <cell r="B154" t="str">
            <v>באום מאיר</v>
          </cell>
          <cell r="C154" t="str">
            <v xml:space="preserve">פתוח      </v>
          </cell>
          <cell r="D154" t="str">
            <v>חבר</v>
          </cell>
          <cell r="E154" t="e">
            <v>#DIV/0!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2080</v>
          </cell>
          <cell r="B155" t="str">
            <v>בניה - ריינר הראל ומעין</v>
          </cell>
          <cell r="C155" t="str">
            <v xml:space="preserve">פתוח      </v>
          </cell>
          <cell r="D155" t="str">
            <v>חבר</v>
          </cell>
          <cell r="E155" t="e">
            <v>#DIV/0!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0580</v>
          </cell>
          <cell r="B156" t="str">
            <v>בניה - המר אדווה</v>
          </cell>
          <cell r="C156" t="str">
            <v xml:space="preserve">פתוח      </v>
          </cell>
          <cell r="D156" t="str">
            <v>חבר</v>
          </cell>
          <cell r="E156" t="e">
            <v>#DIV/0!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A157" t="str">
            <v>1201</v>
          </cell>
          <cell r="B157" t="str">
            <v>לבבי ציפורה</v>
          </cell>
          <cell r="C157" t="str">
            <v xml:space="preserve">פתוח      </v>
          </cell>
          <cell r="D157" t="str">
            <v>חבר</v>
          </cell>
          <cell r="E157" t="e">
            <v>#DIV/0!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A158" t="str">
            <v>1206</v>
          </cell>
          <cell r="B158" t="str">
            <v>לאופר חוה ז"ל</v>
          </cell>
          <cell r="C158" t="str">
            <v xml:space="preserve">פתוח      </v>
          </cell>
          <cell r="D158" t="str">
            <v>חבר</v>
          </cell>
          <cell r="E158" t="e">
            <v>#DIV/0!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A159" t="str">
            <v>1510</v>
          </cell>
          <cell r="B159" t="str">
            <v>סהר תהל</v>
          </cell>
          <cell r="C159" t="str">
            <v xml:space="preserve">פתוח      </v>
          </cell>
          <cell r="D159" t="str">
            <v>חבר</v>
          </cell>
          <cell r="E159">
            <v>20</v>
          </cell>
          <cell r="F159">
            <v>0</v>
          </cell>
          <cell r="G159">
            <v>1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A160" t="str">
            <v>1513</v>
          </cell>
          <cell r="B160" t="str">
            <v>סולומון אנאבל</v>
          </cell>
          <cell r="C160" t="str">
            <v xml:space="preserve">פתוח      </v>
          </cell>
          <cell r="D160" t="str">
            <v>חבר</v>
          </cell>
          <cell r="E160" t="e">
            <v>#DIV/0!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A161" t="str">
            <v>2049</v>
          </cell>
          <cell r="B161" t="str">
            <v>רביב אורי</v>
          </cell>
          <cell r="C161" t="str">
            <v xml:space="preserve">פתוח      </v>
          </cell>
          <cell r="D161" t="str">
            <v>חבר</v>
          </cell>
          <cell r="E161" t="e">
            <v>#DIV/0!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A162" t="str">
            <v>20119</v>
          </cell>
          <cell r="B162" t="str">
            <v>רביב יצחק   ) אהרון (</v>
          </cell>
          <cell r="C162" t="str">
            <v xml:space="preserve">פתוח      </v>
          </cell>
          <cell r="D162" t="str">
            <v>חבר</v>
          </cell>
          <cell r="E162" t="e">
            <v>#DIV/0!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A163" t="str">
            <v>1903</v>
          </cell>
          <cell r="B163" t="str">
            <v>קרליבך יפה</v>
          </cell>
          <cell r="C163" t="str">
            <v xml:space="preserve">פתוח      </v>
          </cell>
          <cell r="D163" t="str">
            <v>חבר</v>
          </cell>
          <cell r="E163" t="e">
            <v>#DIV/0!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A164" t="str">
            <v>0225</v>
          </cell>
          <cell r="B164" t="str">
            <v>חריף )בן עמי( תחיה</v>
          </cell>
          <cell r="C164" t="str">
            <v xml:space="preserve">פתוח      </v>
          </cell>
          <cell r="D164" t="str">
            <v>חבר</v>
          </cell>
          <cell r="E164" t="e">
            <v>#DIV/0!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0150</v>
          </cell>
          <cell r="B165" t="str">
            <v>אריאל  ענת וחנן )תמר ז"ל (</v>
          </cell>
          <cell r="C165" t="str">
            <v xml:space="preserve">פתוח      </v>
          </cell>
          <cell r="D165" t="str">
            <v>חבר</v>
          </cell>
          <cell r="E165" t="e">
            <v>#DIV/0!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0120</v>
          </cell>
          <cell r="B166" t="str">
            <v>אריאל נעמה</v>
          </cell>
          <cell r="C166" t="str">
            <v xml:space="preserve">פתוח      </v>
          </cell>
          <cell r="D166" t="str">
            <v>חבר</v>
          </cell>
          <cell r="E166">
            <v>22</v>
          </cell>
          <cell r="F166">
            <v>0</v>
          </cell>
          <cell r="G166">
            <v>1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1228</v>
          </cell>
          <cell r="B167" t="str">
            <v>לבבי אלישב</v>
          </cell>
          <cell r="C167" t="str">
            <v xml:space="preserve">פתוח      </v>
          </cell>
          <cell r="D167" t="str">
            <v>חבר</v>
          </cell>
          <cell r="E167" t="e">
            <v>#DIV/0!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0224</v>
          </cell>
          <cell r="B168" t="str">
            <v>ברבן יונתן</v>
          </cell>
          <cell r="C168" t="str">
            <v xml:space="preserve">פתוח      </v>
          </cell>
          <cell r="D168" t="str">
            <v>חבר</v>
          </cell>
          <cell r="E168" t="e">
            <v>#DIV/0!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A169" t="str">
            <v>0223</v>
          </cell>
          <cell r="B169" t="str">
            <v>ברבן נועם</v>
          </cell>
          <cell r="C169" t="str">
            <v xml:space="preserve">פתוח      </v>
          </cell>
          <cell r="D169" t="str">
            <v>חבר</v>
          </cell>
          <cell r="E169" t="e">
            <v>#DIV/0!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A170" t="str">
            <v>19800</v>
          </cell>
          <cell r="B170" t="str">
            <v>פקדון בניה - קרליבך ישי ונועה</v>
          </cell>
          <cell r="C170" t="str">
            <v xml:space="preserve">פתוח      </v>
          </cell>
          <cell r="D170" t="str">
            <v>חבר</v>
          </cell>
          <cell r="E170" t="e">
            <v>#DIV/0!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A171" t="str">
            <v>1281</v>
          </cell>
          <cell r="B171" t="str">
            <v>בניה - לאופר יובל ואורנית</v>
          </cell>
          <cell r="C171" t="str">
            <v xml:space="preserve">פתוח      </v>
          </cell>
          <cell r="D171" t="str">
            <v>חבר</v>
          </cell>
          <cell r="E171" t="e">
            <v>#DIV/0!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A172" t="str">
            <v>2046</v>
          </cell>
          <cell r="B172" t="str">
            <v>רייך שגיא</v>
          </cell>
          <cell r="C172" t="str">
            <v xml:space="preserve">פתוח      </v>
          </cell>
          <cell r="D172" t="str">
            <v>חבר</v>
          </cell>
          <cell r="E172" t="e">
            <v>#DIV/0!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A173" t="str">
            <v>1202</v>
          </cell>
          <cell r="B173" t="str">
            <v>לבבי נטע</v>
          </cell>
          <cell r="C173" t="str">
            <v xml:space="preserve">פתוח      </v>
          </cell>
          <cell r="D173" t="str">
            <v>חבר</v>
          </cell>
          <cell r="E173">
            <v>21</v>
          </cell>
          <cell r="F173">
            <v>0</v>
          </cell>
          <cell r="G173">
            <v>1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A174" t="str">
            <v>1012</v>
          </cell>
          <cell r="B174" t="str">
            <v>יקיר נועם</v>
          </cell>
          <cell r="C174" t="str">
            <v xml:space="preserve">פתוח      </v>
          </cell>
          <cell r="D174" t="str">
            <v>חבר</v>
          </cell>
          <cell r="E174" t="e">
            <v>#DIV/0!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A175" t="str">
            <v>2102</v>
          </cell>
          <cell r="B175" t="str">
            <v>שיין טליה</v>
          </cell>
          <cell r="C175" t="str">
            <v xml:space="preserve">פתוח      </v>
          </cell>
          <cell r="D175" t="str">
            <v>חבר</v>
          </cell>
          <cell r="E175" t="e">
            <v>#DIV/0!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0315</v>
          </cell>
          <cell r="B176" t="str">
            <v>גביר אביה</v>
          </cell>
          <cell r="C176" t="str">
            <v xml:space="preserve">פתוח      </v>
          </cell>
          <cell r="D176" t="str">
            <v>חבר</v>
          </cell>
          <cell r="E176" t="e">
            <v>#DIV/0!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0809</v>
          </cell>
          <cell r="B177" t="str">
            <v>חורש אחינועם</v>
          </cell>
          <cell r="C177" t="str">
            <v xml:space="preserve">פתוח      </v>
          </cell>
          <cell r="D177" t="str">
            <v>חבר</v>
          </cell>
          <cell r="E177" t="e">
            <v>#DIV/0!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A178" t="str">
            <v>1926</v>
          </cell>
          <cell r="B178" t="str">
            <v>קרן הדר</v>
          </cell>
          <cell r="C178" t="str">
            <v xml:space="preserve">פתוח      </v>
          </cell>
          <cell r="D178" t="str">
            <v>חבר</v>
          </cell>
          <cell r="E178">
            <v>21</v>
          </cell>
          <cell r="F178">
            <v>0</v>
          </cell>
          <cell r="G178">
            <v>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A179" t="str">
            <v>2047</v>
          </cell>
          <cell r="B179" t="str">
            <v>רחמים הודיה</v>
          </cell>
          <cell r="C179" t="str">
            <v xml:space="preserve">פתוח      </v>
          </cell>
          <cell r="D179" t="str">
            <v>חבר</v>
          </cell>
          <cell r="E179" t="e">
            <v>#DIV/0!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A180" t="str">
            <v>2048</v>
          </cell>
          <cell r="B180" t="str">
            <v>רימון דור</v>
          </cell>
          <cell r="C180" t="str">
            <v xml:space="preserve">פתוח      </v>
          </cell>
          <cell r="D180" t="str">
            <v>חבר</v>
          </cell>
          <cell r="E180" t="e">
            <v>#DIV/0!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A181" t="str">
            <v>2180</v>
          </cell>
          <cell r="B181" t="str">
            <v>בניה - שוורץ שיראל ורוני</v>
          </cell>
          <cell r="C181" t="str">
            <v xml:space="preserve">פתוח      </v>
          </cell>
          <cell r="D181" t="str">
            <v>חבר</v>
          </cell>
          <cell r="E181" t="e">
            <v>#DIV/0!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A182" t="str">
            <v>0280</v>
          </cell>
          <cell r="B182" t="str">
            <v>בניה - בר שלי ומאור</v>
          </cell>
          <cell r="C182" t="str">
            <v xml:space="preserve">פתוח      </v>
          </cell>
          <cell r="D182" t="str">
            <v>חבר</v>
          </cell>
          <cell r="E182" t="e">
            <v>#DIV/0!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>0239</v>
          </cell>
          <cell r="B183" t="str">
            <v>ברודי ניתאי</v>
          </cell>
          <cell r="C183" t="str">
            <v xml:space="preserve">פתוח      </v>
          </cell>
          <cell r="D183" t="str">
            <v>חבר</v>
          </cell>
          <cell r="E183" t="e">
            <v>#DIV/0!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A184" t="str">
            <v>0516</v>
          </cell>
          <cell r="B184" t="str">
            <v>הולצר דור</v>
          </cell>
          <cell r="C184" t="str">
            <v xml:space="preserve">פתוח      </v>
          </cell>
          <cell r="D184" t="str">
            <v>חבר</v>
          </cell>
          <cell r="E184" t="e">
            <v>#DIV/0!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>0318</v>
          </cell>
          <cell r="B185" t="str">
            <v>גוטליב טנא</v>
          </cell>
          <cell r="C185" t="str">
            <v xml:space="preserve">פתוח      </v>
          </cell>
          <cell r="D185" t="str">
            <v>חבר</v>
          </cell>
          <cell r="E185" t="e">
            <v>#DIV/0!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A186" t="str">
            <v>1680</v>
          </cell>
          <cell r="B186" t="str">
            <v>בניה - עובדיה לוטם</v>
          </cell>
          <cell r="C186" t="str">
            <v xml:space="preserve">פתוח      </v>
          </cell>
          <cell r="D186" t="str">
            <v>חבר</v>
          </cell>
          <cell r="E186" t="e">
            <v>#DIV/0!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>2183</v>
          </cell>
          <cell r="B187" t="str">
            <v>בניה - רותם דורון</v>
          </cell>
          <cell r="C187" t="str">
            <v xml:space="preserve">פתוח      </v>
          </cell>
          <cell r="D187" t="str">
            <v>חבר</v>
          </cell>
          <cell r="E187" t="e">
            <v>#DIV/0!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>1262</v>
          </cell>
          <cell r="B188" t="str">
            <v>לבקוביץ` רואי</v>
          </cell>
          <cell r="C188" t="str">
            <v xml:space="preserve">פתוח      </v>
          </cell>
          <cell r="D188" t="str">
            <v>חבר</v>
          </cell>
          <cell r="E188" t="e">
            <v>#DIV/0!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A189" t="str">
            <v>0222</v>
          </cell>
          <cell r="B189" t="str">
            <v>בר יתיר</v>
          </cell>
          <cell r="C189" t="str">
            <v xml:space="preserve">פתוח      </v>
          </cell>
          <cell r="D189" t="str">
            <v>חבר</v>
          </cell>
          <cell r="E189" t="e">
            <v>#DIV/0!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A190" t="str">
            <v>0313</v>
          </cell>
          <cell r="B190" t="str">
            <v>גביר אשרת</v>
          </cell>
          <cell r="C190" t="str">
            <v xml:space="preserve">פתוח      </v>
          </cell>
          <cell r="D190" t="str">
            <v>חבר</v>
          </cell>
          <cell r="E190" t="e">
            <v>#DIV/0!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A191" t="str">
            <v>0806</v>
          </cell>
          <cell r="B191" t="str">
            <v>חורש יהונתן</v>
          </cell>
          <cell r="C191" t="str">
            <v xml:space="preserve">פתוח      </v>
          </cell>
          <cell r="D191" t="str">
            <v>חבר</v>
          </cell>
          <cell r="E191" t="e">
            <v>#DIV/0!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A192" t="str">
            <v>0281</v>
          </cell>
          <cell r="B192" t="str">
            <v>בניה - ברודי עודד ואביבית</v>
          </cell>
          <cell r="C192" t="str">
            <v xml:space="preserve">פתוח      </v>
          </cell>
          <cell r="D192" t="str">
            <v>חבר</v>
          </cell>
          <cell r="E192" t="e">
            <v>#DIV/0!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A193" t="str">
            <v>1225</v>
          </cell>
          <cell r="B193" t="str">
            <v>לבבי מלאכי</v>
          </cell>
          <cell r="C193" t="str">
            <v xml:space="preserve">פתוח      </v>
          </cell>
          <cell r="D193" t="str">
            <v>חבר</v>
          </cell>
          <cell r="E193" t="e">
            <v>#DIV/0!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A194" t="str">
            <v>6129</v>
          </cell>
          <cell r="B194" t="str">
            <v>מתחדשת )ליאור, חני, נעמי ואלישבע(</v>
          </cell>
          <cell r="C194" t="str">
            <v xml:space="preserve">פתוח      </v>
          </cell>
          <cell r="D194" t="str">
            <v>חבר</v>
          </cell>
          <cell r="E194" t="e">
            <v>#DIV/0!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A195" t="str">
            <v>0180</v>
          </cell>
          <cell r="B195" t="str">
            <v>בניה - אריאל יאיר ואיילת</v>
          </cell>
          <cell r="C195" t="str">
            <v xml:space="preserve">פתוח      </v>
          </cell>
          <cell r="D195" t="str">
            <v>חבר</v>
          </cell>
          <cell r="E195" t="e">
            <v>#DIV/0!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A196" t="str">
            <v>1013</v>
          </cell>
          <cell r="B196" t="str">
            <v>יוגב רועי</v>
          </cell>
          <cell r="C196" t="str">
            <v xml:space="preserve">פתוח      </v>
          </cell>
          <cell r="D196" t="str">
            <v>חבר</v>
          </cell>
          <cell r="E196">
            <v>22</v>
          </cell>
          <cell r="F196">
            <v>0</v>
          </cell>
          <cell r="G196">
            <v>1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A197" t="str">
            <v>2117</v>
          </cell>
          <cell r="B197" t="str">
            <v>שי רועי</v>
          </cell>
          <cell r="C197" t="str">
            <v xml:space="preserve">פתוח      </v>
          </cell>
          <cell r="D197" t="str">
            <v>חבר</v>
          </cell>
          <cell r="E197" t="e">
            <v>#DIV/0!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A198" t="str">
            <v>1120</v>
          </cell>
          <cell r="B198" t="str">
            <v>כהן נהוראי</v>
          </cell>
          <cell r="C198" t="str">
            <v xml:space="preserve">פתוח      </v>
          </cell>
          <cell r="D198" t="str">
            <v>חבר</v>
          </cell>
          <cell r="E198" t="e">
            <v>#DIV/0!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A199" t="str">
            <v>2112</v>
          </cell>
          <cell r="B199" t="str">
            <v>שוורץ כרמל</v>
          </cell>
          <cell r="C199" t="str">
            <v xml:space="preserve">פתוח      </v>
          </cell>
          <cell r="D199" t="str">
            <v>חבר</v>
          </cell>
          <cell r="E199" t="e">
            <v>#DIV/0!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A200" t="str">
            <v>2202</v>
          </cell>
          <cell r="B200" t="str">
            <v>תורג`מן תהל</v>
          </cell>
          <cell r="C200" t="str">
            <v xml:space="preserve">פתוח      </v>
          </cell>
          <cell r="D200" t="str">
            <v>חבר</v>
          </cell>
          <cell r="E200" t="e">
            <v>#DIV/0!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A201" t="str">
            <v>0262</v>
          </cell>
          <cell r="B201" t="str">
            <v>בן טל שגיא - הלואה</v>
          </cell>
          <cell r="C201" t="str">
            <v xml:space="preserve">פתוח      </v>
          </cell>
          <cell r="D201" t="str">
            <v>חבר</v>
          </cell>
          <cell r="E201" t="e">
            <v>#DIV/0!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A202" t="str">
            <v>6158</v>
          </cell>
          <cell r="B202" t="str">
            <v>אשר מאיר )הרטוב( הלוואה</v>
          </cell>
          <cell r="C202" t="str">
            <v xml:space="preserve">פתוח      </v>
          </cell>
          <cell r="D202" t="str">
            <v>חבר</v>
          </cell>
          <cell r="E202" t="e">
            <v>#DIV/0!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A203" t="str">
            <v>1902</v>
          </cell>
          <cell r="B203" t="str">
            <v>קראוס דבורה</v>
          </cell>
          <cell r="C203" t="str">
            <v xml:space="preserve">פתוח      </v>
          </cell>
          <cell r="D203" t="str">
            <v>חבר</v>
          </cell>
          <cell r="E203" t="e">
            <v>#DIV/0!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A204" t="str">
            <v>0618</v>
          </cell>
          <cell r="B204" t="str">
            <v>וייס תמי - דמי קהילה</v>
          </cell>
          <cell r="C204" t="str">
            <v xml:space="preserve">פתוח      </v>
          </cell>
          <cell r="D204" t="str">
            <v>חבר</v>
          </cell>
          <cell r="E204" t="e">
            <v>#DIV/0!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A205" t="str">
            <v>2108</v>
          </cell>
          <cell r="B205" t="str">
            <v>שרייבר מלכה</v>
          </cell>
          <cell r="C205" t="str">
            <v xml:space="preserve">פתוח      </v>
          </cell>
          <cell r="D205" t="str">
            <v>חבר</v>
          </cell>
          <cell r="E205" t="e">
            <v>#DIV/0!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A206" t="str">
            <v>1980</v>
          </cell>
          <cell r="B206" t="str">
            <v>בניה - קרליבך ישי ונועה</v>
          </cell>
          <cell r="C206" t="str">
            <v xml:space="preserve">פתוח      </v>
          </cell>
          <cell r="D206" t="str">
            <v>חבר</v>
          </cell>
          <cell r="E206" t="e">
            <v>#DIV/0!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A207" t="str">
            <v>1229</v>
          </cell>
          <cell r="B207" t="str">
            <v>לבבי רותם</v>
          </cell>
          <cell r="C207" t="str">
            <v xml:space="preserve">פתוח      </v>
          </cell>
          <cell r="D207" t="str">
            <v>חבר</v>
          </cell>
          <cell r="E207" t="e">
            <v>#DIV/0!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A208" t="str">
            <v>2129</v>
          </cell>
          <cell r="B208" t="str">
            <v>שיין המיה</v>
          </cell>
          <cell r="C208" t="str">
            <v xml:space="preserve">פתוח      </v>
          </cell>
          <cell r="D208" t="str">
            <v>חבר</v>
          </cell>
          <cell r="E208" t="e">
            <v>#DIV/0!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A209" t="str">
            <v>1116</v>
          </cell>
          <cell r="B209" t="str">
            <v>כהן חושן</v>
          </cell>
          <cell r="C209" t="str">
            <v xml:space="preserve">פתוח      </v>
          </cell>
          <cell r="D209" t="str">
            <v>חבר</v>
          </cell>
          <cell r="E209" t="e">
            <v>#DIV/0!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1933</v>
          </cell>
          <cell r="B210" t="str">
            <v>קרליבך נעמה</v>
          </cell>
          <cell r="C210" t="str">
            <v xml:space="preserve">פתוח      </v>
          </cell>
          <cell r="D210" t="str">
            <v>חבר</v>
          </cell>
          <cell r="E210" t="e">
            <v>#DIV/0!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A211" t="str">
            <v>2201</v>
          </cell>
          <cell r="B211" t="str">
            <v>תורג`מן מיכאל ומוניק</v>
          </cell>
          <cell r="C211" t="str">
            <v xml:space="preserve">פתוח      </v>
          </cell>
          <cell r="D211" t="str">
            <v>חבר</v>
          </cell>
          <cell r="E211">
            <v>46</v>
          </cell>
          <cell r="F211">
            <v>2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A212" t="str">
            <v>2028</v>
          </cell>
          <cell r="B212" t="str">
            <v>רביב כתי ולאה</v>
          </cell>
          <cell r="C212" t="str">
            <v xml:space="preserve">פתוח      </v>
          </cell>
          <cell r="D212" t="str">
            <v>חבר</v>
          </cell>
          <cell r="E212">
            <v>45.333333333333336</v>
          </cell>
          <cell r="F212">
            <v>2</v>
          </cell>
          <cell r="G212">
            <v>3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A213" t="str">
            <v>1306</v>
          </cell>
          <cell r="B213" t="str">
            <v>מנשאוף שלומית ויאיר</v>
          </cell>
          <cell r="C213" t="str">
            <v xml:space="preserve">פתוח      </v>
          </cell>
          <cell r="D213" t="str">
            <v>חבר</v>
          </cell>
          <cell r="E213">
            <v>16.600000000000001</v>
          </cell>
          <cell r="F213">
            <v>2</v>
          </cell>
          <cell r="G213">
            <v>5</v>
          </cell>
          <cell r="H213">
            <v>1</v>
          </cell>
          <cell r="I213">
            <v>0</v>
          </cell>
          <cell r="J213">
            <v>2</v>
          </cell>
          <cell r="K213">
            <v>0</v>
          </cell>
          <cell r="L213">
            <v>0</v>
          </cell>
        </row>
        <row r="214">
          <cell r="A214" t="str">
            <v>0112</v>
          </cell>
          <cell r="B214" t="str">
            <v>אלירז שמואל ועפרה</v>
          </cell>
          <cell r="C214" t="str">
            <v xml:space="preserve">פתוח      </v>
          </cell>
          <cell r="D214" t="str">
            <v>חבר</v>
          </cell>
          <cell r="E214">
            <v>71.5</v>
          </cell>
          <cell r="F214">
            <v>2</v>
          </cell>
          <cell r="G214">
            <v>2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A215" t="str">
            <v>0510</v>
          </cell>
          <cell r="B215" t="str">
            <v>הולצר מוטי ולאה</v>
          </cell>
          <cell r="C215" t="str">
            <v xml:space="preserve">פתוח      </v>
          </cell>
          <cell r="D215" t="str">
            <v>חבר</v>
          </cell>
          <cell r="E215">
            <v>25.833333333333332</v>
          </cell>
          <cell r="F215">
            <v>2</v>
          </cell>
          <cell r="G215">
            <v>6</v>
          </cell>
          <cell r="H215">
            <v>0</v>
          </cell>
          <cell r="I215">
            <v>0</v>
          </cell>
          <cell r="J215">
            <v>2</v>
          </cell>
          <cell r="K215">
            <v>0</v>
          </cell>
          <cell r="L215">
            <v>1</v>
          </cell>
        </row>
        <row r="216">
          <cell r="A216" t="str">
            <v>1224</v>
          </cell>
          <cell r="B216" t="str">
            <v>לאופר יובל ואורנית</v>
          </cell>
          <cell r="C216" t="str">
            <v xml:space="preserve">פתוח      </v>
          </cell>
          <cell r="D216" t="str">
            <v>חבר</v>
          </cell>
          <cell r="E216">
            <v>28</v>
          </cell>
          <cell r="F216">
            <v>2</v>
          </cell>
          <cell r="G216">
            <v>4</v>
          </cell>
          <cell r="H216">
            <v>0</v>
          </cell>
          <cell r="I216">
            <v>0</v>
          </cell>
          <cell r="J216">
            <v>1</v>
          </cell>
          <cell r="K216">
            <v>1</v>
          </cell>
          <cell r="L216">
            <v>0</v>
          </cell>
        </row>
        <row r="217">
          <cell r="A217" t="str">
            <v>1239</v>
          </cell>
          <cell r="B217" t="str">
            <v>לבבי יוסף וליאור</v>
          </cell>
          <cell r="C217" t="str">
            <v xml:space="preserve">פתוח      </v>
          </cell>
          <cell r="D217" t="str">
            <v>חבר</v>
          </cell>
          <cell r="E217">
            <v>16.8</v>
          </cell>
          <cell r="F217">
            <v>2</v>
          </cell>
          <cell r="G217">
            <v>5</v>
          </cell>
          <cell r="H217">
            <v>0</v>
          </cell>
          <cell r="I217">
            <v>2</v>
          </cell>
          <cell r="J217">
            <v>1</v>
          </cell>
          <cell r="K217">
            <v>0</v>
          </cell>
          <cell r="L217">
            <v>0</v>
          </cell>
        </row>
        <row r="218">
          <cell r="A218" t="str">
            <v>0216</v>
          </cell>
          <cell r="B218" t="str">
            <v>בר פלד יואב וחנה</v>
          </cell>
          <cell r="C218" t="str">
            <v xml:space="preserve">פתוח      </v>
          </cell>
          <cell r="D218" t="str">
            <v>חבר</v>
          </cell>
          <cell r="E218">
            <v>72.5</v>
          </cell>
          <cell r="F218">
            <v>2</v>
          </cell>
          <cell r="G218">
            <v>2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</row>
        <row r="219">
          <cell r="A219" t="str">
            <v>0130</v>
          </cell>
          <cell r="B219" t="str">
            <v>אריאל יאיר ואילת</v>
          </cell>
          <cell r="C219" t="str">
            <v xml:space="preserve">פתוח      </v>
          </cell>
          <cell r="D219" t="str">
            <v>חבר</v>
          </cell>
          <cell r="E219">
            <v>21</v>
          </cell>
          <cell r="F219">
            <v>2</v>
          </cell>
          <cell r="G219">
            <v>6</v>
          </cell>
          <cell r="H219">
            <v>0</v>
          </cell>
          <cell r="I219">
            <v>0</v>
          </cell>
          <cell r="J219">
            <v>2</v>
          </cell>
          <cell r="K219">
            <v>1</v>
          </cell>
          <cell r="L219">
            <v>1</v>
          </cell>
        </row>
        <row r="220">
          <cell r="A220" t="str">
            <v>2010</v>
          </cell>
          <cell r="B220" t="str">
            <v>רייך מיכאל ובלה</v>
          </cell>
          <cell r="C220" t="str">
            <v xml:space="preserve">פתוח      </v>
          </cell>
          <cell r="D220" t="str">
            <v>חבר</v>
          </cell>
          <cell r="E220">
            <v>78</v>
          </cell>
          <cell r="F220">
            <v>2</v>
          </cell>
          <cell r="G220">
            <v>2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</row>
        <row r="221">
          <cell r="A221" t="str">
            <v>0227</v>
          </cell>
          <cell r="B221" t="str">
            <v>ברודי עודד ואביבית</v>
          </cell>
          <cell r="C221" t="str">
            <v xml:space="preserve">פתוח      </v>
          </cell>
          <cell r="D221" t="str">
            <v>חבר</v>
          </cell>
          <cell r="E221">
            <v>22</v>
          </cell>
          <cell r="F221">
            <v>2</v>
          </cell>
          <cell r="G221">
            <v>5</v>
          </cell>
          <cell r="H221">
            <v>0</v>
          </cell>
          <cell r="I221">
            <v>0</v>
          </cell>
          <cell r="J221">
            <v>3</v>
          </cell>
          <cell r="K221">
            <v>0</v>
          </cell>
          <cell r="L221">
            <v>0</v>
          </cell>
        </row>
        <row r="222">
          <cell r="A222" t="str">
            <v>1219</v>
          </cell>
          <cell r="B222" t="str">
            <v>לבבי נחומי ושני</v>
          </cell>
          <cell r="C222" t="str">
            <v xml:space="preserve">פתוח      </v>
          </cell>
          <cell r="D222" t="str">
            <v>חבר</v>
          </cell>
          <cell r="E222">
            <v>26.833333333333332</v>
          </cell>
          <cell r="F222">
            <v>2</v>
          </cell>
          <cell r="G222">
            <v>6</v>
          </cell>
          <cell r="H222">
            <v>0</v>
          </cell>
          <cell r="I222">
            <v>0</v>
          </cell>
          <cell r="J222">
            <v>0</v>
          </cell>
          <cell r="K222">
            <v>1</v>
          </cell>
          <cell r="L222">
            <v>2</v>
          </cell>
        </row>
        <row r="223">
          <cell r="A223" t="str">
            <v>0511</v>
          </cell>
          <cell r="B223" t="str">
            <v>הופמן אלעד ואלדר</v>
          </cell>
          <cell r="C223" t="str">
            <v xml:space="preserve">פתוח      </v>
          </cell>
          <cell r="D223" t="str">
            <v>חבר</v>
          </cell>
          <cell r="E223">
            <v>19.166666666666668</v>
          </cell>
          <cell r="F223">
            <v>2</v>
          </cell>
          <cell r="G223">
            <v>6</v>
          </cell>
          <cell r="H223">
            <v>0</v>
          </cell>
          <cell r="I223">
            <v>1</v>
          </cell>
          <cell r="J223">
            <v>3</v>
          </cell>
          <cell r="K223">
            <v>0</v>
          </cell>
          <cell r="L223">
            <v>0</v>
          </cell>
        </row>
        <row r="224">
          <cell r="A224" t="str">
            <v>2003</v>
          </cell>
          <cell r="B224" t="str">
            <v>רון אירית</v>
          </cell>
          <cell r="C224" t="str">
            <v xml:space="preserve">פתוח      </v>
          </cell>
          <cell r="D224" t="str">
            <v>חבר</v>
          </cell>
          <cell r="E224">
            <v>73</v>
          </cell>
          <cell r="F224">
            <v>0</v>
          </cell>
          <cell r="G224">
            <v>1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</row>
        <row r="225">
          <cell r="A225" t="str">
            <v>2115</v>
          </cell>
          <cell r="B225" t="str">
            <v>שוורץ רוני ושיראל</v>
          </cell>
          <cell r="C225" t="str">
            <v xml:space="preserve">פתוח      </v>
          </cell>
          <cell r="D225" t="str">
            <v>חבר</v>
          </cell>
          <cell r="E225">
            <v>22.714285714285715</v>
          </cell>
          <cell r="F225">
            <v>2</v>
          </cell>
          <cell r="G225">
            <v>7</v>
          </cell>
          <cell r="H225">
            <v>0</v>
          </cell>
          <cell r="I225">
            <v>0</v>
          </cell>
          <cell r="J225">
            <v>2</v>
          </cell>
          <cell r="K225">
            <v>1</v>
          </cell>
          <cell r="L225">
            <v>1</v>
          </cell>
        </row>
        <row r="226">
          <cell r="A226" t="str">
            <v>2014</v>
          </cell>
          <cell r="B226" t="str">
            <v>רחמים יהושוע ושרה )איצק`(</v>
          </cell>
          <cell r="C226" t="str">
            <v xml:space="preserve">פתוח      </v>
          </cell>
          <cell r="D226" t="str">
            <v>חבר</v>
          </cell>
          <cell r="E226">
            <v>51.666666666666664</v>
          </cell>
          <cell r="F226">
            <v>1</v>
          </cell>
          <cell r="G226">
            <v>3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</row>
        <row r="227">
          <cell r="A227" t="str">
            <v>1502</v>
          </cell>
          <cell r="B227" t="str">
            <v>סולומון אייזיק וקלר</v>
          </cell>
          <cell r="C227" t="str">
            <v xml:space="preserve">פתוח      </v>
          </cell>
          <cell r="D227" t="str">
            <v>חבר</v>
          </cell>
          <cell r="E227">
            <v>49.333333333333336</v>
          </cell>
          <cell r="F227">
            <v>2</v>
          </cell>
          <cell r="G227">
            <v>3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</row>
        <row r="228">
          <cell r="A228" t="str">
            <v>0109</v>
          </cell>
          <cell r="B228" t="str">
            <v>אמיתי אליעזר ופרדי</v>
          </cell>
          <cell r="C228" t="str">
            <v xml:space="preserve">פתוח      </v>
          </cell>
          <cell r="D228" t="str">
            <v>חבר</v>
          </cell>
          <cell r="E228">
            <v>77</v>
          </cell>
          <cell r="F228">
            <v>2</v>
          </cell>
          <cell r="G228">
            <v>2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</row>
        <row r="229">
          <cell r="A229" t="str">
            <v>2007</v>
          </cell>
          <cell r="B229" t="str">
            <v>רייך גלעד ויפעת</v>
          </cell>
          <cell r="C229" t="str">
            <v xml:space="preserve">פתוח      </v>
          </cell>
          <cell r="D229" t="str">
            <v>חבר</v>
          </cell>
          <cell r="E229">
            <v>44.333333333333336</v>
          </cell>
          <cell r="F229">
            <v>2</v>
          </cell>
          <cell r="G229">
            <v>3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</row>
        <row r="230">
          <cell r="A230" t="str">
            <v>0250</v>
          </cell>
          <cell r="B230" t="str">
            <v>בן עמי ירדן ודנה</v>
          </cell>
          <cell r="C230" t="str">
            <v xml:space="preserve">פתוח      </v>
          </cell>
          <cell r="D230" t="str">
            <v>חבר במסב</v>
          </cell>
          <cell r="E230">
            <v>18.5</v>
          </cell>
          <cell r="F230">
            <v>2</v>
          </cell>
          <cell r="G230">
            <v>4</v>
          </cell>
          <cell r="H230">
            <v>1</v>
          </cell>
          <cell r="I230">
            <v>1</v>
          </cell>
          <cell r="J230">
            <v>0</v>
          </cell>
          <cell r="K230">
            <v>0</v>
          </cell>
          <cell r="L230">
            <v>0</v>
          </cell>
        </row>
        <row r="231">
          <cell r="A231" t="str">
            <v>1104</v>
          </cell>
          <cell r="B231" t="str">
            <v>כהן דוד ונחמי</v>
          </cell>
          <cell r="C231" t="str">
            <v xml:space="preserve">פתוח      </v>
          </cell>
          <cell r="D231" t="str">
            <v>חבר</v>
          </cell>
          <cell r="E231">
            <v>68.5</v>
          </cell>
          <cell r="F231">
            <v>2</v>
          </cell>
          <cell r="G231">
            <v>2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</row>
        <row r="232">
          <cell r="A232" t="str">
            <v>0220</v>
          </cell>
          <cell r="B232" t="str">
            <v>בן עמי צבי והדסה</v>
          </cell>
          <cell r="C232" t="str">
            <v xml:space="preserve">פתוח      </v>
          </cell>
          <cell r="D232" t="str">
            <v>חבר</v>
          </cell>
          <cell r="E232">
            <v>71</v>
          </cell>
          <cell r="F232">
            <v>2</v>
          </cell>
          <cell r="G232">
            <v>2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</row>
        <row r="233">
          <cell r="A233" t="str">
            <v>0214</v>
          </cell>
          <cell r="B233" t="str">
            <v>בן חמו סרג` ורחל</v>
          </cell>
          <cell r="C233" t="str">
            <v xml:space="preserve">פתוח      </v>
          </cell>
          <cell r="D233" t="str">
            <v>חבר</v>
          </cell>
          <cell r="E233">
            <v>67</v>
          </cell>
          <cell r="F233">
            <v>2</v>
          </cell>
          <cell r="G233">
            <v>2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</row>
        <row r="234">
          <cell r="A234" t="str">
            <v>1707</v>
          </cell>
          <cell r="B234" t="str">
            <v>פליישמן ברוך ואסי</v>
          </cell>
          <cell r="C234" t="str">
            <v xml:space="preserve">פתוח      </v>
          </cell>
          <cell r="D234" t="str">
            <v>חבר</v>
          </cell>
          <cell r="E234">
            <v>67.5</v>
          </cell>
          <cell r="F234">
            <v>2</v>
          </cell>
          <cell r="G234">
            <v>2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</row>
        <row r="235">
          <cell r="A235" t="str">
            <v>1913</v>
          </cell>
          <cell r="B235" t="str">
            <v>קרן בני ורחלי</v>
          </cell>
          <cell r="C235" t="str">
            <v xml:space="preserve">פתוח      </v>
          </cell>
          <cell r="D235" t="str">
            <v>חבר</v>
          </cell>
          <cell r="E235">
            <v>44.666666666666664</v>
          </cell>
          <cell r="F235">
            <v>2</v>
          </cell>
          <cell r="G235">
            <v>3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</row>
        <row r="236">
          <cell r="A236" t="str">
            <v>0606</v>
          </cell>
          <cell r="B236" t="str">
            <v>וייס שלמה ותמי</v>
          </cell>
          <cell r="C236" t="str">
            <v xml:space="preserve">פתוח      </v>
          </cell>
          <cell r="D236" t="str">
            <v>חבר</v>
          </cell>
          <cell r="E236">
            <v>55.333333333333336</v>
          </cell>
          <cell r="F236">
            <v>1</v>
          </cell>
          <cell r="G236">
            <v>3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</row>
        <row r="237">
          <cell r="A237" t="str">
            <v>2012</v>
          </cell>
          <cell r="B237" t="str">
            <v>רגב שמוליק ודפי</v>
          </cell>
          <cell r="C237" t="str">
            <v xml:space="preserve">פתוח      </v>
          </cell>
          <cell r="D237" t="str">
            <v>חבר</v>
          </cell>
          <cell r="E237">
            <v>57</v>
          </cell>
          <cell r="F237">
            <v>2</v>
          </cell>
          <cell r="G237">
            <v>2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 t="str">
            <v>1208</v>
          </cell>
          <cell r="B238" t="str">
            <v>לאופר שמעון ותמר</v>
          </cell>
          <cell r="C238" t="str">
            <v xml:space="preserve">פתוח      </v>
          </cell>
          <cell r="D238" t="str">
            <v>חבר</v>
          </cell>
          <cell r="E238">
            <v>74</v>
          </cell>
          <cell r="F238">
            <v>2</v>
          </cell>
          <cell r="G238">
            <v>2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</row>
        <row r="239">
          <cell r="A239" t="str">
            <v>2033</v>
          </cell>
          <cell r="B239" t="str">
            <v>סיידנר יהודה ועומר )רגב(</v>
          </cell>
          <cell r="C239" t="str">
            <v xml:space="preserve">פתוח      </v>
          </cell>
          <cell r="D239" t="str">
            <v>חבר במסב</v>
          </cell>
          <cell r="E239">
            <v>13.6</v>
          </cell>
          <cell r="F239">
            <v>2</v>
          </cell>
          <cell r="G239">
            <v>5</v>
          </cell>
          <cell r="H239">
            <v>1</v>
          </cell>
          <cell r="I239">
            <v>1</v>
          </cell>
          <cell r="J239">
            <v>1</v>
          </cell>
          <cell r="K239">
            <v>0</v>
          </cell>
          <cell r="L239">
            <v>0</v>
          </cell>
        </row>
        <row r="240">
          <cell r="A240" t="str">
            <v>1908</v>
          </cell>
          <cell r="B240" t="str">
            <v>קראוס נחמיה ושלומית</v>
          </cell>
          <cell r="C240" t="str">
            <v xml:space="preserve">פתוח      </v>
          </cell>
          <cell r="D240" t="str">
            <v>חבר</v>
          </cell>
          <cell r="E240">
            <v>71</v>
          </cell>
          <cell r="F240">
            <v>2</v>
          </cell>
          <cell r="G240">
            <v>2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 t="str">
            <v>2016</v>
          </cell>
          <cell r="B241" t="str">
            <v>רביב יגאל ומירב</v>
          </cell>
          <cell r="C241" t="str">
            <v xml:space="preserve">פתוח      </v>
          </cell>
          <cell r="D241" t="str">
            <v>חבר</v>
          </cell>
          <cell r="E241">
            <v>63</v>
          </cell>
          <cell r="F241">
            <v>2</v>
          </cell>
          <cell r="G241">
            <v>2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 t="str">
            <v>0107</v>
          </cell>
          <cell r="B242" t="str">
            <v>אורן יהודה והניה</v>
          </cell>
          <cell r="C242" t="str">
            <v xml:space="preserve">פתוח      </v>
          </cell>
          <cell r="D242" t="str">
            <v>חבר</v>
          </cell>
          <cell r="E242">
            <v>74</v>
          </cell>
          <cell r="F242">
            <v>2</v>
          </cell>
          <cell r="G242">
            <v>2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</row>
        <row r="243">
          <cell r="A243" t="str">
            <v>0608</v>
          </cell>
          <cell r="B243" t="str">
            <v>וילק שרגא ואילנה</v>
          </cell>
          <cell r="C243" t="str">
            <v xml:space="preserve">פתוח      </v>
          </cell>
          <cell r="D243" t="str">
            <v>חבר</v>
          </cell>
          <cell r="E243">
            <v>65.5</v>
          </cell>
          <cell r="F243">
            <v>2</v>
          </cell>
          <cell r="G243">
            <v>2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</row>
        <row r="244">
          <cell r="A244" t="str">
            <v>1207</v>
          </cell>
          <cell r="B244" t="str">
            <v>לבבי צבי וחנה</v>
          </cell>
          <cell r="C244" t="str">
            <v xml:space="preserve">פתוח      </v>
          </cell>
          <cell r="D244" t="str">
            <v>חבר</v>
          </cell>
          <cell r="E244">
            <v>72.5</v>
          </cell>
          <cell r="F244">
            <v>2</v>
          </cell>
          <cell r="G244">
            <v>2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0202</v>
          </cell>
          <cell r="B245" t="str">
            <v>ברודי אמנון אתי</v>
          </cell>
          <cell r="C245" t="str">
            <v xml:space="preserve">פתוח      </v>
          </cell>
          <cell r="D245" t="str">
            <v>חבר</v>
          </cell>
          <cell r="E245">
            <v>74</v>
          </cell>
          <cell r="F245">
            <v>2</v>
          </cell>
          <cell r="G245">
            <v>2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 t="str">
            <v>1261</v>
          </cell>
          <cell r="B246" t="str">
            <v>לבקוביץ ירון ועטרה</v>
          </cell>
          <cell r="C246" t="str">
            <v xml:space="preserve">פתוח      </v>
          </cell>
          <cell r="D246" t="str">
            <v>חבר</v>
          </cell>
          <cell r="E246">
            <v>24</v>
          </cell>
          <cell r="F246">
            <v>2</v>
          </cell>
          <cell r="G246">
            <v>6</v>
          </cell>
          <cell r="H246">
            <v>0</v>
          </cell>
          <cell r="I246">
            <v>0</v>
          </cell>
          <cell r="J246">
            <v>1</v>
          </cell>
          <cell r="K246">
            <v>1</v>
          </cell>
          <cell r="L246">
            <v>1</v>
          </cell>
        </row>
        <row r="247">
          <cell r="A247" t="str">
            <v>2121</v>
          </cell>
          <cell r="B247" t="str">
            <v>אלבז שריה ומוריה</v>
          </cell>
          <cell r="C247" t="str">
            <v xml:space="preserve">פתוח      </v>
          </cell>
          <cell r="D247" t="str">
            <v>חבר במסב</v>
          </cell>
          <cell r="E247">
            <v>16.8</v>
          </cell>
          <cell r="F247">
            <v>2</v>
          </cell>
          <cell r="G247">
            <v>5</v>
          </cell>
          <cell r="H247">
            <v>1</v>
          </cell>
          <cell r="I247">
            <v>1</v>
          </cell>
          <cell r="J247">
            <v>1</v>
          </cell>
          <cell r="K247">
            <v>0</v>
          </cell>
          <cell r="L247">
            <v>0</v>
          </cell>
        </row>
        <row r="248">
          <cell r="A248" t="str">
            <v>2011</v>
          </cell>
          <cell r="B248" t="str">
            <v>רביב יצחק ויעל</v>
          </cell>
          <cell r="C248" t="str">
            <v xml:space="preserve">פתוח      </v>
          </cell>
          <cell r="D248" t="str">
            <v>חבר</v>
          </cell>
          <cell r="E248">
            <v>65</v>
          </cell>
          <cell r="F248">
            <v>2</v>
          </cell>
          <cell r="G248">
            <v>2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</row>
        <row r="249">
          <cell r="A249" t="str">
            <v>0211</v>
          </cell>
          <cell r="B249" t="str">
            <v>ברודי נעם וקרן</v>
          </cell>
          <cell r="C249" t="str">
            <v xml:space="preserve">פתוח      </v>
          </cell>
          <cell r="D249" t="str">
            <v>חבר במסב</v>
          </cell>
          <cell r="E249">
            <v>31</v>
          </cell>
          <cell r="F249">
            <v>2</v>
          </cell>
          <cell r="G249">
            <v>5</v>
          </cell>
          <cell r="H249">
            <v>0</v>
          </cell>
          <cell r="I249">
            <v>0</v>
          </cell>
          <cell r="J249">
            <v>0</v>
          </cell>
          <cell r="K249">
            <v>1</v>
          </cell>
          <cell r="L249">
            <v>0</v>
          </cell>
        </row>
        <row r="250">
          <cell r="A250" t="str">
            <v>0217</v>
          </cell>
          <cell r="B250" t="str">
            <v>ברודי אלחנן ורחל</v>
          </cell>
          <cell r="C250" t="str">
            <v xml:space="preserve">פתוח      </v>
          </cell>
          <cell r="D250" t="str">
            <v>חבר</v>
          </cell>
          <cell r="E250">
            <v>70.5</v>
          </cell>
          <cell r="F250">
            <v>2</v>
          </cell>
          <cell r="G250">
            <v>2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</row>
        <row r="251">
          <cell r="A251" t="str">
            <v>0804</v>
          </cell>
          <cell r="B251" t="str">
            <v>חורש גדי ושרי</v>
          </cell>
          <cell r="C251" t="str">
            <v xml:space="preserve">פתוח      </v>
          </cell>
          <cell r="D251" t="str">
            <v>חבר</v>
          </cell>
          <cell r="E251">
            <v>67</v>
          </cell>
          <cell r="F251">
            <v>2</v>
          </cell>
          <cell r="G251">
            <v>2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</row>
      </sheetData>
      <sheetData sheetId="1"/>
      <sheetData sheetId="2">
        <row r="1">
          <cell r="B1" t="str">
            <v>סכומים לחיוב / זיכוי</v>
          </cell>
          <cell r="H1">
            <v>2126.8185916666671</v>
          </cell>
          <cell r="I1">
            <v>2126.8185916666671</v>
          </cell>
          <cell r="J1">
            <v>645.77062300754176</v>
          </cell>
          <cell r="K1">
            <v>1346.0314038474539</v>
          </cell>
          <cell r="L1">
            <v>1483.8483007966051</v>
          </cell>
        </row>
        <row r="2">
          <cell r="A2">
            <v>160</v>
          </cell>
          <cell r="B2" t="str">
            <v>סיכומים</v>
          </cell>
          <cell r="F2">
            <v>284</v>
          </cell>
          <cell r="G2">
            <v>548</v>
          </cell>
          <cell r="H2">
            <v>20</v>
          </cell>
          <cell r="I2">
            <v>31</v>
          </cell>
          <cell r="J2">
            <v>93</v>
          </cell>
          <cell r="K2">
            <v>30</v>
          </cell>
          <cell r="L2">
            <v>45</v>
          </cell>
          <cell r="AB2">
            <v>7500</v>
          </cell>
          <cell r="AC2">
            <v>4900</v>
          </cell>
        </row>
        <row r="3">
          <cell r="A3" t="str">
            <v>נתוני בסיס</v>
          </cell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A4" t="str">
            <v>קוד תקציב</v>
          </cell>
          <cell r="B4" t="str">
            <v>תאור תקציב</v>
          </cell>
          <cell r="C4" t="str">
            <v>מצב</v>
          </cell>
          <cell r="D4" t="str">
            <v>סוג תקציב</v>
          </cell>
          <cell r="E4" t="str">
            <v>גיל ממוצע</v>
          </cell>
          <cell r="F4" t="str">
            <v>חברים למשפחה</v>
          </cell>
          <cell r="G4" t="str">
            <v>נפשות למשפחה</v>
          </cell>
          <cell r="H4" t="str">
            <v>פעוט</v>
          </cell>
          <cell r="I4" t="str">
            <v>גנים</v>
          </cell>
          <cell r="J4" t="str">
            <v>יסודי</v>
          </cell>
          <cell r="K4" t="str">
            <v>חטיבה</v>
          </cell>
          <cell r="L4" t="str">
            <v>תיכון</v>
          </cell>
        </row>
        <row r="5">
          <cell r="A5" t="str">
            <v>2101</v>
          </cell>
          <cell r="B5" t="str">
            <v>דימנט דביר ורננה</v>
          </cell>
          <cell r="C5" t="str">
            <v xml:space="preserve">פתוח      </v>
          </cell>
          <cell r="D5" t="str">
            <v>חבר</v>
          </cell>
          <cell r="E5">
            <v>40</v>
          </cell>
          <cell r="F5">
            <v>2</v>
          </cell>
          <cell r="G5">
            <v>7</v>
          </cell>
          <cell r="H5">
            <v>1</v>
          </cell>
          <cell r="I5">
            <v>1</v>
          </cell>
          <cell r="J5">
            <v>3</v>
          </cell>
          <cell r="K5">
            <v>0</v>
          </cell>
          <cell r="L5">
            <v>0</v>
          </cell>
        </row>
        <row r="6">
          <cell r="A6" t="str">
            <v>2119</v>
          </cell>
          <cell r="B6" t="str">
            <v>שיין נפתלי וגילה</v>
          </cell>
          <cell r="C6" t="str">
            <v xml:space="preserve">פתוח      </v>
          </cell>
          <cell r="D6" t="str">
            <v>חבר</v>
          </cell>
          <cell r="E6">
            <v>50</v>
          </cell>
          <cell r="F6">
            <v>2</v>
          </cell>
          <cell r="G6">
            <v>8</v>
          </cell>
          <cell r="H6">
            <v>0</v>
          </cell>
          <cell r="I6">
            <v>0</v>
          </cell>
          <cell r="J6">
            <v>2</v>
          </cell>
          <cell r="K6">
            <v>1</v>
          </cell>
          <cell r="L6">
            <v>1</v>
          </cell>
        </row>
        <row r="7">
          <cell r="A7" t="str">
            <v>0701</v>
          </cell>
          <cell r="B7" t="str">
            <v>זיסק ישראל וגלית</v>
          </cell>
          <cell r="C7" t="str">
            <v xml:space="preserve">פתוח      </v>
          </cell>
          <cell r="D7" t="str">
            <v>חבר</v>
          </cell>
          <cell r="E7">
            <v>56</v>
          </cell>
          <cell r="F7">
            <v>2</v>
          </cell>
          <cell r="G7">
            <v>5</v>
          </cell>
          <cell r="H7">
            <v>0</v>
          </cell>
          <cell r="I7">
            <v>0</v>
          </cell>
          <cell r="J7">
            <v>1</v>
          </cell>
          <cell r="K7">
            <v>0</v>
          </cell>
          <cell r="L7">
            <v>2</v>
          </cell>
        </row>
        <row r="8">
          <cell r="A8" t="str">
            <v>1935</v>
          </cell>
          <cell r="B8" t="str">
            <v>קליין יוחאי ושלומית</v>
          </cell>
          <cell r="C8" t="str">
            <v xml:space="preserve">פתוח      </v>
          </cell>
          <cell r="D8" t="str">
            <v>חבר</v>
          </cell>
          <cell r="E8">
            <v>41.5</v>
          </cell>
          <cell r="F8">
            <v>2</v>
          </cell>
          <cell r="G8">
            <v>8</v>
          </cell>
          <cell r="H8">
            <v>1</v>
          </cell>
          <cell r="I8">
            <v>0</v>
          </cell>
          <cell r="J8">
            <v>3</v>
          </cell>
          <cell r="K8">
            <v>1</v>
          </cell>
          <cell r="L8">
            <v>1</v>
          </cell>
        </row>
        <row r="9">
          <cell r="A9" t="str">
            <v>0312</v>
          </cell>
          <cell r="B9" t="str">
            <v>כרמל איתמר ולימור</v>
          </cell>
          <cell r="C9" t="str">
            <v xml:space="preserve">פתוח      </v>
          </cell>
          <cell r="D9" t="str">
            <v>חבר</v>
          </cell>
          <cell r="E9">
            <v>41</v>
          </cell>
          <cell r="F9">
            <v>2</v>
          </cell>
          <cell r="G9">
            <v>7</v>
          </cell>
          <cell r="H9">
            <v>0</v>
          </cell>
          <cell r="I9">
            <v>1</v>
          </cell>
          <cell r="J9">
            <v>2</v>
          </cell>
          <cell r="K9">
            <v>1</v>
          </cell>
          <cell r="L9">
            <v>1</v>
          </cell>
        </row>
        <row r="10">
          <cell r="A10" t="str">
            <v>2031</v>
          </cell>
          <cell r="B10" t="str">
            <v>לוי נדב ואביב )רגב(</v>
          </cell>
          <cell r="C10" t="str">
            <v xml:space="preserve">פתוח      </v>
          </cell>
          <cell r="D10" t="str">
            <v>חבר</v>
          </cell>
          <cell r="E10">
            <v>32.5</v>
          </cell>
          <cell r="F10">
            <v>2</v>
          </cell>
          <cell r="G10">
            <v>6</v>
          </cell>
          <cell r="H10">
            <v>1</v>
          </cell>
          <cell r="I10">
            <v>1</v>
          </cell>
          <cell r="J10">
            <v>2</v>
          </cell>
          <cell r="K10">
            <v>0</v>
          </cell>
          <cell r="L10">
            <v>0</v>
          </cell>
        </row>
        <row r="11">
          <cell r="A11" t="str">
            <v>1923</v>
          </cell>
          <cell r="B11" t="str">
            <v>קליין דן וחדוה</v>
          </cell>
          <cell r="C11" t="str">
            <v xml:space="preserve">פתוח      </v>
          </cell>
          <cell r="D11" t="str">
            <v>חבר</v>
          </cell>
          <cell r="E11">
            <v>40</v>
          </cell>
          <cell r="F11">
            <v>2</v>
          </cell>
          <cell r="G11">
            <v>7</v>
          </cell>
          <cell r="H11">
            <v>0</v>
          </cell>
          <cell r="I11">
            <v>0</v>
          </cell>
          <cell r="J11">
            <v>3</v>
          </cell>
          <cell r="K11">
            <v>1</v>
          </cell>
          <cell r="L11">
            <v>1</v>
          </cell>
        </row>
        <row r="12">
          <cell r="A12" t="str">
            <v>0317</v>
          </cell>
          <cell r="B12" t="str">
            <v>גורי יעקב ונעמי</v>
          </cell>
          <cell r="C12" t="str">
            <v xml:space="preserve">פתוח      </v>
          </cell>
          <cell r="D12" t="str">
            <v>חבר</v>
          </cell>
          <cell r="E12">
            <v>42</v>
          </cell>
          <cell r="F12">
            <v>2</v>
          </cell>
          <cell r="G12">
            <v>7</v>
          </cell>
          <cell r="H12">
            <v>0</v>
          </cell>
          <cell r="I12">
            <v>2</v>
          </cell>
          <cell r="J12">
            <v>2</v>
          </cell>
          <cell r="K12">
            <v>1</v>
          </cell>
          <cell r="L12">
            <v>0</v>
          </cell>
        </row>
        <row r="13">
          <cell r="A13" t="str">
            <v>1119</v>
          </cell>
          <cell r="B13" t="str">
            <v>כהן שרון ושמחה</v>
          </cell>
          <cell r="C13" t="str">
            <v xml:space="preserve">פתוח      </v>
          </cell>
          <cell r="D13" t="str">
            <v>חבר</v>
          </cell>
          <cell r="E13">
            <v>54.5</v>
          </cell>
          <cell r="F13">
            <v>2</v>
          </cell>
          <cell r="G13">
            <v>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</row>
        <row r="14">
          <cell r="A14" t="str">
            <v>0411</v>
          </cell>
          <cell r="B14" t="str">
            <v>דבורקין דגן ואופיר</v>
          </cell>
          <cell r="C14" t="str">
            <v xml:space="preserve">פתוח      </v>
          </cell>
          <cell r="D14" t="str">
            <v>חבר</v>
          </cell>
          <cell r="E14">
            <v>34</v>
          </cell>
          <cell r="F14">
            <v>2</v>
          </cell>
          <cell r="G14">
            <v>4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1004</v>
          </cell>
          <cell r="B15" t="str">
            <v>יוגב ענת</v>
          </cell>
          <cell r="C15" t="str">
            <v xml:space="preserve">פתוח      </v>
          </cell>
          <cell r="D15" t="str">
            <v>חבר</v>
          </cell>
          <cell r="E15">
            <v>55</v>
          </cell>
          <cell r="F15">
            <v>1</v>
          </cell>
          <cell r="G15">
            <v>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2</v>
          </cell>
        </row>
        <row r="16">
          <cell r="A16" t="str">
            <v>0705</v>
          </cell>
          <cell r="B16" t="str">
            <v>זיו עמית ואסתי</v>
          </cell>
          <cell r="C16" t="str">
            <v xml:space="preserve">פתוח      </v>
          </cell>
          <cell r="D16" t="str">
            <v>חבר</v>
          </cell>
          <cell r="E16">
            <v>37</v>
          </cell>
          <cell r="F16">
            <v>2</v>
          </cell>
          <cell r="G16">
            <v>8</v>
          </cell>
          <cell r="H16">
            <v>1</v>
          </cell>
          <cell r="I16">
            <v>1</v>
          </cell>
          <cell r="J16">
            <v>3</v>
          </cell>
          <cell r="K16">
            <v>1</v>
          </cell>
          <cell r="L16">
            <v>0</v>
          </cell>
        </row>
        <row r="17">
          <cell r="A17" t="str">
            <v>2050</v>
          </cell>
          <cell r="B17" t="str">
            <v>ריינר שירה ואריאל</v>
          </cell>
          <cell r="C17" t="str">
            <v xml:space="preserve">פתוח      </v>
          </cell>
          <cell r="D17" t="str">
            <v>חבר</v>
          </cell>
          <cell r="E17">
            <v>34.5</v>
          </cell>
          <cell r="F17">
            <v>2</v>
          </cell>
          <cell r="G17">
            <v>5</v>
          </cell>
          <cell r="H17">
            <v>1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1214</v>
          </cell>
          <cell r="B18" t="str">
            <v>ליפטשר אבינועם ועופרה</v>
          </cell>
          <cell r="C18" t="str">
            <v xml:space="preserve">פתוח      </v>
          </cell>
          <cell r="D18" t="str">
            <v>חבר</v>
          </cell>
          <cell r="E18">
            <v>66.5</v>
          </cell>
          <cell r="F18">
            <v>2</v>
          </cell>
          <cell r="G18">
            <v>5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3</v>
          </cell>
        </row>
        <row r="19">
          <cell r="A19" t="str">
            <v>0115</v>
          </cell>
          <cell r="B19" t="str">
            <v>אלדד נפתלי ומאשי</v>
          </cell>
          <cell r="C19" t="str">
            <v xml:space="preserve">פתוח      </v>
          </cell>
          <cell r="D19" t="str">
            <v>חבר</v>
          </cell>
          <cell r="E19">
            <v>62.5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A20" t="str">
            <v>2113</v>
          </cell>
          <cell r="B20" t="str">
            <v>שאול איתי ויעל</v>
          </cell>
          <cell r="C20" t="str">
            <v xml:space="preserve">פתוח      </v>
          </cell>
          <cell r="D20" t="str">
            <v>חבר</v>
          </cell>
          <cell r="E20">
            <v>40</v>
          </cell>
          <cell r="F20">
            <v>2</v>
          </cell>
          <cell r="G20">
            <v>7</v>
          </cell>
          <cell r="H20">
            <v>0</v>
          </cell>
          <cell r="I20">
            <v>1</v>
          </cell>
          <cell r="J20">
            <v>2</v>
          </cell>
          <cell r="K20">
            <v>1</v>
          </cell>
          <cell r="L20">
            <v>1</v>
          </cell>
        </row>
        <row r="21">
          <cell r="A21" t="str">
            <v>0249</v>
          </cell>
          <cell r="B21" t="str">
            <v>עובדיה לוטם</v>
          </cell>
          <cell r="C21" t="str">
            <v xml:space="preserve">פתוח      </v>
          </cell>
          <cell r="D21" t="str">
            <v>חבר</v>
          </cell>
          <cell r="E21">
            <v>40</v>
          </cell>
          <cell r="F21">
            <v>1</v>
          </cell>
          <cell r="G21">
            <v>3</v>
          </cell>
          <cell r="H21">
            <v>0</v>
          </cell>
          <cell r="I21">
            <v>0</v>
          </cell>
          <cell r="J21">
            <v>0</v>
          </cell>
          <cell r="K21">
            <v>1</v>
          </cell>
          <cell r="L21">
            <v>1</v>
          </cell>
        </row>
        <row r="22">
          <cell r="A22" t="str">
            <v>1304</v>
          </cell>
          <cell r="B22" t="str">
            <v>מור יוסף אליה ושילת</v>
          </cell>
          <cell r="C22" t="str">
            <v xml:space="preserve">פתוח      </v>
          </cell>
          <cell r="D22" t="str">
            <v>חבר</v>
          </cell>
          <cell r="E22">
            <v>31</v>
          </cell>
          <cell r="F22">
            <v>2</v>
          </cell>
          <cell r="G22">
            <v>6</v>
          </cell>
          <cell r="H22">
            <v>1</v>
          </cell>
          <cell r="I22">
            <v>1</v>
          </cell>
          <cell r="J22">
            <v>2</v>
          </cell>
          <cell r="K22">
            <v>0</v>
          </cell>
          <cell r="L22">
            <v>0</v>
          </cell>
        </row>
        <row r="23">
          <cell r="A23" t="str">
            <v>1301</v>
          </cell>
          <cell r="B23" t="str">
            <v>מידב כפיר ורחל</v>
          </cell>
          <cell r="C23" t="str">
            <v xml:space="preserve">פתוח      </v>
          </cell>
          <cell r="D23" t="str">
            <v>חבר</v>
          </cell>
          <cell r="E23">
            <v>53.5</v>
          </cell>
          <cell r="F23">
            <v>2</v>
          </cell>
          <cell r="G23">
            <v>6</v>
          </cell>
          <cell r="H23">
            <v>0</v>
          </cell>
          <cell r="I23">
            <v>0</v>
          </cell>
          <cell r="J23">
            <v>2</v>
          </cell>
          <cell r="K23">
            <v>0</v>
          </cell>
          <cell r="L23">
            <v>2</v>
          </cell>
        </row>
        <row r="24">
          <cell r="A24" t="str">
            <v>0813</v>
          </cell>
          <cell r="B24" t="str">
            <v>גדסי מיכאל ותמר</v>
          </cell>
          <cell r="C24" t="str">
            <v xml:space="preserve">פתוח      </v>
          </cell>
          <cell r="D24" t="str">
            <v>חבר</v>
          </cell>
          <cell r="E24">
            <v>35.5</v>
          </cell>
          <cell r="F24">
            <v>2</v>
          </cell>
          <cell r="G24">
            <v>5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</row>
        <row r="25">
          <cell r="A25" t="str">
            <v>1922</v>
          </cell>
          <cell r="B25" t="str">
            <v>קרליבך ישי ונועה</v>
          </cell>
          <cell r="C25" t="str">
            <v xml:space="preserve">פתוח      </v>
          </cell>
          <cell r="D25" t="str">
            <v>חבר</v>
          </cell>
          <cell r="E25">
            <v>42</v>
          </cell>
          <cell r="F25">
            <v>2</v>
          </cell>
          <cell r="G25">
            <v>7</v>
          </cell>
          <cell r="H25">
            <v>0</v>
          </cell>
          <cell r="I25">
            <v>0</v>
          </cell>
          <cell r="J25">
            <v>3</v>
          </cell>
          <cell r="K25">
            <v>1</v>
          </cell>
          <cell r="L25">
            <v>1</v>
          </cell>
        </row>
        <row r="26">
          <cell r="A26" t="str">
            <v>2122</v>
          </cell>
          <cell r="B26" t="str">
            <v>שרעבי אביאל ואסנת</v>
          </cell>
          <cell r="C26" t="str">
            <v xml:space="preserve">פתוח      </v>
          </cell>
          <cell r="D26" t="str">
            <v>חבר</v>
          </cell>
          <cell r="E26">
            <v>44</v>
          </cell>
          <cell r="F26">
            <v>2</v>
          </cell>
          <cell r="G26">
            <v>7</v>
          </cell>
          <cell r="H26">
            <v>0</v>
          </cell>
          <cell r="I26">
            <v>0</v>
          </cell>
          <cell r="J26">
            <v>3</v>
          </cell>
          <cell r="K26">
            <v>1</v>
          </cell>
          <cell r="L26">
            <v>1</v>
          </cell>
        </row>
        <row r="27">
          <cell r="A27" t="str">
            <v>0125</v>
          </cell>
          <cell r="B27" t="str">
            <v>אדלר בלימה</v>
          </cell>
          <cell r="C27" t="str">
            <v xml:space="preserve">פתוח      </v>
          </cell>
          <cell r="D27" t="str">
            <v>חבר</v>
          </cell>
          <cell r="E27">
            <v>73</v>
          </cell>
          <cell r="F27">
            <v>1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0111</v>
          </cell>
          <cell r="B28" t="str">
            <v>אמיר מיכה ותמר</v>
          </cell>
          <cell r="C28" t="str">
            <v xml:space="preserve">פתוח      </v>
          </cell>
          <cell r="D28" t="str">
            <v>חבר</v>
          </cell>
          <cell r="E28">
            <v>63</v>
          </cell>
          <cell r="F28">
            <v>2</v>
          </cell>
          <cell r="G28">
            <v>2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A29" t="str">
            <v>0504</v>
          </cell>
          <cell r="B29" t="str">
            <v>המר בועז ודליה</v>
          </cell>
          <cell r="C29" t="str">
            <v xml:space="preserve">פתוח      </v>
          </cell>
          <cell r="D29" t="str">
            <v>חבר</v>
          </cell>
          <cell r="E29">
            <v>62</v>
          </cell>
          <cell r="F29">
            <v>2</v>
          </cell>
          <cell r="G29">
            <v>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A30" t="str">
            <v>2022</v>
          </cell>
          <cell r="B30" t="str">
            <v>רייך ענת</v>
          </cell>
          <cell r="C30" t="str">
            <v xml:space="preserve">פתוח      </v>
          </cell>
          <cell r="D30" t="str">
            <v>חבר</v>
          </cell>
          <cell r="E30">
            <v>54</v>
          </cell>
          <cell r="F30">
            <v>1</v>
          </cell>
          <cell r="G30">
            <v>3</v>
          </cell>
          <cell r="H30">
            <v>0</v>
          </cell>
          <cell r="I30">
            <v>0</v>
          </cell>
          <cell r="J30">
            <v>0</v>
          </cell>
          <cell r="K30">
            <v>1</v>
          </cell>
          <cell r="L30">
            <v>1</v>
          </cell>
        </row>
        <row r="31">
          <cell r="A31" t="str">
            <v>0815</v>
          </cell>
          <cell r="B31" t="str">
            <v>חסון טל וחגית</v>
          </cell>
          <cell r="C31" t="str">
            <v xml:space="preserve">פתוח      </v>
          </cell>
          <cell r="D31" t="str">
            <v>חבר</v>
          </cell>
          <cell r="E31">
            <v>38.5</v>
          </cell>
          <cell r="F31">
            <v>2</v>
          </cell>
          <cell r="G31">
            <v>7</v>
          </cell>
          <cell r="H31">
            <v>0</v>
          </cell>
          <cell r="I31">
            <v>1</v>
          </cell>
          <cell r="J31">
            <v>3</v>
          </cell>
          <cell r="K31">
            <v>0</v>
          </cell>
          <cell r="L31">
            <v>1</v>
          </cell>
        </row>
        <row r="32">
          <cell r="A32" t="str">
            <v>0614</v>
          </cell>
          <cell r="B32" t="str">
            <v>וילק נדב ואורטל</v>
          </cell>
          <cell r="C32" t="str">
            <v xml:space="preserve">פתוח      </v>
          </cell>
          <cell r="D32" t="str">
            <v>חבר</v>
          </cell>
          <cell r="E32">
            <v>35.5</v>
          </cell>
          <cell r="F32">
            <v>2</v>
          </cell>
          <cell r="G32">
            <v>5</v>
          </cell>
          <cell r="H32">
            <v>1</v>
          </cell>
          <cell r="I32">
            <v>1</v>
          </cell>
          <cell r="J32">
            <v>1</v>
          </cell>
          <cell r="K32">
            <v>0</v>
          </cell>
          <cell r="L32">
            <v>0</v>
          </cell>
        </row>
        <row r="33">
          <cell r="A33" t="str">
            <v>0407</v>
          </cell>
          <cell r="B33" t="str">
            <v>דבורקין שמעון ורחל</v>
          </cell>
          <cell r="C33" t="str">
            <v xml:space="preserve">פתוח      </v>
          </cell>
          <cell r="D33" t="str">
            <v>חבר</v>
          </cell>
          <cell r="E33">
            <v>66.5</v>
          </cell>
          <cell r="F33">
            <v>2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1708</v>
          </cell>
          <cell r="B34" t="str">
            <v>פז תמי</v>
          </cell>
          <cell r="C34" t="str">
            <v xml:space="preserve">פתוח      </v>
          </cell>
          <cell r="D34" t="str">
            <v>חבר</v>
          </cell>
          <cell r="E34">
            <v>61</v>
          </cell>
          <cell r="F34">
            <v>1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0226</v>
          </cell>
          <cell r="B35" t="str">
            <v>בר מאור ושלי</v>
          </cell>
          <cell r="C35" t="str">
            <v xml:space="preserve">פתוח      </v>
          </cell>
          <cell r="D35" t="str">
            <v>חבר</v>
          </cell>
          <cell r="E35">
            <v>45.5</v>
          </cell>
          <cell r="F35">
            <v>2</v>
          </cell>
          <cell r="G35">
            <v>5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</row>
        <row r="36">
          <cell r="A36" t="str">
            <v>1910</v>
          </cell>
          <cell r="B36" t="str">
            <v>קרליבך רועי ועינב</v>
          </cell>
          <cell r="C36" t="str">
            <v xml:space="preserve">פתוח      </v>
          </cell>
          <cell r="D36" t="str">
            <v>חבר</v>
          </cell>
          <cell r="E36">
            <v>33</v>
          </cell>
          <cell r="F36">
            <v>2</v>
          </cell>
          <cell r="G36">
            <v>4</v>
          </cell>
          <cell r="H36">
            <v>1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1213</v>
          </cell>
          <cell r="B37" t="str">
            <v>הורן יהודה ויעל</v>
          </cell>
          <cell r="C37" t="str">
            <v xml:space="preserve">פתוח      </v>
          </cell>
          <cell r="D37" t="str">
            <v>חבר</v>
          </cell>
          <cell r="E37">
            <v>39</v>
          </cell>
          <cell r="F37">
            <v>2</v>
          </cell>
          <cell r="G37">
            <v>7</v>
          </cell>
          <cell r="H37">
            <v>1</v>
          </cell>
          <cell r="I37">
            <v>1</v>
          </cell>
          <cell r="J37">
            <v>3</v>
          </cell>
          <cell r="K37">
            <v>0</v>
          </cell>
          <cell r="L37">
            <v>0</v>
          </cell>
        </row>
        <row r="38">
          <cell r="A38" t="str">
            <v>0110</v>
          </cell>
          <cell r="B38" t="str">
            <v>אדלר מרדכי</v>
          </cell>
          <cell r="C38" t="str">
            <v xml:space="preserve">פתוח      </v>
          </cell>
          <cell r="D38" t="str">
            <v>חבר</v>
          </cell>
          <cell r="E38">
            <v>72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A39" t="str">
            <v>1706</v>
          </cell>
          <cell r="B39" t="str">
            <v>פטרסון אליהו וג`נט</v>
          </cell>
          <cell r="C39" t="str">
            <v xml:space="preserve">פתוח      </v>
          </cell>
          <cell r="D39" t="str">
            <v>חבר</v>
          </cell>
          <cell r="E39">
            <v>78</v>
          </cell>
          <cell r="F39">
            <v>1</v>
          </cell>
          <cell r="G39">
            <v>1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0413</v>
          </cell>
          <cell r="B40" t="str">
            <v>דורון אסף</v>
          </cell>
          <cell r="C40" t="str">
            <v xml:space="preserve">פתוח      </v>
          </cell>
          <cell r="D40" t="str">
            <v>חבר</v>
          </cell>
          <cell r="E40">
            <v>55</v>
          </cell>
          <cell r="F40">
            <v>1</v>
          </cell>
          <cell r="G40">
            <v>1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1931</v>
          </cell>
          <cell r="B41" t="str">
            <v>ספיר תומר ונעמה</v>
          </cell>
          <cell r="C41" t="str">
            <v xml:space="preserve">פתוח      </v>
          </cell>
          <cell r="D41" t="str">
            <v>חבר</v>
          </cell>
          <cell r="E41">
            <v>36</v>
          </cell>
          <cell r="F41">
            <v>2</v>
          </cell>
          <cell r="G41">
            <v>4</v>
          </cell>
          <cell r="H41">
            <v>1</v>
          </cell>
          <cell r="I41">
            <v>1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2017</v>
          </cell>
          <cell r="B42" t="str">
            <v>רוט צבי ונורית</v>
          </cell>
          <cell r="C42" t="str">
            <v xml:space="preserve">פתוח      </v>
          </cell>
          <cell r="D42" t="str">
            <v>חבר</v>
          </cell>
          <cell r="E42">
            <v>60</v>
          </cell>
          <cell r="F42">
            <v>1</v>
          </cell>
          <cell r="G42">
            <v>4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</v>
          </cell>
        </row>
        <row r="43">
          <cell r="A43" t="str">
            <v>0309</v>
          </cell>
          <cell r="B43" t="str">
            <v>גלבוע נעם</v>
          </cell>
          <cell r="C43" t="str">
            <v xml:space="preserve">פתוח      </v>
          </cell>
          <cell r="D43" t="str">
            <v>חבר</v>
          </cell>
          <cell r="E43">
            <v>42</v>
          </cell>
          <cell r="F43">
            <v>1</v>
          </cell>
          <cell r="G43">
            <v>4</v>
          </cell>
          <cell r="H43">
            <v>0</v>
          </cell>
          <cell r="I43">
            <v>0</v>
          </cell>
          <cell r="J43">
            <v>1</v>
          </cell>
          <cell r="K43">
            <v>0</v>
          </cell>
          <cell r="L43">
            <v>1</v>
          </cell>
        </row>
        <row r="44">
          <cell r="A44" t="str">
            <v>0523</v>
          </cell>
          <cell r="B44" t="str">
            <v>הבר נעם ושירה</v>
          </cell>
          <cell r="C44" t="str">
            <v xml:space="preserve">פתוח      </v>
          </cell>
          <cell r="D44" t="str">
            <v>חבר</v>
          </cell>
          <cell r="E44">
            <v>40</v>
          </cell>
          <cell r="F44">
            <v>2</v>
          </cell>
          <cell r="G44">
            <v>6</v>
          </cell>
          <cell r="H44">
            <v>0</v>
          </cell>
          <cell r="I44">
            <v>1</v>
          </cell>
          <cell r="J44">
            <v>3</v>
          </cell>
          <cell r="K44">
            <v>0</v>
          </cell>
          <cell r="L44">
            <v>0</v>
          </cell>
        </row>
        <row r="45">
          <cell r="A45" t="str">
            <v>0408</v>
          </cell>
          <cell r="B45" t="str">
            <v>דורון מירב</v>
          </cell>
          <cell r="C45" t="str">
            <v xml:space="preserve">פתוח      </v>
          </cell>
          <cell r="D45" t="str">
            <v>חבר</v>
          </cell>
          <cell r="E45">
            <v>55</v>
          </cell>
          <cell r="F45">
            <v>1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1</v>
          </cell>
          <cell r="L45">
            <v>0</v>
          </cell>
        </row>
        <row r="46">
          <cell r="A46" t="str">
            <v>1607</v>
          </cell>
          <cell r="B46" t="str">
            <v>גרוס אלעד ואביב</v>
          </cell>
          <cell r="C46" t="str">
            <v xml:space="preserve">פתוח      </v>
          </cell>
          <cell r="D46" t="str">
            <v>חבר</v>
          </cell>
          <cell r="E46">
            <v>32.5</v>
          </cell>
          <cell r="F46">
            <v>2</v>
          </cell>
          <cell r="G46">
            <v>4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0</v>
          </cell>
        </row>
        <row r="47">
          <cell r="A47" t="str">
            <v>0252</v>
          </cell>
          <cell r="B47" t="str">
            <v>בן אהרון ערן ודפנה</v>
          </cell>
          <cell r="C47" t="str">
            <v xml:space="preserve">פתוח      </v>
          </cell>
          <cell r="D47" t="str">
            <v>חבר</v>
          </cell>
          <cell r="E47">
            <v>43</v>
          </cell>
          <cell r="F47">
            <v>2</v>
          </cell>
          <cell r="G47">
            <v>6</v>
          </cell>
          <cell r="H47">
            <v>0</v>
          </cell>
          <cell r="I47">
            <v>0</v>
          </cell>
          <cell r="J47">
            <v>2</v>
          </cell>
          <cell r="K47">
            <v>1</v>
          </cell>
          <cell r="L47">
            <v>1</v>
          </cell>
        </row>
        <row r="48">
          <cell r="A48" t="str">
            <v>2118</v>
          </cell>
          <cell r="B48" t="str">
            <v>דורון רותם</v>
          </cell>
          <cell r="C48" t="str">
            <v xml:space="preserve">פתוח      </v>
          </cell>
          <cell r="D48" t="str">
            <v>חבר</v>
          </cell>
          <cell r="E48">
            <v>39</v>
          </cell>
          <cell r="F48">
            <v>1</v>
          </cell>
          <cell r="G48">
            <v>3</v>
          </cell>
          <cell r="H48">
            <v>0</v>
          </cell>
          <cell r="I48">
            <v>0</v>
          </cell>
          <cell r="J48">
            <v>1</v>
          </cell>
          <cell r="K48">
            <v>1</v>
          </cell>
          <cell r="L48">
            <v>0</v>
          </cell>
        </row>
        <row r="49">
          <cell r="A49" t="str">
            <v>1103</v>
          </cell>
          <cell r="B49" t="str">
            <v>כלפה רותי</v>
          </cell>
          <cell r="C49" t="str">
            <v xml:space="preserve">פתוח      </v>
          </cell>
          <cell r="D49" t="str">
            <v>חבר</v>
          </cell>
          <cell r="E49">
            <v>80</v>
          </cell>
          <cell r="F49">
            <v>1</v>
          </cell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A50" t="str">
            <v>1710</v>
          </cell>
          <cell r="B50" t="str">
            <v>פרג`ון מוטי ואורית</v>
          </cell>
          <cell r="C50" t="str">
            <v xml:space="preserve">פתוח      </v>
          </cell>
          <cell r="D50" t="str">
            <v>חבר</v>
          </cell>
          <cell r="E50">
            <v>62.5</v>
          </cell>
          <cell r="F50">
            <v>2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A51" t="str">
            <v>1501</v>
          </cell>
          <cell r="B51" t="str">
            <v>סוקל רחל</v>
          </cell>
          <cell r="C51" t="str">
            <v xml:space="preserve">פתוח      </v>
          </cell>
          <cell r="D51" t="str">
            <v>חבר</v>
          </cell>
          <cell r="E51">
            <v>96</v>
          </cell>
          <cell r="F51">
            <v>1</v>
          </cell>
          <cell r="G51">
            <v>1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 t="str">
            <v>2005</v>
          </cell>
          <cell r="B52" t="str">
            <v>רביב דבורה</v>
          </cell>
          <cell r="C52" t="str">
            <v xml:space="preserve">פתוח      </v>
          </cell>
          <cell r="D52" t="str">
            <v>חבר</v>
          </cell>
          <cell r="E52">
            <v>89</v>
          </cell>
          <cell r="F52">
            <v>1</v>
          </cell>
          <cell r="G52">
            <v>1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A53" t="str">
            <v>2109</v>
          </cell>
          <cell r="B53" t="str">
            <v>שיין יהודה וורדה</v>
          </cell>
          <cell r="C53" t="str">
            <v xml:space="preserve">פתוח      </v>
          </cell>
          <cell r="D53" t="str">
            <v>חבר</v>
          </cell>
          <cell r="E53">
            <v>83</v>
          </cell>
          <cell r="F53">
            <v>1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A54" t="str">
            <v>0805</v>
          </cell>
          <cell r="B54" t="str">
            <v>חורש עופר ולידור</v>
          </cell>
          <cell r="C54" t="str">
            <v xml:space="preserve">פתוח      </v>
          </cell>
          <cell r="D54" t="str">
            <v>חבר</v>
          </cell>
          <cell r="E54">
            <v>44.5</v>
          </cell>
          <cell r="F54">
            <v>2</v>
          </cell>
          <cell r="G54">
            <v>9</v>
          </cell>
          <cell r="H54">
            <v>0</v>
          </cell>
          <cell r="I54">
            <v>1</v>
          </cell>
          <cell r="J54">
            <v>2</v>
          </cell>
          <cell r="K54">
            <v>1</v>
          </cell>
          <cell r="L54">
            <v>1</v>
          </cell>
        </row>
        <row r="55">
          <cell r="A55" t="str">
            <v>0306</v>
          </cell>
          <cell r="B55" t="str">
            <v>גוזלנד שמעון ומוריה</v>
          </cell>
          <cell r="C55" t="str">
            <v xml:space="preserve">פתוח      </v>
          </cell>
          <cell r="D55" t="str">
            <v>חבר</v>
          </cell>
          <cell r="E55">
            <v>46.5</v>
          </cell>
          <cell r="F55">
            <v>2</v>
          </cell>
          <cell r="G55">
            <v>6</v>
          </cell>
          <cell r="H55">
            <v>0</v>
          </cell>
          <cell r="I55">
            <v>0</v>
          </cell>
          <cell r="J55">
            <v>2</v>
          </cell>
          <cell r="K55">
            <v>1</v>
          </cell>
          <cell r="L55">
            <v>1</v>
          </cell>
        </row>
        <row r="56">
          <cell r="A56" t="str">
            <v>0605</v>
          </cell>
          <cell r="B56" t="str">
            <v>וילדשטיין דוד ורותי</v>
          </cell>
          <cell r="C56" t="str">
            <v xml:space="preserve">פתוח      </v>
          </cell>
          <cell r="D56" t="str">
            <v>חבר</v>
          </cell>
          <cell r="E56">
            <v>69.5</v>
          </cell>
          <cell r="F56">
            <v>2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1005</v>
          </cell>
          <cell r="B57" t="str">
            <v>יקיר הראל ואורית</v>
          </cell>
          <cell r="C57" t="str">
            <v xml:space="preserve">פתוח      </v>
          </cell>
          <cell r="D57" t="str">
            <v>חבר</v>
          </cell>
          <cell r="E57">
            <v>51</v>
          </cell>
          <cell r="F57">
            <v>2</v>
          </cell>
          <cell r="G57">
            <v>5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</row>
        <row r="58">
          <cell r="A58" t="str">
            <v>0237</v>
          </cell>
          <cell r="B58" t="str">
            <v>ברבן אבי ותמי</v>
          </cell>
          <cell r="C58" t="str">
            <v xml:space="preserve">פתוח      </v>
          </cell>
          <cell r="D58" t="str">
            <v>חבר</v>
          </cell>
          <cell r="E58">
            <v>61</v>
          </cell>
          <cell r="F58">
            <v>2</v>
          </cell>
          <cell r="G58">
            <v>4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A59" t="str">
            <v>1714</v>
          </cell>
          <cell r="B59" t="str">
            <v>גוב ארי מוטי ואורטל</v>
          </cell>
          <cell r="C59" t="str">
            <v xml:space="preserve">פתוח      </v>
          </cell>
          <cell r="D59" t="str">
            <v>חבר</v>
          </cell>
          <cell r="E59">
            <v>42</v>
          </cell>
          <cell r="F59">
            <v>2</v>
          </cell>
          <cell r="G59">
            <v>6</v>
          </cell>
          <cell r="H59">
            <v>1</v>
          </cell>
          <cell r="I59">
            <v>1</v>
          </cell>
          <cell r="J59">
            <v>2</v>
          </cell>
          <cell r="K59">
            <v>0</v>
          </cell>
          <cell r="L59">
            <v>0</v>
          </cell>
        </row>
        <row r="60">
          <cell r="A60" t="str">
            <v>0121</v>
          </cell>
          <cell r="B60" t="str">
            <v>אלדד מוטי</v>
          </cell>
          <cell r="C60" t="str">
            <v xml:space="preserve">פתוח      </v>
          </cell>
          <cell r="D60" t="str">
            <v>חבר</v>
          </cell>
          <cell r="E60">
            <v>56</v>
          </cell>
          <cell r="F60">
            <v>1</v>
          </cell>
          <cell r="G60">
            <v>1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A61" t="str">
            <v>0212</v>
          </cell>
          <cell r="B61" t="str">
            <v>בירנבאום צביקה ואורה</v>
          </cell>
          <cell r="C61" t="str">
            <v xml:space="preserve">פתוח      </v>
          </cell>
          <cell r="D61" t="str">
            <v>חבר</v>
          </cell>
          <cell r="E61">
            <v>67</v>
          </cell>
          <cell r="F61">
            <v>2</v>
          </cell>
          <cell r="G61">
            <v>2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A62" t="str">
            <v>0613</v>
          </cell>
          <cell r="B62" t="str">
            <v>ויסטוך משה ונעה</v>
          </cell>
          <cell r="C62" t="str">
            <v xml:space="preserve">פתוח      </v>
          </cell>
          <cell r="D62" t="str">
            <v>חבר</v>
          </cell>
          <cell r="E62">
            <v>44</v>
          </cell>
          <cell r="F62">
            <v>2</v>
          </cell>
          <cell r="G62">
            <v>8</v>
          </cell>
          <cell r="H62">
            <v>0</v>
          </cell>
          <cell r="I62">
            <v>0</v>
          </cell>
          <cell r="J62">
            <v>3</v>
          </cell>
          <cell r="K62">
            <v>1</v>
          </cell>
          <cell r="L62">
            <v>1</v>
          </cell>
        </row>
        <row r="63">
          <cell r="A63" t="str">
            <v>0603</v>
          </cell>
          <cell r="B63" t="str">
            <v>וולברג משה ז"ל ומרים</v>
          </cell>
          <cell r="C63" t="str">
            <v xml:space="preserve">פתוח      </v>
          </cell>
          <cell r="D63" t="str">
            <v>חבר</v>
          </cell>
          <cell r="E63">
            <v>90</v>
          </cell>
          <cell r="F63">
            <v>1</v>
          </cell>
          <cell r="G63">
            <v>1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A64" t="str">
            <v>0114</v>
          </cell>
          <cell r="B64" t="str">
            <v>אביעד עמיחי ורבקה</v>
          </cell>
          <cell r="C64" t="str">
            <v xml:space="preserve">פתוח      </v>
          </cell>
          <cell r="D64" t="str">
            <v>חבר</v>
          </cell>
          <cell r="E64">
            <v>66.5</v>
          </cell>
          <cell r="F64">
            <v>2</v>
          </cell>
          <cell r="G64">
            <v>2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A65" t="str">
            <v>0505</v>
          </cell>
          <cell r="B65" t="str">
            <v>המר יוסי ונילי</v>
          </cell>
          <cell r="C65" t="str">
            <v xml:space="preserve">פתוח      </v>
          </cell>
          <cell r="D65" t="str">
            <v>חבר</v>
          </cell>
          <cell r="E65">
            <v>69</v>
          </cell>
          <cell r="F65">
            <v>1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A66" t="str">
            <v>0134</v>
          </cell>
          <cell r="B66" t="str">
            <v>אלדד שלומי ונעה</v>
          </cell>
          <cell r="C66" t="str">
            <v xml:space="preserve">פתוח      </v>
          </cell>
          <cell r="D66" t="str">
            <v>חבר</v>
          </cell>
          <cell r="E66">
            <v>36.5</v>
          </cell>
          <cell r="F66">
            <v>2</v>
          </cell>
          <cell r="G66">
            <v>7</v>
          </cell>
          <cell r="H66">
            <v>1</v>
          </cell>
          <cell r="I66">
            <v>1</v>
          </cell>
          <cell r="J66">
            <v>2</v>
          </cell>
          <cell r="K66">
            <v>1</v>
          </cell>
          <cell r="L66">
            <v>0</v>
          </cell>
        </row>
        <row r="67">
          <cell r="A67" t="str">
            <v>1401</v>
          </cell>
          <cell r="B67" t="str">
            <v>נדיבי רבקה</v>
          </cell>
          <cell r="C67" t="str">
            <v xml:space="preserve">פתוח      </v>
          </cell>
          <cell r="D67" t="str">
            <v>חבר</v>
          </cell>
          <cell r="E67">
            <v>99</v>
          </cell>
          <cell r="F67">
            <v>1</v>
          </cell>
          <cell r="G67">
            <v>1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A68" t="str">
            <v>1102</v>
          </cell>
          <cell r="B68" t="str">
            <v>כפיר קלי ויהודית</v>
          </cell>
          <cell r="C68" t="str">
            <v xml:space="preserve">פתוח      </v>
          </cell>
          <cell r="D68" t="str">
            <v>חבר</v>
          </cell>
          <cell r="E68">
            <v>77.5</v>
          </cell>
          <cell r="F68">
            <v>2</v>
          </cell>
          <cell r="G68">
            <v>2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A69" t="str">
            <v>0206</v>
          </cell>
          <cell r="B69" t="str">
            <v>בן יעקב שאולה</v>
          </cell>
          <cell r="C69" t="str">
            <v xml:space="preserve">פתוח      </v>
          </cell>
          <cell r="D69" t="str">
            <v>חבר</v>
          </cell>
          <cell r="E69">
            <v>86</v>
          </cell>
          <cell r="F69">
            <v>1</v>
          </cell>
          <cell r="G69">
            <v>1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 t="str">
            <v>0302</v>
          </cell>
          <cell r="B70" t="str">
            <v>גלבוע מרדכי ז"ל וחנה</v>
          </cell>
          <cell r="C70" t="str">
            <v xml:space="preserve">פתוח      </v>
          </cell>
          <cell r="D70" t="str">
            <v>חבר</v>
          </cell>
          <cell r="E70">
            <v>100</v>
          </cell>
          <cell r="F70">
            <v>1</v>
          </cell>
          <cell r="G70">
            <v>1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A71" t="str">
            <v>0502</v>
          </cell>
          <cell r="B71" t="str">
            <v>הרטוב שרה</v>
          </cell>
          <cell r="C71" t="str">
            <v xml:space="preserve">פתוח      </v>
          </cell>
          <cell r="D71" t="str">
            <v>חבר</v>
          </cell>
          <cell r="E71">
            <v>99</v>
          </cell>
          <cell r="F71">
            <v>1</v>
          </cell>
          <cell r="G71">
            <v>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A72" t="str">
            <v>1203</v>
          </cell>
          <cell r="B72" t="str">
            <v>לבנה מרים</v>
          </cell>
          <cell r="C72" t="str">
            <v xml:space="preserve">פתוח      </v>
          </cell>
          <cell r="D72" t="str">
            <v>חבר</v>
          </cell>
          <cell r="E72">
            <v>97</v>
          </cell>
          <cell r="F72">
            <v>1</v>
          </cell>
          <cell r="G72">
            <v>1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A73" t="str">
            <v>1211</v>
          </cell>
          <cell r="B73" t="str">
            <v>לזר מרים</v>
          </cell>
          <cell r="C73" t="str">
            <v xml:space="preserve">פתוח      </v>
          </cell>
          <cell r="D73" t="str">
            <v>חבר</v>
          </cell>
          <cell r="E73">
            <v>95</v>
          </cell>
          <cell r="F73">
            <v>1</v>
          </cell>
          <cell r="G73">
            <v>1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A74" t="str">
            <v>1703</v>
          </cell>
          <cell r="B74" t="str">
            <v>פורת אסתר</v>
          </cell>
          <cell r="C74" t="str">
            <v xml:space="preserve">פתוח      </v>
          </cell>
          <cell r="D74" t="str">
            <v>חבר</v>
          </cell>
          <cell r="E74">
            <v>93</v>
          </cell>
          <cell r="F74">
            <v>1</v>
          </cell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A75" t="str">
            <v>1905</v>
          </cell>
          <cell r="B75" t="str">
            <v>קרן אסתר</v>
          </cell>
          <cell r="C75" t="str">
            <v xml:space="preserve">פתוח      </v>
          </cell>
          <cell r="D75" t="str">
            <v>חבר</v>
          </cell>
          <cell r="E75">
            <v>94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A76" t="str">
            <v>0303</v>
          </cell>
          <cell r="B76" t="str">
            <v>גרינבלט משה ורותי</v>
          </cell>
          <cell r="C76" t="str">
            <v xml:space="preserve">פתוח      </v>
          </cell>
          <cell r="D76" t="str">
            <v>חבר</v>
          </cell>
          <cell r="E76">
            <v>76.5</v>
          </cell>
          <cell r="F76">
            <v>2</v>
          </cell>
          <cell r="G76">
            <v>2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A77" t="str">
            <v>0403</v>
          </cell>
          <cell r="B77" t="str">
            <v>דורון גבי וברנדה</v>
          </cell>
          <cell r="C77" t="str">
            <v xml:space="preserve">פתוח      </v>
          </cell>
          <cell r="D77" t="str">
            <v>חבר</v>
          </cell>
          <cell r="E77">
            <v>78</v>
          </cell>
          <cell r="F77">
            <v>2</v>
          </cell>
          <cell r="G77">
            <v>2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</row>
        <row r="78">
          <cell r="A78" t="str">
            <v>1003</v>
          </cell>
          <cell r="B78" t="str">
            <v>ישורון שמשון ורותי</v>
          </cell>
          <cell r="C78" t="str">
            <v xml:space="preserve">פתוח      </v>
          </cell>
          <cell r="D78" t="str">
            <v>חבר</v>
          </cell>
          <cell r="E78">
            <v>74.5</v>
          </cell>
          <cell r="F78">
            <v>2</v>
          </cell>
          <cell r="G78">
            <v>2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A79" t="str">
            <v>1205</v>
          </cell>
          <cell r="B79" t="str">
            <v>לבבי אליהו ונעמי</v>
          </cell>
          <cell r="C79" t="str">
            <v xml:space="preserve">פתוח      </v>
          </cell>
          <cell r="D79" t="str">
            <v>חבר</v>
          </cell>
          <cell r="E79">
            <v>74</v>
          </cell>
          <cell r="F79">
            <v>2</v>
          </cell>
          <cell r="G79">
            <v>2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A80" t="str">
            <v>1215</v>
          </cell>
          <cell r="B80" t="str">
            <v>לאונגר משה ודבורה</v>
          </cell>
          <cell r="C80" t="str">
            <v xml:space="preserve">פתוח      </v>
          </cell>
          <cell r="D80" t="str">
            <v>חבר</v>
          </cell>
          <cell r="E80">
            <v>73</v>
          </cell>
          <cell r="F80">
            <v>2</v>
          </cell>
          <cell r="G80">
            <v>2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 t="str">
            <v>1216</v>
          </cell>
          <cell r="B81" t="str">
            <v>ליפטשר דוד ואלישבע</v>
          </cell>
          <cell r="C81" t="str">
            <v xml:space="preserve">פתוח      </v>
          </cell>
          <cell r="D81" t="str">
            <v>חבר</v>
          </cell>
          <cell r="E81">
            <v>73</v>
          </cell>
          <cell r="F81">
            <v>2</v>
          </cell>
          <cell r="G81">
            <v>2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A82" t="str">
            <v>2008</v>
          </cell>
          <cell r="B82" t="str">
            <v>רימון שלמה וסלבי</v>
          </cell>
          <cell r="C82" t="str">
            <v xml:space="preserve">פתוח      </v>
          </cell>
          <cell r="D82" t="str">
            <v>חבר</v>
          </cell>
          <cell r="E82">
            <v>76</v>
          </cell>
          <cell r="F82">
            <v>2</v>
          </cell>
          <cell r="G82">
            <v>2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A83" t="str">
            <v>2009</v>
          </cell>
          <cell r="B83" t="str">
            <v>רון יואב ומרים</v>
          </cell>
          <cell r="C83" t="str">
            <v xml:space="preserve">פתוח      </v>
          </cell>
          <cell r="D83" t="str">
            <v>חבר</v>
          </cell>
          <cell r="E83">
            <v>74.5</v>
          </cell>
          <cell r="F83">
            <v>2</v>
          </cell>
          <cell r="G83">
            <v>2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1602</v>
          </cell>
          <cell r="B84" t="str">
            <v>עובדיה ישראל ווונדי</v>
          </cell>
          <cell r="C84" t="str">
            <v xml:space="preserve">פתוח      </v>
          </cell>
          <cell r="D84" t="str">
            <v>חבר</v>
          </cell>
          <cell r="E84">
            <v>71.5</v>
          </cell>
          <cell r="F84">
            <v>2</v>
          </cell>
          <cell r="G84">
            <v>2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A85" t="str">
            <v>0305</v>
          </cell>
          <cell r="B85" t="str">
            <v>גרייסמן אורי וחנה</v>
          </cell>
          <cell r="C85" t="str">
            <v xml:space="preserve">פתוח      </v>
          </cell>
          <cell r="D85" t="str">
            <v>חבר</v>
          </cell>
          <cell r="E85">
            <v>75</v>
          </cell>
          <cell r="F85">
            <v>2</v>
          </cell>
          <cell r="G85">
            <v>2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A86" t="str">
            <v>1503</v>
          </cell>
          <cell r="B86" t="str">
            <v>סהר אבשלום ונעמה</v>
          </cell>
          <cell r="C86" t="str">
            <v xml:space="preserve">פתוח      </v>
          </cell>
          <cell r="D86" t="str">
            <v>חבר</v>
          </cell>
          <cell r="E86">
            <v>52</v>
          </cell>
          <cell r="F86">
            <v>2</v>
          </cell>
          <cell r="G86">
            <v>4</v>
          </cell>
          <cell r="H86">
            <v>0</v>
          </cell>
          <cell r="I86">
            <v>0</v>
          </cell>
          <cell r="J86">
            <v>0</v>
          </cell>
          <cell r="K86">
            <v>1</v>
          </cell>
          <cell r="L86">
            <v>0</v>
          </cell>
        </row>
        <row r="87">
          <cell r="A87" t="str">
            <v>1002</v>
          </cell>
          <cell r="B87" t="str">
            <v>יקיר גדעון ומרים</v>
          </cell>
          <cell r="C87" t="str">
            <v xml:space="preserve">פתוח      </v>
          </cell>
          <cell r="D87" t="str">
            <v>חבר</v>
          </cell>
          <cell r="E87">
            <v>79</v>
          </cell>
          <cell r="F87">
            <v>2</v>
          </cell>
          <cell r="G87">
            <v>2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2006</v>
          </cell>
          <cell r="B88" t="str">
            <v>רוזנברג יעקב ועפרה</v>
          </cell>
          <cell r="C88" t="str">
            <v xml:space="preserve">פתוח      </v>
          </cell>
          <cell r="D88" t="str">
            <v>חבר</v>
          </cell>
          <cell r="E88">
            <v>78.5</v>
          </cell>
          <cell r="F88">
            <v>2</v>
          </cell>
          <cell r="G88">
            <v>2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A89" t="str">
            <v>0218</v>
          </cell>
          <cell r="B89" t="str">
            <v>בן טל רפי ושושנה</v>
          </cell>
          <cell r="C89" t="str">
            <v xml:space="preserve">פתוח      </v>
          </cell>
          <cell r="D89" t="str">
            <v>חבר</v>
          </cell>
          <cell r="E89">
            <v>70</v>
          </cell>
          <cell r="F89">
            <v>2</v>
          </cell>
          <cell r="G89">
            <v>2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A90" t="str">
            <v>1911</v>
          </cell>
          <cell r="B90" t="str">
            <v>קרליבך דוד ומיכל</v>
          </cell>
          <cell r="C90" t="str">
            <v xml:space="preserve">פתוח      </v>
          </cell>
          <cell r="D90" t="str">
            <v>חבר</v>
          </cell>
          <cell r="E90">
            <v>71.5</v>
          </cell>
          <cell r="F90">
            <v>2</v>
          </cell>
          <cell r="G90">
            <v>2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A91" t="str">
            <v>0301</v>
          </cell>
          <cell r="B91" t="str">
            <v>גוטליב דב ונעמי</v>
          </cell>
          <cell r="C91" t="str">
            <v xml:space="preserve">פתוח      </v>
          </cell>
          <cell r="D91" t="str">
            <v>חבר</v>
          </cell>
          <cell r="E91">
            <v>84</v>
          </cell>
          <cell r="F91">
            <v>2</v>
          </cell>
          <cell r="G91">
            <v>2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A92" t="str">
            <v>1210</v>
          </cell>
          <cell r="B92" t="str">
            <v>לייקוב חיים ולאה</v>
          </cell>
          <cell r="C92" t="str">
            <v xml:space="preserve">פתוח      </v>
          </cell>
          <cell r="D92" t="str">
            <v>חבר</v>
          </cell>
          <cell r="E92">
            <v>84</v>
          </cell>
          <cell r="F92">
            <v>2</v>
          </cell>
          <cell r="G92">
            <v>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A93" t="str">
            <v>2020</v>
          </cell>
          <cell r="B93" t="str">
            <v>רימון ארנון וסימי</v>
          </cell>
          <cell r="C93" t="str">
            <v xml:space="preserve">פתוח      </v>
          </cell>
          <cell r="D93" t="str">
            <v>חבר</v>
          </cell>
          <cell r="E93">
            <v>53</v>
          </cell>
          <cell r="F93">
            <v>2</v>
          </cell>
          <cell r="G93">
            <v>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A94" t="str">
            <v>1712</v>
          </cell>
          <cell r="B94" t="str">
            <v>פליישמן דורי ודינה</v>
          </cell>
          <cell r="C94" t="str">
            <v xml:space="preserve">פתוח      </v>
          </cell>
          <cell r="D94" t="str">
            <v>חבר</v>
          </cell>
          <cell r="E94">
            <v>40.5</v>
          </cell>
          <cell r="F94">
            <v>2</v>
          </cell>
          <cell r="G94">
            <v>4</v>
          </cell>
          <cell r="H94">
            <v>0</v>
          </cell>
          <cell r="I94">
            <v>1</v>
          </cell>
          <cell r="J94">
            <v>1</v>
          </cell>
          <cell r="K94">
            <v>0</v>
          </cell>
          <cell r="L94">
            <v>0</v>
          </cell>
        </row>
        <row r="95">
          <cell r="A95" t="str">
            <v>0307</v>
          </cell>
          <cell r="B95" t="str">
            <v>גוטליב ידידיה ואהבה</v>
          </cell>
          <cell r="C95" t="str">
            <v xml:space="preserve">פתוח      </v>
          </cell>
          <cell r="D95" t="str">
            <v>חבר</v>
          </cell>
          <cell r="E95">
            <v>51</v>
          </cell>
          <cell r="F95">
            <v>2</v>
          </cell>
          <cell r="G95">
            <v>5</v>
          </cell>
          <cell r="H95">
            <v>0</v>
          </cell>
          <cell r="I95">
            <v>0</v>
          </cell>
          <cell r="J95">
            <v>1</v>
          </cell>
          <cell r="K95">
            <v>0</v>
          </cell>
          <cell r="L95">
            <v>1</v>
          </cell>
        </row>
        <row r="96">
          <cell r="A96" t="str">
            <v>0148</v>
          </cell>
          <cell r="B96" t="str">
            <v>שושן-המר אדווה</v>
          </cell>
          <cell r="C96" t="str">
            <v xml:space="preserve">פתוח      </v>
          </cell>
          <cell r="D96" t="str">
            <v>חבר</v>
          </cell>
          <cell r="E96">
            <v>40</v>
          </cell>
          <cell r="F96">
            <v>1</v>
          </cell>
          <cell r="G96">
            <v>3</v>
          </cell>
          <cell r="H96">
            <v>0</v>
          </cell>
          <cell r="I96">
            <v>0</v>
          </cell>
          <cell r="J96">
            <v>1</v>
          </cell>
          <cell r="K96">
            <v>0</v>
          </cell>
          <cell r="L96">
            <v>0</v>
          </cell>
        </row>
        <row r="97">
          <cell r="A97" t="str">
            <v>1011</v>
          </cell>
          <cell r="B97" t="str">
            <v>יוגב מינו</v>
          </cell>
          <cell r="C97" t="str">
            <v xml:space="preserve">פתוח      </v>
          </cell>
          <cell r="D97" t="str">
            <v>חבר</v>
          </cell>
          <cell r="E97">
            <v>55</v>
          </cell>
          <cell r="F97">
            <v>1</v>
          </cell>
          <cell r="G97">
            <v>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A98" t="str">
            <v>0320</v>
          </cell>
          <cell r="B98" t="str">
            <v>גלבוע נעה</v>
          </cell>
          <cell r="C98" t="str">
            <v xml:space="preserve">פתוח      </v>
          </cell>
          <cell r="D98" t="str">
            <v>חבר</v>
          </cell>
          <cell r="E98">
            <v>39</v>
          </cell>
          <cell r="F98">
            <v>1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A99" t="str">
            <v>0219</v>
          </cell>
          <cell r="B99" t="str">
            <v>בשן בנימין ורחל</v>
          </cell>
          <cell r="C99" t="str">
            <v xml:space="preserve">פתוח      </v>
          </cell>
          <cell r="D99" t="str">
            <v>חבר</v>
          </cell>
          <cell r="E99">
            <v>70</v>
          </cell>
          <cell r="F99">
            <v>2</v>
          </cell>
          <cell r="G99">
            <v>2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A100" t="str">
            <v>2030</v>
          </cell>
          <cell r="B100" t="str">
            <v>ראבינסאן דגן ומירית</v>
          </cell>
          <cell r="C100" t="str">
            <v xml:space="preserve">פתוח      </v>
          </cell>
          <cell r="D100" t="str">
            <v>חבר</v>
          </cell>
          <cell r="E100">
            <v>43</v>
          </cell>
          <cell r="F100">
            <v>2</v>
          </cell>
          <cell r="G100">
            <v>7</v>
          </cell>
          <cell r="H100">
            <v>0</v>
          </cell>
          <cell r="I100">
            <v>0</v>
          </cell>
          <cell r="J100">
            <v>2</v>
          </cell>
          <cell r="K100">
            <v>1</v>
          </cell>
          <cell r="L100">
            <v>2</v>
          </cell>
        </row>
        <row r="101">
          <cell r="A101" t="str">
            <v>0406</v>
          </cell>
          <cell r="B101" t="str">
            <v>דורון יצחק ואילנה</v>
          </cell>
          <cell r="C101" t="str">
            <v xml:space="preserve">פתוח      </v>
          </cell>
          <cell r="D101" t="str">
            <v>חבר</v>
          </cell>
          <cell r="E101">
            <v>70</v>
          </cell>
          <cell r="F101">
            <v>2</v>
          </cell>
          <cell r="G101">
            <v>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 t="str">
            <v>0803</v>
          </cell>
          <cell r="B102" t="str">
            <v>חורש אבנר וחני</v>
          </cell>
          <cell r="C102" t="str">
            <v xml:space="preserve">פתוח      </v>
          </cell>
          <cell r="D102" t="str">
            <v>חבר</v>
          </cell>
          <cell r="E102">
            <v>71</v>
          </cell>
          <cell r="F102">
            <v>2</v>
          </cell>
          <cell r="G102">
            <v>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A103" t="str">
            <v>1209</v>
          </cell>
          <cell r="B103" t="str">
            <v>ליבוביץ משה ושורי</v>
          </cell>
          <cell r="C103" t="str">
            <v xml:space="preserve">פתוח      </v>
          </cell>
          <cell r="D103" t="str">
            <v>חבר</v>
          </cell>
          <cell r="E103">
            <v>71</v>
          </cell>
          <cell r="F103">
            <v>2</v>
          </cell>
          <cell r="G103">
            <v>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1907</v>
          </cell>
          <cell r="B104" t="str">
            <v>קליין משה ונאוה</v>
          </cell>
          <cell r="C104" t="str">
            <v xml:space="preserve">פתוח      </v>
          </cell>
          <cell r="D104" t="str">
            <v>חבר</v>
          </cell>
          <cell r="E104">
            <v>71.5</v>
          </cell>
          <cell r="F104">
            <v>2</v>
          </cell>
          <cell r="G104">
            <v>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A105" t="str">
            <v>2110</v>
          </cell>
          <cell r="B105" t="str">
            <v>שאול אריה ואמירה</v>
          </cell>
          <cell r="C105" t="str">
            <v xml:space="preserve">פתוח      </v>
          </cell>
          <cell r="D105" t="str">
            <v>חבר</v>
          </cell>
          <cell r="E105">
            <v>71</v>
          </cell>
          <cell r="F105">
            <v>2</v>
          </cell>
          <cell r="G105">
            <v>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A106" t="str">
            <v>0507</v>
          </cell>
          <cell r="B106" t="str">
            <v>הופמן אבי ושולי</v>
          </cell>
          <cell r="C106" t="str">
            <v xml:space="preserve">פתוח      </v>
          </cell>
          <cell r="D106" t="str">
            <v>חבר</v>
          </cell>
          <cell r="E106">
            <v>71</v>
          </cell>
          <cell r="F106">
            <v>2</v>
          </cell>
          <cell r="G106">
            <v>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0106</v>
          </cell>
          <cell r="B107" t="str">
            <v>אריאל חנן וענת</v>
          </cell>
          <cell r="C107" t="str">
            <v xml:space="preserve">פתוח      </v>
          </cell>
          <cell r="D107" t="str">
            <v>חבר</v>
          </cell>
          <cell r="E107">
            <v>64.5</v>
          </cell>
          <cell r="F107">
            <v>2</v>
          </cell>
          <cell r="G107">
            <v>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 t="str">
            <v>1906</v>
          </cell>
          <cell r="B108" t="str">
            <v>קלוש אריה ושלומית</v>
          </cell>
          <cell r="C108" t="str">
            <v xml:space="preserve">פתוח      </v>
          </cell>
          <cell r="D108" t="str">
            <v>חבר</v>
          </cell>
          <cell r="E108">
            <v>74.5</v>
          </cell>
          <cell r="F108">
            <v>2</v>
          </cell>
          <cell r="G108">
            <v>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 t="str">
            <v>1223</v>
          </cell>
          <cell r="B109" t="str">
            <v>לבבי נחום ושלומית</v>
          </cell>
          <cell r="C109" t="str">
            <v xml:space="preserve">פתוח      </v>
          </cell>
          <cell r="D109" t="str">
            <v>חבר</v>
          </cell>
          <cell r="E109">
            <v>50.5</v>
          </cell>
          <cell r="F109">
            <v>2</v>
          </cell>
          <cell r="G109">
            <v>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</v>
          </cell>
        </row>
        <row r="110">
          <cell r="A110" t="str">
            <v>0119</v>
          </cell>
          <cell r="B110" t="str">
            <v>קפלן שמואל וחני )אלדד(</v>
          </cell>
          <cell r="C110" t="str">
            <v xml:space="preserve">פתוח      </v>
          </cell>
          <cell r="D110" t="str">
            <v>חבר</v>
          </cell>
          <cell r="E110">
            <v>51</v>
          </cell>
          <cell r="F110">
            <v>1</v>
          </cell>
          <cell r="G110">
            <v>3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</row>
        <row r="111">
          <cell r="A111" t="str">
            <v>0506</v>
          </cell>
          <cell r="B111" t="str">
            <v>הרטוב חגי וניצה</v>
          </cell>
          <cell r="C111" t="str">
            <v xml:space="preserve">פתוח      </v>
          </cell>
          <cell r="D111" t="str">
            <v>חבר</v>
          </cell>
          <cell r="E111">
            <v>67.5</v>
          </cell>
          <cell r="F111">
            <v>2</v>
          </cell>
          <cell r="G111">
            <v>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 t="str">
            <v>1112</v>
          </cell>
          <cell r="B112" t="str">
            <v>כהן בועז ותמר</v>
          </cell>
          <cell r="C112" t="str">
            <v xml:space="preserve">פתוח      </v>
          </cell>
          <cell r="D112" t="str">
            <v>חבר</v>
          </cell>
          <cell r="E112">
            <v>52</v>
          </cell>
          <cell r="F112">
            <v>2</v>
          </cell>
          <cell r="G112">
            <v>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</v>
          </cell>
        </row>
        <row r="113">
          <cell r="A113" t="str">
            <v>0112</v>
          </cell>
          <cell r="B113" t="str">
            <v>אלירז שמואל ועפרה</v>
          </cell>
          <cell r="C113" t="str">
            <v xml:space="preserve">פתוח      </v>
          </cell>
          <cell r="D113" t="str">
            <v>חבר</v>
          </cell>
          <cell r="E113">
            <v>71.5</v>
          </cell>
          <cell r="F113">
            <v>2</v>
          </cell>
          <cell r="G113">
            <v>2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 t="str">
            <v>1230</v>
          </cell>
          <cell r="B114" t="str">
            <v>לייקוב בתיה</v>
          </cell>
          <cell r="C114" t="str">
            <v xml:space="preserve">פתוח      </v>
          </cell>
          <cell r="D114" t="str">
            <v>חבר</v>
          </cell>
          <cell r="E114">
            <v>48</v>
          </cell>
          <cell r="F114">
            <v>1</v>
          </cell>
          <cell r="G114">
            <v>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 t="str">
            <v>1506</v>
          </cell>
          <cell r="B115" t="str">
            <v>קדוש נסאל ואליענה</v>
          </cell>
          <cell r="C115" t="str">
            <v xml:space="preserve">פתוח      </v>
          </cell>
          <cell r="D115" t="str">
            <v>חבר</v>
          </cell>
          <cell r="E115">
            <v>36.5</v>
          </cell>
          <cell r="F115">
            <v>2</v>
          </cell>
          <cell r="G115">
            <v>5</v>
          </cell>
          <cell r="H115">
            <v>0</v>
          </cell>
          <cell r="I115">
            <v>1</v>
          </cell>
          <cell r="J115">
            <v>2</v>
          </cell>
          <cell r="K115">
            <v>0</v>
          </cell>
          <cell r="L115">
            <v>0</v>
          </cell>
        </row>
        <row r="116">
          <cell r="A116" t="str">
            <v>2123</v>
          </cell>
          <cell r="B116" t="str">
            <v>שלום ששון ותמר</v>
          </cell>
          <cell r="C116" t="str">
            <v xml:space="preserve">פתוח      </v>
          </cell>
          <cell r="D116" t="str">
            <v>חבר</v>
          </cell>
          <cell r="E116">
            <v>50</v>
          </cell>
          <cell r="F116">
            <v>1</v>
          </cell>
          <cell r="G116">
            <v>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A117" t="str">
            <v>1222</v>
          </cell>
          <cell r="B117" t="str">
            <v>לזר איתמר וליאורה</v>
          </cell>
          <cell r="C117" t="str">
            <v xml:space="preserve">פתוח      </v>
          </cell>
          <cell r="D117" t="str">
            <v>חבר</v>
          </cell>
          <cell r="E117">
            <v>58.5</v>
          </cell>
          <cell r="F117">
            <v>2</v>
          </cell>
          <cell r="G117">
            <v>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A118" t="str">
            <v>2111</v>
          </cell>
          <cell r="B118" t="str">
            <v>שי ישראל ורחל</v>
          </cell>
          <cell r="C118" t="str">
            <v xml:space="preserve">פתוח      </v>
          </cell>
          <cell r="D118" t="str">
            <v>חבר</v>
          </cell>
          <cell r="E118">
            <v>64</v>
          </cell>
          <cell r="F118">
            <v>2</v>
          </cell>
          <cell r="G118">
            <v>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A119" t="str">
            <v>0304</v>
          </cell>
          <cell r="B119" t="str">
            <v>גביר שמואל ואילה</v>
          </cell>
          <cell r="C119" t="str">
            <v xml:space="preserve">פתוח      </v>
          </cell>
          <cell r="D119" t="str">
            <v>חבר</v>
          </cell>
          <cell r="E119">
            <v>54.5</v>
          </cell>
          <cell r="F119">
            <v>2</v>
          </cell>
          <cell r="G119">
            <v>4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A120" t="str">
            <v>2010</v>
          </cell>
          <cell r="B120" t="str">
            <v>רייך מיכאל ובלה</v>
          </cell>
          <cell r="C120" t="str">
            <v xml:space="preserve">פתוח      </v>
          </cell>
          <cell r="D120" t="str">
            <v>חבר</v>
          </cell>
          <cell r="E120">
            <v>78</v>
          </cell>
          <cell r="F120">
            <v>2</v>
          </cell>
          <cell r="G120">
            <v>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>0216</v>
          </cell>
          <cell r="B121" t="str">
            <v>בר פלד יואב וחנה</v>
          </cell>
          <cell r="C121" t="str">
            <v xml:space="preserve">פתוח      </v>
          </cell>
          <cell r="D121" t="str">
            <v>חבר</v>
          </cell>
          <cell r="E121">
            <v>72.5</v>
          </cell>
          <cell r="F121">
            <v>2</v>
          </cell>
          <cell r="G121">
            <v>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A122" t="str">
            <v>0123</v>
          </cell>
          <cell r="B122" t="str">
            <v>אונגר משה</v>
          </cell>
          <cell r="C122" t="str">
            <v xml:space="preserve">פתוח      </v>
          </cell>
          <cell r="D122" t="str">
            <v>חבר</v>
          </cell>
          <cell r="E122">
            <v>43</v>
          </cell>
          <cell r="F122">
            <v>1</v>
          </cell>
          <cell r="G122">
            <v>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A123" t="str">
            <v>2014</v>
          </cell>
          <cell r="B123" t="str">
            <v>רחמים יהושוע ושרה )איצק`(</v>
          </cell>
          <cell r="C123" t="str">
            <v xml:space="preserve">פתוח      </v>
          </cell>
          <cell r="D123" t="str">
            <v>חבר</v>
          </cell>
          <cell r="E123">
            <v>65</v>
          </cell>
          <cell r="F123">
            <v>1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A124" t="str">
            <v>0144</v>
          </cell>
          <cell r="B124" t="str">
            <v>אריה צוריאל ואורלי</v>
          </cell>
          <cell r="C124" t="str">
            <v xml:space="preserve">פתוח      </v>
          </cell>
          <cell r="D124" t="str">
            <v>חבר</v>
          </cell>
          <cell r="E124">
            <v>36.5</v>
          </cell>
          <cell r="F124">
            <v>2</v>
          </cell>
          <cell r="G124">
            <v>5</v>
          </cell>
          <cell r="H124">
            <v>0</v>
          </cell>
          <cell r="I124">
            <v>0</v>
          </cell>
          <cell r="J124">
            <v>3</v>
          </cell>
          <cell r="K124">
            <v>0</v>
          </cell>
          <cell r="L124">
            <v>0</v>
          </cell>
        </row>
        <row r="125">
          <cell r="A125" t="str">
            <v>1218</v>
          </cell>
          <cell r="B125" t="str">
            <v>לזר מיקי וריקי</v>
          </cell>
          <cell r="C125" t="str">
            <v xml:space="preserve">פתוח      </v>
          </cell>
          <cell r="D125" t="str">
            <v>חבר</v>
          </cell>
          <cell r="E125">
            <v>55</v>
          </cell>
          <cell r="F125">
            <v>2</v>
          </cell>
          <cell r="G125">
            <v>5</v>
          </cell>
          <cell r="H125">
            <v>0</v>
          </cell>
          <cell r="I125">
            <v>0</v>
          </cell>
          <cell r="J125">
            <v>1</v>
          </cell>
          <cell r="K125">
            <v>1</v>
          </cell>
          <cell r="L125">
            <v>1</v>
          </cell>
        </row>
        <row r="126">
          <cell r="A126" t="str">
            <v>2028</v>
          </cell>
          <cell r="B126" t="str">
            <v>רביב כתי ולאה</v>
          </cell>
          <cell r="C126" t="str">
            <v xml:space="preserve">פתוח      </v>
          </cell>
          <cell r="D126" t="str">
            <v>חבר</v>
          </cell>
          <cell r="E126">
            <v>58</v>
          </cell>
          <cell r="F126">
            <v>2</v>
          </cell>
          <cell r="G126">
            <v>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0606</v>
          </cell>
          <cell r="B127" t="str">
            <v>וייס שלמה ותמי</v>
          </cell>
          <cell r="C127" t="str">
            <v xml:space="preserve">פתוח      </v>
          </cell>
          <cell r="D127" t="str">
            <v>חבר</v>
          </cell>
          <cell r="E127">
            <v>74</v>
          </cell>
          <cell r="F127">
            <v>1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A128" t="str">
            <v>0405</v>
          </cell>
          <cell r="B128" t="str">
            <v>ריינר הראל ומעין</v>
          </cell>
          <cell r="C128" t="str">
            <v xml:space="preserve">פתוח      </v>
          </cell>
          <cell r="D128" t="str">
            <v>חבר</v>
          </cell>
          <cell r="E128">
            <v>39</v>
          </cell>
          <cell r="F128">
            <v>2</v>
          </cell>
          <cell r="G128">
            <v>5</v>
          </cell>
          <cell r="H128">
            <v>1</v>
          </cell>
          <cell r="I128">
            <v>1</v>
          </cell>
          <cell r="J128">
            <v>1</v>
          </cell>
          <cell r="K128">
            <v>0</v>
          </cell>
          <cell r="L128">
            <v>0</v>
          </cell>
        </row>
        <row r="129">
          <cell r="A129" t="str">
            <v>0109</v>
          </cell>
          <cell r="B129" t="str">
            <v>אמיתי אליעזר ופרדי</v>
          </cell>
          <cell r="C129" t="str">
            <v xml:space="preserve">פתוח      </v>
          </cell>
          <cell r="D129" t="str">
            <v>חבר</v>
          </cell>
          <cell r="E129">
            <v>77</v>
          </cell>
          <cell r="F129">
            <v>2</v>
          </cell>
          <cell r="G129">
            <v>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A130" t="str">
            <v>1914</v>
          </cell>
          <cell r="B130" t="str">
            <v>קרליבך יצחק וורד</v>
          </cell>
          <cell r="C130" t="str">
            <v xml:space="preserve">פתוח      </v>
          </cell>
          <cell r="D130" t="str">
            <v>חבר</v>
          </cell>
          <cell r="E130">
            <v>54.5</v>
          </cell>
          <cell r="F130">
            <v>2</v>
          </cell>
          <cell r="G130">
            <v>6</v>
          </cell>
          <cell r="H130">
            <v>0</v>
          </cell>
          <cell r="I130">
            <v>0</v>
          </cell>
          <cell r="J130">
            <v>0</v>
          </cell>
          <cell r="K130">
            <v>1</v>
          </cell>
          <cell r="L130">
            <v>1</v>
          </cell>
        </row>
        <row r="131">
          <cell r="A131" t="str">
            <v>1306</v>
          </cell>
          <cell r="B131" t="str">
            <v>מנשאוף שלומית ויאיר</v>
          </cell>
          <cell r="C131" t="str">
            <v xml:space="preserve">פתוח      </v>
          </cell>
          <cell r="D131" t="str">
            <v>חבר</v>
          </cell>
          <cell r="E131">
            <v>34</v>
          </cell>
          <cell r="F131">
            <v>2</v>
          </cell>
          <cell r="G131">
            <v>5</v>
          </cell>
          <cell r="H131">
            <v>1</v>
          </cell>
          <cell r="I131">
            <v>0</v>
          </cell>
          <cell r="J131">
            <v>2</v>
          </cell>
          <cell r="K131">
            <v>0</v>
          </cell>
          <cell r="L131">
            <v>0</v>
          </cell>
        </row>
        <row r="132">
          <cell r="A132" t="str">
            <v>0510</v>
          </cell>
          <cell r="B132" t="str">
            <v>הולצר מוטי ולאה</v>
          </cell>
          <cell r="C132" t="str">
            <v xml:space="preserve">פתוח      </v>
          </cell>
          <cell r="D132" t="str">
            <v>חבר</v>
          </cell>
          <cell r="E132">
            <v>48</v>
          </cell>
          <cell r="F132">
            <v>2</v>
          </cell>
          <cell r="G132">
            <v>6</v>
          </cell>
          <cell r="H132">
            <v>0</v>
          </cell>
          <cell r="I132">
            <v>0</v>
          </cell>
          <cell r="J132">
            <v>2</v>
          </cell>
          <cell r="K132">
            <v>0</v>
          </cell>
          <cell r="L132">
            <v>1</v>
          </cell>
        </row>
        <row r="133">
          <cell r="A133" t="str">
            <v>0220</v>
          </cell>
          <cell r="B133" t="str">
            <v>בן עמי צבי והדסה</v>
          </cell>
          <cell r="C133" t="str">
            <v xml:space="preserve">פתוח      </v>
          </cell>
          <cell r="D133" t="str">
            <v>חבר</v>
          </cell>
          <cell r="E133">
            <v>71</v>
          </cell>
          <cell r="F133">
            <v>2</v>
          </cell>
          <cell r="G133">
            <v>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A134" t="str">
            <v>0227</v>
          </cell>
          <cell r="B134" t="str">
            <v>ברודי עודד ואביבית</v>
          </cell>
          <cell r="C134" t="str">
            <v xml:space="preserve">פתוח      </v>
          </cell>
          <cell r="D134" t="str">
            <v>חבר</v>
          </cell>
          <cell r="E134">
            <v>41.5</v>
          </cell>
          <cell r="F134">
            <v>2</v>
          </cell>
          <cell r="G134">
            <v>5</v>
          </cell>
          <cell r="H134">
            <v>0</v>
          </cell>
          <cell r="I134">
            <v>0</v>
          </cell>
          <cell r="J134">
            <v>3</v>
          </cell>
          <cell r="K134">
            <v>0</v>
          </cell>
          <cell r="L134">
            <v>0</v>
          </cell>
        </row>
        <row r="135">
          <cell r="A135" t="str">
            <v>1104</v>
          </cell>
          <cell r="B135" t="str">
            <v>כהן דוד ונחמי</v>
          </cell>
          <cell r="C135" t="str">
            <v xml:space="preserve">פתוח      </v>
          </cell>
          <cell r="D135" t="str">
            <v>חבר</v>
          </cell>
          <cell r="E135">
            <v>68.5</v>
          </cell>
          <cell r="F135">
            <v>2</v>
          </cell>
          <cell r="G135">
            <v>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A136" t="str">
            <v>1107</v>
          </cell>
          <cell r="B136" t="str">
            <v>כהן יוני וטלי</v>
          </cell>
          <cell r="C136" t="str">
            <v xml:space="preserve">פתוח      </v>
          </cell>
          <cell r="D136" t="str">
            <v>חבר</v>
          </cell>
          <cell r="E136">
            <v>46.5</v>
          </cell>
          <cell r="F136">
            <v>2</v>
          </cell>
          <cell r="G136">
            <v>7</v>
          </cell>
          <cell r="H136">
            <v>0</v>
          </cell>
          <cell r="I136">
            <v>0</v>
          </cell>
          <cell r="J136">
            <v>2</v>
          </cell>
          <cell r="K136">
            <v>1</v>
          </cell>
          <cell r="L136">
            <v>2</v>
          </cell>
        </row>
        <row r="137">
          <cell r="A137" t="str">
            <v>1224</v>
          </cell>
          <cell r="B137" t="str">
            <v>לאופר יובל ואורנית</v>
          </cell>
          <cell r="C137" t="str">
            <v xml:space="preserve">פתוח      </v>
          </cell>
          <cell r="D137" t="str">
            <v>חבר</v>
          </cell>
          <cell r="E137">
            <v>44.5</v>
          </cell>
          <cell r="F137">
            <v>2</v>
          </cell>
          <cell r="G137">
            <v>4</v>
          </cell>
          <cell r="H137">
            <v>0</v>
          </cell>
          <cell r="I137">
            <v>0</v>
          </cell>
          <cell r="J137">
            <v>1</v>
          </cell>
          <cell r="K137">
            <v>1</v>
          </cell>
          <cell r="L137">
            <v>0</v>
          </cell>
        </row>
        <row r="138">
          <cell r="A138" t="str">
            <v>1707</v>
          </cell>
          <cell r="B138" t="str">
            <v>פליישמן ברוך ואסי</v>
          </cell>
          <cell r="C138" t="str">
            <v xml:space="preserve">פתוח      </v>
          </cell>
          <cell r="D138" t="str">
            <v>חבר</v>
          </cell>
          <cell r="E138">
            <v>67.5</v>
          </cell>
          <cell r="F138">
            <v>2</v>
          </cell>
          <cell r="G138">
            <v>2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A139" t="str">
            <v>0130</v>
          </cell>
          <cell r="B139" t="str">
            <v>אריאל יאיר ואילת</v>
          </cell>
          <cell r="C139" t="str">
            <v xml:space="preserve">פתוח      </v>
          </cell>
          <cell r="D139" t="str">
            <v>חבר</v>
          </cell>
          <cell r="E139">
            <v>41</v>
          </cell>
          <cell r="F139">
            <v>2</v>
          </cell>
          <cell r="G139">
            <v>6</v>
          </cell>
          <cell r="H139">
            <v>0</v>
          </cell>
          <cell r="I139">
            <v>0</v>
          </cell>
          <cell r="J139">
            <v>2</v>
          </cell>
          <cell r="K139">
            <v>1</v>
          </cell>
          <cell r="L139">
            <v>1</v>
          </cell>
        </row>
        <row r="140">
          <cell r="A140" t="str">
            <v>0214</v>
          </cell>
          <cell r="B140" t="str">
            <v>בן חמו סרג` ורחל</v>
          </cell>
          <cell r="C140" t="str">
            <v xml:space="preserve">פתוח      </v>
          </cell>
          <cell r="D140" t="str">
            <v>חבר</v>
          </cell>
          <cell r="E140">
            <v>67</v>
          </cell>
          <cell r="F140">
            <v>2</v>
          </cell>
          <cell r="G140">
            <v>2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A141" t="str">
            <v>2201</v>
          </cell>
          <cell r="B141" t="str">
            <v>תורג`מן מיכאל ומוניק</v>
          </cell>
          <cell r="C141" t="str">
            <v xml:space="preserve">פתוח      </v>
          </cell>
          <cell r="D141" t="str">
            <v>חבר</v>
          </cell>
          <cell r="E141">
            <v>59.5</v>
          </cell>
          <cell r="F141">
            <v>2</v>
          </cell>
          <cell r="G141">
            <v>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A142" t="str">
            <v>1208</v>
          </cell>
          <cell r="B142" t="str">
            <v>לאופר שמעון ותמר</v>
          </cell>
          <cell r="C142" t="str">
            <v xml:space="preserve">פתוח      </v>
          </cell>
          <cell r="D142" t="str">
            <v>חבר</v>
          </cell>
          <cell r="E142">
            <v>74</v>
          </cell>
          <cell r="F142">
            <v>2</v>
          </cell>
          <cell r="G142">
            <v>2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A143" t="str">
            <v>0107</v>
          </cell>
          <cell r="B143" t="str">
            <v>אורן יהודה והניה</v>
          </cell>
          <cell r="C143" t="str">
            <v xml:space="preserve">פתוח      </v>
          </cell>
          <cell r="D143" t="str">
            <v>חבר</v>
          </cell>
          <cell r="E143">
            <v>74</v>
          </cell>
          <cell r="F143">
            <v>2</v>
          </cell>
          <cell r="G143">
            <v>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A144" t="str">
            <v>0511</v>
          </cell>
          <cell r="B144" t="str">
            <v>הופמן אלעד ואלדר</v>
          </cell>
          <cell r="C144" t="str">
            <v xml:space="preserve">פתוח      </v>
          </cell>
          <cell r="D144" t="str">
            <v>חבר</v>
          </cell>
          <cell r="E144">
            <v>41</v>
          </cell>
          <cell r="F144">
            <v>2</v>
          </cell>
          <cell r="G144">
            <v>6</v>
          </cell>
          <cell r="H144">
            <v>0</v>
          </cell>
          <cell r="I144">
            <v>1</v>
          </cell>
          <cell r="J144">
            <v>3</v>
          </cell>
          <cell r="K144">
            <v>0</v>
          </cell>
          <cell r="L144">
            <v>0</v>
          </cell>
        </row>
        <row r="145">
          <cell r="A145" t="str">
            <v>1502</v>
          </cell>
          <cell r="B145" t="str">
            <v>סולומון אייזיק וקלר</v>
          </cell>
          <cell r="C145" t="str">
            <v xml:space="preserve">פתוח      </v>
          </cell>
          <cell r="D145" t="str">
            <v>חבר</v>
          </cell>
          <cell r="E145">
            <v>64</v>
          </cell>
          <cell r="F145">
            <v>2</v>
          </cell>
          <cell r="G145">
            <v>3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A146" t="str">
            <v>2033</v>
          </cell>
          <cell r="B146" t="str">
            <v>סיידנר יהודה ועומר )רגב(</v>
          </cell>
          <cell r="C146" t="str">
            <v xml:space="preserve">פתוח      </v>
          </cell>
          <cell r="D146" t="str">
            <v>חבר במסב</v>
          </cell>
          <cell r="E146">
            <v>28.5</v>
          </cell>
          <cell r="F146">
            <v>2</v>
          </cell>
          <cell r="G146">
            <v>5</v>
          </cell>
          <cell r="H146">
            <v>1</v>
          </cell>
          <cell r="I146">
            <v>1</v>
          </cell>
          <cell r="J146">
            <v>1</v>
          </cell>
          <cell r="K146">
            <v>0</v>
          </cell>
          <cell r="L146">
            <v>0</v>
          </cell>
        </row>
        <row r="147">
          <cell r="A147" t="str">
            <v>1908</v>
          </cell>
          <cell r="B147" t="str">
            <v>קראוס נחמיה ושלומית</v>
          </cell>
          <cell r="C147" t="str">
            <v xml:space="preserve">פתוח      </v>
          </cell>
          <cell r="D147" t="str">
            <v>חבר</v>
          </cell>
          <cell r="E147">
            <v>71</v>
          </cell>
          <cell r="F147">
            <v>2</v>
          </cell>
          <cell r="G147">
            <v>2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</row>
        <row r="148">
          <cell r="A148" t="str">
            <v>2007</v>
          </cell>
          <cell r="B148" t="str">
            <v>רייך גלעד ויפעת</v>
          </cell>
          <cell r="C148" t="str">
            <v xml:space="preserve">פתוח      </v>
          </cell>
          <cell r="D148" t="str">
            <v>חבר</v>
          </cell>
          <cell r="E148">
            <v>55.5</v>
          </cell>
          <cell r="F148">
            <v>2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0250</v>
          </cell>
          <cell r="B149" t="str">
            <v>בן עמי ירדן ודנה</v>
          </cell>
          <cell r="C149" t="str">
            <v xml:space="preserve">פתוח      </v>
          </cell>
          <cell r="D149" t="str">
            <v>חבר במסב</v>
          </cell>
          <cell r="E149">
            <v>34</v>
          </cell>
          <cell r="F149">
            <v>2</v>
          </cell>
          <cell r="G149">
            <v>4</v>
          </cell>
          <cell r="H149">
            <v>1</v>
          </cell>
          <cell r="I149">
            <v>1</v>
          </cell>
          <cell r="J149">
            <v>0</v>
          </cell>
          <cell r="K149">
            <v>0</v>
          </cell>
          <cell r="L149">
            <v>0</v>
          </cell>
        </row>
        <row r="150">
          <cell r="A150" t="str">
            <v>2115</v>
          </cell>
          <cell r="B150" t="str">
            <v>שוורץ רוני ושיראל</v>
          </cell>
          <cell r="C150" t="str">
            <v xml:space="preserve">פתוח      </v>
          </cell>
          <cell r="D150" t="str">
            <v>חבר</v>
          </cell>
          <cell r="E150">
            <v>47</v>
          </cell>
          <cell r="F150">
            <v>2</v>
          </cell>
          <cell r="G150">
            <v>7</v>
          </cell>
          <cell r="H150">
            <v>0</v>
          </cell>
          <cell r="I150">
            <v>0</v>
          </cell>
          <cell r="J150">
            <v>2</v>
          </cell>
          <cell r="K150">
            <v>1</v>
          </cell>
          <cell r="L150">
            <v>1</v>
          </cell>
        </row>
        <row r="151">
          <cell r="A151" t="str">
            <v>1239</v>
          </cell>
          <cell r="B151" t="str">
            <v>לבבי יוסף וליאור</v>
          </cell>
          <cell r="C151" t="str">
            <v xml:space="preserve">פתוח      </v>
          </cell>
          <cell r="D151" t="str">
            <v>חבר</v>
          </cell>
          <cell r="E151">
            <v>34.5</v>
          </cell>
          <cell r="F151">
            <v>2</v>
          </cell>
          <cell r="G151">
            <v>5</v>
          </cell>
          <cell r="H151">
            <v>0</v>
          </cell>
          <cell r="I151">
            <v>2</v>
          </cell>
          <cell r="J151">
            <v>1</v>
          </cell>
          <cell r="K151">
            <v>0</v>
          </cell>
          <cell r="L151">
            <v>0</v>
          </cell>
        </row>
        <row r="152">
          <cell r="A152" t="str">
            <v>1219</v>
          </cell>
          <cell r="B152" t="str">
            <v>לבבי נחומי ושני</v>
          </cell>
          <cell r="C152" t="str">
            <v xml:space="preserve">פתוח      </v>
          </cell>
          <cell r="D152" t="str">
            <v>חבר</v>
          </cell>
          <cell r="E152">
            <v>49</v>
          </cell>
          <cell r="F152">
            <v>2</v>
          </cell>
          <cell r="G152">
            <v>6</v>
          </cell>
          <cell r="H152">
            <v>0</v>
          </cell>
          <cell r="I152">
            <v>0</v>
          </cell>
          <cell r="J152">
            <v>0</v>
          </cell>
          <cell r="K152">
            <v>1</v>
          </cell>
          <cell r="L152">
            <v>2</v>
          </cell>
        </row>
        <row r="153">
          <cell r="A153" t="str">
            <v>1207</v>
          </cell>
          <cell r="B153" t="str">
            <v>לבבי צבי וחנה</v>
          </cell>
          <cell r="C153" t="str">
            <v xml:space="preserve">פתוח      </v>
          </cell>
          <cell r="D153" t="str">
            <v>חבר</v>
          </cell>
          <cell r="E153">
            <v>72.5</v>
          </cell>
          <cell r="F153">
            <v>2</v>
          </cell>
          <cell r="G153">
            <v>2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2016</v>
          </cell>
          <cell r="B154" t="str">
            <v>רביב יגאל ומירב</v>
          </cell>
          <cell r="C154" t="str">
            <v xml:space="preserve">פתוח      </v>
          </cell>
          <cell r="D154" t="str">
            <v>חבר</v>
          </cell>
          <cell r="E154">
            <v>63</v>
          </cell>
          <cell r="F154">
            <v>2</v>
          </cell>
          <cell r="G154">
            <v>2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0608</v>
          </cell>
          <cell r="B155" t="str">
            <v>וילק שרגא ואילנה</v>
          </cell>
          <cell r="C155" t="str">
            <v xml:space="preserve">פתוח      </v>
          </cell>
          <cell r="D155" t="str">
            <v>חבר</v>
          </cell>
          <cell r="E155">
            <v>65.5</v>
          </cell>
          <cell r="F155">
            <v>2</v>
          </cell>
          <cell r="G155">
            <v>2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1913</v>
          </cell>
          <cell r="B156" t="str">
            <v>קרן בני ורחלי</v>
          </cell>
          <cell r="C156" t="str">
            <v xml:space="preserve">פתוח      </v>
          </cell>
          <cell r="D156" t="str">
            <v>חבר</v>
          </cell>
          <cell r="E156">
            <v>58</v>
          </cell>
          <cell r="F156">
            <v>2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A157" t="str">
            <v>2012</v>
          </cell>
          <cell r="B157" t="str">
            <v>רגב שמוליק ודפי</v>
          </cell>
          <cell r="C157" t="str">
            <v xml:space="preserve">פתוח      </v>
          </cell>
          <cell r="D157" t="str">
            <v>חבר</v>
          </cell>
          <cell r="E157">
            <v>57</v>
          </cell>
          <cell r="F157">
            <v>2</v>
          </cell>
          <cell r="G157">
            <v>2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A158" t="str">
            <v>0202</v>
          </cell>
          <cell r="B158" t="str">
            <v>ברודי אמנון אתי</v>
          </cell>
          <cell r="C158" t="str">
            <v xml:space="preserve">פתוח      </v>
          </cell>
          <cell r="D158" t="str">
            <v>חבר</v>
          </cell>
          <cell r="E158">
            <v>74</v>
          </cell>
          <cell r="F158">
            <v>2</v>
          </cell>
          <cell r="G158">
            <v>2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A159" t="str">
            <v>2121</v>
          </cell>
          <cell r="B159" t="str">
            <v>אלבז שריה ומוריה</v>
          </cell>
          <cell r="C159" t="str">
            <v xml:space="preserve">פתוח      </v>
          </cell>
          <cell r="D159" t="str">
            <v>חבר במסב</v>
          </cell>
          <cell r="E159">
            <v>35.5</v>
          </cell>
          <cell r="F159">
            <v>2</v>
          </cell>
          <cell r="G159">
            <v>5</v>
          </cell>
          <cell r="H159">
            <v>1</v>
          </cell>
          <cell r="I159">
            <v>1</v>
          </cell>
          <cell r="J159">
            <v>1</v>
          </cell>
          <cell r="K159">
            <v>0</v>
          </cell>
          <cell r="L159">
            <v>0</v>
          </cell>
        </row>
        <row r="160">
          <cell r="A160" t="str">
            <v>0211</v>
          </cell>
          <cell r="B160" t="str">
            <v>ברודי נעם וקרן</v>
          </cell>
          <cell r="C160" t="str">
            <v xml:space="preserve">פתוח      </v>
          </cell>
          <cell r="D160" t="str">
            <v>חבר במסב</v>
          </cell>
          <cell r="E160">
            <v>51</v>
          </cell>
          <cell r="F160">
            <v>2</v>
          </cell>
          <cell r="G160">
            <v>5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  <cell r="L160">
            <v>0</v>
          </cell>
        </row>
        <row r="161">
          <cell r="A161" t="str">
            <v>1261</v>
          </cell>
          <cell r="B161" t="str">
            <v>לבקוביץ ירון ועטרה</v>
          </cell>
          <cell r="C161" t="str">
            <v xml:space="preserve">פתוח      </v>
          </cell>
          <cell r="D161" t="str">
            <v>חבר</v>
          </cell>
          <cell r="E161">
            <v>41.5</v>
          </cell>
          <cell r="F161">
            <v>2</v>
          </cell>
          <cell r="G161">
            <v>6</v>
          </cell>
          <cell r="H161">
            <v>0</v>
          </cell>
          <cell r="I161">
            <v>0</v>
          </cell>
          <cell r="J161">
            <v>1</v>
          </cell>
          <cell r="K161">
            <v>1</v>
          </cell>
          <cell r="L161">
            <v>1</v>
          </cell>
        </row>
        <row r="162">
          <cell r="A162" t="str">
            <v>2011</v>
          </cell>
          <cell r="B162" t="str">
            <v>רביב יצחק ויעל</v>
          </cell>
          <cell r="C162" t="str">
            <v xml:space="preserve">פתוח      </v>
          </cell>
          <cell r="D162" t="str">
            <v>חבר</v>
          </cell>
          <cell r="E162">
            <v>65</v>
          </cell>
          <cell r="F162">
            <v>2</v>
          </cell>
          <cell r="G162">
            <v>2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A163" t="str">
            <v>0217</v>
          </cell>
          <cell r="B163" t="str">
            <v>ברודי אלחנן ורחל</v>
          </cell>
          <cell r="C163" t="str">
            <v xml:space="preserve">פתוח      </v>
          </cell>
          <cell r="D163" t="str">
            <v>חבר</v>
          </cell>
          <cell r="E163">
            <v>70.5</v>
          </cell>
          <cell r="F163">
            <v>2</v>
          </cell>
          <cell r="G163">
            <v>2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A164" t="str">
            <v>0804</v>
          </cell>
          <cell r="B164" t="str">
            <v>חורש גדי ושרי</v>
          </cell>
          <cell r="C164" t="str">
            <v xml:space="preserve">פתוח      </v>
          </cell>
          <cell r="D164" t="str">
            <v>חבר</v>
          </cell>
          <cell r="E164">
            <v>67</v>
          </cell>
          <cell r="F164">
            <v>2</v>
          </cell>
          <cell r="G164">
            <v>2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מניות חבר"/>
      <sheetName val="מורישים"/>
      <sheetName val="חשבונות חברה 40"/>
    </sheetNames>
    <sheetDataSet>
      <sheetData sheetId="0"/>
      <sheetData sheetId="1"/>
      <sheetData sheetId="2">
        <row r="1">
          <cell r="A1" t="str">
            <v>חשבון</v>
          </cell>
          <cell r="B1" t="str">
            <v>תאור עברי</v>
          </cell>
          <cell r="C1" t="str">
            <v>מצב</v>
          </cell>
          <cell r="D1" t="str">
            <v>חברה תקציב אישי</v>
          </cell>
          <cell r="E1" t="str">
            <v>קוד תקציב אישי</v>
          </cell>
          <cell r="F1" t="str">
            <v>תאור קוד תקציב אישי</v>
          </cell>
          <cell r="G1" t="str">
            <v>קוד חבר</v>
          </cell>
          <cell r="H1" t="str">
            <v>תאור קוד חבר</v>
          </cell>
          <cell r="I1" t="str">
            <v>סיווג</v>
          </cell>
          <cell r="J1" t="str">
            <v>תאריך פטירה</v>
          </cell>
        </row>
        <row r="2">
          <cell r="A2">
            <v>157001</v>
          </cell>
          <cell r="B2" t="str">
            <v>העברת רווח שנתי להון</v>
          </cell>
          <cell r="C2" t="str">
            <v>פתוח</v>
          </cell>
        </row>
        <row r="3">
          <cell r="A3">
            <v>38880</v>
          </cell>
          <cell r="B3" t="str">
            <v>עמלות בנק</v>
          </cell>
          <cell r="C3" t="str">
            <v>פתוח</v>
          </cell>
        </row>
        <row r="4">
          <cell r="A4">
            <v>600619</v>
          </cell>
          <cell r="B4" t="str">
            <v>רווחי 2012</v>
          </cell>
          <cell r="C4" t="str">
            <v>פתוח</v>
          </cell>
        </row>
        <row r="5">
          <cell r="A5">
            <v>600620</v>
          </cell>
          <cell r="B5" t="str">
            <v>שיוך הון ג"ח 2013 (חלוקה בר"ה)2014</v>
          </cell>
          <cell r="C5" t="str">
            <v>פתוח</v>
          </cell>
        </row>
        <row r="6">
          <cell r="A6">
            <v>600621</v>
          </cell>
          <cell r="B6" t="str">
            <v>שיוך הון ע"ח 2014 (חלוקת פסח)2015</v>
          </cell>
          <cell r="C6" t="str">
            <v>פתוח</v>
          </cell>
        </row>
        <row r="7">
          <cell r="A7">
            <v>600622</v>
          </cell>
          <cell r="B7" t="str">
            <v>שיוך הון ג"ח 2014 (חלוקה-ראש השנה)2015</v>
          </cell>
          <cell r="C7" t="str">
            <v>פתוח</v>
          </cell>
        </row>
        <row r="8">
          <cell r="A8">
            <v>600919</v>
          </cell>
          <cell r="B8" t="str">
            <v>שיוך הון ע"ח 2013 (חלוקה בפסח)2014</v>
          </cell>
          <cell r="C8" t="str">
            <v>פתוח</v>
          </cell>
        </row>
        <row r="9">
          <cell r="A9">
            <v>610000</v>
          </cell>
          <cell r="B9" t="str">
            <v>שאריות רווחים שנים קודמות</v>
          </cell>
          <cell r="C9" t="str">
            <v>פתוח</v>
          </cell>
        </row>
        <row r="10">
          <cell r="A10">
            <v>612015</v>
          </cell>
          <cell r="B10" t="str">
            <v>מקדמת רווחי 2015</v>
          </cell>
          <cell r="C10" t="str">
            <v>פתוח</v>
          </cell>
        </row>
        <row r="11">
          <cell r="A11">
            <v>612016</v>
          </cell>
          <cell r="B11" t="str">
            <v>מקדמת רווחי 2016</v>
          </cell>
          <cell r="C11" t="str">
            <v>פתוח</v>
          </cell>
        </row>
        <row r="12">
          <cell r="A12">
            <v>612017</v>
          </cell>
          <cell r="B12" t="str">
            <v>מקדמת רווחי 2017</v>
          </cell>
          <cell r="C12" t="str">
            <v>פתוח</v>
          </cell>
        </row>
        <row r="13">
          <cell r="A13">
            <v>612018</v>
          </cell>
          <cell r="B13" t="str">
            <v>מקדמת רווחי 2018</v>
          </cell>
          <cell r="C13" t="str">
            <v>פתוח</v>
          </cell>
        </row>
        <row r="14">
          <cell r="A14">
            <v>612019</v>
          </cell>
          <cell r="B14" t="str">
            <v>מקדמת רווחי 2019</v>
          </cell>
          <cell r="C14" t="str">
            <v>פתוח</v>
          </cell>
        </row>
        <row r="15">
          <cell r="A15">
            <v>612020</v>
          </cell>
          <cell r="B15" t="str">
            <v>מקדמת רווחי 2020</v>
          </cell>
          <cell r="C15" t="str">
            <v>פתוח</v>
          </cell>
        </row>
        <row r="16">
          <cell r="A16">
            <v>612021</v>
          </cell>
          <cell r="B16" t="str">
            <v>מקדמת רווחי 2021</v>
          </cell>
          <cell r="C16" t="str">
            <v>פתוח</v>
          </cell>
        </row>
        <row r="17">
          <cell r="A17">
            <v>612022</v>
          </cell>
          <cell r="B17" t="str">
            <v>מקדמת רווחי 2022</v>
          </cell>
          <cell r="C17" t="str">
            <v>פתוח</v>
          </cell>
        </row>
        <row r="18">
          <cell r="A18">
            <v>612023</v>
          </cell>
          <cell r="B18" t="str">
            <v>מקדמת רווחי 2023</v>
          </cell>
          <cell r="C18" t="str">
            <v>פתוח</v>
          </cell>
        </row>
        <row r="19">
          <cell r="A19">
            <v>612024</v>
          </cell>
          <cell r="B19" t="str">
            <v>מקדמת רווחי 2024</v>
          </cell>
          <cell r="C19" t="str">
            <v>פתוח</v>
          </cell>
        </row>
        <row r="20">
          <cell r="A20">
            <v>622015</v>
          </cell>
          <cell r="B20" t="str">
            <v>גמ"ח רווחי 2015</v>
          </cell>
          <cell r="C20" t="str">
            <v>פתוח</v>
          </cell>
        </row>
        <row r="21">
          <cell r="A21">
            <v>622016</v>
          </cell>
          <cell r="B21" t="str">
            <v>ג"ח רווחי 2016</v>
          </cell>
          <cell r="C21" t="str">
            <v>פתוח</v>
          </cell>
        </row>
        <row r="22">
          <cell r="A22">
            <v>622017</v>
          </cell>
          <cell r="B22" t="str">
            <v>ג"ח רווחי 2017</v>
          </cell>
          <cell r="C22" t="str">
            <v>פתוח</v>
          </cell>
        </row>
        <row r="23">
          <cell r="A23">
            <v>622018</v>
          </cell>
          <cell r="B23" t="str">
            <v>גמ"ח רווחי 2018</v>
          </cell>
          <cell r="C23" t="str">
            <v>פתוח</v>
          </cell>
        </row>
        <row r="24">
          <cell r="A24">
            <v>622019</v>
          </cell>
          <cell r="B24" t="str">
            <v>גמ"ח רווחי 2019</v>
          </cell>
          <cell r="C24" t="str">
            <v>פתוח</v>
          </cell>
        </row>
        <row r="25">
          <cell r="A25">
            <v>622020</v>
          </cell>
          <cell r="B25" t="str">
            <v>ג"ח רווחי 2020</v>
          </cell>
          <cell r="C25" t="str">
            <v>פתוח</v>
          </cell>
        </row>
        <row r="26">
          <cell r="A26">
            <v>622021</v>
          </cell>
          <cell r="B26" t="str">
            <v>ג"ח רווחי 2021</v>
          </cell>
          <cell r="C26" t="str">
            <v>פתוח</v>
          </cell>
        </row>
        <row r="27">
          <cell r="A27">
            <v>622022</v>
          </cell>
          <cell r="B27" t="str">
            <v>ג"ח רווחי 2022</v>
          </cell>
          <cell r="C27" t="str">
            <v>פתוח</v>
          </cell>
        </row>
        <row r="28">
          <cell r="A28">
            <v>622023</v>
          </cell>
          <cell r="B28" t="str">
            <v>ג"ח רווחי 2023</v>
          </cell>
          <cell r="C28" t="str">
            <v>פתוח</v>
          </cell>
          <cell r="D28">
            <v>70</v>
          </cell>
        </row>
        <row r="29">
          <cell r="A29">
            <v>622024</v>
          </cell>
          <cell r="B29" t="str">
            <v>ג"ח רווחי 2024</v>
          </cell>
          <cell r="C29" t="str">
            <v>פתוח</v>
          </cell>
          <cell r="D29">
            <v>70</v>
          </cell>
        </row>
        <row r="30">
          <cell r="A30">
            <v>650000</v>
          </cell>
          <cell r="B30" t="str">
            <v>אג"ח</v>
          </cell>
          <cell r="C30" t="str">
            <v>פתוח</v>
          </cell>
        </row>
        <row r="31">
          <cell r="A31">
            <v>7009</v>
          </cell>
          <cell r="B31" t="str">
            <v>מזרחי ק.מילואים משואה 446266</v>
          </cell>
          <cell r="C31" t="str">
            <v>פתוח</v>
          </cell>
        </row>
        <row r="32">
          <cell r="A32">
            <v>72103300</v>
          </cell>
          <cell r="B32" t="str">
            <v>שקל"פ ק.מילואים משואה</v>
          </cell>
          <cell r="C32" t="str">
            <v>פתוח</v>
          </cell>
        </row>
        <row r="33">
          <cell r="A33">
            <v>8107063</v>
          </cell>
          <cell r="B33" t="str">
            <v>זיו האפט רואי חשבון</v>
          </cell>
          <cell r="C33" t="str">
            <v>פתוח</v>
          </cell>
        </row>
        <row r="34">
          <cell r="A34">
            <v>8413</v>
          </cell>
          <cell r="B34" t="str">
            <v>ניהול ואחזקות משואות יצחק</v>
          </cell>
          <cell r="C34" t="str">
            <v>פתוח</v>
          </cell>
        </row>
        <row r="35">
          <cell r="A35">
            <v>8483</v>
          </cell>
          <cell r="B35" t="str">
            <v>משואות יצחק-כ.קשר (ק.מילואים משואה )</v>
          </cell>
          <cell r="C35" t="str">
            <v>פתוח</v>
          </cell>
        </row>
        <row r="36">
          <cell r="A36">
            <v>89006061</v>
          </cell>
          <cell r="C36" t="str">
            <v>פתוח</v>
          </cell>
        </row>
        <row r="37">
          <cell r="A37">
            <v>8901011</v>
          </cell>
          <cell r="B37" t="str">
            <v>אליעזר אדלר ז"ל</v>
          </cell>
          <cell r="C37" t="str">
            <v>סגור</v>
          </cell>
          <cell r="G37" t="str">
            <v>01011</v>
          </cell>
          <cell r="I37" t="str">
            <v>חבר</v>
          </cell>
        </row>
        <row r="38">
          <cell r="A38">
            <v>8901012</v>
          </cell>
          <cell r="B38" t="str">
            <v>יוכבד אדלר</v>
          </cell>
          <cell r="C38" t="str">
            <v>סגור</v>
          </cell>
          <cell r="G38" t="str">
            <v>01012</v>
          </cell>
          <cell r="I38" t="str">
            <v>חבר</v>
          </cell>
        </row>
        <row r="39">
          <cell r="A39">
            <v>8901031</v>
          </cell>
          <cell r="B39" t="str">
            <v>אריה אריאל</v>
          </cell>
          <cell r="C39" t="str">
            <v>סגור</v>
          </cell>
          <cell r="G39" t="str">
            <v>01031</v>
          </cell>
          <cell r="I39" t="str">
            <v>נפטר</v>
          </cell>
        </row>
        <row r="40">
          <cell r="A40">
            <v>8901041</v>
          </cell>
          <cell r="B40" t="str">
            <v>אלי אליפז</v>
          </cell>
          <cell r="C40" t="str">
            <v>סגור</v>
          </cell>
          <cell r="G40" t="str">
            <v>01041</v>
          </cell>
          <cell r="I40" t="str">
            <v>חבר</v>
          </cell>
        </row>
        <row r="41">
          <cell r="A41">
            <v>8901042</v>
          </cell>
          <cell r="B41" t="str">
            <v>רבקה אליפז</v>
          </cell>
          <cell r="C41" t="str">
            <v>סגור</v>
          </cell>
          <cell r="G41" t="str">
            <v>01042</v>
          </cell>
          <cell r="I41" t="str">
            <v>חבר</v>
          </cell>
        </row>
        <row r="42">
          <cell r="A42">
            <v>8901051</v>
          </cell>
          <cell r="B42" t="str">
            <v>אברהם אלדד</v>
          </cell>
          <cell r="C42" t="str">
            <v>סגור</v>
          </cell>
          <cell r="E42" t="str">
            <v>0105</v>
          </cell>
          <cell r="G42" t="str">
            <v>01051</v>
          </cell>
          <cell r="I42" t="str">
            <v>נפטר</v>
          </cell>
          <cell r="J42">
            <v>45894</v>
          </cell>
        </row>
        <row r="43">
          <cell r="A43">
            <v>8901052</v>
          </cell>
          <cell r="B43" t="str">
            <v>איטה אלדד</v>
          </cell>
          <cell r="C43" t="str">
            <v>סגור</v>
          </cell>
          <cell r="G43" t="str">
            <v>01052</v>
          </cell>
          <cell r="I43" t="str">
            <v>חבר</v>
          </cell>
        </row>
        <row r="44">
          <cell r="A44">
            <v>8901061</v>
          </cell>
          <cell r="B44" t="str">
            <v>חנן אריאל</v>
          </cell>
          <cell r="C44" t="str">
            <v>פתוח</v>
          </cell>
          <cell r="E44" t="str">
            <v>0106</v>
          </cell>
          <cell r="G44" t="str">
            <v>01061</v>
          </cell>
          <cell r="I44" t="str">
            <v>חבר</v>
          </cell>
        </row>
        <row r="45">
          <cell r="A45">
            <v>8901062</v>
          </cell>
          <cell r="B45" t="str">
            <v>ענת אריאל</v>
          </cell>
          <cell r="C45" t="str">
            <v>פתוח</v>
          </cell>
          <cell r="E45" t="str">
            <v>0106</v>
          </cell>
          <cell r="G45" t="str">
            <v>01062</v>
          </cell>
          <cell r="I45" t="str">
            <v>חבר</v>
          </cell>
        </row>
        <row r="46">
          <cell r="A46">
            <v>8901071</v>
          </cell>
          <cell r="B46" t="str">
            <v>יהודה אורן</v>
          </cell>
          <cell r="C46" t="str">
            <v>פתוח</v>
          </cell>
          <cell r="E46" t="str">
            <v>0107</v>
          </cell>
          <cell r="G46" t="str">
            <v>01071</v>
          </cell>
          <cell r="I46" t="str">
            <v>חבר</v>
          </cell>
        </row>
        <row r="47">
          <cell r="A47">
            <v>8901072</v>
          </cell>
          <cell r="B47" t="str">
            <v>הניה אורן</v>
          </cell>
          <cell r="C47" t="str">
            <v>פתוח</v>
          </cell>
          <cell r="E47" t="str">
            <v>0107</v>
          </cell>
          <cell r="G47" t="str">
            <v>01072</v>
          </cell>
          <cell r="I47" t="str">
            <v>חבר</v>
          </cell>
        </row>
        <row r="48">
          <cell r="A48">
            <v>8901091</v>
          </cell>
          <cell r="B48" t="str">
            <v>אליעזר אמיתי</v>
          </cell>
          <cell r="C48" t="str">
            <v>פתוח</v>
          </cell>
          <cell r="E48" t="str">
            <v>0109</v>
          </cell>
          <cell r="G48" t="str">
            <v>01091</v>
          </cell>
          <cell r="I48" t="str">
            <v>חבר</v>
          </cell>
        </row>
        <row r="49">
          <cell r="A49">
            <v>8901092</v>
          </cell>
          <cell r="B49" t="str">
            <v>פריידי אמיתי</v>
          </cell>
          <cell r="C49" t="str">
            <v>פתוח</v>
          </cell>
          <cell r="E49" t="str">
            <v>0109</v>
          </cell>
          <cell r="G49" t="str">
            <v>01092</v>
          </cell>
          <cell r="I49" t="str">
            <v>חבר</v>
          </cell>
        </row>
        <row r="50">
          <cell r="A50">
            <v>8901101</v>
          </cell>
          <cell r="B50" t="str">
            <v>מרדכי אדלר</v>
          </cell>
          <cell r="C50" t="str">
            <v>פתוח</v>
          </cell>
          <cell r="E50" t="str">
            <v>0110</v>
          </cell>
          <cell r="G50" t="str">
            <v>01101</v>
          </cell>
          <cell r="I50" t="str">
            <v>חבר</v>
          </cell>
        </row>
        <row r="51">
          <cell r="A51">
            <v>8901111</v>
          </cell>
          <cell r="B51" t="str">
            <v>מיכה אמיר</v>
          </cell>
          <cell r="C51" t="str">
            <v>פתוח</v>
          </cell>
          <cell r="E51" t="str">
            <v>0111</v>
          </cell>
          <cell r="G51" t="str">
            <v>01111</v>
          </cell>
          <cell r="I51" t="str">
            <v>חבר</v>
          </cell>
        </row>
        <row r="52">
          <cell r="A52">
            <v>8901112</v>
          </cell>
          <cell r="B52" t="str">
            <v>תמר אמיר</v>
          </cell>
          <cell r="C52" t="str">
            <v>פתוח</v>
          </cell>
          <cell r="E52" t="str">
            <v>0111</v>
          </cell>
          <cell r="G52" t="str">
            <v>01112</v>
          </cell>
          <cell r="I52" t="str">
            <v>חבר</v>
          </cell>
        </row>
        <row r="53">
          <cell r="A53">
            <v>8901121</v>
          </cell>
          <cell r="B53" t="str">
            <v>שמואל אלירז</v>
          </cell>
          <cell r="C53" t="str">
            <v>פתוח</v>
          </cell>
          <cell r="E53" t="str">
            <v>0112</v>
          </cell>
          <cell r="G53" t="str">
            <v>01121</v>
          </cell>
          <cell r="I53" t="str">
            <v>חבר</v>
          </cell>
        </row>
        <row r="54">
          <cell r="A54">
            <v>8901122</v>
          </cell>
          <cell r="B54" t="str">
            <v>עפרה אלירז</v>
          </cell>
          <cell r="C54" t="str">
            <v>פתוח</v>
          </cell>
          <cell r="E54" t="str">
            <v>0112</v>
          </cell>
          <cell r="G54" t="str">
            <v>01122</v>
          </cell>
          <cell r="I54" t="str">
            <v>חבר</v>
          </cell>
        </row>
        <row r="55">
          <cell r="A55">
            <v>8901141</v>
          </cell>
          <cell r="B55" t="str">
            <v>עמיחי אביעד</v>
          </cell>
          <cell r="C55" t="str">
            <v>פתוח</v>
          </cell>
          <cell r="E55" t="str">
            <v>0114</v>
          </cell>
          <cell r="G55" t="str">
            <v>01141</v>
          </cell>
          <cell r="I55" t="str">
            <v>חבר</v>
          </cell>
        </row>
        <row r="56">
          <cell r="A56">
            <v>8901142</v>
          </cell>
          <cell r="B56" t="str">
            <v>רבקה אביעד</v>
          </cell>
          <cell r="C56" t="str">
            <v>פתוח</v>
          </cell>
          <cell r="E56" t="str">
            <v>0114</v>
          </cell>
          <cell r="G56" t="str">
            <v>01142</v>
          </cell>
          <cell r="I56" t="str">
            <v>חבר</v>
          </cell>
        </row>
        <row r="57">
          <cell r="A57">
            <v>8901151</v>
          </cell>
          <cell r="B57" t="str">
            <v>נפתלי אלדד</v>
          </cell>
          <cell r="C57" t="str">
            <v>פתוח</v>
          </cell>
          <cell r="E57" t="str">
            <v>0115</v>
          </cell>
          <cell r="G57" t="str">
            <v>01151</v>
          </cell>
          <cell r="I57" t="str">
            <v>חבר</v>
          </cell>
        </row>
        <row r="58">
          <cell r="A58">
            <v>8901152</v>
          </cell>
          <cell r="B58" t="str">
            <v>מאשה אלדד</v>
          </cell>
          <cell r="C58" t="str">
            <v>פתוח</v>
          </cell>
          <cell r="E58" t="str">
            <v>0115</v>
          </cell>
          <cell r="G58" t="str">
            <v>01152</v>
          </cell>
          <cell r="I58" t="str">
            <v>חבר</v>
          </cell>
        </row>
        <row r="59">
          <cell r="A59">
            <v>8901192</v>
          </cell>
          <cell r="B59" t="str">
            <v>חנה אבינר קפלן</v>
          </cell>
          <cell r="C59" t="str">
            <v>פתוח</v>
          </cell>
          <cell r="E59" t="str">
            <v>0119</v>
          </cell>
          <cell r="G59" t="str">
            <v>01192</v>
          </cell>
          <cell r="I59" t="str">
            <v>חבר</v>
          </cell>
        </row>
        <row r="60">
          <cell r="A60">
            <v>8901211</v>
          </cell>
          <cell r="B60" t="str">
            <v>מרדכי אלדד</v>
          </cell>
          <cell r="C60" t="str">
            <v>פתוח</v>
          </cell>
          <cell r="E60" t="str">
            <v>0121</v>
          </cell>
          <cell r="G60" t="str">
            <v>01211</v>
          </cell>
          <cell r="I60" t="str">
            <v>חבר</v>
          </cell>
        </row>
        <row r="61">
          <cell r="A61">
            <v>8901231</v>
          </cell>
          <cell r="B61" t="str">
            <v>משה אונגר</v>
          </cell>
          <cell r="C61" t="str">
            <v>פתוח</v>
          </cell>
          <cell r="E61" t="str">
            <v>0123</v>
          </cell>
          <cell r="G61" t="str">
            <v>01231</v>
          </cell>
          <cell r="I61" t="str">
            <v>חבר</v>
          </cell>
        </row>
        <row r="62">
          <cell r="A62">
            <v>8901232</v>
          </cell>
          <cell r="B62" t="str">
            <v>אדווה אונגר</v>
          </cell>
          <cell r="C62" t="str">
            <v>פתוח</v>
          </cell>
          <cell r="E62" t="str">
            <v>0148</v>
          </cell>
          <cell r="G62" t="str">
            <v>01482</v>
          </cell>
          <cell r="I62" t="str">
            <v>חבר</v>
          </cell>
        </row>
        <row r="63">
          <cell r="A63">
            <v>8901252</v>
          </cell>
          <cell r="B63" t="str">
            <v>בלימה אדלר</v>
          </cell>
          <cell r="C63" t="str">
            <v>פתוח</v>
          </cell>
          <cell r="E63" t="str">
            <v>0125</v>
          </cell>
          <cell r="G63" t="str">
            <v>01252</v>
          </cell>
          <cell r="I63" t="str">
            <v>חבר</v>
          </cell>
        </row>
        <row r="64">
          <cell r="A64">
            <v>8901271</v>
          </cell>
          <cell r="B64" t="str">
            <v>אשר אדלר</v>
          </cell>
          <cell r="C64" t="str">
            <v>סגור</v>
          </cell>
          <cell r="G64" t="str">
            <v>01271</v>
          </cell>
          <cell r="I64" t="str">
            <v>חופשה</v>
          </cell>
        </row>
        <row r="65">
          <cell r="A65">
            <v>8901272</v>
          </cell>
          <cell r="B65" t="str">
            <v>עינת אדלר</v>
          </cell>
          <cell r="C65" t="str">
            <v>סגור</v>
          </cell>
          <cell r="G65" t="str">
            <v>01272</v>
          </cell>
          <cell r="I65" t="str">
            <v>חופשה</v>
          </cell>
        </row>
        <row r="66">
          <cell r="A66">
            <v>8901301</v>
          </cell>
          <cell r="B66" t="str">
            <v>יאיר אריאל</v>
          </cell>
          <cell r="C66" t="str">
            <v>פתוח</v>
          </cell>
          <cell r="E66" t="str">
            <v>0130</v>
          </cell>
          <cell r="G66" t="str">
            <v>01301</v>
          </cell>
          <cell r="I66" t="str">
            <v>חבר</v>
          </cell>
        </row>
        <row r="67">
          <cell r="A67">
            <v>8901302</v>
          </cell>
          <cell r="B67" t="str">
            <v>איילת אריאל</v>
          </cell>
          <cell r="C67" t="str">
            <v>פתוח</v>
          </cell>
          <cell r="E67" t="str">
            <v>0130</v>
          </cell>
          <cell r="G67" t="str">
            <v>01302</v>
          </cell>
          <cell r="I67" t="str">
            <v>חבר</v>
          </cell>
        </row>
        <row r="68">
          <cell r="A68">
            <v>8901341</v>
          </cell>
          <cell r="B68" t="str">
            <v>שלמה אלדד</v>
          </cell>
          <cell r="C68" t="str">
            <v>פתוח</v>
          </cell>
          <cell r="E68" t="str">
            <v>0134</v>
          </cell>
          <cell r="G68" t="str">
            <v>01341</v>
          </cell>
          <cell r="I68" t="str">
            <v>חבר</v>
          </cell>
        </row>
        <row r="69">
          <cell r="A69">
            <v>8901342</v>
          </cell>
          <cell r="B69" t="str">
            <v>נעה אלדד</v>
          </cell>
          <cell r="C69" t="str">
            <v>פתוח</v>
          </cell>
          <cell r="E69" t="str">
            <v>0134</v>
          </cell>
          <cell r="G69" t="str">
            <v>01342</v>
          </cell>
          <cell r="I69" t="str">
            <v>חבר</v>
          </cell>
        </row>
        <row r="70">
          <cell r="A70">
            <v>8901441</v>
          </cell>
          <cell r="B70" t="str">
            <v>אריה צוריאל</v>
          </cell>
          <cell r="C70" t="str">
            <v>פתוח</v>
          </cell>
          <cell r="E70" t="str">
            <v>0144</v>
          </cell>
          <cell r="G70" t="str">
            <v>01441</v>
          </cell>
          <cell r="I70" t="str">
            <v>חבר</v>
          </cell>
        </row>
        <row r="71">
          <cell r="A71">
            <v>8901442</v>
          </cell>
          <cell r="B71" t="str">
            <v>אריה אורלי</v>
          </cell>
          <cell r="C71" t="str">
            <v>פתוח</v>
          </cell>
          <cell r="E71" t="str">
            <v>0144</v>
          </cell>
          <cell r="G71" t="str">
            <v>01442</v>
          </cell>
          <cell r="I71" t="str">
            <v>חבר</v>
          </cell>
        </row>
        <row r="72">
          <cell r="A72">
            <v>8902011</v>
          </cell>
          <cell r="B72" t="str">
            <v>מנחם בן ישר</v>
          </cell>
          <cell r="C72" t="str">
            <v>סגור</v>
          </cell>
          <cell r="G72" t="str">
            <v>02011</v>
          </cell>
          <cell r="I72" t="str">
            <v>נפטר</v>
          </cell>
          <cell r="J72">
            <v>44682</v>
          </cell>
        </row>
        <row r="73">
          <cell r="A73">
            <v>8902012</v>
          </cell>
          <cell r="B73" t="str">
            <v>חדווה בן ישר</v>
          </cell>
          <cell r="C73" t="str">
            <v>סגור</v>
          </cell>
          <cell r="G73" t="str">
            <v>02012</v>
          </cell>
          <cell r="I73" t="str">
            <v>נפטר</v>
          </cell>
          <cell r="J73">
            <v>45335</v>
          </cell>
        </row>
        <row r="74">
          <cell r="A74">
            <v>8902021</v>
          </cell>
          <cell r="B74" t="str">
            <v>אמנון ברודי</v>
          </cell>
          <cell r="C74" t="str">
            <v>פתוח</v>
          </cell>
          <cell r="E74" t="str">
            <v>0202</v>
          </cell>
          <cell r="G74" t="str">
            <v>02021</v>
          </cell>
          <cell r="I74" t="str">
            <v>חבר</v>
          </cell>
        </row>
        <row r="75">
          <cell r="A75">
            <v>8902022</v>
          </cell>
          <cell r="B75" t="str">
            <v>אסתר ברודי</v>
          </cell>
          <cell r="C75" t="str">
            <v>פתוח</v>
          </cell>
          <cell r="E75" t="str">
            <v>0202</v>
          </cell>
          <cell r="G75" t="str">
            <v>02022</v>
          </cell>
          <cell r="I75" t="str">
            <v>חבר</v>
          </cell>
        </row>
        <row r="76">
          <cell r="A76">
            <v>8902041</v>
          </cell>
          <cell r="B76" t="str">
            <v>עזריאל בן דב</v>
          </cell>
          <cell r="C76" t="str">
            <v>סגור</v>
          </cell>
          <cell r="G76" t="str">
            <v>02041</v>
          </cell>
          <cell r="I76" t="str">
            <v>חבר</v>
          </cell>
        </row>
        <row r="77">
          <cell r="A77">
            <v>8902042</v>
          </cell>
          <cell r="B77" t="str">
            <v>שושנה בן דב</v>
          </cell>
          <cell r="C77" t="str">
            <v>סגור</v>
          </cell>
          <cell r="G77" t="str">
            <v>02042</v>
          </cell>
          <cell r="I77" t="str">
            <v>חבר</v>
          </cell>
        </row>
        <row r="78">
          <cell r="A78">
            <v>8902052</v>
          </cell>
          <cell r="B78" t="str">
            <v>מגדה בירנבאום</v>
          </cell>
          <cell r="C78" t="str">
            <v>סגור</v>
          </cell>
          <cell r="G78" t="str">
            <v>02052</v>
          </cell>
          <cell r="I78" t="str">
            <v>חבר</v>
          </cell>
        </row>
        <row r="79">
          <cell r="A79">
            <v>8902062</v>
          </cell>
          <cell r="B79" t="str">
            <v>שאולה בן יעקב</v>
          </cell>
          <cell r="C79" t="str">
            <v>פתוח</v>
          </cell>
          <cell r="E79" t="str">
            <v>0206</v>
          </cell>
          <cell r="G79" t="str">
            <v>02062</v>
          </cell>
          <cell r="I79" t="str">
            <v>חבר</v>
          </cell>
        </row>
        <row r="80">
          <cell r="A80">
            <v>8902072</v>
          </cell>
          <cell r="B80" t="str">
            <v>צפורה בן טל ז"ל</v>
          </cell>
          <cell r="C80" t="str">
            <v>סגור</v>
          </cell>
          <cell r="G80" t="str">
            <v>02072</v>
          </cell>
          <cell r="I80" t="str">
            <v>חבר</v>
          </cell>
        </row>
        <row r="81">
          <cell r="A81">
            <v>8902082</v>
          </cell>
          <cell r="B81" t="str">
            <v>תיאה ברודי ז"ל</v>
          </cell>
          <cell r="C81" t="str">
            <v>סגור</v>
          </cell>
          <cell r="G81" t="str">
            <v>02082</v>
          </cell>
          <cell r="I81" t="str">
            <v>חבר</v>
          </cell>
        </row>
        <row r="82">
          <cell r="A82">
            <v>8902091</v>
          </cell>
          <cell r="B82" t="str">
            <v>מאיר באום</v>
          </cell>
          <cell r="C82" t="str">
            <v>סגור</v>
          </cell>
          <cell r="G82" t="str">
            <v>02091</v>
          </cell>
          <cell r="I82" t="str">
            <v>נפטר</v>
          </cell>
        </row>
        <row r="83">
          <cell r="A83">
            <v>8902101</v>
          </cell>
          <cell r="B83" t="str">
            <v>אליעזר בשן</v>
          </cell>
          <cell r="C83" t="str">
            <v>סגור</v>
          </cell>
          <cell r="G83" t="str">
            <v>02101</v>
          </cell>
          <cell r="I83" t="str">
            <v>נפטר</v>
          </cell>
          <cell r="J83">
            <v>43973</v>
          </cell>
        </row>
        <row r="84">
          <cell r="A84">
            <v>8902102</v>
          </cell>
          <cell r="B84" t="str">
            <v>דבורה בשן</v>
          </cell>
          <cell r="C84" t="str">
            <v>סגור</v>
          </cell>
          <cell r="G84" t="str">
            <v>02102</v>
          </cell>
          <cell r="I84" t="str">
            <v>חבר</v>
          </cell>
          <cell r="J84">
            <v>44931</v>
          </cell>
        </row>
        <row r="85">
          <cell r="A85">
            <v>8902111</v>
          </cell>
          <cell r="B85" t="str">
            <v>נועם ברודי</v>
          </cell>
          <cell r="C85" t="str">
            <v>פתוח</v>
          </cell>
          <cell r="E85" t="str">
            <v>0211</v>
          </cell>
          <cell r="G85" t="str">
            <v>02111</v>
          </cell>
          <cell r="I85" t="str">
            <v>חבר</v>
          </cell>
        </row>
        <row r="86">
          <cell r="A86">
            <v>8902112</v>
          </cell>
          <cell r="B86" t="str">
            <v>קרן ברודי</v>
          </cell>
          <cell r="C86" t="str">
            <v>פתוח</v>
          </cell>
          <cell r="E86" t="str">
            <v>0211</v>
          </cell>
          <cell r="G86" t="str">
            <v>02112</v>
          </cell>
          <cell r="I86" t="str">
            <v>חבר</v>
          </cell>
        </row>
        <row r="87">
          <cell r="A87">
            <v>8902121</v>
          </cell>
          <cell r="B87" t="str">
            <v>צבי בירנבאום</v>
          </cell>
          <cell r="C87" t="str">
            <v>פתוח</v>
          </cell>
          <cell r="E87" t="str">
            <v>0212</v>
          </cell>
          <cell r="G87" t="str">
            <v>02121</v>
          </cell>
          <cell r="I87" t="str">
            <v>חבר</v>
          </cell>
        </row>
        <row r="88">
          <cell r="A88">
            <v>8902122</v>
          </cell>
          <cell r="B88" t="str">
            <v>אורה בירנבאום</v>
          </cell>
          <cell r="C88" t="str">
            <v>פתוח</v>
          </cell>
          <cell r="E88" t="str">
            <v>0212</v>
          </cell>
          <cell r="G88" t="str">
            <v>02122</v>
          </cell>
          <cell r="I88" t="str">
            <v>חבר</v>
          </cell>
        </row>
        <row r="89">
          <cell r="A89">
            <v>8902141</v>
          </cell>
          <cell r="B89" t="str">
            <v>סרג` בן חמו</v>
          </cell>
          <cell r="C89" t="str">
            <v>פתוח</v>
          </cell>
          <cell r="E89" t="str">
            <v>0214</v>
          </cell>
          <cell r="G89" t="str">
            <v>02141</v>
          </cell>
          <cell r="I89" t="str">
            <v>חבר</v>
          </cell>
        </row>
        <row r="90">
          <cell r="A90">
            <v>8902142</v>
          </cell>
          <cell r="B90" t="str">
            <v>רחל בן חמו</v>
          </cell>
          <cell r="C90" t="str">
            <v>פתוח</v>
          </cell>
          <cell r="E90" t="str">
            <v>0214</v>
          </cell>
          <cell r="G90" t="str">
            <v>02142</v>
          </cell>
          <cell r="I90" t="str">
            <v>חבר</v>
          </cell>
        </row>
        <row r="91">
          <cell r="A91">
            <v>8902161</v>
          </cell>
          <cell r="B91" t="str">
            <v>יואב ברפלד</v>
          </cell>
          <cell r="C91" t="str">
            <v>פתוח</v>
          </cell>
          <cell r="E91" t="str">
            <v>0216</v>
          </cell>
          <cell r="G91" t="str">
            <v>02161</v>
          </cell>
          <cell r="I91" t="str">
            <v>חבר</v>
          </cell>
        </row>
        <row r="92">
          <cell r="A92">
            <v>8902162</v>
          </cell>
          <cell r="B92" t="str">
            <v>חנה ברפלד</v>
          </cell>
          <cell r="C92" t="str">
            <v>פתוח</v>
          </cell>
          <cell r="E92" t="str">
            <v>0216</v>
          </cell>
          <cell r="G92" t="str">
            <v>02162</v>
          </cell>
          <cell r="I92" t="str">
            <v>חבר</v>
          </cell>
        </row>
        <row r="93">
          <cell r="A93">
            <v>8902171</v>
          </cell>
          <cell r="B93" t="str">
            <v>אלחנן ברודי</v>
          </cell>
          <cell r="C93" t="str">
            <v>פתוח</v>
          </cell>
          <cell r="E93" t="str">
            <v>0217</v>
          </cell>
          <cell r="G93" t="str">
            <v>02171</v>
          </cell>
          <cell r="I93" t="str">
            <v>חבר</v>
          </cell>
        </row>
        <row r="94">
          <cell r="A94">
            <v>8902172</v>
          </cell>
          <cell r="B94" t="str">
            <v>רחל ברודי</v>
          </cell>
          <cell r="C94" t="str">
            <v>פתוח</v>
          </cell>
          <cell r="E94" t="str">
            <v>0217</v>
          </cell>
          <cell r="G94" t="str">
            <v>02172</v>
          </cell>
          <cell r="I94" t="str">
            <v>חבר</v>
          </cell>
        </row>
        <row r="95">
          <cell r="A95">
            <v>8902181</v>
          </cell>
          <cell r="B95" t="str">
            <v>רפאל בן טל</v>
          </cell>
          <cell r="C95" t="str">
            <v>פתוח</v>
          </cell>
          <cell r="E95" t="str">
            <v>0218</v>
          </cell>
          <cell r="G95" t="str">
            <v>02181</v>
          </cell>
          <cell r="I95" t="str">
            <v>חבר</v>
          </cell>
        </row>
        <row r="96">
          <cell r="A96">
            <v>8902182</v>
          </cell>
          <cell r="B96" t="str">
            <v>שושנה בן טל</v>
          </cell>
          <cell r="C96" t="str">
            <v>פתוח</v>
          </cell>
          <cell r="E96" t="str">
            <v>0218</v>
          </cell>
          <cell r="G96" t="str">
            <v>02182</v>
          </cell>
          <cell r="I96" t="str">
            <v>חבר</v>
          </cell>
        </row>
        <row r="97">
          <cell r="A97">
            <v>8902191</v>
          </cell>
          <cell r="B97" t="str">
            <v>בנימין בשן</v>
          </cell>
          <cell r="C97" t="str">
            <v>פתוח</v>
          </cell>
          <cell r="E97" t="str">
            <v>0219</v>
          </cell>
          <cell r="G97" t="str">
            <v>02191</v>
          </cell>
          <cell r="I97" t="str">
            <v>חבר</v>
          </cell>
        </row>
        <row r="98">
          <cell r="A98">
            <v>8902192</v>
          </cell>
          <cell r="B98" t="str">
            <v>רחל בשן</v>
          </cell>
          <cell r="C98" t="str">
            <v>פתוח</v>
          </cell>
          <cell r="E98" t="str">
            <v>0219</v>
          </cell>
          <cell r="G98" t="str">
            <v>02192</v>
          </cell>
          <cell r="I98" t="str">
            <v>חבר</v>
          </cell>
        </row>
        <row r="99">
          <cell r="A99">
            <v>8902201</v>
          </cell>
          <cell r="B99" t="str">
            <v>צבי בן עמי</v>
          </cell>
          <cell r="C99" t="str">
            <v>פתוח</v>
          </cell>
          <cell r="E99" t="str">
            <v>0220</v>
          </cell>
          <cell r="G99" t="str">
            <v>02201</v>
          </cell>
          <cell r="I99" t="str">
            <v>חבר</v>
          </cell>
        </row>
        <row r="100">
          <cell r="A100">
            <v>8902202</v>
          </cell>
          <cell r="B100" t="str">
            <v>הדסה בן עמי</v>
          </cell>
          <cell r="C100" t="str">
            <v>פתוח</v>
          </cell>
          <cell r="E100" t="str">
            <v>0220</v>
          </cell>
          <cell r="G100" t="str">
            <v>02202</v>
          </cell>
          <cell r="I100" t="str">
            <v>חבר</v>
          </cell>
        </row>
        <row r="101">
          <cell r="A101">
            <v>8902261</v>
          </cell>
          <cell r="B101" t="str">
            <v>מאור בר</v>
          </cell>
          <cell r="C101" t="str">
            <v>פתוח</v>
          </cell>
          <cell r="E101" t="str">
            <v>0226</v>
          </cell>
          <cell r="G101" t="str">
            <v>02261</v>
          </cell>
          <cell r="I101" t="str">
            <v>חבר</v>
          </cell>
        </row>
        <row r="102">
          <cell r="A102">
            <v>8902262</v>
          </cell>
          <cell r="B102" t="str">
            <v>שלי בר</v>
          </cell>
          <cell r="C102" t="str">
            <v>פתוח</v>
          </cell>
          <cell r="E102" t="str">
            <v>0226</v>
          </cell>
          <cell r="G102" t="str">
            <v>02262</v>
          </cell>
          <cell r="I102" t="str">
            <v>חבר</v>
          </cell>
        </row>
        <row r="103">
          <cell r="A103">
            <v>8902271</v>
          </cell>
          <cell r="B103" t="str">
            <v>עודד ברודי</v>
          </cell>
          <cell r="C103" t="str">
            <v>פתוח</v>
          </cell>
          <cell r="E103" t="str">
            <v>0227</v>
          </cell>
          <cell r="G103" t="str">
            <v>02271</v>
          </cell>
          <cell r="I103" t="str">
            <v>חבר</v>
          </cell>
        </row>
        <row r="104">
          <cell r="A104">
            <v>8902272</v>
          </cell>
          <cell r="B104" t="str">
            <v>אביבית ברודי</v>
          </cell>
          <cell r="C104" t="str">
            <v>פתוח</v>
          </cell>
          <cell r="E104" t="str">
            <v>0227</v>
          </cell>
          <cell r="G104" t="str">
            <v>02272</v>
          </cell>
          <cell r="I104" t="str">
            <v>חבר</v>
          </cell>
        </row>
        <row r="105">
          <cell r="A105">
            <v>8902371</v>
          </cell>
          <cell r="B105" t="str">
            <v>אבי ברבן</v>
          </cell>
          <cell r="C105" t="str">
            <v>פתוח</v>
          </cell>
          <cell r="E105" t="str">
            <v>0237</v>
          </cell>
          <cell r="G105" t="str">
            <v>02371</v>
          </cell>
          <cell r="I105" t="str">
            <v>חבר</v>
          </cell>
        </row>
        <row r="106">
          <cell r="A106">
            <v>8902372</v>
          </cell>
          <cell r="B106" t="str">
            <v>תמר ברבן</v>
          </cell>
          <cell r="C106" t="str">
            <v>פתוח</v>
          </cell>
          <cell r="E106" t="str">
            <v>0237</v>
          </cell>
          <cell r="G106" t="str">
            <v>02372</v>
          </cell>
          <cell r="I106" t="str">
            <v>חבר</v>
          </cell>
        </row>
        <row r="107">
          <cell r="A107">
            <v>8902461</v>
          </cell>
          <cell r="B107" t="str">
            <v>דרור בן טל</v>
          </cell>
          <cell r="C107" t="str">
            <v>סגור</v>
          </cell>
          <cell r="G107" t="str">
            <v>02461</v>
          </cell>
          <cell r="I107" t="str">
            <v>עזב</v>
          </cell>
        </row>
        <row r="108">
          <cell r="A108">
            <v>8902462</v>
          </cell>
          <cell r="B108" t="str">
            <v>נעמה בן טל</v>
          </cell>
          <cell r="C108" t="str">
            <v>סגור</v>
          </cell>
          <cell r="G108" t="str">
            <v>02462</v>
          </cell>
          <cell r="I108" t="str">
            <v>עזב</v>
          </cell>
        </row>
        <row r="109">
          <cell r="A109">
            <v>8902491</v>
          </cell>
          <cell r="B109" t="str">
            <v>שי ביטון</v>
          </cell>
          <cell r="C109" t="str">
            <v>סגור</v>
          </cell>
          <cell r="I109" t="str">
            <v>חבר</v>
          </cell>
        </row>
        <row r="110">
          <cell r="A110">
            <v>8902492</v>
          </cell>
          <cell r="B110" t="str">
            <v>לוטם ביטון</v>
          </cell>
          <cell r="C110" t="str">
            <v>פתוח</v>
          </cell>
          <cell r="E110" t="str">
            <v>0249</v>
          </cell>
          <cell r="G110" t="str">
            <v>02492</v>
          </cell>
          <cell r="I110" t="str">
            <v>חבר</v>
          </cell>
        </row>
        <row r="111">
          <cell r="A111">
            <v>8902501</v>
          </cell>
          <cell r="B111" t="str">
            <v>בן עמי ירדן</v>
          </cell>
          <cell r="C111" t="str">
            <v>פתוח</v>
          </cell>
          <cell r="E111" t="str">
            <v>0250</v>
          </cell>
          <cell r="G111" t="str">
            <v>02501</v>
          </cell>
          <cell r="I111" t="str">
            <v>חבר</v>
          </cell>
        </row>
        <row r="112">
          <cell r="A112">
            <v>8902502</v>
          </cell>
          <cell r="B112" t="str">
            <v>בן עמי דנה</v>
          </cell>
          <cell r="C112" t="str">
            <v>פתוח</v>
          </cell>
          <cell r="E112" t="str">
            <v>0250</v>
          </cell>
          <cell r="G112" t="str">
            <v>02502</v>
          </cell>
          <cell r="I112" t="str">
            <v>חבר</v>
          </cell>
        </row>
        <row r="113">
          <cell r="A113">
            <v>8902521</v>
          </cell>
          <cell r="B113" t="str">
            <v>ערן בן אהרון</v>
          </cell>
          <cell r="C113" t="str">
            <v>פתוח</v>
          </cell>
          <cell r="E113" t="str">
            <v>0252</v>
          </cell>
          <cell r="G113" t="str">
            <v>02521</v>
          </cell>
          <cell r="I113" t="str">
            <v>חבר</v>
          </cell>
        </row>
        <row r="114">
          <cell r="A114">
            <v>8902522</v>
          </cell>
          <cell r="B114" t="str">
            <v>דפנה בן אהרון</v>
          </cell>
          <cell r="C114" t="str">
            <v>פתוח</v>
          </cell>
          <cell r="E114" t="str">
            <v>0252</v>
          </cell>
          <cell r="G114" t="str">
            <v>02522</v>
          </cell>
          <cell r="I114" t="str">
            <v>חבר</v>
          </cell>
        </row>
        <row r="115">
          <cell r="A115">
            <v>8903011</v>
          </cell>
          <cell r="B115" t="str">
            <v>דב גוטליב</v>
          </cell>
          <cell r="C115" t="str">
            <v>פתוח</v>
          </cell>
          <cell r="E115" t="str">
            <v>0301</v>
          </cell>
          <cell r="G115" t="str">
            <v>03011</v>
          </cell>
          <cell r="I115" t="str">
            <v>חבר</v>
          </cell>
        </row>
        <row r="116">
          <cell r="A116">
            <v>8903012</v>
          </cell>
          <cell r="B116" t="str">
            <v>נעמי גוטליב</v>
          </cell>
          <cell r="C116" t="str">
            <v>פתוח</v>
          </cell>
          <cell r="E116" t="str">
            <v>0301</v>
          </cell>
          <cell r="G116" t="str">
            <v>03012</v>
          </cell>
          <cell r="I116" t="str">
            <v>חבר</v>
          </cell>
        </row>
        <row r="117">
          <cell r="A117">
            <v>8903021</v>
          </cell>
          <cell r="B117" t="str">
            <v>מרדכי גלבוע</v>
          </cell>
          <cell r="C117" t="str">
            <v>סגור</v>
          </cell>
          <cell r="G117" t="str">
            <v>03021</v>
          </cell>
          <cell r="I117" t="str">
            <v>חבר</v>
          </cell>
        </row>
        <row r="118">
          <cell r="A118">
            <v>8903022</v>
          </cell>
          <cell r="B118" t="str">
            <v>חנה גלבוע</v>
          </cell>
          <cell r="C118" t="str">
            <v>פתוח</v>
          </cell>
          <cell r="E118" t="str">
            <v>0302</v>
          </cell>
          <cell r="G118" t="str">
            <v>03022</v>
          </cell>
          <cell r="I118" t="str">
            <v>חבר</v>
          </cell>
        </row>
        <row r="119">
          <cell r="A119">
            <v>8903031</v>
          </cell>
          <cell r="B119" t="str">
            <v>משה גרינבלט</v>
          </cell>
          <cell r="C119" t="str">
            <v>פתוח</v>
          </cell>
          <cell r="E119" t="str">
            <v>0303</v>
          </cell>
          <cell r="G119" t="str">
            <v>03031</v>
          </cell>
          <cell r="I119" t="str">
            <v>חבר</v>
          </cell>
        </row>
        <row r="120">
          <cell r="A120">
            <v>8903032</v>
          </cell>
          <cell r="B120" t="str">
            <v>רותי גרינבלט</v>
          </cell>
          <cell r="C120" t="str">
            <v>פתוח</v>
          </cell>
          <cell r="E120" t="str">
            <v>0303</v>
          </cell>
          <cell r="G120" t="str">
            <v>03032</v>
          </cell>
          <cell r="I120" t="str">
            <v>חבר</v>
          </cell>
        </row>
        <row r="121">
          <cell r="A121">
            <v>8903041</v>
          </cell>
          <cell r="B121" t="str">
            <v>שמואל גביר</v>
          </cell>
          <cell r="C121" t="str">
            <v>פתוח</v>
          </cell>
          <cell r="E121" t="str">
            <v>0304</v>
          </cell>
          <cell r="G121" t="str">
            <v>03041</v>
          </cell>
          <cell r="I121" t="str">
            <v>חבר</v>
          </cell>
        </row>
        <row r="122">
          <cell r="A122">
            <v>8903042</v>
          </cell>
          <cell r="B122" t="str">
            <v>אילה גביר</v>
          </cell>
          <cell r="C122" t="str">
            <v>פתוח</v>
          </cell>
          <cell r="E122" t="str">
            <v>0304</v>
          </cell>
          <cell r="G122" t="str">
            <v>03042</v>
          </cell>
          <cell r="I122" t="str">
            <v>חבר</v>
          </cell>
        </row>
        <row r="123">
          <cell r="A123">
            <v>8903051</v>
          </cell>
          <cell r="B123" t="str">
            <v>אורי גריסמן</v>
          </cell>
          <cell r="C123" t="str">
            <v>פתוח</v>
          </cell>
          <cell r="E123" t="str">
            <v>0305</v>
          </cell>
          <cell r="G123" t="str">
            <v>03051</v>
          </cell>
          <cell r="I123" t="str">
            <v>חבר</v>
          </cell>
        </row>
        <row r="124">
          <cell r="A124">
            <v>8903052</v>
          </cell>
          <cell r="B124" t="str">
            <v>חנה גריסמן</v>
          </cell>
          <cell r="C124" t="str">
            <v>פתוח</v>
          </cell>
          <cell r="E124" t="str">
            <v>0305</v>
          </cell>
          <cell r="G124" t="str">
            <v>03052</v>
          </cell>
          <cell r="I124" t="str">
            <v>חבר</v>
          </cell>
        </row>
        <row r="125">
          <cell r="A125">
            <v>8903061</v>
          </cell>
          <cell r="B125" t="str">
            <v>שמעון גוזלנד</v>
          </cell>
          <cell r="C125" t="str">
            <v>פתוח</v>
          </cell>
          <cell r="E125" t="str">
            <v>0306</v>
          </cell>
          <cell r="G125" t="str">
            <v>03061</v>
          </cell>
          <cell r="I125" t="str">
            <v>חבר</v>
          </cell>
        </row>
        <row r="126">
          <cell r="A126">
            <v>8903062</v>
          </cell>
          <cell r="B126" t="str">
            <v>מוריה גוזלנד</v>
          </cell>
          <cell r="C126" t="str">
            <v>פתוח</v>
          </cell>
          <cell r="E126" t="str">
            <v>0306</v>
          </cell>
          <cell r="G126" t="str">
            <v>03062</v>
          </cell>
          <cell r="I126" t="str">
            <v>חבר</v>
          </cell>
        </row>
        <row r="127">
          <cell r="A127">
            <v>8903071</v>
          </cell>
          <cell r="B127" t="str">
            <v>ידידיה גוטליב</v>
          </cell>
          <cell r="C127" t="str">
            <v>פתוח</v>
          </cell>
          <cell r="E127" t="str">
            <v>0307</v>
          </cell>
          <cell r="G127" t="str">
            <v>03071</v>
          </cell>
          <cell r="I127" t="str">
            <v>חבר</v>
          </cell>
        </row>
        <row r="128">
          <cell r="A128">
            <v>8903072</v>
          </cell>
          <cell r="B128" t="str">
            <v>אהבה גוטליב</v>
          </cell>
          <cell r="C128" t="str">
            <v>פתוח</v>
          </cell>
          <cell r="E128" t="str">
            <v>0307</v>
          </cell>
          <cell r="G128" t="str">
            <v>03072</v>
          </cell>
          <cell r="I128" t="str">
            <v>חבר</v>
          </cell>
        </row>
        <row r="129">
          <cell r="A129">
            <v>8903091</v>
          </cell>
          <cell r="B129" t="str">
            <v>נעם גלבוע</v>
          </cell>
          <cell r="C129" t="str">
            <v>פתוח</v>
          </cell>
          <cell r="E129" t="str">
            <v>0309</v>
          </cell>
          <cell r="G129" t="str">
            <v>03091</v>
          </cell>
          <cell r="I129" t="str">
            <v>חבר</v>
          </cell>
        </row>
        <row r="130">
          <cell r="A130">
            <v>8903092</v>
          </cell>
          <cell r="B130" t="str">
            <v>נעה גלבוע</v>
          </cell>
          <cell r="C130" t="str">
            <v>פתוח</v>
          </cell>
          <cell r="E130" t="str">
            <v>0320</v>
          </cell>
          <cell r="G130" t="str">
            <v>03092</v>
          </cell>
          <cell r="I130" t="str">
            <v>חבר</v>
          </cell>
        </row>
        <row r="131">
          <cell r="A131">
            <v>8903121</v>
          </cell>
          <cell r="B131" t="str">
            <v>איתמר כרמל</v>
          </cell>
          <cell r="C131" t="str">
            <v>פתוח</v>
          </cell>
          <cell r="E131" t="str">
            <v>0312</v>
          </cell>
          <cell r="G131" t="str">
            <v>03121</v>
          </cell>
          <cell r="I131" t="str">
            <v>חבר</v>
          </cell>
        </row>
        <row r="132">
          <cell r="A132">
            <v>8903122</v>
          </cell>
          <cell r="B132" t="str">
            <v>לימור כרמל</v>
          </cell>
          <cell r="C132" t="str">
            <v>פתוח</v>
          </cell>
          <cell r="E132" t="str">
            <v>0312</v>
          </cell>
          <cell r="G132" t="str">
            <v>03122</v>
          </cell>
          <cell r="I132" t="str">
            <v>חבר</v>
          </cell>
        </row>
        <row r="133">
          <cell r="A133">
            <v>8903171</v>
          </cell>
          <cell r="B133" t="str">
            <v>יעקב גורי</v>
          </cell>
          <cell r="C133" t="str">
            <v>פתוח</v>
          </cell>
          <cell r="E133" t="str">
            <v>0317</v>
          </cell>
          <cell r="G133" t="str">
            <v>03171</v>
          </cell>
          <cell r="I133" t="str">
            <v>חבר</v>
          </cell>
        </row>
        <row r="134">
          <cell r="A134">
            <v>8903172</v>
          </cell>
          <cell r="B134" t="str">
            <v>נעמי גורי</v>
          </cell>
          <cell r="C134" t="str">
            <v>פתוח</v>
          </cell>
          <cell r="E134" t="str">
            <v>0317</v>
          </cell>
          <cell r="G134" t="str">
            <v>03172</v>
          </cell>
          <cell r="I134" t="str">
            <v>חבר</v>
          </cell>
        </row>
        <row r="135">
          <cell r="A135">
            <v>8904011</v>
          </cell>
          <cell r="B135" t="str">
            <v>אברהם דוידוביץ</v>
          </cell>
          <cell r="C135" t="str">
            <v>סגור</v>
          </cell>
          <cell r="G135" t="str">
            <v>04011</v>
          </cell>
          <cell r="I135" t="str">
            <v>חבר</v>
          </cell>
        </row>
        <row r="136">
          <cell r="A136">
            <v>8904012</v>
          </cell>
          <cell r="B136" t="str">
            <v>רבקה דוידוביץ</v>
          </cell>
          <cell r="C136" t="str">
            <v>סגור</v>
          </cell>
          <cell r="E136" t="str">
            <v>0401</v>
          </cell>
          <cell r="G136" t="str">
            <v>04012</v>
          </cell>
          <cell r="I136" t="str">
            <v>נפטר</v>
          </cell>
          <cell r="J136">
            <v>45707</v>
          </cell>
        </row>
        <row r="137">
          <cell r="A137">
            <v>8904021</v>
          </cell>
          <cell r="B137" t="str">
            <v>יעקב דורון ז"ל</v>
          </cell>
          <cell r="C137" t="str">
            <v>סגור</v>
          </cell>
          <cell r="G137" t="str">
            <v>04021</v>
          </cell>
          <cell r="I137" t="str">
            <v>חבר</v>
          </cell>
        </row>
        <row r="138">
          <cell r="A138">
            <v>8904022</v>
          </cell>
          <cell r="B138" t="str">
            <v>רחל דורון</v>
          </cell>
          <cell r="C138" t="str">
            <v>סגור</v>
          </cell>
          <cell r="G138" t="str">
            <v>04022</v>
          </cell>
          <cell r="I138" t="str">
            <v>נפטר</v>
          </cell>
          <cell r="J138">
            <v>45052</v>
          </cell>
        </row>
        <row r="139">
          <cell r="A139">
            <v>8904031</v>
          </cell>
          <cell r="B139" t="str">
            <v>גבריאל דורון</v>
          </cell>
          <cell r="C139" t="str">
            <v>פתוח</v>
          </cell>
          <cell r="E139" t="str">
            <v>0403</v>
          </cell>
          <cell r="G139" t="str">
            <v>04031</v>
          </cell>
          <cell r="I139" t="str">
            <v>חבר</v>
          </cell>
        </row>
        <row r="140">
          <cell r="A140">
            <v>8904032</v>
          </cell>
          <cell r="B140" t="str">
            <v>ברנדה דורון</v>
          </cell>
          <cell r="C140" t="str">
            <v>פתוח</v>
          </cell>
          <cell r="E140" t="str">
            <v>0403</v>
          </cell>
          <cell r="G140" t="str">
            <v>04032</v>
          </cell>
          <cell r="I140" t="str">
            <v>חבר</v>
          </cell>
        </row>
        <row r="141">
          <cell r="A141">
            <v>8904051</v>
          </cell>
          <cell r="B141" t="str">
            <v>ריינר הראל</v>
          </cell>
          <cell r="C141" t="str">
            <v>פתוח</v>
          </cell>
          <cell r="E141" t="str">
            <v>0405</v>
          </cell>
          <cell r="G141" t="str">
            <v>04051</v>
          </cell>
          <cell r="I141" t="str">
            <v>חבר</v>
          </cell>
        </row>
        <row r="142">
          <cell r="A142">
            <v>8904052</v>
          </cell>
          <cell r="B142" t="str">
            <v>ריינר מעיין</v>
          </cell>
          <cell r="C142" t="str">
            <v>פתוח</v>
          </cell>
          <cell r="E142" t="str">
            <v>0405</v>
          </cell>
          <cell r="G142" t="str">
            <v>04052</v>
          </cell>
          <cell r="I142" t="str">
            <v>חבר</v>
          </cell>
        </row>
        <row r="143">
          <cell r="A143">
            <v>8904061</v>
          </cell>
          <cell r="B143" t="str">
            <v>יצחק דורון</v>
          </cell>
          <cell r="C143" t="str">
            <v>פתוח</v>
          </cell>
          <cell r="E143" t="str">
            <v>0406</v>
          </cell>
          <cell r="G143" t="str">
            <v>04061</v>
          </cell>
          <cell r="I143" t="str">
            <v>חבר</v>
          </cell>
        </row>
        <row r="144">
          <cell r="A144">
            <v>8904062</v>
          </cell>
          <cell r="B144" t="str">
            <v>אילנה דורון</v>
          </cell>
          <cell r="C144" t="str">
            <v>פתוח</v>
          </cell>
          <cell r="E144" t="str">
            <v>0406</v>
          </cell>
          <cell r="G144" t="str">
            <v>04062</v>
          </cell>
          <cell r="I144" t="str">
            <v>חבר</v>
          </cell>
        </row>
        <row r="145">
          <cell r="A145">
            <v>8904071</v>
          </cell>
          <cell r="B145" t="str">
            <v>שמעון דבורקין</v>
          </cell>
          <cell r="C145" t="str">
            <v>פתוח</v>
          </cell>
          <cell r="E145" t="str">
            <v>0407</v>
          </cell>
          <cell r="G145" t="str">
            <v>04071</v>
          </cell>
          <cell r="I145" t="str">
            <v>חבר</v>
          </cell>
        </row>
        <row r="146">
          <cell r="A146">
            <v>8904072</v>
          </cell>
          <cell r="B146" t="str">
            <v>רחל דבורקין</v>
          </cell>
          <cell r="C146" t="str">
            <v>פתוח</v>
          </cell>
          <cell r="E146" t="str">
            <v>0407</v>
          </cell>
          <cell r="G146" t="str">
            <v>04072</v>
          </cell>
          <cell r="I146" t="str">
            <v>חבר</v>
          </cell>
        </row>
        <row r="147">
          <cell r="A147">
            <v>8904082</v>
          </cell>
          <cell r="B147" t="str">
            <v>מירב דורון הלל</v>
          </cell>
          <cell r="C147" t="str">
            <v>פתוח</v>
          </cell>
          <cell r="E147" t="str">
            <v>0408</v>
          </cell>
          <cell r="G147" t="str">
            <v>04082</v>
          </cell>
          <cell r="I147" t="str">
            <v>חבר</v>
          </cell>
        </row>
        <row r="148">
          <cell r="A148">
            <v>8904111</v>
          </cell>
          <cell r="B148" t="str">
            <v>דבורקין דגן</v>
          </cell>
          <cell r="C148" t="str">
            <v>פתוח</v>
          </cell>
          <cell r="E148" t="str">
            <v>0411</v>
          </cell>
          <cell r="G148" t="str">
            <v>04111</v>
          </cell>
          <cell r="I148" t="str">
            <v>חבר</v>
          </cell>
        </row>
        <row r="149">
          <cell r="A149">
            <v>8904112</v>
          </cell>
          <cell r="B149" t="str">
            <v>דבורקין אופיר</v>
          </cell>
          <cell r="C149" t="str">
            <v>פתוח</v>
          </cell>
          <cell r="E149" t="str">
            <v>0411</v>
          </cell>
          <cell r="G149" t="str">
            <v>04112</v>
          </cell>
          <cell r="I149" t="str">
            <v>חבר</v>
          </cell>
        </row>
        <row r="150">
          <cell r="A150">
            <v>8904131</v>
          </cell>
          <cell r="B150" t="str">
            <v>אסף דורון</v>
          </cell>
          <cell r="C150" t="str">
            <v>פתוח</v>
          </cell>
          <cell r="E150" t="str">
            <v>0413</v>
          </cell>
          <cell r="G150" t="str">
            <v>04131</v>
          </cell>
          <cell r="I150" t="str">
            <v>חבר</v>
          </cell>
        </row>
        <row r="151">
          <cell r="A151">
            <v>8905011</v>
          </cell>
          <cell r="B151" t="str">
            <v>אהרון המר</v>
          </cell>
          <cell r="C151" t="str">
            <v>סגור</v>
          </cell>
          <cell r="G151" t="str">
            <v>05011</v>
          </cell>
          <cell r="I151" t="str">
            <v>חבר</v>
          </cell>
        </row>
        <row r="152">
          <cell r="A152">
            <v>8905012</v>
          </cell>
          <cell r="B152" t="str">
            <v>מלכה המר</v>
          </cell>
          <cell r="C152" t="str">
            <v>סגור</v>
          </cell>
          <cell r="G152" t="str">
            <v>05012</v>
          </cell>
          <cell r="I152" t="str">
            <v>חבר</v>
          </cell>
        </row>
        <row r="153">
          <cell r="A153">
            <v>8905021</v>
          </cell>
          <cell r="B153" t="str">
            <v>גבריאל הרטוב ז"ל</v>
          </cell>
          <cell r="C153" t="str">
            <v>סגור</v>
          </cell>
          <cell r="G153" t="str">
            <v>05021</v>
          </cell>
          <cell r="I153" t="str">
            <v>חבר</v>
          </cell>
        </row>
        <row r="154">
          <cell r="A154">
            <v>8905022</v>
          </cell>
          <cell r="B154" t="str">
            <v>שרה הרטוב</v>
          </cell>
          <cell r="C154" t="str">
            <v>פתוח</v>
          </cell>
          <cell r="E154" t="str">
            <v>0502</v>
          </cell>
          <cell r="G154" t="str">
            <v>05022</v>
          </cell>
          <cell r="I154" t="str">
            <v>חבר</v>
          </cell>
        </row>
        <row r="155">
          <cell r="A155">
            <v>8905041</v>
          </cell>
          <cell r="B155" t="str">
            <v>בועז המר</v>
          </cell>
          <cell r="C155" t="str">
            <v>פתוח</v>
          </cell>
          <cell r="E155" t="str">
            <v>0504</v>
          </cell>
          <cell r="G155" t="str">
            <v>05041</v>
          </cell>
          <cell r="I155" t="str">
            <v>חבר</v>
          </cell>
        </row>
        <row r="156">
          <cell r="A156">
            <v>8905042</v>
          </cell>
          <cell r="B156" t="str">
            <v>דליה המר</v>
          </cell>
          <cell r="C156" t="str">
            <v>פתוח</v>
          </cell>
          <cell r="E156" t="str">
            <v>0504</v>
          </cell>
          <cell r="G156" t="str">
            <v>05042</v>
          </cell>
          <cell r="I156" t="str">
            <v>חבר</v>
          </cell>
        </row>
        <row r="157">
          <cell r="A157">
            <v>8905051</v>
          </cell>
          <cell r="B157" t="str">
            <v>יוסף המר</v>
          </cell>
          <cell r="C157" t="str">
            <v>סגור</v>
          </cell>
          <cell r="G157" t="str">
            <v>05051</v>
          </cell>
          <cell r="I157" t="str">
            <v>נפטר</v>
          </cell>
        </row>
        <row r="158">
          <cell r="A158">
            <v>8905052</v>
          </cell>
          <cell r="B158" t="str">
            <v>נילי המר</v>
          </cell>
          <cell r="C158" t="str">
            <v>פתוח</v>
          </cell>
          <cell r="E158" t="str">
            <v>0505</v>
          </cell>
          <cell r="G158" t="str">
            <v>05052</v>
          </cell>
          <cell r="I158" t="str">
            <v>חבר</v>
          </cell>
        </row>
        <row r="159">
          <cell r="A159">
            <v>8905061</v>
          </cell>
          <cell r="B159" t="str">
            <v>חגי הרטוב</v>
          </cell>
          <cell r="C159" t="str">
            <v>פתוח</v>
          </cell>
          <cell r="E159" t="str">
            <v>0506</v>
          </cell>
          <cell r="G159" t="str">
            <v>05061</v>
          </cell>
          <cell r="I159" t="str">
            <v>חבר</v>
          </cell>
        </row>
        <row r="160">
          <cell r="A160">
            <v>8905062</v>
          </cell>
          <cell r="B160" t="str">
            <v>ניצה הרטוב</v>
          </cell>
          <cell r="C160" t="str">
            <v>פתוח</v>
          </cell>
          <cell r="E160" t="str">
            <v>0506</v>
          </cell>
          <cell r="G160" t="str">
            <v>05062</v>
          </cell>
          <cell r="I160" t="str">
            <v>חבר</v>
          </cell>
        </row>
        <row r="161">
          <cell r="A161">
            <v>8905071</v>
          </cell>
          <cell r="B161" t="str">
            <v>אברהם הופמן</v>
          </cell>
          <cell r="C161" t="str">
            <v>פתוח</v>
          </cell>
          <cell r="E161" t="str">
            <v>0507</v>
          </cell>
          <cell r="G161" t="str">
            <v>05071</v>
          </cell>
          <cell r="I161" t="str">
            <v>חבר</v>
          </cell>
        </row>
        <row r="162">
          <cell r="A162">
            <v>8905072</v>
          </cell>
          <cell r="B162" t="str">
            <v>שולי הופמן</v>
          </cell>
          <cell r="C162" t="str">
            <v>פתוח</v>
          </cell>
          <cell r="E162" t="str">
            <v>0507</v>
          </cell>
          <cell r="G162" t="str">
            <v>05072</v>
          </cell>
          <cell r="I162" t="str">
            <v>חבר</v>
          </cell>
        </row>
        <row r="163">
          <cell r="A163">
            <v>8905101</v>
          </cell>
          <cell r="B163" t="str">
            <v>מוטי הולצר</v>
          </cell>
          <cell r="C163" t="str">
            <v>פתוח</v>
          </cell>
          <cell r="E163" t="str">
            <v>0510</v>
          </cell>
          <cell r="G163" t="str">
            <v>05101</v>
          </cell>
          <cell r="I163" t="str">
            <v>חבר</v>
          </cell>
        </row>
        <row r="164">
          <cell r="A164">
            <v>8905102</v>
          </cell>
          <cell r="B164" t="str">
            <v>לאה הולצר</v>
          </cell>
          <cell r="C164" t="str">
            <v>פתוח</v>
          </cell>
          <cell r="E164" t="str">
            <v>0510</v>
          </cell>
          <cell r="G164" t="str">
            <v>05102</v>
          </cell>
          <cell r="I164" t="str">
            <v>חבר</v>
          </cell>
        </row>
        <row r="165">
          <cell r="A165">
            <v>8905111</v>
          </cell>
          <cell r="B165" t="str">
            <v>אלעד הופמן</v>
          </cell>
          <cell r="C165" t="str">
            <v>פתוח</v>
          </cell>
          <cell r="E165" t="str">
            <v>0511</v>
          </cell>
          <cell r="G165" t="str">
            <v>05111</v>
          </cell>
          <cell r="I165" t="str">
            <v>חבר</v>
          </cell>
        </row>
        <row r="166">
          <cell r="A166">
            <v>8905112</v>
          </cell>
          <cell r="B166" t="str">
            <v>אלדר הופמן</v>
          </cell>
          <cell r="C166" t="str">
            <v>פתוח</v>
          </cell>
          <cell r="E166" t="str">
            <v>0511</v>
          </cell>
          <cell r="G166" t="str">
            <v>05112</v>
          </cell>
          <cell r="I166" t="str">
            <v>חבר</v>
          </cell>
        </row>
        <row r="167">
          <cell r="A167">
            <v>8905132</v>
          </cell>
          <cell r="B167" t="str">
            <v>חגית חסון</v>
          </cell>
          <cell r="C167" t="str">
            <v>פתוח</v>
          </cell>
          <cell r="E167" t="str">
            <v>0815</v>
          </cell>
          <cell r="G167" t="str">
            <v>08152</v>
          </cell>
          <cell r="I167" t="str">
            <v>חבר</v>
          </cell>
        </row>
        <row r="168">
          <cell r="A168">
            <v>8905231</v>
          </cell>
          <cell r="B168" t="str">
            <v>הבר נועם אהרון</v>
          </cell>
          <cell r="C168" t="str">
            <v>פתוח</v>
          </cell>
          <cell r="E168" t="str">
            <v>0523</v>
          </cell>
          <cell r="G168" t="str">
            <v>05231</v>
          </cell>
          <cell r="I168" t="str">
            <v>חבר</v>
          </cell>
        </row>
        <row r="169">
          <cell r="A169">
            <v>8905232</v>
          </cell>
          <cell r="B169" t="str">
            <v>הבר שירה</v>
          </cell>
          <cell r="C169" t="str">
            <v>פתוח</v>
          </cell>
          <cell r="E169" t="str">
            <v>0523</v>
          </cell>
          <cell r="G169" t="str">
            <v>05232</v>
          </cell>
          <cell r="I169" t="str">
            <v>חבר</v>
          </cell>
        </row>
        <row r="170">
          <cell r="A170">
            <v>8906021</v>
          </cell>
          <cell r="B170" t="str">
            <v>יצחק וילדשטיין</v>
          </cell>
          <cell r="C170" t="str">
            <v>סגור</v>
          </cell>
          <cell r="G170" t="str">
            <v>06021</v>
          </cell>
          <cell r="I170" t="str">
            <v>חבר</v>
          </cell>
        </row>
        <row r="171">
          <cell r="A171">
            <v>8906022</v>
          </cell>
          <cell r="B171" t="str">
            <v>יפה וילדשטיין ז"ל</v>
          </cell>
          <cell r="C171" t="str">
            <v>סגור</v>
          </cell>
          <cell r="I171" t="str">
            <v>חבר</v>
          </cell>
        </row>
        <row r="172">
          <cell r="A172">
            <v>8906031</v>
          </cell>
          <cell r="B172" t="str">
            <v>משה וולברג</v>
          </cell>
          <cell r="C172" t="str">
            <v>סגור</v>
          </cell>
          <cell r="G172" t="str">
            <v>06031</v>
          </cell>
          <cell r="I172" t="str">
            <v>נפטר</v>
          </cell>
          <cell r="J172">
            <v>45296</v>
          </cell>
        </row>
        <row r="173">
          <cell r="A173">
            <v>8906032</v>
          </cell>
          <cell r="B173" t="str">
            <v>מרים וולברג</v>
          </cell>
          <cell r="C173" t="str">
            <v>פתוח</v>
          </cell>
          <cell r="E173" t="str">
            <v>0603</v>
          </cell>
          <cell r="G173" t="str">
            <v>06032</v>
          </cell>
          <cell r="I173" t="str">
            <v>חבר</v>
          </cell>
        </row>
        <row r="174">
          <cell r="A174">
            <v>8906051</v>
          </cell>
          <cell r="B174" t="str">
            <v>דוד וילדשטיין</v>
          </cell>
          <cell r="C174" t="str">
            <v>פתוח</v>
          </cell>
          <cell r="E174" t="str">
            <v>0605</v>
          </cell>
          <cell r="G174" t="str">
            <v>06051</v>
          </cell>
          <cell r="I174" t="str">
            <v>חבר</v>
          </cell>
        </row>
        <row r="175">
          <cell r="A175">
            <v>8906052</v>
          </cell>
          <cell r="B175" t="str">
            <v>רותי וילדשטיין</v>
          </cell>
          <cell r="C175" t="str">
            <v>פתוח</v>
          </cell>
          <cell r="E175" t="str">
            <v>0605</v>
          </cell>
          <cell r="G175" t="str">
            <v>06052</v>
          </cell>
          <cell r="I175" t="str">
            <v>חבר</v>
          </cell>
        </row>
        <row r="176">
          <cell r="A176">
            <v>8906061</v>
          </cell>
          <cell r="B176" t="str">
            <v>שלמה וייס</v>
          </cell>
          <cell r="C176" t="str">
            <v>פתוח</v>
          </cell>
          <cell r="E176" t="str">
            <v>0606</v>
          </cell>
          <cell r="G176" t="str">
            <v>06061</v>
          </cell>
          <cell r="I176" t="str">
            <v>חבר</v>
          </cell>
        </row>
        <row r="177">
          <cell r="A177">
            <v>8906081</v>
          </cell>
          <cell r="B177" t="str">
            <v>שרגא וילק</v>
          </cell>
          <cell r="C177" t="str">
            <v>פתוח</v>
          </cell>
          <cell r="E177" t="str">
            <v>0608</v>
          </cell>
          <cell r="G177" t="str">
            <v>06081</v>
          </cell>
          <cell r="I177" t="str">
            <v>חבר</v>
          </cell>
        </row>
        <row r="178">
          <cell r="A178">
            <v>8906082</v>
          </cell>
          <cell r="B178" t="str">
            <v>אילנה וילק</v>
          </cell>
          <cell r="C178" t="str">
            <v>פתוח</v>
          </cell>
          <cell r="E178" t="str">
            <v>0608</v>
          </cell>
          <cell r="G178" t="str">
            <v>06082</v>
          </cell>
          <cell r="I178" t="str">
            <v>חבר</v>
          </cell>
        </row>
        <row r="179">
          <cell r="A179">
            <v>8906101</v>
          </cell>
          <cell r="B179" t="str">
            <v>אמציה וילק</v>
          </cell>
          <cell r="C179" t="str">
            <v>סגור</v>
          </cell>
          <cell r="G179" t="str">
            <v>06101</v>
          </cell>
          <cell r="I179" t="str">
            <v>חופשה</v>
          </cell>
        </row>
        <row r="180">
          <cell r="A180">
            <v>8906131</v>
          </cell>
          <cell r="B180" t="str">
            <v>משה וייסטוך</v>
          </cell>
          <cell r="C180" t="str">
            <v>פתוח</v>
          </cell>
          <cell r="E180" t="str">
            <v>0613</v>
          </cell>
          <cell r="G180" t="str">
            <v>06131</v>
          </cell>
          <cell r="I180" t="str">
            <v>חבר</v>
          </cell>
        </row>
        <row r="181">
          <cell r="A181">
            <v>8906132</v>
          </cell>
          <cell r="B181" t="str">
            <v>נעה וייסטוך</v>
          </cell>
          <cell r="C181" t="str">
            <v>פתוח</v>
          </cell>
          <cell r="E181" t="str">
            <v>0613</v>
          </cell>
          <cell r="G181" t="str">
            <v>06132</v>
          </cell>
          <cell r="I181" t="str">
            <v>חבר</v>
          </cell>
        </row>
        <row r="182">
          <cell r="A182">
            <v>8906141</v>
          </cell>
          <cell r="B182" t="str">
            <v>וילק נדב</v>
          </cell>
          <cell r="C182" t="str">
            <v>פתוח</v>
          </cell>
          <cell r="E182" t="str">
            <v>0614</v>
          </cell>
          <cell r="G182" t="str">
            <v>06141</v>
          </cell>
          <cell r="I182" t="str">
            <v>חבר</v>
          </cell>
        </row>
        <row r="183">
          <cell r="A183">
            <v>8906142</v>
          </cell>
          <cell r="B183" t="str">
            <v>וילק אורטל</v>
          </cell>
          <cell r="C183" t="str">
            <v>פתוח</v>
          </cell>
          <cell r="E183" t="str">
            <v>0614</v>
          </cell>
          <cell r="G183" t="str">
            <v>06142</v>
          </cell>
          <cell r="I183" t="str">
            <v>חבר</v>
          </cell>
        </row>
        <row r="184">
          <cell r="A184">
            <v>8907011</v>
          </cell>
          <cell r="B184" t="str">
            <v>ישראל זיסק</v>
          </cell>
          <cell r="C184" t="str">
            <v>פתוח</v>
          </cell>
          <cell r="E184" t="str">
            <v>0701</v>
          </cell>
          <cell r="G184" t="str">
            <v>07011</v>
          </cell>
          <cell r="I184" t="str">
            <v>חבר</v>
          </cell>
        </row>
        <row r="185">
          <cell r="A185">
            <v>8907012</v>
          </cell>
          <cell r="B185" t="str">
            <v>גלית זיסק</v>
          </cell>
          <cell r="C185" t="str">
            <v>פתוח</v>
          </cell>
          <cell r="E185" t="str">
            <v>0701</v>
          </cell>
          <cell r="G185" t="str">
            <v>07012</v>
          </cell>
          <cell r="I185" t="str">
            <v>חבר</v>
          </cell>
        </row>
        <row r="186">
          <cell r="A186">
            <v>8907051</v>
          </cell>
          <cell r="B186" t="str">
            <v>זיו עמית</v>
          </cell>
          <cell r="C186" t="str">
            <v>פתוח</v>
          </cell>
          <cell r="E186" t="str">
            <v>0705</v>
          </cell>
          <cell r="G186" t="str">
            <v>07051</v>
          </cell>
          <cell r="I186" t="str">
            <v>חבר</v>
          </cell>
        </row>
        <row r="187">
          <cell r="A187">
            <v>8907052</v>
          </cell>
          <cell r="B187" t="str">
            <v>זיו אסתר</v>
          </cell>
          <cell r="C187" t="str">
            <v>פתוח</v>
          </cell>
          <cell r="E187" t="str">
            <v>0705</v>
          </cell>
          <cell r="G187" t="str">
            <v>07052</v>
          </cell>
          <cell r="I187" t="str">
            <v>חבר</v>
          </cell>
        </row>
        <row r="188">
          <cell r="A188">
            <v>8908021</v>
          </cell>
          <cell r="B188" t="str">
            <v>חנן חורש</v>
          </cell>
          <cell r="C188" t="str">
            <v>סגור</v>
          </cell>
          <cell r="G188" t="str">
            <v>08021</v>
          </cell>
          <cell r="I188" t="str">
            <v>חבר</v>
          </cell>
        </row>
        <row r="189">
          <cell r="A189">
            <v>8908022</v>
          </cell>
          <cell r="B189" t="str">
            <v>מרים חורש ז"ל</v>
          </cell>
          <cell r="C189" t="str">
            <v>סגור</v>
          </cell>
          <cell r="G189" t="str">
            <v>08022</v>
          </cell>
          <cell r="I189" t="str">
            <v>חבר</v>
          </cell>
        </row>
        <row r="190">
          <cell r="A190">
            <v>8908031</v>
          </cell>
          <cell r="B190" t="str">
            <v>אבנר חורש</v>
          </cell>
          <cell r="C190" t="str">
            <v>פתוח</v>
          </cell>
          <cell r="E190" t="str">
            <v>0803</v>
          </cell>
          <cell r="G190" t="str">
            <v>08031</v>
          </cell>
          <cell r="I190" t="str">
            <v>חבר</v>
          </cell>
        </row>
        <row r="191">
          <cell r="A191">
            <v>8908032</v>
          </cell>
          <cell r="B191" t="str">
            <v>חנה חורש</v>
          </cell>
          <cell r="C191" t="str">
            <v>פתוח</v>
          </cell>
          <cell r="E191" t="str">
            <v>0803</v>
          </cell>
          <cell r="G191" t="str">
            <v>08032</v>
          </cell>
          <cell r="I191" t="str">
            <v>חבר</v>
          </cell>
        </row>
        <row r="192">
          <cell r="A192">
            <v>8908041</v>
          </cell>
          <cell r="B192" t="str">
            <v>גדי חורש</v>
          </cell>
          <cell r="C192" t="str">
            <v>פתוח</v>
          </cell>
          <cell r="E192" t="str">
            <v>0804</v>
          </cell>
          <cell r="G192" t="str">
            <v>08041</v>
          </cell>
          <cell r="I192" t="str">
            <v>חבר</v>
          </cell>
        </row>
        <row r="193">
          <cell r="A193">
            <v>8908042</v>
          </cell>
          <cell r="B193" t="str">
            <v>שרי חורש</v>
          </cell>
          <cell r="C193" t="str">
            <v>פתוח</v>
          </cell>
          <cell r="E193" t="str">
            <v>0804</v>
          </cell>
          <cell r="G193" t="str">
            <v>08042</v>
          </cell>
          <cell r="I193" t="str">
            <v>חבר</v>
          </cell>
        </row>
        <row r="194">
          <cell r="A194">
            <v>8908051</v>
          </cell>
          <cell r="B194" t="str">
            <v>עופר חורש</v>
          </cell>
          <cell r="C194" t="str">
            <v>פתוח</v>
          </cell>
          <cell r="E194" t="str">
            <v>0805</v>
          </cell>
          <cell r="G194" t="str">
            <v>08051</v>
          </cell>
          <cell r="I194" t="str">
            <v>חבר</v>
          </cell>
        </row>
        <row r="195">
          <cell r="A195">
            <v>8908052</v>
          </cell>
          <cell r="B195" t="str">
            <v>לידור חורש</v>
          </cell>
          <cell r="C195" t="str">
            <v>פתוח</v>
          </cell>
          <cell r="E195" t="str">
            <v>0805</v>
          </cell>
          <cell r="G195" t="str">
            <v>08052</v>
          </cell>
          <cell r="I195" t="str">
            <v>חבר</v>
          </cell>
        </row>
        <row r="196">
          <cell r="A196">
            <v>8908072</v>
          </cell>
          <cell r="B196" t="str">
            <v>איילה חורש</v>
          </cell>
          <cell r="C196" t="str">
            <v>סגור</v>
          </cell>
          <cell r="G196" t="str">
            <v>08072</v>
          </cell>
          <cell r="I196" t="str">
            <v>עזב</v>
          </cell>
        </row>
        <row r="197">
          <cell r="A197">
            <v>8908131</v>
          </cell>
          <cell r="B197" t="str">
            <v>גדסי מיכאל</v>
          </cell>
          <cell r="C197" t="str">
            <v>פתוח</v>
          </cell>
          <cell r="E197" t="str">
            <v>0813</v>
          </cell>
          <cell r="G197" t="str">
            <v>08131</v>
          </cell>
          <cell r="I197" t="str">
            <v>חבר</v>
          </cell>
        </row>
        <row r="198">
          <cell r="A198">
            <v>8908132</v>
          </cell>
          <cell r="B198" t="str">
            <v>גדסי תמר</v>
          </cell>
          <cell r="C198" t="str">
            <v>פתוח</v>
          </cell>
          <cell r="E198" t="str">
            <v>0813</v>
          </cell>
          <cell r="G198" t="str">
            <v>08132</v>
          </cell>
          <cell r="I198" t="str">
            <v>חבר</v>
          </cell>
        </row>
        <row r="199">
          <cell r="A199">
            <v>8908152</v>
          </cell>
          <cell r="B199" t="str">
            <v>חסון טל</v>
          </cell>
          <cell r="C199" t="str">
            <v>פתוח</v>
          </cell>
          <cell r="E199" t="str">
            <v>0815</v>
          </cell>
          <cell r="G199" t="str">
            <v>08151</v>
          </cell>
          <cell r="I199" t="str">
            <v>חבר</v>
          </cell>
        </row>
        <row r="200">
          <cell r="A200">
            <v>8910021</v>
          </cell>
          <cell r="B200" t="str">
            <v>גדעון יקיר</v>
          </cell>
          <cell r="C200" t="str">
            <v>פתוח</v>
          </cell>
          <cell r="E200">
            <v>1002</v>
          </cell>
          <cell r="G200">
            <v>10021</v>
          </cell>
          <cell r="I200" t="str">
            <v>חבר</v>
          </cell>
        </row>
        <row r="201">
          <cell r="A201">
            <v>8910022</v>
          </cell>
          <cell r="B201" t="str">
            <v>מרים יקיר</v>
          </cell>
          <cell r="C201" t="str">
            <v>פתוח</v>
          </cell>
          <cell r="E201">
            <v>1002</v>
          </cell>
          <cell r="G201">
            <v>10022</v>
          </cell>
          <cell r="I201" t="str">
            <v>חבר</v>
          </cell>
        </row>
        <row r="202">
          <cell r="A202">
            <v>8910031</v>
          </cell>
          <cell r="B202" t="str">
            <v>שמשון ישורון</v>
          </cell>
          <cell r="C202" t="str">
            <v>פתוח</v>
          </cell>
          <cell r="E202">
            <v>1003</v>
          </cell>
          <cell r="G202">
            <v>10031</v>
          </cell>
          <cell r="I202" t="str">
            <v>חבר</v>
          </cell>
        </row>
        <row r="203">
          <cell r="A203">
            <v>8910032</v>
          </cell>
          <cell r="B203" t="str">
            <v>רותי ישורון</v>
          </cell>
          <cell r="C203" t="str">
            <v>פתוח</v>
          </cell>
          <cell r="E203">
            <v>1003</v>
          </cell>
          <cell r="G203">
            <v>10032</v>
          </cell>
          <cell r="I203" t="str">
            <v>חבר</v>
          </cell>
        </row>
        <row r="204">
          <cell r="A204">
            <v>8910041</v>
          </cell>
          <cell r="B204" t="str">
            <v>מינו יוגב</v>
          </cell>
          <cell r="C204" t="str">
            <v>פתוח</v>
          </cell>
          <cell r="E204">
            <v>1011</v>
          </cell>
          <cell r="G204">
            <v>10111</v>
          </cell>
          <cell r="I204" t="str">
            <v>חבר</v>
          </cell>
        </row>
        <row r="205">
          <cell r="A205">
            <v>8910042</v>
          </cell>
          <cell r="B205" t="str">
            <v>ענת יוגב</v>
          </cell>
          <cell r="C205" t="str">
            <v>פתוח</v>
          </cell>
          <cell r="E205">
            <v>1004</v>
          </cell>
          <cell r="G205">
            <v>10042</v>
          </cell>
          <cell r="I205" t="str">
            <v>חבר</v>
          </cell>
        </row>
        <row r="206">
          <cell r="A206">
            <v>8910051</v>
          </cell>
          <cell r="B206" t="str">
            <v>הראל יקיר</v>
          </cell>
          <cell r="C206" t="str">
            <v>פתוח</v>
          </cell>
          <cell r="E206">
            <v>1005</v>
          </cell>
          <cell r="G206">
            <v>10051</v>
          </cell>
          <cell r="I206" t="str">
            <v>חבר</v>
          </cell>
        </row>
        <row r="207">
          <cell r="A207">
            <v>8910052</v>
          </cell>
          <cell r="B207" t="str">
            <v>אורית יקיר</v>
          </cell>
          <cell r="C207" t="str">
            <v>פתוח</v>
          </cell>
          <cell r="E207">
            <v>1005</v>
          </cell>
          <cell r="G207">
            <v>10052</v>
          </cell>
          <cell r="I207" t="str">
            <v>חבר</v>
          </cell>
        </row>
        <row r="208">
          <cell r="A208">
            <v>8911011</v>
          </cell>
          <cell r="B208" t="str">
            <v>אליעזר כהן</v>
          </cell>
          <cell r="C208" t="str">
            <v>סגור</v>
          </cell>
          <cell r="G208">
            <v>11011</v>
          </cell>
          <cell r="I208" t="str">
            <v>חבר</v>
          </cell>
        </row>
        <row r="209">
          <cell r="A209">
            <v>8911012</v>
          </cell>
          <cell r="B209" t="str">
            <v>כהן מריאן</v>
          </cell>
          <cell r="C209" t="str">
            <v>סגור</v>
          </cell>
          <cell r="G209">
            <v>11012</v>
          </cell>
          <cell r="I209" t="str">
            <v>חבר</v>
          </cell>
        </row>
        <row r="210">
          <cell r="A210">
            <v>8911021</v>
          </cell>
          <cell r="B210" t="str">
            <v>קלי כפיר</v>
          </cell>
          <cell r="C210" t="str">
            <v>פתוח</v>
          </cell>
          <cell r="E210">
            <v>1102</v>
          </cell>
          <cell r="G210">
            <v>11021</v>
          </cell>
          <cell r="I210" t="str">
            <v>חבר</v>
          </cell>
        </row>
        <row r="211">
          <cell r="A211">
            <v>8911022</v>
          </cell>
          <cell r="B211" t="str">
            <v>יהודית כפיר</v>
          </cell>
          <cell r="C211" t="str">
            <v>פתוח</v>
          </cell>
          <cell r="E211">
            <v>1102</v>
          </cell>
          <cell r="G211">
            <v>11022</v>
          </cell>
          <cell r="I211" t="str">
            <v>חבר</v>
          </cell>
        </row>
        <row r="212">
          <cell r="A212">
            <v>8911031</v>
          </cell>
          <cell r="B212" t="str">
            <v>עמנואל כלפה</v>
          </cell>
          <cell r="C212" t="str">
            <v>סגור</v>
          </cell>
          <cell r="G212">
            <v>11031</v>
          </cell>
          <cell r="I212" t="str">
            <v>חבר</v>
          </cell>
        </row>
        <row r="213">
          <cell r="A213">
            <v>8911032</v>
          </cell>
          <cell r="B213" t="str">
            <v>רותי כלפה</v>
          </cell>
          <cell r="C213" t="str">
            <v>פתוח</v>
          </cell>
          <cell r="E213">
            <v>1103</v>
          </cell>
          <cell r="G213">
            <v>11032</v>
          </cell>
          <cell r="I213" t="str">
            <v>חבר</v>
          </cell>
        </row>
        <row r="214">
          <cell r="A214">
            <v>8911041</v>
          </cell>
          <cell r="B214" t="str">
            <v>דוד כהן</v>
          </cell>
          <cell r="C214" t="str">
            <v>פתוח</v>
          </cell>
          <cell r="E214">
            <v>1104</v>
          </cell>
          <cell r="G214">
            <v>11041</v>
          </cell>
          <cell r="I214" t="str">
            <v>חבר</v>
          </cell>
        </row>
        <row r="215">
          <cell r="A215">
            <v>8911042</v>
          </cell>
          <cell r="B215" t="str">
            <v>נחמה כהן</v>
          </cell>
          <cell r="C215" t="str">
            <v>פתוח</v>
          </cell>
          <cell r="E215">
            <v>1104</v>
          </cell>
          <cell r="G215">
            <v>11042</v>
          </cell>
          <cell r="I215" t="str">
            <v>חבר</v>
          </cell>
        </row>
        <row r="216">
          <cell r="A216">
            <v>8911071</v>
          </cell>
          <cell r="B216" t="str">
            <v>יוני כהן</v>
          </cell>
          <cell r="C216" t="str">
            <v>פתוח</v>
          </cell>
          <cell r="E216">
            <v>1107</v>
          </cell>
          <cell r="G216">
            <v>11071</v>
          </cell>
          <cell r="I216" t="str">
            <v>חבר</v>
          </cell>
        </row>
        <row r="217">
          <cell r="A217">
            <v>8911072</v>
          </cell>
          <cell r="B217" t="str">
            <v>טל כהן</v>
          </cell>
          <cell r="C217" t="str">
            <v>פתוח</v>
          </cell>
          <cell r="E217">
            <v>1107</v>
          </cell>
          <cell r="G217">
            <v>11072</v>
          </cell>
          <cell r="I217" t="str">
            <v>חבר</v>
          </cell>
        </row>
        <row r="218">
          <cell r="A218">
            <v>8911121</v>
          </cell>
          <cell r="B218" t="str">
            <v>בועז כהן</v>
          </cell>
          <cell r="C218" t="str">
            <v>פתוח</v>
          </cell>
          <cell r="E218">
            <v>1112</v>
          </cell>
          <cell r="G218">
            <v>11121</v>
          </cell>
          <cell r="I218" t="str">
            <v>חבר</v>
          </cell>
        </row>
        <row r="219">
          <cell r="A219">
            <v>8911122</v>
          </cell>
          <cell r="B219" t="str">
            <v>תמי כהן</v>
          </cell>
          <cell r="C219" t="str">
            <v>פתוח</v>
          </cell>
          <cell r="E219">
            <v>1112</v>
          </cell>
          <cell r="G219">
            <v>11122</v>
          </cell>
          <cell r="I219" t="str">
            <v>חבר</v>
          </cell>
        </row>
        <row r="220">
          <cell r="A220">
            <v>8911191</v>
          </cell>
          <cell r="B220" t="str">
            <v>שרון כהן</v>
          </cell>
          <cell r="C220" t="str">
            <v>פתוח</v>
          </cell>
          <cell r="E220">
            <v>1119</v>
          </cell>
          <cell r="G220">
            <v>11191</v>
          </cell>
          <cell r="I220" t="str">
            <v>חבר</v>
          </cell>
        </row>
        <row r="221">
          <cell r="A221">
            <v>8911192</v>
          </cell>
          <cell r="B221" t="str">
            <v>שמחה כהן</v>
          </cell>
          <cell r="C221" t="str">
            <v>פתוח</v>
          </cell>
          <cell r="E221">
            <v>1119</v>
          </cell>
          <cell r="G221">
            <v>11192</v>
          </cell>
          <cell r="I221" t="str">
            <v>חבר</v>
          </cell>
        </row>
        <row r="222">
          <cell r="A222">
            <v>8912011</v>
          </cell>
          <cell r="B222" t="str">
            <v>צפורה לבבי</v>
          </cell>
          <cell r="C222" t="str">
            <v>סגור</v>
          </cell>
          <cell r="G222">
            <v>12011</v>
          </cell>
          <cell r="I222" t="str">
            <v>חבר</v>
          </cell>
        </row>
        <row r="223">
          <cell r="A223">
            <v>8912021</v>
          </cell>
          <cell r="B223" t="str">
            <v>חיים צבי לבון</v>
          </cell>
          <cell r="C223" t="str">
            <v>סגור</v>
          </cell>
          <cell r="G223">
            <v>12021</v>
          </cell>
          <cell r="I223" t="str">
            <v>חבר</v>
          </cell>
        </row>
        <row r="224">
          <cell r="A224">
            <v>8912031</v>
          </cell>
          <cell r="B224" t="str">
            <v>שמואל לבנה</v>
          </cell>
          <cell r="C224" t="str">
            <v>סגור</v>
          </cell>
          <cell r="I224" t="str">
            <v>חבר</v>
          </cell>
        </row>
        <row r="225">
          <cell r="A225">
            <v>8912032</v>
          </cell>
          <cell r="B225" t="str">
            <v>מרים לבנה</v>
          </cell>
          <cell r="C225" t="str">
            <v>פתוח</v>
          </cell>
          <cell r="E225">
            <v>1203</v>
          </cell>
          <cell r="G225">
            <v>12032</v>
          </cell>
          <cell r="I225" t="str">
            <v>חבר</v>
          </cell>
        </row>
        <row r="226">
          <cell r="A226">
            <v>8912051</v>
          </cell>
          <cell r="B226" t="str">
            <v>אליהו לבבי</v>
          </cell>
          <cell r="C226" t="str">
            <v>פתוח</v>
          </cell>
          <cell r="E226">
            <v>1205</v>
          </cell>
          <cell r="G226">
            <v>12051</v>
          </cell>
          <cell r="I226" t="str">
            <v>חבר</v>
          </cell>
        </row>
        <row r="227">
          <cell r="A227">
            <v>8912052</v>
          </cell>
          <cell r="B227" t="str">
            <v>נעמי לבבי</v>
          </cell>
          <cell r="C227" t="str">
            <v>פתוח</v>
          </cell>
          <cell r="E227">
            <v>1205</v>
          </cell>
          <cell r="G227">
            <v>12052</v>
          </cell>
          <cell r="I227" t="str">
            <v>חבר</v>
          </cell>
        </row>
        <row r="228">
          <cell r="A228">
            <v>8912062</v>
          </cell>
          <cell r="B228" t="str">
            <v>חוה לאופר</v>
          </cell>
          <cell r="C228" t="str">
            <v>סגור</v>
          </cell>
          <cell r="G228">
            <v>12062</v>
          </cell>
          <cell r="I228" t="str">
            <v>חבר</v>
          </cell>
        </row>
        <row r="229">
          <cell r="A229">
            <v>8912071</v>
          </cell>
          <cell r="B229" t="str">
            <v>צבי לבבי</v>
          </cell>
          <cell r="C229" t="str">
            <v>פתוח</v>
          </cell>
          <cell r="E229">
            <v>1207</v>
          </cell>
          <cell r="G229">
            <v>12071</v>
          </cell>
          <cell r="I229" t="str">
            <v>חבר</v>
          </cell>
        </row>
        <row r="230">
          <cell r="A230">
            <v>8912072</v>
          </cell>
          <cell r="B230" t="str">
            <v>חנה לבבי</v>
          </cell>
          <cell r="C230" t="str">
            <v>פתוח</v>
          </cell>
          <cell r="E230">
            <v>1207</v>
          </cell>
          <cell r="G230">
            <v>12072</v>
          </cell>
          <cell r="I230" t="str">
            <v>חבר</v>
          </cell>
        </row>
        <row r="231">
          <cell r="A231">
            <v>8912081</v>
          </cell>
          <cell r="B231" t="str">
            <v>שמעון לאופר</v>
          </cell>
          <cell r="C231" t="str">
            <v>פתוח</v>
          </cell>
          <cell r="E231">
            <v>1208</v>
          </cell>
          <cell r="G231">
            <v>12081</v>
          </cell>
          <cell r="I231" t="str">
            <v>חבר</v>
          </cell>
        </row>
        <row r="232">
          <cell r="A232">
            <v>8912082</v>
          </cell>
          <cell r="B232" t="str">
            <v>תמר לאופר</v>
          </cell>
          <cell r="C232" t="str">
            <v>פתוח</v>
          </cell>
          <cell r="E232">
            <v>1208</v>
          </cell>
          <cell r="G232">
            <v>12082</v>
          </cell>
          <cell r="I232" t="str">
            <v>חבר</v>
          </cell>
        </row>
        <row r="233">
          <cell r="A233">
            <v>8912091</v>
          </cell>
          <cell r="B233" t="str">
            <v>משה ליבוביץ</v>
          </cell>
          <cell r="C233" t="str">
            <v>פתוח</v>
          </cell>
          <cell r="E233">
            <v>1209</v>
          </cell>
          <cell r="G233">
            <v>12091</v>
          </cell>
          <cell r="I233" t="str">
            <v>חבר</v>
          </cell>
        </row>
        <row r="234">
          <cell r="A234">
            <v>8912092</v>
          </cell>
          <cell r="B234" t="str">
            <v>שרה ליבוביץ</v>
          </cell>
          <cell r="C234" t="str">
            <v>פתוח</v>
          </cell>
          <cell r="E234">
            <v>1209</v>
          </cell>
          <cell r="G234">
            <v>12092</v>
          </cell>
          <cell r="I234" t="str">
            <v>חבר</v>
          </cell>
        </row>
        <row r="235">
          <cell r="A235">
            <v>8912101</v>
          </cell>
          <cell r="B235" t="str">
            <v>חיים לייקוב</v>
          </cell>
          <cell r="C235" t="str">
            <v>פתוח</v>
          </cell>
          <cell r="E235">
            <v>1210</v>
          </cell>
          <cell r="G235">
            <v>12101</v>
          </cell>
          <cell r="I235" t="str">
            <v>חבר</v>
          </cell>
        </row>
        <row r="236">
          <cell r="A236">
            <v>8912102</v>
          </cell>
          <cell r="B236" t="str">
            <v>לאה לייקוב</v>
          </cell>
          <cell r="C236" t="str">
            <v>פתוח</v>
          </cell>
          <cell r="E236">
            <v>1210</v>
          </cell>
          <cell r="G236">
            <v>12102</v>
          </cell>
          <cell r="I236" t="str">
            <v>חבר</v>
          </cell>
        </row>
        <row r="237">
          <cell r="A237">
            <v>8912112</v>
          </cell>
          <cell r="B237" t="str">
            <v>מרים לזר</v>
          </cell>
          <cell r="C237" t="str">
            <v>פתוח</v>
          </cell>
          <cell r="E237">
            <v>1211</v>
          </cell>
          <cell r="G237">
            <v>12112</v>
          </cell>
          <cell r="I237" t="str">
            <v>חבר</v>
          </cell>
        </row>
        <row r="238">
          <cell r="A238">
            <v>8912121</v>
          </cell>
          <cell r="B238" t="str">
            <v>פנחס להב</v>
          </cell>
          <cell r="C238" t="str">
            <v>סגור</v>
          </cell>
          <cell r="I238" t="str">
            <v>חבר</v>
          </cell>
        </row>
        <row r="239">
          <cell r="A239">
            <v>8912122</v>
          </cell>
          <cell r="B239" t="str">
            <v>מרים להב</v>
          </cell>
          <cell r="C239" t="str">
            <v>סגור</v>
          </cell>
          <cell r="I239" t="str">
            <v>חבר</v>
          </cell>
        </row>
        <row r="240">
          <cell r="A240">
            <v>8912131</v>
          </cell>
          <cell r="B240" t="str">
            <v>הורן יהודה שלום</v>
          </cell>
          <cell r="C240" t="str">
            <v>פתוח</v>
          </cell>
          <cell r="E240">
            <v>1213</v>
          </cell>
          <cell r="G240">
            <v>12131</v>
          </cell>
          <cell r="I240" t="str">
            <v>חבר</v>
          </cell>
        </row>
        <row r="241">
          <cell r="A241">
            <v>8912132</v>
          </cell>
          <cell r="B241" t="str">
            <v>הורן יעל</v>
          </cell>
          <cell r="C241" t="str">
            <v>פתוח</v>
          </cell>
          <cell r="E241">
            <v>1213</v>
          </cell>
          <cell r="G241">
            <v>12132</v>
          </cell>
          <cell r="I241" t="str">
            <v>חבר</v>
          </cell>
        </row>
        <row r="242">
          <cell r="A242">
            <v>8912141</v>
          </cell>
          <cell r="B242" t="str">
            <v>אבינועם ליפטשר</v>
          </cell>
          <cell r="C242" t="str">
            <v>פתוח</v>
          </cell>
          <cell r="E242">
            <v>1214</v>
          </cell>
          <cell r="G242">
            <v>12141</v>
          </cell>
          <cell r="I242" t="str">
            <v>חבר</v>
          </cell>
        </row>
        <row r="243">
          <cell r="A243">
            <v>8912142</v>
          </cell>
          <cell r="B243" t="str">
            <v>עפרה ליפטשר</v>
          </cell>
          <cell r="C243" t="str">
            <v>פתוח</v>
          </cell>
          <cell r="E243">
            <v>1214</v>
          </cell>
          <cell r="G243">
            <v>12142</v>
          </cell>
          <cell r="I243" t="str">
            <v>חבר</v>
          </cell>
        </row>
        <row r="244">
          <cell r="A244">
            <v>8912151</v>
          </cell>
          <cell r="B244" t="str">
            <v>משה לאונגר</v>
          </cell>
          <cell r="C244" t="str">
            <v>פתוח</v>
          </cell>
          <cell r="E244">
            <v>1215</v>
          </cell>
          <cell r="G244">
            <v>12151</v>
          </cell>
          <cell r="I244" t="str">
            <v>חבר</v>
          </cell>
        </row>
        <row r="245">
          <cell r="A245">
            <v>8912152</v>
          </cell>
          <cell r="B245" t="str">
            <v>דבורה לאונגר</v>
          </cell>
          <cell r="C245" t="str">
            <v>פתוח</v>
          </cell>
          <cell r="E245">
            <v>1215</v>
          </cell>
          <cell r="G245">
            <v>12152</v>
          </cell>
          <cell r="I245" t="str">
            <v>חבר</v>
          </cell>
        </row>
        <row r="246">
          <cell r="A246">
            <v>8912161</v>
          </cell>
          <cell r="B246" t="str">
            <v>דוד ליפטשר</v>
          </cell>
          <cell r="C246" t="str">
            <v>פתוח</v>
          </cell>
          <cell r="E246">
            <v>1216</v>
          </cell>
          <cell r="G246">
            <v>12161</v>
          </cell>
          <cell r="I246" t="str">
            <v>חבר</v>
          </cell>
        </row>
        <row r="247">
          <cell r="A247">
            <v>8912162</v>
          </cell>
          <cell r="B247" t="str">
            <v>אלישבע ליפטשר</v>
          </cell>
          <cell r="C247" t="str">
            <v>פתוח</v>
          </cell>
          <cell r="E247">
            <v>1216</v>
          </cell>
          <cell r="G247">
            <v>12162</v>
          </cell>
          <cell r="I247" t="str">
            <v>חבר</v>
          </cell>
        </row>
        <row r="248">
          <cell r="A248">
            <v>8912181</v>
          </cell>
          <cell r="B248" t="str">
            <v>מיכאל לזר</v>
          </cell>
          <cell r="C248" t="str">
            <v>פתוח</v>
          </cell>
          <cell r="E248">
            <v>1218</v>
          </cell>
          <cell r="G248">
            <v>12181</v>
          </cell>
          <cell r="I248" t="str">
            <v>חבר</v>
          </cell>
        </row>
        <row r="249">
          <cell r="A249">
            <v>8912182</v>
          </cell>
          <cell r="B249" t="str">
            <v>רבקה לזר</v>
          </cell>
          <cell r="C249" t="str">
            <v>פתוח</v>
          </cell>
          <cell r="E249">
            <v>1218</v>
          </cell>
          <cell r="G249">
            <v>12182</v>
          </cell>
          <cell r="I249" t="str">
            <v>חבר</v>
          </cell>
        </row>
        <row r="250">
          <cell r="A250">
            <v>8912191</v>
          </cell>
          <cell r="B250" t="str">
            <v>נחומי לבבי</v>
          </cell>
          <cell r="C250" t="str">
            <v>פתוח</v>
          </cell>
          <cell r="E250">
            <v>1219</v>
          </cell>
          <cell r="G250">
            <v>12191</v>
          </cell>
          <cell r="I250" t="str">
            <v>חבר</v>
          </cell>
        </row>
        <row r="251">
          <cell r="A251">
            <v>8912192</v>
          </cell>
          <cell r="B251" t="str">
            <v>שני לבבי</v>
          </cell>
          <cell r="C251" t="str">
            <v>פתוח</v>
          </cell>
          <cell r="E251">
            <v>1219</v>
          </cell>
          <cell r="G251">
            <v>12192</v>
          </cell>
          <cell r="I251" t="str">
            <v>חבר</v>
          </cell>
        </row>
        <row r="252">
          <cell r="A252">
            <v>8912221</v>
          </cell>
          <cell r="B252" t="str">
            <v>איתמר לזר</v>
          </cell>
          <cell r="C252" t="str">
            <v>פתוח</v>
          </cell>
          <cell r="E252">
            <v>1222</v>
          </cell>
          <cell r="G252">
            <v>12221</v>
          </cell>
          <cell r="I252" t="str">
            <v>חבר</v>
          </cell>
        </row>
        <row r="253">
          <cell r="A253">
            <v>8912222</v>
          </cell>
          <cell r="B253" t="str">
            <v>ליאורה לזר</v>
          </cell>
          <cell r="C253" t="str">
            <v>פתוח</v>
          </cell>
          <cell r="E253">
            <v>1222</v>
          </cell>
          <cell r="G253">
            <v>12222</v>
          </cell>
          <cell r="I253" t="str">
            <v>חבר</v>
          </cell>
        </row>
        <row r="254">
          <cell r="A254">
            <v>8912231</v>
          </cell>
          <cell r="B254" t="str">
            <v>נחום לבבי</v>
          </cell>
          <cell r="C254" t="str">
            <v>פתוח</v>
          </cell>
          <cell r="E254">
            <v>1223</v>
          </cell>
          <cell r="G254">
            <v>12231</v>
          </cell>
          <cell r="I254" t="str">
            <v>חבר</v>
          </cell>
        </row>
        <row r="255">
          <cell r="A255">
            <v>8912232</v>
          </cell>
          <cell r="B255" t="str">
            <v>שלומית לבבי</v>
          </cell>
          <cell r="C255" t="str">
            <v>פתוח</v>
          </cell>
          <cell r="E255">
            <v>1223</v>
          </cell>
          <cell r="G255">
            <v>12232</v>
          </cell>
          <cell r="I255" t="str">
            <v>חבר</v>
          </cell>
        </row>
        <row r="256">
          <cell r="A256">
            <v>8912241</v>
          </cell>
          <cell r="B256" t="str">
            <v>יובל לאופר</v>
          </cell>
          <cell r="C256" t="str">
            <v>פתוח</v>
          </cell>
          <cell r="E256">
            <v>1224</v>
          </cell>
          <cell r="G256">
            <v>12241</v>
          </cell>
          <cell r="I256" t="str">
            <v>חבר</v>
          </cell>
        </row>
        <row r="257">
          <cell r="A257">
            <v>8912242</v>
          </cell>
          <cell r="B257" t="str">
            <v>אורנית לאופר</v>
          </cell>
          <cell r="C257" t="str">
            <v>פתוח</v>
          </cell>
          <cell r="E257">
            <v>1224</v>
          </cell>
          <cell r="G257">
            <v>12242</v>
          </cell>
          <cell r="I257" t="str">
            <v>חבר</v>
          </cell>
        </row>
        <row r="258">
          <cell r="A258">
            <v>8912302</v>
          </cell>
          <cell r="B258" t="str">
            <v>בתיה לייקוב</v>
          </cell>
          <cell r="C258" t="str">
            <v>פתוח</v>
          </cell>
          <cell r="E258">
            <v>1230</v>
          </cell>
          <cell r="G258">
            <v>12302</v>
          </cell>
          <cell r="I258" t="str">
            <v>חבר</v>
          </cell>
        </row>
        <row r="259">
          <cell r="A259">
            <v>8912391</v>
          </cell>
          <cell r="B259" t="str">
            <v>לבבי יוסף</v>
          </cell>
          <cell r="C259" t="str">
            <v>פתוח</v>
          </cell>
          <cell r="E259">
            <v>1239</v>
          </cell>
          <cell r="G259">
            <v>12391</v>
          </cell>
          <cell r="I259" t="str">
            <v>חבר</v>
          </cell>
        </row>
        <row r="260">
          <cell r="A260">
            <v>8912392</v>
          </cell>
          <cell r="B260" t="str">
            <v>לבבי ליאור ציפורה</v>
          </cell>
          <cell r="C260" t="str">
            <v>פתוח</v>
          </cell>
          <cell r="E260">
            <v>1239</v>
          </cell>
          <cell r="G260">
            <v>12392</v>
          </cell>
          <cell r="I260" t="str">
            <v>חבר</v>
          </cell>
        </row>
        <row r="261">
          <cell r="A261">
            <v>8912551</v>
          </cell>
          <cell r="B261" t="str">
            <v>איתי לקס</v>
          </cell>
          <cell r="C261" t="str">
            <v>סגור</v>
          </cell>
          <cell r="G261">
            <v>12551</v>
          </cell>
          <cell r="I261" t="str">
            <v>חופשה</v>
          </cell>
        </row>
        <row r="262">
          <cell r="A262">
            <v>8912552</v>
          </cell>
          <cell r="B262" t="str">
            <v>חן לקס</v>
          </cell>
          <cell r="C262" t="str">
            <v>סגור</v>
          </cell>
          <cell r="G262">
            <v>12552</v>
          </cell>
          <cell r="I262" t="str">
            <v>חופשה</v>
          </cell>
        </row>
        <row r="263">
          <cell r="A263">
            <v>8912611</v>
          </cell>
          <cell r="B263" t="str">
            <v>ירון לבקוביץ</v>
          </cell>
          <cell r="C263" t="str">
            <v>פתוח</v>
          </cell>
          <cell r="E263">
            <v>1261</v>
          </cell>
          <cell r="G263">
            <v>12611</v>
          </cell>
          <cell r="I263" t="str">
            <v>חבר</v>
          </cell>
        </row>
        <row r="264">
          <cell r="A264">
            <v>8912612</v>
          </cell>
          <cell r="B264" t="str">
            <v>עטרה לבקוביץ</v>
          </cell>
          <cell r="C264" t="str">
            <v>פתוח</v>
          </cell>
          <cell r="E264">
            <v>1261</v>
          </cell>
          <cell r="G264">
            <v>12612</v>
          </cell>
          <cell r="I264" t="str">
            <v>חבר</v>
          </cell>
        </row>
        <row r="265">
          <cell r="A265">
            <v>8913011</v>
          </cell>
          <cell r="B265" t="str">
            <v>כפיר מידב</v>
          </cell>
          <cell r="C265" t="str">
            <v>פתוח</v>
          </cell>
          <cell r="E265">
            <v>1301</v>
          </cell>
          <cell r="G265">
            <v>13011</v>
          </cell>
          <cell r="I265" t="str">
            <v>חבר</v>
          </cell>
        </row>
        <row r="266">
          <cell r="A266">
            <v>8913012</v>
          </cell>
          <cell r="B266" t="str">
            <v>רחל מידב</v>
          </cell>
          <cell r="C266" t="str">
            <v>פתוח</v>
          </cell>
          <cell r="E266">
            <v>1301</v>
          </cell>
          <cell r="G266">
            <v>13012</v>
          </cell>
          <cell r="I266" t="str">
            <v>חבר</v>
          </cell>
        </row>
        <row r="267">
          <cell r="A267">
            <v>8913021</v>
          </cell>
          <cell r="B267" t="str">
            <v>משה מושקוביץ</v>
          </cell>
          <cell r="C267" t="str">
            <v>סגור</v>
          </cell>
          <cell r="G267">
            <v>913021</v>
          </cell>
          <cell r="I267" t="str">
            <v>נפטר</v>
          </cell>
          <cell r="J267">
            <v>44219</v>
          </cell>
        </row>
        <row r="268">
          <cell r="A268">
            <v>8913022</v>
          </cell>
          <cell r="B268" t="str">
            <v>יעל מושקוביץ</v>
          </cell>
          <cell r="C268" t="str">
            <v>סגור</v>
          </cell>
          <cell r="G268">
            <v>13022</v>
          </cell>
          <cell r="I268" t="str">
            <v>נפטר</v>
          </cell>
          <cell r="J268">
            <v>45388</v>
          </cell>
        </row>
        <row r="269">
          <cell r="A269">
            <v>8913041</v>
          </cell>
          <cell r="B269" t="str">
            <v>מור יוסף אליה</v>
          </cell>
          <cell r="C269" t="str">
            <v>פתוח</v>
          </cell>
          <cell r="E269">
            <v>1304</v>
          </cell>
          <cell r="G269">
            <v>13041</v>
          </cell>
          <cell r="I269" t="str">
            <v>חבר</v>
          </cell>
        </row>
        <row r="270">
          <cell r="A270">
            <v>8913042</v>
          </cell>
          <cell r="B270" t="str">
            <v>מור יוסף שילת</v>
          </cell>
          <cell r="C270" t="str">
            <v>פתוח</v>
          </cell>
          <cell r="E270">
            <v>1304</v>
          </cell>
          <cell r="G270">
            <v>13042</v>
          </cell>
          <cell r="I270" t="str">
            <v>חבר</v>
          </cell>
        </row>
        <row r="271">
          <cell r="A271">
            <v>8913061</v>
          </cell>
          <cell r="B271" t="str">
            <v>מנשאוף  יאיר</v>
          </cell>
          <cell r="C271" t="str">
            <v>פתוח</v>
          </cell>
          <cell r="E271">
            <v>1306</v>
          </cell>
          <cell r="G271">
            <v>13061</v>
          </cell>
          <cell r="I271" t="str">
            <v>חבר</v>
          </cell>
        </row>
        <row r="272">
          <cell r="A272">
            <v>8913062</v>
          </cell>
          <cell r="B272" t="str">
            <v>מנשאוף שלומית</v>
          </cell>
          <cell r="C272" t="str">
            <v>פתוח</v>
          </cell>
          <cell r="E272">
            <v>1306</v>
          </cell>
          <cell r="G272">
            <v>13062</v>
          </cell>
          <cell r="I272" t="str">
            <v>חבר</v>
          </cell>
        </row>
        <row r="273">
          <cell r="A273">
            <v>8914012</v>
          </cell>
          <cell r="B273" t="str">
            <v>רבקה נדיבי</v>
          </cell>
          <cell r="C273" t="str">
            <v>פתוח</v>
          </cell>
          <cell r="E273">
            <v>1401</v>
          </cell>
          <cell r="G273">
            <v>14012</v>
          </cell>
          <cell r="I273" t="str">
            <v>חבר</v>
          </cell>
        </row>
        <row r="274">
          <cell r="A274">
            <v>8915012</v>
          </cell>
          <cell r="B274" t="str">
            <v>רחל סוקל</v>
          </cell>
          <cell r="C274" t="str">
            <v>פתוח</v>
          </cell>
          <cell r="E274">
            <v>1501</v>
          </cell>
          <cell r="G274">
            <v>15012</v>
          </cell>
          <cell r="I274" t="str">
            <v>חבר</v>
          </cell>
        </row>
        <row r="275">
          <cell r="A275">
            <v>8915021</v>
          </cell>
          <cell r="B275" t="str">
            <v>אייזיק סולמון</v>
          </cell>
          <cell r="C275" t="str">
            <v>פתוח</v>
          </cell>
          <cell r="E275">
            <v>1502</v>
          </cell>
          <cell r="G275">
            <v>15021</v>
          </cell>
          <cell r="I275" t="str">
            <v>חבר</v>
          </cell>
        </row>
        <row r="276">
          <cell r="A276">
            <v>8915022</v>
          </cell>
          <cell r="B276" t="str">
            <v>קלייר סולמון</v>
          </cell>
          <cell r="C276" t="str">
            <v>פתוח</v>
          </cell>
          <cell r="E276">
            <v>1502</v>
          </cell>
          <cell r="G276">
            <v>15022</v>
          </cell>
          <cell r="I276" t="str">
            <v>חבר</v>
          </cell>
        </row>
        <row r="277">
          <cell r="A277">
            <v>8915031</v>
          </cell>
          <cell r="B277" t="str">
            <v>אבשלום סהר</v>
          </cell>
          <cell r="C277" t="str">
            <v>פתוח</v>
          </cell>
          <cell r="E277">
            <v>1503</v>
          </cell>
          <cell r="G277">
            <v>15031</v>
          </cell>
          <cell r="I277" t="str">
            <v>חבר</v>
          </cell>
        </row>
        <row r="278">
          <cell r="A278">
            <v>8915032</v>
          </cell>
          <cell r="B278" t="str">
            <v>נעמה סהר</v>
          </cell>
          <cell r="C278" t="str">
            <v>פתוח</v>
          </cell>
          <cell r="E278">
            <v>1503</v>
          </cell>
          <cell r="G278">
            <v>15032</v>
          </cell>
          <cell r="I278" t="str">
            <v>חבר</v>
          </cell>
        </row>
        <row r="279">
          <cell r="A279">
            <v>8915061</v>
          </cell>
          <cell r="B279" t="str">
            <v>נסאל ניסים קדוש</v>
          </cell>
          <cell r="C279" t="str">
            <v>פתוח</v>
          </cell>
          <cell r="E279">
            <v>1506</v>
          </cell>
          <cell r="G279">
            <v>15061</v>
          </cell>
          <cell r="I279" t="str">
            <v>חבר</v>
          </cell>
        </row>
        <row r="280">
          <cell r="A280">
            <v>8915062</v>
          </cell>
          <cell r="B280" t="str">
            <v>אליענה קדוש</v>
          </cell>
          <cell r="C280" t="str">
            <v>פתוח</v>
          </cell>
          <cell r="E280">
            <v>1506</v>
          </cell>
          <cell r="G280">
            <v>15062</v>
          </cell>
          <cell r="I280" t="str">
            <v>חבר</v>
          </cell>
        </row>
        <row r="281">
          <cell r="A281">
            <v>8916012</v>
          </cell>
          <cell r="B281" t="str">
            <v>חיה עמית</v>
          </cell>
          <cell r="C281" t="str">
            <v>סגור</v>
          </cell>
          <cell r="G281">
            <v>16012</v>
          </cell>
          <cell r="I281" t="str">
            <v>חבר</v>
          </cell>
        </row>
        <row r="282">
          <cell r="A282">
            <v>8916021</v>
          </cell>
          <cell r="B282" t="str">
            <v>ישראל עובדיה</v>
          </cell>
          <cell r="C282" t="str">
            <v>פתוח</v>
          </cell>
          <cell r="E282">
            <v>1602</v>
          </cell>
          <cell r="G282">
            <v>16021</v>
          </cell>
          <cell r="I282" t="str">
            <v>חבר</v>
          </cell>
        </row>
        <row r="283">
          <cell r="A283">
            <v>8916022</v>
          </cell>
          <cell r="B283" t="str">
            <v>וונדי עובדיה</v>
          </cell>
          <cell r="C283" t="str">
            <v>פתוח</v>
          </cell>
          <cell r="E283">
            <v>1602</v>
          </cell>
          <cell r="G283">
            <v>16022</v>
          </cell>
          <cell r="I283" t="str">
            <v>חבר</v>
          </cell>
        </row>
        <row r="284">
          <cell r="A284">
            <v>8916071</v>
          </cell>
          <cell r="B284" t="str">
            <v>אלעד גרוס</v>
          </cell>
          <cell r="C284" t="str">
            <v>פתוח</v>
          </cell>
          <cell r="E284">
            <v>1607</v>
          </cell>
          <cell r="G284">
            <v>16071</v>
          </cell>
          <cell r="I284" t="str">
            <v>חבר</v>
          </cell>
        </row>
        <row r="285">
          <cell r="A285">
            <v>8916072</v>
          </cell>
          <cell r="B285" t="str">
            <v>אביב גרוס</v>
          </cell>
          <cell r="C285" t="str">
            <v>פתוח</v>
          </cell>
          <cell r="E285">
            <v>1607</v>
          </cell>
          <cell r="G285">
            <v>16072</v>
          </cell>
          <cell r="I285" t="str">
            <v>חבר</v>
          </cell>
        </row>
        <row r="286">
          <cell r="A286">
            <v>8917022</v>
          </cell>
          <cell r="B286" t="str">
            <v>הדרה פז</v>
          </cell>
          <cell r="C286" t="str">
            <v>סגור</v>
          </cell>
          <cell r="G286">
            <v>17022</v>
          </cell>
          <cell r="I286" t="str">
            <v>חבר</v>
          </cell>
        </row>
        <row r="287">
          <cell r="A287">
            <v>8917032</v>
          </cell>
          <cell r="B287" t="str">
            <v>אסתר פורת</v>
          </cell>
          <cell r="C287" t="str">
            <v>פתוח</v>
          </cell>
          <cell r="E287">
            <v>1703</v>
          </cell>
          <cell r="G287">
            <v>17032</v>
          </cell>
          <cell r="I287" t="str">
            <v>חבר</v>
          </cell>
        </row>
        <row r="288">
          <cell r="A288">
            <v>8917061</v>
          </cell>
          <cell r="B288" t="str">
            <v>אליהו פטרסון</v>
          </cell>
          <cell r="C288" t="str">
            <v>פתוח</v>
          </cell>
          <cell r="E288">
            <v>1706</v>
          </cell>
          <cell r="G288">
            <v>17061</v>
          </cell>
          <cell r="I288" t="str">
            <v>חבר</v>
          </cell>
        </row>
        <row r="289">
          <cell r="A289">
            <v>8917062</v>
          </cell>
          <cell r="B289" t="str">
            <v>ג`נט פטרסון</v>
          </cell>
          <cell r="C289" t="str">
            <v>סגור</v>
          </cell>
          <cell r="G289">
            <v>17062</v>
          </cell>
          <cell r="I289" t="str">
            <v>עזב</v>
          </cell>
        </row>
        <row r="290">
          <cell r="A290">
            <v>8917071</v>
          </cell>
          <cell r="B290" t="str">
            <v>ברוך פלישמן</v>
          </cell>
          <cell r="C290" t="str">
            <v>פתוח</v>
          </cell>
          <cell r="E290">
            <v>1707</v>
          </cell>
          <cell r="G290">
            <v>17071</v>
          </cell>
          <cell r="I290" t="str">
            <v>חבר</v>
          </cell>
        </row>
        <row r="291">
          <cell r="A291">
            <v>8917072</v>
          </cell>
          <cell r="B291" t="str">
            <v>אסנת פלישמן</v>
          </cell>
          <cell r="C291" t="str">
            <v>פתוח</v>
          </cell>
          <cell r="E291">
            <v>1707</v>
          </cell>
          <cell r="G291">
            <v>17072</v>
          </cell>
          <cell r="I291" t="str">
            <v>חבר</v>
          </cell>
        </row>
        <row r="292">
          <cell r="A292">
            <v>8917082</v>
          </cell>
          <cell r="B292" t="str">
            <v>תמי פז</v>
          </cell>
          <cell r="C292" t="str">
            <v>פתוח</v>
          </cell>
          <cell r="E292">
            <v>1708</v>
          </cell>
          <cell r="G292">
            <v>17082</v>
          </cell>
          <cell r="I292" t="str">
            <v>חבר</v>
          </cell>
        </row>
        <row r="293">
          <cell r="A293">
            <v>8917101</v>
          </cell>
          <cell r="B293" t="str">
            <v>מרדכי פרג`ון</v>
          </cell>
          <cell r="C293" t="str">
            <v>פתוח</v>
          </cell>
          <cell r="E293">
            <v>1710</v>
          </cell>
          <cell r="G293">
            <v>17101</v>
          </cell>
          <cell r="I293" t="str">
            <v>חבר</v>
          </cell>
        </row>
        <row r="294">
          <cell r="A294">
            <v>8917102</v>
          </cell>
          <cell r="B294" t="str">
            <v>אורית פרג`ון</v>
          </cell>
          <cell r="C294" t="str">
            <v>פתוח</v>
          </cell>
          <cell r="E294">
            <v>1710</v>
          </cell>
          <cell r="G294">
            <v>17102</v>
          </cell>
          <cell r="I294" t="str">
            <v>חבר</v>
          </cell>
        </row>
        <row r="295">
          <cell r="A295">
            <v>8917121</v>
          </cell>
          <cell r="B295" t="str">
            <v>אביגדור פליישמן</v>
          </cell>
          <cell r="C295" t="str">
            <v>פתוח</v>
          </cell>
          <cell r="E295">
            <v>1712</v>
          </cell>
          <cell r="G295">
            <v>17121</v>
          </cell>
          <cell r="I295" t="str">
            <v>חבר</v>
          </cell>
        </row>
        <row r="296">
          <cell r="A296">
            <v>8917122</v>
          </cell>
          <cell r="B296" t="str">
            <v>דינה פליישמן</v>
          </cell>
          <cell r="C296" t="str">
            <v>פתוח</v>
          </cell>
          <cell r="E296">
            <v>1712</v>
          </cell>
          <cell r="G296">
            <v>17122</v>
          </cell>
          <cell r="I296" t="str">
            <v>חבר</v>
          </cell>
        </row>
        <row r="297">
          <cell r="A297">
            <v>8917141</v>
          </cell>
          <cell r="B297" t="str">
            <v>גוב ארי מרדכי</v>
          </cell>
          <cell r="C297" t="str">
            <v>פתוח</v>
          </cell>
          <cell r="E297">
            <v>1714</v>
          </cell>
          <cell r="G297">
            <v>17141</v>
          </cell>
          <cell r="I297" t="str">
            <v>חבר</v>
          </cell>
        </row>
        <row r="298">
          <cell r="A298">
            <v>8917142</v>
          </cell>
          <cell r="B298" t="str">
            <v>אורטל גוב ארי</v>
          </cell>
          <cell r="C298" t="str">
            <v>פתוח</v>
          </cell>
          <cell r="E298">
            <v>1714</v>
          </cell>
          <cell r="G298">
            <v>17142</v>
          </cell>
          <cell r="I298" t="str">
            <v>חבר</v>
          </cell>
        </row>
        <row r="299">
          <cell r="A299">
            <v>8918002</v>
          </cell>
          <cell r="B299" t="str">
            <v>צור אפרת</v>
          </cell>
          <cell r="C299" t="str">
            <v>סגור</v>
          </cell>
          <cell r="G299">
            <v>18022</v>
          </cell>
          <cell r="I299" t="str">
            <v>חופשה</v>
          </cell>
        </row>
        <row r="300">
          <cell r="A300">
            <v>8918021</v>
          </cell>
          <cell r="B300" t="str">
            <v>צור אליהו</v>
          </cell>
          <cell r="C300" t="str">
            <v>סגור</v>
          </cell>
          <cell r="G300">
            <v>18021</v>
          </cell>
          <cell r="I300" t="str">
            <v>חופשה</v>
          </cell>
        </row>
        <row r="301">
          <cell r="A301">
            <v>8918022</v>
          </cell>
          <cell r="B301" t="str">
            <v>אפרת צור- ראה חשבון 8918002</v>
          </cell>
          <cell r="C301" t="str">
            <v>סגור</v>
          </cell>
        </row>
        <row r="302">
          <cell r="A302">
            <v>8919021</v>
          </cell>
          <cell r="B302" t="str">
            <v>דבורה קראוס</v>
          </cell>
          <cell r="C302" t="str">
            <v>סגור</v>
          </cell>
          <cell r="G302">
            <v>19022</v>
          </cell>
          <cell r="I302" t="str">
            <v>נפטר</v>
          </cell>
        </row>
        <row r="303">
          <cell r="A303">
            <v>8919032</v>
          </cell>
          <cell r="B303" t="str">
            <v>יפה קרליבך</v>
          </cell>
          <cell r="C303" t="str">
            <v>סגור</v>
          </cell>
          <cell r="G303">
            <v>19032</v>
          </cell>
          <cell r="I303" t="str">
            <v>נפטר</v>
          </cell>
        </row>
        <row r="304">
          <cell r="A304">
            <v>8919051</v>
          </cell>
          <cell r="B304" t="str">
            <v>שמואל קרן ז"ל</v>
          </cell>
          <cell r="C304" t="str">
            <v>סגור</v>
          </cell>
          <cell r="G304">
            <v>19051</v>
          </cell>
          <cell r="I304" t="str">
            <v>חבר</v>
          </cell>
        </row>
        <row r="305">
          <cell r="A305">
            <v>8919061</v>
          </cell>
          <cell r="B305" t="str">
            <v>אריה קלוש</v>
          </cell>
          <cell r="C305" t="str">
            <v>פתוח</v>
          </cell>
          <cell r="E305">
            <v>1906</v>
          </cell>
          <cell r="G305">
            <v>19061</v>
          </cell>
          <cell r="I305" t="str">
            <v>חבר</v>
          </cell>
        </row>
        <row r="306">
          <cell r="A306">
            <v>8919062</v>
          </cell>
          <cell r="B306" t="str">
            <v>שלומית קלוש</v>
          </cell>
          <cell r="C306" t="str">
            <v>פתוח</v>
          </cell>
          <cell r="E306">
            <v>1906</v>
          </cell>
          <cell r="G306">
            <v>19062</v>
          </cell>
          <cell r="I306" t="str">
            <v>חבר</v>
          </cell>
        </row>
        <row r="307">
          <cell r="A307">
            <v>8919071</v>
          </cell>
          <cell r="B307" t="str">
            <v>משה קליין</v>
          </cell>
          <cell r="C307" t="str">
            <v>פתוח</v>
          </cell>
          <cell r="E307">
            <v>1907</v>
          </cell>
          <cell r="G307">
            <v>19071</v>
          </cell>
          <cell r="I307" t="str">
            <v>חבר</v>
          </cell>
        </row>
        <row r="308">
          <cell r="A308">
            <v>8919072</v>
          </cell>
          <cell r="B308" t="str">
            <v>נאוה קליין</v>
          </cell>
          <cell r="C308" t="str">
            <v>פתוח</v>
          </cell>
          <cell r="E308">
            <v>1907</v>
          </cell>
          <cell r="G308">
            <v>19072</v>
          </cell>
          <cell r="I308" t="str">
            <v>חבר</v>
          </cell>
        </row>
        <row r="309">
          <cell r="A309">
            <v>8919081</v>
          </cell>
          <cell r="B309" t="str">
            <v>נחמיה קראוס</v>
          </cell>
          <cell r="C309" t="str">
            <v>פתוח</v>
          </cell>
          <cell r="E309">
            <v>1908</v>
          </cell>
          <cell r="G309">
            <v>19081</v>
          </cell>
          <cell r="I309" t="str">
            <v>חבר</v>
          </cell>
        </row>
        <row r="310">
          <cell r="A310">
            <v>8919082</v>
          </cell>
          <cell r="B310" t="str">
            <v>שלומית קראוס</v>
          </cell>
          <cell r="C310" t="str">
            <v>פתוח</v>
          </cell>
          <cell r="E310">
            <v>1908</v>
          </cell>
          <cell r="G310">
            <v>19082</v>
          </cell>
          <cell r="I310" t="str">
            <v>חבר</v>
          </cell>
        </row>
        <row r="311">
          <cell r="A311">
            <v>8919101</v>
          </cell>
          <cell r="B311" t="str">
            <v>קרליבך רועי</v>
          </cell>
          <cell r="C311" t="str">
            <v>פתוח</v>
          </cell>
          <cell r="E311">
            <v>1910</v>
          </cell>
          <cell r="G311">
            <v>19101</v>
          </cell>
          <cell r="I311" t="str">
            <v>חבר</v>
          </cell>
        </row>
        <row r="312">
          <cell r="A312">
            <v>8919102</v>
          </cell>
          <cell r="B312" t="str">
            <v>קרליבך עינב</v>
          </cell>
          <cell r="C312" t="str">
            <v>פתוח</v>
          </cell>
          <cell r="E312">
            <v>1910</v>
          </cell>
          <cell r="G312">
            <v>19102</v>
          </cell>
          <cell r="I312" t="str">
            <v>חבר</v>
          </cell>
        </row>
        <row r="313">
          <cell r="A313">
            <v>8919111</v>
          </cell>
          <cell r="B313" t="str">
            <v>דוד קרליבך</v>
          </cell>
          <cell r="C313" t="str">
            <v>פתוח</v>
          </cell>
          <cell r="E313">
            <v>1911</v>
          </cell>
          <cell r="G313">
            <v>19111</v>
          </cell>
          <cell r="I313" t="str">
            <v>חבר</v>
          </cell>
        </row>
        <row r="314">
          <cell r="A314">
            <v>8919112</v>
          </cell>
          <cell r="B314" t="str">
            <v>מיכל קרליבך</v>
          </cell>
          <cell r="C314" t="str">
            <v>פתוח</v>
          </cell>
          <cell r="E314">
            <v>1911</v>
          </cell>
          <cell r="G314">
            <v>19112</v>
          </cell>
          <cell r="I314" t="str">
            <v>חבר</v>
          </cell>
        </row>
        <row r="315">
          <cell r="A315">
            <v>8919131</v>
          </cell>
          <cell r="B315" t="str">
            <v>אסתר קרן</v>
          </cell>
          <cell r="C315" t="str">
            <v>פתוח</v>
          </cell>
          <cell r="E315">
            <v>1905</v>
          </cell>
          <cell r="G315">
            <v>19052</v>
          </cell>
          <cell r="I315" t="str">
            <v>חבר</v>
          </cell>
        </row>
        <row r="316">
          <cell r="A316">
            <v>8919132</v>
          </cell>
          <cell r="B316" t="str">
            <v>רחל קרן</v>
          </cell>
          <cell r="C316" t="str">
            <v>פתוח</v>
          </cell>
          <cell r="E316">
            <v>1913</v>
          </cell>
          <cell r="G316">
            <v>19132</v>
          </cell>
          <cell r="I316" t="str">
            <v>חבר</v>
          </cell>
        </row>
        <row r="317">
          <cell r="A317">
            <v>8919137</v>
          </cell>
          <cell r="B317" t="str">
            <v>בנימין קרן</v>
          </cell>
          <cell r="C317" t="str">
            <v>פתוח</v>
          </cell>
          <cell r="E317">
            <v>1913</v>
          </cell>
          <cell r="G317">
            <v>19131</v>
          </cell>
          <cell r="I317" t="str">
            <v>חבר</v>
          </cell>
        </row>
        <row r="318">
          <cell r="A318">
            <v>8919141</v>
          </cell>
          <cell r="B318" t="str">
            <v>יצחק קרליבך</v>
          </cell>
          <cell r="C318" t="str">
            <v>פתוח</v>
          </cell>
          <cell r="E318">
            <v>1914</v>
          </cell>
          <cell r="G318">
            <v>19141</v>
          </cell>
          <cell r="I318" t="str">
            <v>חבר</v>
          </cell>
        </row>
        <row r="319">
          <cell r="A319">
            <v>8919142</v>
          </cell>
          <cell r="B319" t="str">
            <v>ורד קרליבך</v>
          </cell>
          <cell r="C319" t="str">
            <v>פתוח</v>
          </cell>
          <cell r="E319">
            <v>1914</v>
          </cell>
          <cell r="G319">
            <v>19142</v>
          </cell>
          <cell r="I319" t="str">
            <v>חבר</v>
          </cell>
        </row>
        <row r="320">
          <cell r="A320">
            <v>8919221</v>
          </cell>
          <cell r="B320" t="str">
            <v>קרליבך ישי</v>
          </cell>
          <cell r="C320" t="str">
            <v>פתוח</v>
          </cell>
          <cell r="E320">
            <v>1922</v>
          </cell>
          <cell r="G320">
            <v>19221</v>
          </cell>
          <cell r="I320" t="str">
            <v>חבר</v>
          </cell>
        </row>
        <row r="321">
          <cell r="A321">
            <v>8919222</v>
          </cell>
          <cell r="B321" t="str">
            <v>נועה קרליבך</v>
          </cell>
          <cell r="C321" t="str">
            <v>פתוח</v>
          </cell>
          <cell r="E321">
            <v>1922</v>
          </cell>
          <cell r="G321">
            <v>19222</v>
          </cell>
          <cell r="I321" t="str">
            <v>חבר</v>
          </cell>
        </row>
        <row r="322">
          <cell r="A322">
            <v>8919231</v>
          </cell>
          <cell r="B322" t="str">
            <v>דן קליין</v>
          </cell>
          <cell r="C322" t="str">
            <v>פתוח</v>
          </cell>
          <cell r="E322">
            <v>1923</v>
          </cell>
          <cell r="G322">
            <v>19231</v>
          </cell>
          <cell r="I322" t="str">
            <v>חבר</v>
          </cell>
        </row>
        <row r="323">
          <cell r="A323">
            <v>8919232</v>
          </cell>
          <cell r="B323" t="str">
            <v>חדוה קליין</v>
          </cell>
          <cell r="C323" t="str">
            <v>פתוח</v>
          </cell>
          <cell r="E323">
            <v>1923</v>
          </cell>
          <cell r="G323">
            <v>19232</v>
          </cell>
          <cell r="I323" t="str">
            <v>חבר</v>
          </cell>
        </row>
        <row r="324">
          <cell r="A324">
            <v>8919311</v>
          </cell>
          <cell r="B324" t="str">
            <v>תומר ספיר</v>
          </cell>
          <cell r="C324" t="str">
            <v>פתוח</v>
          </cell>
          <cell r="E324">
            <v>1931</v>
          </cell>
          <cell r="G324">
            <v>19311</v>
          </cell>
          <cell r="I324" t="str">
            <v>חבר</v>
          </cell>
        </row>
        <row r="325">
          <cell r="A325">
            <v>8919312</v>
          </cell>
          <cell r="B325" t="str">
            <v>נעמה ספיר</v>
          </cell>
          <cell r="C325" t="str">
            <v>פתוח</v>
          </cell>
          <cell r="E325">
            <v>1931</v>
          </cell>
          <cell r="G325">
            <v>19312</v>
          </cell>
          <cell r="I325" t="str">
            <v>חבר</v>
          </cell>
        </row>
        <row r="326">
          <cell r="A326">
            <v>8919351</v>
          </cell>
          <cell r="B326" t="str">
            <v>קליין יוחאי</v>
          </cell>
          <cell r="C326" t="str">
            <v>פתוח</v>
          </cell>
          <cell r="E326">
            <v>1935</v>
          </cell>
          <cell r="G326">
            <v>19351</v>
          </cell>
          <cell r="I326" t="str">
            <v>חבר</v>
          </cell>
        </row>
        <row r="327">
          <cell r="A327">
            <v>8919352</v>
          </cell>
          <cell r="B327" t="str">
            <v>קליין שלומית</v>
          </cell>
          <cell r="C327" t="str">
            <v>פתוח</v>
          </cell>
          <cell r="E327">
            <v>1935</v>
          </cell>
          <cell r="G327">
            <v>19352</v>
          </cell>
          <cell r="I327" t="str">
            <v>חבר</v>
          </cell>
        </row>
        <row r="328">
          <cell r="A328">
            <v>8920011</v>
          </cell>
          <cell r="B328" t="str">
            <v>אליהו רובינשטיין</v>
          </cell>
          <cell r="C328" t="str">
            <v>סגור</v>
          </cell>
          <cell r="G328">
            <v>20011</v>
          </cell>
          <cell r="I328" t="str">
            <v>חבר</v>
          </cell>
        </row>
        <row r="329">
          <cell r="A329">
            <v>8920022</v>
          </cell>
          <cell r="B329" t="str">
            <v>שרה רוט</v>
          </cell>
          <cell r="C329" t="str">
            <v>סגור</v>
          </cell>
          <cell r="G329">
            <v>20022</v>
          </cell>
          <cell r="I329" t="str">
            <v>חבר</v>
          </cell>
        </row>
        <row r="330">
          <cell r="A330">
            <v>8920052</v>
          </cell>
          <cell r="B330" t="str">
            <v>דבורה רביב</v>
          </cell>
          <cell r="C330" t="str">
            <v>פתוח</v>
          </cell>
          <cell r="E330">
            <v>2005</v>
          </cell>
          <cell r="G330">
            <v>20052</v>
          </cell>
          <cell r="I330" t="str">
            <v>חבר</v>
          </cell>
        </row>
        <row r="331">
          <cell r="A331">
            <v>8920061</v>
          </cell>
          <cell r="B331" t="str">
            <v>יעקב רוזנברג</v>
          </cell>
          <cell r="C331" t="str">
            <v>פתוח</v>
          </cell>
          <cell r="E331">
            <v>2006</v>
          </cell>
          <cell r="G331">
            <v>20061</v>
          </cell>
          <cell r="I331" t="str">
            <v>חבר</v>
          </cell>
        </row>
        <row r="332">
          <cell r="A332">
            <v>8920062</v>
          </cell>
          <cell r="B332" t="str">
            <v>עפרה רוזנברג</v>
          </cell>
          <cell r="C332" t="str">
            <v>פתוח</v>
          </cell>
          <cell r="E332">
            <v>2006</v>
          </cell>
          <cell r="G332">
            <v>20062</v>
          </cell>
          <cell r="I332" t="str">
            <v>חבר</v>
          </cell>
        </row>
        <row r="333">
          <cell r="A333">
            <v>8920071</v>
          </cell>
          <cell r="B333" t="str">
            <v>גלעד רייך</v>
          </cell>
          <cell r="C333" t="str">
            <v>פתוח</v>
          </cell>
          <cell r="E333">
            <v>2007</v>
          </cell>
          <cell r="G333">
            <v>20071</v>
          </cell>
          <cell r="I333" t="str">
            <v>חבר</v>
          </cell>
        </row>
        <row r="334">
          <cell r="A334">
            <v>8920072</v>
          </cell>
          <cell r="B334" t="str">
            <v>יפעת רייך</v>
          </cell>
          <cell r="C334" t="str">
            <v>פתוח</v>
          </cell>
          <cell r="E334">
            <v>2007</v>
          </cell>
          <cell r="G334">
            <v>20072</v>
          </cell>
          <cell r="I334" t="str">
            <v>חבר</v>
          </cell>
        </row>
        <row r="335">
          <cell r="A335">
            <v>8920081</v>
          </cell>
          <cell r="B335" t="str">
            <v>שלמה רמון</v>
          </cell>
          <cell r="C335" t="str">
            <v>פתוח</v>
          </cell>
          <cell r="E335">
            <v>2008</v>
          </cell>
          <cell r="G335">
            <v>20081</v>
          </cell>
          <cell r="I335" t="str">
            <v>חבר</v>
          </cell>
        </row>
        <row r="336">
          <cell r="A336">
            <v>8920082</v>
          </cell>
          <cell r="B336" t="str">
            <v>סילבי רמון</v>
          </cell>
          <cell r="C336" t="str">
            <v>פתוח</v>
          </cell>
          <cell r="E336">
            <v>2008</v>
          </cell>
          <cell r="G336">
            <v>20082</v>
          </cell>
          <cell r="I336" t="str">
            <v>חבר</v>
          </cell>
        </row>
        <row r="337">
          <cell r="A337">
            <v>8920091</v>
          </cell>
          <cell r="B337" t="str">
            <v>יואב רון</v>
          </cell>
          <cell r="C337" t="str">
            <v>פתוח</v>
          </cell>
          <cell r="E337">
            <v>2009</v>
          </cell>
          <cell r="G337">
            <v>20091</v>
          </cell>
          <cell r="I337" t="str">
            <v>חבר</v>
          </cell>
        </row>
        <row r="338">
          <cell r="A338">
            <v>8920092</v>
          </cell>
          <cell r="B338" t="str">
            <v>מרים רון</v>
          </cell>
          <cell r="C338" t="str">
            <v>פתוח</v>
          </cell>
          <cell r="E338">
            <v>2009</v>
          </cell>
          <cell r="G338">
            <v>20092</v>
          </cell>
          <cell r="I338" t="str">
            <v>חבר</v>
          </cell>
        </row>
        <row r="339">
          <cell r="A339">
            <v>8920101</v>
          </cell>
          <cell r="B339" t="str">
            <v>מיכאל רייך</v>
          </cell>
          <cell r="C339" t="str">
            <v>פתוח</v>
          </cell>
          <cell r="E339">
            <v>2010</v>
          </cell>
          <cell r="G339">
            <v>20101</v>
          </cell>
          <cell r="I339" t="str">
            <v>חבר</v>
          </cell>
        </row>
        <row r="340">
          <cell r="A340">
            <v>8920102</v>
          </cell>
          <cell r="B340" t="str">
            <v>בלה רייך</v>
          </cell>
          <cell r="C340" t="str">
            <v>פתוח</v>
          </cell>
          <cell r="E340">
            <v>2010</v>
          </cell>
          <cell r="G340">
            <v>20102</v>
          </cell>
          <cell r="I340" t="str">
            <v>חבר</v>
          </cell>
        </row>
        <row r="341">
          <cell r="A341">
            <v>8920111</v>
          </cell>
          <cell r="B341" t="str">
            <v>יצחק רביב</v>
          </cell>
          <cell r="C341" t="str">
            <v>פתוח</v>
          </cell>
          <cell r="E341">
            <v>2011</v>
          </cell>
          <cell r="G341">
            <v>20111</v>
          </cell>
          <cell r="I341" t="str">
            <v>חבר</v>
          </cell>
        </row>
        <row r="342">
          <cell r="A342">
            <v>8920112</v>
          </cell>
          <cell r="B342" t="str">
            <v>יעל רביב</v>
          </cell>
          <cell r="C342" t="str">
            <v>פתוח</v>
          </cell>
          <cell r="E342">
            <v>2011</v>
          </cell>
          <cell r="G342">
            <v>20112</v>
          </cell>
          <cell r="I342" t="str">
            <v>חבר</v>
          </cell>
        </row>
        <row r="343">
          <cell r="A343">
            <v>8920121</v>
          </cell>
          <cell r="B343" t="str">
            <v>שמואל רגב</v>
          </cell>
          <cell r="C343" t="str">
            <v>פתוח</v>
          </cell>
          <cell r="E343">
            <v>2012</v>
          </cell>
          <cell r="G343">
            <v>20121</v>
          </cell>
          <cell r="I343" t="str">
            <v>חבר</v>
          </cell>
        </row>
        <row r="344">
          <cell r="A344">
            <v>8920122</v>
          </cell>
          <cell r="B344" t="str">
            <v>דפנה רגב</v>
          </cell>
          <cell r="C344" t="str">
            <v>פתוח</v>
          </cell>
          <cell r="E344">
            <v>2012</v>
          </cell>
          <cell r="G344">
            <v>20122</v>
          </cell>
          <cell r="I344" t="str">
            <v>חבר</v>
          </cell>
        </row>
        <row r="345">
          <cell r="A345">
            <v>8920142</v>
          </cell>
          <cell r="B345" t="str">
            <v>שרה רחמים</v>
          </cell>
          <cell r="C345" t="str">
            <v>פתוח</v>
          </cell>
          <cell r="E345">
            <v>2014</v>
          </cell>
          <cell r="G345">
            <v>20142</v>
          </cell>
          <cell r="I345" t="str">
            <v>חבר</v>
          </cell>
        </row>
        <row r="346">
          <cell r="A346">
            <v>8920161</v>
          </cell>
          <cell r="B346" t="str">
            <v>יגאל רביב</v>
          </cell>
          <cell r="C346" t="str">
            <v>פתוח</v>
          </cell>
          <cell r="E346">
            <v>2016</v>
          </cell>
          <cell r="G346">
            <v>20161</v>
          </cell>
          <cell r="I346" t="str">
            <v>חבר</v>
          </cell>
        </row>
        <row r="347">
          <cell r="A347">
            <v>8920162</v>
          </cell>
          <cell r="B347" t="str">
            <v>מירב רביב</v>
          </cell>
          <cell r="C347" t="str">
            <v>פתוח</v>
          </cell>
          <cell r="E347">
            <v>2016</v>
          </cell>
          <cell r="G347">
            <v>20162</v>
          </cell>
          <cell r="I347" t="str">
            <v>חבר</v>
          </cell>
        </row>
        <row r="348">
          <cell r="A348">
            <v>8920171</v>
          </cell>
          <cell r="B348" t="str">
            <v>צבי רוט</v>
          </cell>
          <cell r="C348" t="str">
            <v>פתוח</v>
          </cell>
          <cell r="E348">
            <v>2017</v>
          </cell>
          <cell r="G348">
            <v>20171</v>
          </cell>
          <cell r="I348" t="str">
            <v>חבר</v>
          </cell>
        </row>
        <row r="349">
          <cell r="A349">
            <v>8920201</v>
          </cell>
          <cell r="B349" t="str">
            <v>ארנון רימון</v>
          </cell>
          <cell r="C349" t="str">
            <v>פתוח</v>
          </cell>
          <cell r="E349">
            <v>2020</v>
          </cell>
          <cell r="G349">
            <v>20201</v>
          </cell>
          <cell r="I349" t="str">
            <v>חבר</v>
          </cell>
        </row>
        <row r="350">
          <cell r="A350">
            <v>8920202</v>
          </cell>
          <cell r="B350" t="str">
            <v>סימי רימון</v>
          </cell>
          <cell r="C350" t="str">
            <v>פתוח</v>
          </cell>
          <cell r="E350">
            <v>2020</v>
          </cell>
          <cell r="G350">
            <v>20202</v>
          </cell>
          <cell r="I350" t="str">
            <v>חבר</v>
          </cell>
        </row>
        <row r="351">
          <cell r="A351">
            <v>8920222</v>
          </cell>
          <cell r="B351" t="str">
            <v>ענת רייך</v>
          </cell>
          <cell r="C351" t="str">
            <v>פתוח</v>
          </cell>
          <cell r="E351">
            <v>2022</v>
          </cell>
          <cell r="G351">
            <v>20222</v>
          </cell>
          <cell r="I351" t="str">
            <v>חבר</v>
          </cell>
        </row>
        <row r="352">
          <cell r="A352">
            <v>8920281</v>
          </cell>
          <cell r="B352" t="str">
            <v>כתי רביב</v>
          </cell>
          <cell r="C352" t="str">
            <v>פתוח</v>
          </cell>
          <cell r="E352">
            <v>2028</v>
          </cell>
          <cell r="G352">
            <v>20281</v>
          </cell>
          <cell r="I352" t="str">
            <v>חבר</v>
          </cell>
        </row>
        <row r="353">
          <cell r="A353">
            <v>8920282</v>
          </cell>
          <cell r="B353" t="str">
            <v>לאה רביב</v>
          </cell>
          <cell r="C353" t="str">
            <v>פתוח</v>
          </cell>
          <cell r="E353">
            <v>2028</v>
          </cell>
          <cell r="G353">
            <v>20282</v>
          </cell>
          <cell r="I353" t="str">
            <v>חבר</v>
          </cell>
        </row>
        <row r="354">
          <cell r="A354">
            <v>8920301</v>
          </cell>
          <cell r="B354" t="str">
            <v>דגן ראבינסאן</v>
          </cell>
          <cell r="C354" t="str">
            <v>פתוח</v>
          </cell>
          <cell r="E354">
            <v>2030</v>
          </cell>
          <cell r="G354">
            <v>20301</v>
          </cell>
          <cell r="I354" t="str">
            <v>חבר</v>
          </cell>
        </row>
        <row r="355">
          <cell r="A355">
            <v>8920302</v>
          </cell>
          <cell r="B355" t="str">
            <v>מירית ראבינסאן</v>
          </cell>
          <cell r="C355" t="str">
            <v>פתוח</v>
          </cell>
          <cell r="E355">
            <v>2030</v>
          </cell>
          <cell r="G355">
            <v>20302</v>
          </cell>
          <cell r="I355" t="str">
            <v>חבר</v>
          </cell>
        </row>
        <row r="356">
          <cell r="A356">
            <v>8920311</v>
          </cell>
          <cell r="B356" t="str">
            <v>נדב לוי</v>
          </cell>
          <cell r="C356" t="str">
            <v>פתוח</v>
          </cell>
          <cell r="E356">
            <v>2031</v>
          </cell>
          <cell r="G356">
            <v>20311</v>
          </cell>
          <cell r="I356" t="str">
            <v>חבר</v>
          </cell>
        </row>
        <row r="357">
          <cell r="A357">
            <v>8920312</v>
          </cell>
          <cell r="B357" t="str">
            <v>אביב לוי</v>
          </cell>
          <cell r="C357" t="str">
            <v>פתוח</v>
          </cell>
          <cell r="E357">
            <v>2031</v>
          </cell>
          <cell r="G357">
            <v>20312</v>
          </cell>
          <cell r="I357" t="str">
            <v>חבר</v>
          </cell>
        </row>
        <row r="358">
          <cell r="A358">
            <v>8920331</v>
          </cell>
          <cell r="B358" t="str">
            <v>יהודה סיידנר</v>
          </cell>
          <cell r="C358" t="str">
            <v>פתוח</v>
          </cell>
          <cell r="E358">
            <v>2033</v>
          </cell>
          <cell r="G358">
            <v>20331</v>
          </cell>
          <cell r="I358" t="str">
            <v>חבר</v>
          </cell>
        </row>
        <row r="359">
          <cell r="A359">
            <v>8920332</v>
          </cell>
          <cell r="B359" t="str">
            <v>עמר סיידנר</v>
          </cell>
          <cell r="C359" t="str">
            <v>פתוח</v>
          </cell>
          <cell r="E359">
            <v>2033</v>
          </cell>
          <cell r="G359">
            <v>20332</v>
          </cell>
          <cell r="I359" t="str">
            <v>חבר</v>
          </cell>
        </row>
        <row r="360">
          <cell r="A360">
            <v>8920501</v>
          </cell>
          <cell r="B360" t="str">
            <v>ריינר אריאל</v>
          </cell>
          <cell r="C360" t="str">
            <v>פתוח</v>
          </cell>
          <cell r="E360">
            <v>2050</v>
          </cell>
          <cell r="G360">
            <v>20501</v>
          </cell>
          <cell r="I360" t="str">
            <v>חבר</v>
          </cell>
        </row>
        <row r="361">
          <cell r="A361">
            <v>8920502</v>
          </cell>
          <cell r="B361" t="str">
            <v>ריינר שירה</v>
          </cell>
          <cell r="C361" t="str">
            <v>פתוח</v>
          </cell>
          <cell r="E361">
            <v>2050</v>
          </cell>
          <cell r="G361">
            <v>20502</v>
          </cell>
          <cell r="I361" t="str">
            <v>חבר</v>
          </cell>
        </row>
        <row r="362">
          <cell r="A362">
            <v>8921011</v>
          </cell>
          <cell r="B362" t="str">
            <v>דביר דימנט</v>
          </cell>
          <cell r="C362" t="str">
            <v>פתוח</v>
          </cell>
          <cell r="E362">
            <v>2101</v>
          </cell>
          <cell r="G362">
            <v>21011</v>
          </cell>
          <cell r="I362" t="str">
            <v>חבר</v>
          </cell>
        </row>
        <row r="363">
          <cell r="A363">
            <v>8921012</v>
          </cell>
          <cell r="B363" t="str">
            <v>רננה דימנט</v>
          </cell>
          <cell r="C363" t="str">
            <v>פתוח</v>
          </cell>
          <cell r="E363">
            <v>2101</v>
          </cell>
          <cell r="G363">
            <v>21012</v>
          </cell>
          <cell r="I363" t="str">
            <v>חבר</v>
          </cell>
        </row>
        <row r="364">
          <cell r="A364">
            <v>8921021</v>
          </cell>
          <cell r="B364" t="str">
            <v>שמואל שפירא ז"ל</v>
          </cell>
          <cell r="C364" t="str">
            <v>סגור</v>
          </cell>
          <cell r="G364">
            <v>21021</v>
          </cell>
          <cell r="I364" t="str">
            <v>חבר</v>
          </cell>
        </row>
        <row r="365">
          <cell r="A365">
            <v>8921022</v>
          </cell>
          <cell r="B365" t="str">
            <v>רחל שפירא</v>
          </cell>
          <cell r="C365" t="str">
            <v>סגור</v>
          </cell>
          <cell r="G365">
            <v>21022</v>
          </cell>
          <cell r="I365" t="str">
            <v>חבר</v>
          </cell>
        </row>
        <row r="366">
          <cell r="A366">
            <v>8921031</v>
          </cell>
          <cell r="B366" t="str">
            <v>קלמן שטרומר</v>
          </cell>
          <cell r="C366" t="str">
            <v>סגור</v>
          </cell>
          <cell r="G366">
            <v>21031</v>
          </cell>
          <cell r="I366" t="str">
            <v>חבר</v>
          </cell>
        </row>
        <row r="367">
          <cell r="A367">
            <v>8921032</v>
          </cell>
          <cell r="B367" t="str">
            <v>רות שטרומר</v>
          </cell>
          <cell r="C367" t="str">
            <v>סגור</v>
          </cell>
          <cell r="G367">
            <v>21032</v>
          </cell>
          <cell r="I367" t="str">
            <v>חבר</v>
          </cell>
        </row>
        <row r="368">
          <cell r="A368">
            <v>8921042</v>
          </cell>
          <cell r="B368" t="str">
            <v>יהודית שילה</v>
          </cell>
          <cell r="C368" t="str">
            <v>סגור</v>
          </cell>
          <cell r="G368">
            <v>21042</v>
          </cell>
          <cell r="I368" t="str">
            <v>חבר</v>
          </cell>
        </row>
        <row r="369">
          <cell r="A369">
            <v>8921061</v>
          </cell>
          <cell r="B369" t="str">
            <v>יצחק שאול</v>
          </cell>
          <cell r="C369" t="str">
            <v>סגור</v>
          </cell>
          <cell r="G369">
            <v>21061</v>
          </cell>
          <cell r="I369" t="str">
            <v>חבר</v>
          </cell>
        </row>
        <row r="370">
          <cell r="A370">
            <v>8921071</v>
          </cell>
          <cell r="B370" t="str">
            <v>יוסף שלסינגר</v>
          </cell>
          <cell r="C370" t="str">
            <v>סגור</v>
          </cell>
          <cell r="G370">
            <v>21071</v>
          </cell>
          <cell r="I370" t="str">
            <v>חבר</v>
          </cell>
        </row>
        <row r="371">
          <cell r="A371">
            <v>8921072</v>
          </cell>
          <cell r="B371" t="str">
            <v>מרים שלסינגר</v>
          </cell>
          <cell r="C371" t="str">
            <v>סגור</v>
          </cell>
          <cell r="E371">
            <v>2107</v>
          </cell>
          <cell r="I371" t="str">
            <v>נפטר</v>
          </cell>
          <cell r="J371">
            <v>45770</v>
          </cell>
        </row>
        <row r="372">
          <cell r="A372">
            <v>8921082</v>
          </cell>
          <cell r="B372" t="str">
            <v>מלכה שרייבר</v>
          </cell>
          <cell r="C372" t="str">
            <v>סגור</v>
          </cell>
          <cell r="G372">
            <v>21082</v>
          </cell>
          <cell r="I372" t="str">
            <v>נפטר</v>
          </cell>
          <cell r="J372">
            <v>45341</v>
          </cell>
        </row>
        <row r="373">
          <cell r="A373">
            <v>8921091</v>
          </cell>
          <cell r="B373" t="str">
            <v>יהודה שיין</v>
          </cell>
          <cell r="C373" t="str">
            <v>סגור</v>
          </cell>
          <cell r="G373">
            <v>21091</v>
          </cell>
          <cell r="I373" t="str">
            <v>חבר</v>
          </cell>
        </row>
        <row r="374">
          <cell r="A374">
            <v>8921092</v>
          </cell>
          <cell r="B374" t="str">
            <v>ורדה שיין</v>
          </cell>
          <cell r="C374" t="str">
            <v>פתוח</v>
          </cell>
          <cell r="E374">
            <v>2109</v>
          </cell>
          <cell r="G374">
            <v>21092</v>
          </cell>
          <cell r="I374" t="str">
            <v>חבר</v>
          </cell>
        </row>
        <row r="375">
          <cell r="A375">
            <v>8921101</v>
          </cell>
          <cell r="B375" t="str">
            <v>אריה שאול</v>
          </cell>
          <cell r="C375" t="str">
            <v>פתוח</v>
          </cell>
          <cell r="E375">
            <v>2110</v>
          </cell>
          <cell r="G375">
            <v>21101</v>
          </cell>
          <cell r="I375" t="str">
            <v>חבר</v>
          </cell>
        </row>
        <row r="376">
          <cell r="A376">
            <v>8921102</v>
          </cell>
          <cell r="B376" t="str">
            <v>אמירה שאול</v>
          </cell>
          <cell r="C376" t="str">
            <v>פתוח</v>
          </cell>
          <cell r="E376">
            <v>2110</v>
          </cell>
          <cell r="G376">
            <v>21102</v>
          </cell>
          <cell r="I376" t="str">
            <v>חבר</v>
          </cell>
        </row>
        <row r="377">
          <cell r="A377">
            <v>8921111</v>
          </cell>
          <cell r="B377" t="str">
            <v>ישראל שי</v>
          </cell>
          <cell r="C377" t="str">
            <v>פתוח</v>
          </cell>
          <cell r="E377">
            <v>2111</v>
          </cell>
          <cell r="G377">
            <v>21111</v>
          </cell>
          <cell r="I377" t="str">
            <v>חבר</v>
          </cell>
        </row>
        <row r="378">
          <cell r="A378">
            <v>8921112</v>
          </cell>
          <cell r="B378" t="str">
            <v>רחל שי</v>
          </cell>
          <cell r="C378" t="str">
            <v>פתוח</v>
          </cell>
          <cell r="E378">
            <v>2111</v>
          </cell>
          <cell r="G378">
            <v>21112</v>
          </cell>
          <cell r="I378" t="str">
            <v>חבר</v>
          </cell>
        </row>
        <row r="379">
          <cell r="A379">
            <v>8921131</v>
          </cell>
          <cell r="B379" t="str">
            <v>איתי שאול</v>
          </cell>
          <cell r="C379" t="str">
            <v>פתוח</v>
          </cell>
          <cell r="E379">
            <v>2113</v>
          </cell>
          <cell r="G379">
            <v>21131</v>
          </cell>
          <cell r="I379" t="str">
            <v>חבר</v>
          </cell>
        </row>
        <row r="380">
          <cell r="A380">
            <v>8921132</v>
          </cell>
          <cell r="B380" t="str">
            <v>יעל שאול</v>
          </cell>
          <cell r="C380" t="str">
            <v>פתוח</v>
          </cell>
          <cell r="E380">
            <v>2113</v>
          </cell>
          <cell r="G380">
            <v>21132</v>
          </cell>
          <cell r="I380" t="str">
            <v>חבר</v>
          </cell>
        </row>
        <row r="381">
          <cell r="A381">
            <v>8921151</v>
          </cell>
          <cell r="B381" t="str">
            <v>רוני שוורץ</v>
          </cell>
          <cell r="C381" t="str">
            <v>פתוח</v>
          </cell>
          <cell r="E381">
            <v>2115</v>
          </cell>
          <cell r="G381">
            <v>21151</v>
          </cell>
          <cell r="I381" t="str">
            <v>חבר</v>
          </cell>
        </row>
        <row r="382">
          <cell r="A382">
            <v>8921152</v>
          </cell>
          <cell r="B382" t="str">
            <v>שיראל שוורץ</v>
          </cell>
          <cell r="C382" t="str">
            <v>פתוח</v>
          </cell>
          <cell r="E382">
            <v>2115</v>
          </cell>
          <cell r="G382">
            <v>21152</v>
          </cell>
          <cell r="I382" t="str">
            <v>חבר</v>
          </cell>
        </row>
        <row r="383">
          <cell r="A383">
            <v>8921182</v>
          </cell>
          <cell r="B383" t="str">
            <v>רותם דורון</v>
          </cell>
          <cell r="C383" t="str">
            <v>פתוח</v>
          </cell>
          <cell r="E383">
            <v>2118</v>
          </cell>
          <cell r="G383">
            <v>21182</v>
          </cell>
          <cell r="I383" t="str">
            <v>חבר</v>
          </cell>
        </row>
        <row r="384">
          <cell r="A384">
            <v>8921191</v>
          </cell>
          <cell r="B384" t="str">
            <v>נפתלי שיין</v>
          </cell>
          <cell r="C384" t="str">
            <v>פתוח</v>
          </cell>
          <cell r="E384">
            <v>2119</v>
          </cell>
          <cell r="G384">
            <v>21191</v>
          </cell>
          <cell r="I384" t="str">
            <v>חבר</v>
          </cell>
        </row>
        <row r="385">
          <cell r="A385">
            <v>8921192</v>
          </cell>
          <cell r="B385" t="str">
            <v>גילה שיין</v>
          </cell>
          <cell r="C385" t="str">
            <v>פתוח</v>
          </cell>
          <cell r="E385">
            <v>2119</v>
          </cell>
          <cell r="G385">
            <v>21192</v>
          </cell>
          <cell r="I385" t="str">
            <v>חבר</v>
          </cell>
        </row>
        <row r="386">
          <cell r="A386">
            <v>8921201</v>
          </cell>
          <cell r="B386" t="str">
            <v>נתנאל שילה</v>
          </cell>
          <cell r="C386" t="str">
            <v>סגור</v>
          </cell>
          <cell r="G386">
            <v>21201</v>
          </cell>
          <cell r="I386" t="str">
            <v>חופשה</v>
          </cell>
        </row>
        <row r="387">
          <cell r="A387">
            <v>8921202</v>
          </cell>
          <cell r="B387" t="str">
            <v>סיון שילה</v>
          </cell>
          <cell r="C387" t="str">
            <v>סגור</v>
          </cell>
          <cell r="G387">
            <v>21202</v>
          </cell>
          <cell r="I387" t="str">
            <v>חופשה</v>
          </cell>
        </row>
        <row r="388">
          <cell r="A388">
            <v>8921211</v>
          </cell>
          <cell r="B388" t="str">
            <v>אלבז שריה</v>
          </cell>
          <cell r="C388" t="str">
            <v>פתוח</v>
          </cell>
          <cell r="E388">
            <v>2121</v>
          </cell>
          <cell r="G388">
            <v>21211</v>
          </cell>
          <cell r="I388" t="str">
            <v>חבר</v>
          </cell>
        </row>
        <row r="389">
          <cell r="A389">
            <v>8921212</v>
          </cell>
          <cell r="B389" t="str">
            <v>אלבז מוריה</v>
          </cell>
          <cell r="C389" t="str">
            <v>פתוח</v>
          </cell>
          <cell r="E389">
            <v>2121</v>
          </cell>
          <cell r="G389">
            <v>21212</v>
          </cell>
          <cell r="I389" t="str">
            <v>חבר</v>
          </cell>
        </row>
        <row r="390">
          <cell r="A390">
            <v>8921221</v>
          </cell>
          <cell r="B390" t="str">
            <v>שרעבי אביאל</v>
          </cell>
          <cell r="C390" t="str">
            <v>פתוח</v>
          </cell>
          <cell r="E390">
            <v>2122</v>
          </cell>
          <cell r="G390">
            <v>21221</v>
          </cell>
          <cell r="I390" t="str">
            <v>חבר</v>
          </cell>
        </row>
        <row r="391">
          <cell r="A391">
            <v>8921222</v>
          </cell>
          <cell r="B391" t="str">
            <v>שרעבי אסנת</v>
          </cell>
          <cell r="C391" t="str">
            <v>פתוח</v>
          </cell>
          <cell r="E391">
            <v>2122</v>
          </cell>
          <cell r="G391">
            <v>21222</v>
          </cell>
          <cell r="I391" t="str">
            <v>חבר</v>
          </cell>
        </row>
        <row r="392">
          <cell r="A392">
            <v>8921232</v>
          </cell>
          <cell r="B392" t="str">
            <v>תמר ישורון</v>
          </cell>
          <cell r="C392" t="str">
            <v>פתוח</v>
          </cell>
          <cell r="E392">
            <v>2123</v>
          </cell>
          <cell r="G392">
            <v>21232</v>
          </cell>
          <cell r="I392" t="str">
            <v>חבר</v>
          </cell>
        </row>
        <row r="393">
          <cell r="A393">
            <v>8922011</v>
          </cell>
          <cell r="B393" t="str">
            <v>מיכאל תורגמן</v>
          </cell>
          <cell r="C393" t="str">
            <v>פתוח</v>
          </cell>
          <cell r="E393">
            <v>2201</v>
          </cell>
          <cell r="G393">
            <v>22011</v>
          </cell>
          <cell r="I393" t="str">
            <v>חבר</v>
          </cell>
        </row>
        <row r="394">
          <cell r="A394">
            <v>8922012</v>
          </cell>
          <cell r="B394" t="str">
            <v>מוניק תורגמן</v>
          </cell>
          <cell r="C394" t="str">
            <v>פתוח</v>
          </cell>
          <cell r="E394">
            <v>2201</v>
          </cell>
          <cell r="G394">
            <v>22012</v>
          </cell>
          <cell r="I394" t="str">
            <v>חבר</v>
          </cell>
        </row>
        <row r="395">
          <cell r="A395">
            <v>8922031</v>
          </cell>
          <cell r="B395" t="str">
            <v>דורון תורג`מן</v>
          </cell>
          <cell r="C395" t="str">
            <v>פתוח</v>
          </cell>
          <cell r="E395">
            <v>2203</v>
          </cell>
          <cell r="G395">
            <v>22031</v>
          </cell>
          <cell r="I395" t="str">
            <v>חבר</v>
          </cell>
        </row>
        <row r="396">
          <cell r="A396">
            <v>8922032</v>
          </cell>
          <cell r="B396" t="str">
            <v>כרמל תורג`מן</v>
          </cell>
          <cell r="C396" t="str">
            <v>פתוח</v>
          </cell>
          <cell r="E396">
            <v>2203</v>
          </cell>
          <cell r="G396">
            <v>22032</v>
          </cell>
          <cell r="I396" t="str">
            <v>חבר</v>
          </cell>
        </row>
        <row r="397">
          <cell r="A397">
            <v>8922101</v>
          </cell>
          <cell r="B397" t="str">
            <v>דביר דימנט</v>
          </cell>
          <cell r="C397" t="str">
            <v>סגור</v>
          </cell>
          <cell r="I397" t="str">
            <v>חבר</v>
          </cell>
        </row>
        <row r="398">
          <cell r="A398">
            <v>8922102</v>
          </cell>
          <cell r="B398" t="str">
            <v>רננה דימנט</v>
          </cell>
          <cell r="C398" t="str">
            <v>סגור</v>
          </cell>
          <cell r="I398" t="str">
            <v>חבר</v>
          </cell>
        </row>
        <row r="399">
          <cell r="A399">
            <v>8924000</v>
          </cell>
          <cell r="B399" t="str">
            <v>חברים בחופשה</v>
          </cell>
          <cell r="C399" t="str">
            <v>פתוח</v>
          </cell>
        </row>
        <row r="400">
          <cell r="A400">
            <v>8924001</v>
          </cell>
          <cell r="B400" t="str">
            <v>אהד"ה-קרן מילואים ותיקה</v>
          </cell>
          <cell r="C400" t="str">
            <v>פתוח</v>
          </cell>
        </row>
        <row r="401">
          <cell r="A401">
            <v>898020</v>
          </cell>
          <cell r="B401" t="str">
            <v>בירנבוים מגדה</v>
          </cell>
          <cell r="C401" t="str">
            <v>פתוח</v>
          </cell>
          <cell r="I401" t="str">
            <v>מוריש</v>
          </cell>
          <cell r="J401">
            <v>44546</v>
          </cell>
        </row>
        <row r="402">
          <cell r="A402">
            <v>8980201</v>
          </cell>
          <cell r="B402" t="str">
            <v>גנדי נצר</v>
          </cell>
          <cell r="C402" t="str">
            <v>פתוח</v>
          </cell>
          <cell r="I402" t="str">
            <v>יורש-חוץ</v>
          </cell>
        </row>
        <row r="403">
          <cell r="A403">
            <v>8980202</v>
          </cell>
          <cell r="B403" t="str">
            <v>ישעיהו בן ארי</v>
          </cell>
          <cell r="C403" t="str">
            <v>פתוח</v>
          </cell>
          <cell r="I403" t="str">
            <v>יורש-חוץ</v>
          </cell>
        </row>
        <row r="404">
          <cell r="A404">
            <v>8980203</v>
          </cell>
          <cell r="B404" t="str">
            <v>בירנבאום צבי</v>
          </cell>
          <cell r="C404" t="str">
            <v>פתוח</v>
          </cell>
          <cell r="E404" t="str">
            <v>0212</v>
          </cell>
          <cell r="G404" t="str">
            <v>02121</v>
          </cell>
          <cell r="I404" t="str">
            <v>יורש-חבר</v>
          </cell>
        </row>
        <row r="405">
          <cell r="A405">
            <v>898210</v>
          </cell>
          <cell r="B405" t="str">
            <v>שיין יהודה</v>
          </cell>
          <cell r="C405" t="str">
            <v>פתוח</v>
          </cell>
          <cell r="I405" t="str">
            <v>מוריש</v>
          </cell>
          <cell r="J405">
            <v>44540</v>
          </cell>
        </row>
        <row r="406">
          <cell r="A406">
            <v>8982101</v>
          </cell>
          <cell r="B406" t="str">
            <v>שיין ורדה</v>
          </cell>
          <cell r="C406" t="str">
            <v>פתוח</v>
          </cell>
          <cell r="E406">
            <v>2109</v>
          </cell>
          <cell r="G406">
            <v>21092</v>
          </cell>
          <cell r="I406" t="str">
            <v>יורש-חבר</v>
          </cell>
        </row>
        <row r="407">
          <cell r="A407">
            <v>899010</v>
          </cell>
          <cell r="B407" t="str">
            <v>אדלר יוכבד</v>
          </cell>
          <cell r="C407" t="str">
            <v>פתוח</v>
          </cell>
          <cell r="I407" t="str">
            <v>מוריש</v>
          </cell>
          <cell r="J407">
            <v>44473</v>
          </cell>
        </row>
        <row r="408">
          <cell r="A408">
            <v>8990100</v>
          </cell>
          <cell r="B408" t="str">
            <v>אריאל אריה</v>
          </cell>
          <cell r="C408" t="str">
            <v>פתוח</v>
          </cell>
          <cell r="I408" t="str">
            <v>מוריש</v>
          </cell>
          <cell r="J408">
            <v>44937</v>
          </cell>
        </row>
        <row r="409">
          <cell r="A409">
            <v>89901001</v>
          </cell>
          <cell r="B409" t="str">
            <v>אריאל שלמה</v>
          </cell>
          <cell r="C409" t="str">
            <v>פתוח</v>
          </cell>
          <cell r="I409" t="str">
            <v>יורש-חוץ</v>
          </cell>
        </row>
        <row r="410">
          <cell r="A410">
            <v>89901002</v>
          </cell>
          <cell r="B410" t="str">
            <v>אלירז עפרה</v>
          </cell>
          <cell r="C410" t="str">
            <v>פתוח</v>
          </cell>
          <cell r="E410" t="str">
            <v>0112</v>
          </cell>
          <cell r="I410" t="str">
            <v>יורש-חבר</v>
          </cell>
        </row>
        <row r="411">
          <cell r="A411">
            <v>89901003</v>
          </cell>
          <cell r="B411" t="str">
            <v>אריאל חנן</v>
          </cell>
          <cell r="C411" t="str">
            <v>פתוח</v>
          </cell>
          <cell r="E411" t="str">
            <v>0106</v>
          </cell>
          <cell r="I411" t="str">
            <v>יורש-חבר</v>
          </cell>
        </row>
        <row r="412">
          <cell r="A412">
            <v>8990101</v>
          </cell>
          <cell r="B412" t="str">
            <v>לוי בתיה</v>
          </cell>
          <cell r="C412" t="str">
            <v>פתוח</v>
          </cell>
          <cell r="I412" t="str">
            <v>יורש-חוץ</v>
          </cell>
        </row>
        <row r="413">
          <cell r="A413">
            <v>8990102</v>
          </cell>
          <cell r="B413" t="str">
            <v>ארד עזריאל</v>
          </cell>
          <cell r="C413" t="str">
            <v>פתוח</v>
          </cell>
          <cell r="I413" t="str">
            <v>יורש-חוץ</v>
          </cell>
        </row>
        <row r="414">
          <cell r="A414">
            <v>8990103</v>
          </cell>
          <cell r="B414" t="str">
            <v>אדלר מרדכי</v>
          </cell>
          <cell r="C414" t="str">
            <v>פתוח</v>
          </cell>
          <cell r="E414" t="str">
            <v>0110</v>
          </cell>
          <cell r="G414" t="str">
            <v>01101</v>
          </cell>
          <cell r="I414" t="str">
            <v>יורש-חבר</v>
          </cell>
        </row>
        <row r="415">
          <cell r="A415">
            <v>8990104</v>
          </cell>
          <cell r="B415" t="str">
            <v>אדלר יואל</v>
          </cell>
          <cell r="C415" t="str">
            <v>פתוח</v>
          </cell>
          <cell r="I415" t="str">
            <v>יורש-חוץ</v>
          </cell>
        </row>
        <row r="416">
          <cell r="A416">
            <v>89901052</v>
          </cell>
          <cell r="B416" t="str">
            <v>אלדד אברהם</v>
          </cell>
          <cell r="C416" t="str">
            <v>פתוח</v>
          </cell>
          <cell r="E416" t="str">
            <v>0105</v>
          </cell>
          <cell r="I416" t="str">
            <v>מוריש</v>
          </cell>
          <cell r="J416">
            <v>45894</v>
          </cell>
        </row>
        <row r="417">
          <cell r="A417">
            <v>899011</v>
          </cell>
          <cell r="B417" t="str">
            <v>איצקוביץ שרה</v>
          </cell>
          <cell r="C417" t="str">
            <v>פתוח</v>
          </cell>
          <cell r="I417" t="str">
            <v>מוריש</v>
          </cell>
          <cell r="J417">
            <v>41258</v>
          </cell>
        </row>
        <row r="418">
          <cell r="A418">
            <v>8990111</v>
          </cell>
          <cell r="B418" t="str">
            <v>דוד אלגד</v>
          </cell>
          <cell r="C418" t="str">
            <v>פתוח</v>
          </cell>
          <cell r="I418" t="str">
            <v>יורש-חוץ</v>
          </cell>
        </row>
        <row r="419">
          <cell r="A419">
            <v>8990112</v>
          </cell>
          <cell r="B419" t="str">
            <v>אוביץ חנה</v>
          </cell>
          <cell r="C419" t="str">
            <v>פתוח</v>
          </cell>
          <cell r="I419" t="str">
            <v>יורש-חוץ</v>
          </cell>
        </row>
        <row r="420">
          <cell r="A420">
            <v>8990113</v>
          </cell>
          <cell r="B420" t="str">
            <v>שלום מרדכי גליק</v>
          </cell>
          <cell r="C420" t="str">
            <v>פתוח</v>
          </cell>
          <cell r="I420" t="str">
            <v>יורש-חוץ</v>
          </cell>
        </row>
        <row r="421">
          <cell r="A421">
            <v>899012</v>
          </cell>
          <cell r="B421" t="str">
            <v>איצקוביץ אלימלך</v>
          </cell>
          <cell r="C421" t="str">
            <v>פתוח</v>
          </cell>
          <cell r="I421" t="str">
            <v>מוריש</v>
          </cell>
          <cell r="J421">
            <v>41258</v>
          </cell>
        </row>
        <row r="422">
          <cell r="A422">
            <v>8990121</v>
          </cell>
          <cell r="B422" t="str">
            <v>רחמים שרה</v>
          </cell>
          <cell r="C422" t="str">
            <v>פתוח</v>
          </cell>
          <cell r="E422">
            <v>2014</v>
          </cell>
          <cell r="I422" t="str">
            <v>יורש-חבר</v>
          </cell>
        </row>
        <row r="423">
          <cell r="A423">
            <v>899013</v>
          </cell>
          <cell r="B423" t="str">
            <v>איצקוביץ דובי</v>
          </cell>
          <cell r="C423" t="str">
            <v>פתוח</v>
          </cell>
          <cell r="I423" t="str">
            <v>מוריש</v>
          </cell>
          <cell r="J423">
            <v>41258</v>
          </cell>
        </row>
        <row r="424">
          <cell r="A424">
            <v>8990131</v>
          </cell>
          <cell r="B424" t="str">
            <v>רחמים שרה</v>
          </cell>
          <cell r="C424" t="str">
            <v>פתוח</v>
          </cell>
          <cell r="E424">
            <v>2014</v>
          </cell>
          <cell r="I424" t="str">
            <v>יורש-חבר</v>
          </cell>
        </row>
        <row r="425">
          <cell r="A425">
            <v>899014</v>
          </cell>
          <cell r="B425" t="str">
            <v>איצקוביץ חסידה</v>
          </cell>
          <cell r="C425" t="str">
            <v>פתוח</v>
          </cell>
          <cell r="I425" t="str">
            <v>מוריש</v>
          </cell>
          <cell r="J425">
            <v>41258</v>
          </cell>
        </row>
        <row r="426">
          <cell r="A426">
            <v>8990141</v>
          </cell>
          <cell r="B426" t="str">
            <v>רחמים שרה</v>
          </cell>
          <cell r="C426" t="str">
            <v>פתוח</v>
          </cell>
          <cell r="E426">
            <v>2014</v>
          </cell>
          <cell r="I426" t="str">
            <v>יורש-חבר</v>
          </cell>
        </row>
        <row r="427">
          <cell r="A427">
            <v>899015</v>
          </cell>
          <cell r="B427" t="str">
            <v>אריאל שולה</v>
          </cell>
          <cell r="C427" t="str">
            <v>פתוח</v>
          </cell>
          <cell r="I427" t="str">
            <v>מוריש</v>
          </cell>
          <cell r="J427">
            <v>41258</v>
          </cell>
        </row>
        <row r="428">
          <cell r="A428">
            <v>8990151</v>
          </cell>
          <cell r="B428" t="str">
            <v>אריאל אריה</v>
          </cell>
          <cell r="C428" t="str">
            <v>פתוח</v>
          </cell>
          <cell r="E428" t="str">
            <v>0103</v>
          </cell>
          <cell r="I428" t="str">
            <v>יורש-חבר</v>
          </cell>
        </row>
        <row r="429">
          <cell r="A429">
            <v>8990152</v>
          </cell>
          <cell r="B429" t="str">
            <v>אריאל שלמה</v>
          </cell>
          <cell r="C429" t="str">
            <v>פתוח</v>
          </cell>
          <cell r="I429" t="str">
            <v>יורש-חוץ</v>
          </cell>
        </row>
        <row r="430">
          <cell r="A430">
            <v>8990153</v>
          </cell>
          <cell r="B430" t="str">
            <v>אלירז עפרה</v>
          </cell>
          <cell r="C430" t="str">
            <v>פתוח</v>
          </cell>
          <cell r="E430" t="str">
            <v>0112</v>
          </cell>
          <cell r="I430" t="str">
            <v>יורש-חבר</v>
          </cell>
        </row>
        <row r="431">
          <cell r="A431">
            <v>8990154</v>
          </cell>
          <cell r="B431" t="str">
            <v>אריאל חנן</v>
          </cell>
          <cell r="C431" t="str">
            <v>פתוח</v>
          </cell>
          <cell r="E431" t="str">
            <v>0106</v>
          </cell>
          <cell r="I431" t="str">
            <v>יורש-חבר</v>
          </cell>
        </row>
        <row r="432">
          <cell r="A432">
            <v>899016</v>
          </cell>
          <cell r="B432" t="str">
            <v>אדלר אליעזר</v>
          </cell>
          <cell r="C432" t="str">
            <v>פתוח</v>
          </cell>
          <cell r="I432" t="str">
            <v>מוריש</v>
          </cell>
          <cell r="J432">
            <v>42022</v>
          </cell>
        </row>
        <row r="433">
          <cell r="A433">
            <v>8990161</v>
          </cell>
          <cell r="B433" t="str">
            <v>אדלר יוכבד</v>
          </cell>
          <cell r="C433" t="str">
            <v>סגור</v>
          </cell>
          <cell r="G433" t="str">
            <v>01012</v>
          </cell>
          <cell r="I433" t="str">
            <v>יורש-חבר</v>
          </cell>
        </row>
        <row r="434">
          <cell r="A434">
            <v>8990162</v>
          </cell>
          <cell r="B434" t="str">
            <v>לוי בתיה</v>
          </cell>
          <cell r="C434" t="str">
            <v>פתוח</v>
          </cell>
          <cell r="I434" t="str">
            <v>יורש-חוץ</v>
          </cell>
        </row>
        <row r="435">
          <cell r="A435">
            <v>8990163</v>
          </cell>
          <cell r="B435" t="str">
            <v>ארד עזריאל</v>
          </cell>
          <cell r="C435" t="str">
            <v>פתוח</v>
          </cell>
          <cell r="I435" t="str">
            <v>יורש-חוץ</v>
          </cell>
        </row>
        <row r="436">
          <cell r="A436">
            <v>8990164</v>
          </cell>
          <cell r="B436" t="str">
            <v>אדלר מרדכי</v>
          </cell>
          <cell r="C436" t="str">
            <v>פתוח</v>
          </cell>
          <cell r="E436" t="str">
            <v>0110</v>
          </cell>
          <cell r="G436" t="str">
            <v>01101</v>
          </cell>
          <cell r="I436" t="str">
            <v>יורש-חבר</v>
          </cell>
        </row>
        <row r="437">
          <cell r="A437">
            <v>8990165</v>
          </cell>
          <cell r="B437" t="str">
            <v>אדלר יואל</v>
          </cell>
          <cell r="C437" t="str">
            <v>פתוח</v>
          </cell>
          <cell r="I437" t="str">
            <v>יורש-חוץ</v>
          </cell>
        </row>
        <row r="438">
          <cell r="A438">
            <v>899017</v>
          </cell>
          <cell r="B438" t="str">
            <v>אליפז אלי</v>
          </cell>
          <cell r="C438" t="str">
            <v>פתוח</v>
          </cell>
          <cell r="I438" t="str">
            <v>מוריש</v>
          </cell>
          <cell r="J438">
            <v>43034</v>
          </cell>
        </row>
        <row r="439">
          <cell r="A439">
            <v>8990171</v>
          </cell>
          <cell r="B439" t="str">
            <v>אליפז רבקה</v>
          </cell>
          <cell r="C439" t="str">
            <v>סגור</v>
          </cell>
          <cell r="I439" t="str">
            <v>יורש-חבר</v>
          </cell>
        </row>
        <row r="440">
          <cell r="A440">
            <v>8990172</v>
          </cell>
          <cell r="B440" t="str">
            <v>אלירז שמואל</v>
          </cell>
          <cell r="C440" t="str">
            <v>פתוח</v>
          </cell>
          <cell r="E440" t="str">
            <v>0112</v>
          </cell>
          <cell r="I440" t="str">
            <v>יורש-חבר</v>
          </cell>
        </row>
        <row r="441">
          <cell r="A441">
            <v>8990173</v>
          </cell>
          <cell r="B441" t="str">
            <v>עירית גילה</v>
          </cell>
          <cell r="C441" t="str">
            <v>פתוח</v>
          </cell>
          <cell r="I441" t="str">
            <v>יורש-חוץ</v>
          </cell>
        </row>
        <row r="442">
          <cell r="A442">
            <v>8990174</v>
          </cell>
          <cell r="B442" t="str">
            <v>רפאלי נתן</v>
          </cell>
          <cell r="C442" t="str">
            <v>פתוח</v>
          </cell>
          <cell r="I442" t="str">
            <v>יורש-חוץ</v>
          </cell>
        </row>
        <row r="443">
          <cell r="A443">
            <v>8990175</v>
          </cell>
          <cell r="B443" t="str">
            <v>לזרי יעל</v>
          </cell>
          <cell r="C443" t="str">
            <v>פתוח</v>
          </cell>
          <cell r="I443" t="str">
            <v>יורש-חוץ</v>
          </cell>
        </row>
        <row r="444">
          <cell r="A444">
            <v>899018</v>
          </cell>
          <cell r="B444" t="str">
            <v>אליפז רבקה</v>
          </cell>
          <cell r="C444" t="str">
            <v>פתוח</v>
          </cell>
          <cell r="I444" t="str">
            <v>מוריש</v>
          </cell>
          <cell r="J444">
            <v>43772</v>
          </cell>
        </row>
        <row r="445">
          <cell r="A445">
            <v>8990181</v>
          </cell>
          <cell r="B445" t="str">
            <v>אלירז שמואל</v>
          </cell>
          <cell r="C445" t="str">
            <v>פתוח</v>
          </cell>
          <cell r="E445" t="str">
            <v>0112</v>
          </cell>
          <cell r="I445" t="str">
            <v>יורש-חבר</v>
          </cell>
        </row>
        <row r="446">
          <cell r="A446">
            <v>8990182</v>
          </cell>
          <cell r="B446" t="str">
            <v>עירית גילה</v>
          </cell>
          <cell r="C446" t="str">
            <v>פתוח</v>
          </cell>
          <cell r="I446" t="str">
            <v>יורש-חוץ</v>
          </cell>
        </row>
        <row r="447">
          <cell r="A447">
            <v>8990183</v>
          </cell>
          <cell r="B447" t="str">
            <v>רפאלי נתן</v>
          </cell>
          <cell r="C447" t="str">
            <v>פתוח</v>
          </cell>
          <cell r="I447" t="str">
            <v>יורש-חוץ</v>
          </cell>
        </row>
        <row r="448">
          <cell r="A448">
            <v>8990184</v>
          </cell>
          <cell r="B448" t="str">
            <v>לזרי יעל</v>
          </cell>
          <cell r="C448" t="str">
            <v>פתוח</v>
          </cell>
          <cell r="I448" t="str">
            <v>יורש-חוץ</v>
          </cell>
        </row>
        <row r="449">
          <cell r="A449">
            <v>899019</v>
          </cell>
          <cell r="B449" t="str">
            <v>אלדד איטה</v>
          </cell>
          <cell r="C449" t="str">
            <v>פתוח</v>
          </cell>
          <cell r="I449" t="str">
            <v>מוריש</v>
          </cell>
          <cell r="J449">
            <v>44025</v>
          </cell>
        </row>
        <row r="450">
          <cell r="A450">
            <v>8990191</v>
          </cell>
          <cell r="B450" t="str">
            <v>אלדד אברהם</v>
          </cell>
          <cell r="C450" t="str">
            <v>סגור-לקלט</v>
          </cell>
          <cell r="E450" t="str">
            <v>0105</v>
          </cell>
          <cell r="I450" t="str">
            <v>יורש-חבר</v>
          </cell>
        </row>
        <row r="451">
          <cell r="A451">
            <v>8990192</v>
          </cell>
          <cell r="B451" t="str">
            <v>אלדד נפתלי</v>
          </cell>
          <cell r="C451" t="str">
            <v>פתוח</v>
          </cell>
          <cell r="E451" t="str">
            <v>0115</v>
          </cell>
          <cell r="I451" t="str">
            <v>יורש-חבר</v>
          </cell>
        </row>
        <row r="452">
          <cell r="A452">
            <v>8990193</v>
          </cell>
          <cell r="B452" t="str">
            <v>ריצולסקי מרים</v>
          </cell>
          <cell r="C452" t="str">
            <v>פתוח</v>
          </cell>
          <cell r="I452" t="str">
            <v>יורש-חוץ</v>
          </cell>
        </row>
        <row r="453">
          <cell r="A453">
            <v>8990194</v>
          </cell>
          <cell r="B453" t="str">
            <v>טאוב רבקה</v>
          </cell>
          <cell r="C453" t="str">
            <v>פתוח</v>
          </cell>
          <cell r="I453" t="str">
            <v>יורש-חוץ</v>
          </cell>
        </row>
        <row r="454">
          <cell r="A454">
            <v>8990195</v>
          </cell>
          <cell r="B454" t="str">
            <v>בראון ברכה חיה</v>
          </cell>
          <cell r="C454" t="str">
            <v>פתוח</v>
          </cell>
          <cell r="I454" t="str">
            <v>יורש-חוץ</v>
          </cell>
        </row>
        <row r="455">
          <cell r="A455">
            <v>8990196</v>
          </cell>
          <cell r="B455" t="str">
            <v>אלדד מרדכי</v>
          </cell>
          <cell r="C455" t="str">
            <v>פתוח</v>
          </cell>
          <cell r="E455" t="str">
            <v>0121</v>
          </cell>
          <cell r="I455" t="str">
            <v>יורש-חבר</v>
          </cell>
        </row>
        <row r="456">
          <cell r="A456">
            <v>8990197</v>
          </cell>
          <cell r="B456" t="str">
            <v>אלדד ישראל</v>
          </cell>
          <cell r="C456" t="str">
            <v>פתוח</v>
          </cell>
          <cell r="I456" t="str">
            <v>יורש-חוץ</v>
          </cell>
        </row>
        <row r="457">
          <cell r="A457">
            <v>899020</v>
          </cell>
          <cell r="B457" t="str">
            <v>בוקסבאום יעקב</v>
          </cell>
          <cell r="C457" t="str">
            <v>פתוח</v>
          </cell>
          <cell r="I457" t="str">
            <v>מוריש</v>
          </cell>
          <cell r="J457">
            <v>41258</v>
          </cell>
        </row>
        <row r="458">
          <cell r="A458">
            <v>8990200</v>
          </cell>
          <cell r="B458" t="str">
            <v>באום מאיר</v>
          </cell>
          <cell r="C458" t="str">
            <v>פתוח</v>
          </cell>
          <cell r="I458" t="str">
            <v>מוריש</v>
          </cell>
          <cell r="J458">
            <v>44866</v>
          </cell>
        </row>
        <row r="459">
          <cell r="A459">
            <v>89902001</v>
          </cell>
          <cell r="B459" t="str">
            <v>אורן יהודה</v>
          </cell>
          <cell r="C459" t="str">
            <v>פתוח</v>
          </cell>
          <cell r="E459" t="str">
            <v>0107</v>
          </cell>
          <cell r="I459" t="str">
            <v>יורש-חבר</v>
          </cell>
        </row>
        <row r="460">
          <cell r="A460">
            <v>89902002</v>
          </cell>
          <cell r="B460" t="str">
            <v>שלם לאה</v>
          </cell>
          <cell r="C460" t="str">
            <v>פתוח</v>
          </cell>
          <cell r="I460" t="str">
            <v>יורש-חוץ</v>
          </cell>
        </row>
        <row r="461">
          <cell r="A461">
            <v>89902003</v>
          </cell>
          <cell r="B461" t="str">
            <v>קלוש שלומית</v>
          </cell>
          <cell r="C461" t="str">
            <v>פתוח</v>
          </cell>
          <cell r="E461">
            <v>1906</v>
          </cell>
          <cell r="I461" t="str">
            <v>יורש-חבר</v>
          </cell>
        </row>
        <row r="462">
          <cell r="A462">
            <v>8990201</v>
          </cell>
          <cell r="B462" t="str">
            <v>דבורקין מרדכי</v>
          </cell>
          <cell r="C462" t="str">
            <v>פתוח</v>
          </cell>
          <cell r="I462" t="str">
            <v>יורש-חוץ</v>
          </cell>
        </row>
        <row r="463">
          <cell r="A463">
            <v>8990202</v>
          </cell>
          <cell r="B463" t="str">
            <v>עמוס דבורקין</v>
          </cell>
          <cell r="C463" t="str">
            <v>פתוח</v>
          </cell>
          <cell r="I463" t="str">
            <v>יורש-חוץ</v>
          </cell>
        </row>
        <row r="464">
          <cell r="A464">
            <v>8990203</v>
          </cell>
          <cell r="B464" t="str">
            <v>שמעון דבורקין</v>
          </cell>
          <cell r="C464" t="str">
            <v>פתוח</v>
          </cell>
          <cell r="E464" t="str">
            <v>0407</v>
          </cell>
          <cell r="I464" t="str">
            <v>יורש-חבר</v>
          </cell>
        </row>
        <row r="465">
          <cell r="A465">
            <v>8990204</v>
          </cell>
          <cell r="B465" t="str">
            <v>דורית צור</v>
          </cell>
          <cell r="C465" t="str">
            <v>פתוח</v>
          </cell>
          <cell r="I465" t="str">
            <v>יורש-חוץ</v>
          </cell>
        </row>
        <row r="466">
          <cell r="A466">
            <v>8990205</v>
          </cell>
          <cell r="B466" t="str">
            <v>יהודית ון לוין</v>
          </cell>
          <cell r="C466" t="str">
            <v>פתוח</v>
          </cell>
          <cell r="I466" t="str">
            <v>יורש-חוץ</v>
          </cell>
        </row>
        <row r="467">
          <cell r="A467">
            <v>8990206</v>
          </cell>
          <cell r="B467" t="str">
            <v>צבי בוקסבוים</v>
          </cell>
          <cell r="C467" t="str">
            <v>פתוח</v>
          </cell>
          <cell r="I467" t="str">
            <v>יורש-חוץ</v>
          </cell>
        </row>
        <row r="468">
          <cell r="A468">
            <v>8990207</v>
          </cell>
          <cell r="B468" t="str">
            <v>חיים קלוש</v>
          </cell>
          <cell r="C468" t="str">
            <v>פתוח</v>
          </cell>
          <cell r="I468" t="str">
            <v>יורש-חוץ</v>
          </cell>
        </row>
        <row r="469">
          <cell r="A469">
            <v>899021</v>
          </cell>
          <cell r="B469" t="str">
            <v>בן טל יאיר</v>
          </cell>
          <cell r="C469" t="str">
            <v>פתוח</v>
          </cell>
          <cell r="I469" t="str">
            <v>מוריש</v>
          </cell>
          <cell r="J469">
            <v>41258</v>
          </cell>
        </row>
        <row r="470">
          <cell r="A470">
            <v>8990210</v>
          </cell>
          <cell r="B470" t="str">
            <v>בשן דבורה</v>
          </cell>
          <cell r="C470" t="str">
            <v>פתוח</v>
          </cell>
          <cell r="I470" t="str">
            <v>מוריש</v>
          </cell>
          <cell r="J470">
            <v>44931</v>
          </cell>
        </row>
        <row r="471">
          <cell r="A471">
            <v>89902101</v>
          </cell>
          <cell r="B471" t="str">
            <v>בשן עופר (חנה)</v>
          </cell>
          <cell r="C471" t="str">
            <v>פתוח</v>
          </cell>
          <cell r="I471" t="str">
            <v>יורש-חוץ</v>
          </cell>
        </row>
        <row r="472">
          <cell r="A472">
            <v>89902102</v>
          </cell>
          <cell r="B472" t="str">
            <v>בשן גדעון</v>
          </cell>
          <cell r="C472" t="str">
            <v>פתוח</v>
          </cell>
          <cell r="I472" t="str">
            <v>יורש-חוץ</v>
          </cell>
        </row>
        <row r="473">
          <cell r="A473">
            <v>89902103</v>
          </cell>
          <cell r="B473" t="str">
            <v>בשן בנימין</v>
          </cell>
          <cell r="C473" t="str">
            <v>פתוח</v>
          </cell>
          <cell r="E473" t="str">
            <v>0219</v>
          </cell>
          <cell r="I473" t="str">
            <v>יורש-חבר</v>
          </cell>
        </row>
        <row r="474">
          <cell r="A474">
            <v>8990211</v>
          </cell>
          <cell r="B474" t="str">
            <v>נעמי ויסמן</v>
          </cell>
          <cell r="C474" t="str">
            <v>פתוח</v>
          </cell>
          <cell r="I474" t="str">
            <v>יורש-חוץ</v>
          </cell>
        </row>
        <row r="475">
          <cell r="A475">
            <v>8990212</v>
          </cell>
          <cell r="B475" t="str">
            <v>אורית סולימן</v>
          </cell>
          <cell r="C475" t="str">
            <v>פתוח</v>
          </cell>
          <cell r="I475" t="str">
            <v>יורש-חוץ</v>
          </cell>
        </row>
        <row r="476">
          <cell r="A476">
            <v>8990213</v>
          </cell>
          <cell r="B476" t="str">
            <v>דרור דוד בן טל</v>
          </cell>
          <cell r="C476" t="str">
            <v>פתוח</v>
          </cell>
          <cell r="I476" t="str">
            <v>יורש-חוץ</v>
          </cell>
        </row>
        <row r="477">
          <cell r="A477">
            <v>8990214</v>
          </cell>
          <cell r="B477" t="str">
            <v>רינת נוה</v>
          </cell>
          <cell r="C477" t="str">
            <v>פתוח</v>
          </cell>
          <cell r="I477" t="str">
            <v>יורש-חוץ</v>
          </cell>
        </row>
        <row r="478">
          <cell r="A478">
            <v>899022</v>
          </cell>
          <cell r="B478" t="str">
            <v>בן טל אביגדור</v>
          </cell>
          <cell r="C478" t="str">
            <v>פתוח</v>
          </cell>
          <cell r="I478" t="str">
            <v>מוריש</v>
          </cell>
          <cell r="J478">
            <v>41258</v>
          </cell>
        </row>
        <row r="479">
          <cell r="A479">
            <v>8990221</v>
          </cell>
          <cell r="B479" t="str">
            <v>ציטה צפורה בן טל ז"ל</v>
          </cell>
          <cell r="C479" t="str">
            <v>סגור</v>
          </cell>
          <cell r="I479" t="str">
            <v>יורש-חבר</v>
          </cell>
        </row>
        <row r="480">
          <cell r="A480">
            <v>8990222</v>
          </cell>
          <cell r="B480" t="str">
            <v>אורית סולימן</v>
          </cell>
          <cell r="C480" t="str">
            <v>פתוח</v>
          </cell>
          <cell r="I480" t="str">
            <v>יורש-חוץ</v>
          </cell>
        </row>
        <row r="481">
          <cell r="A481">
            <v>8990223</v>
          </cell>
          <cell r="B481" t="str">
            <v>רינת נוה</v>
          </cell>
          <cell r="C481" t="str">
            <v>פתוח</v>
          </cell>
          <cell r="I481" t="str">
            <v>יורש-חוץ</v>
          </cell>
        </row>
        <row r="482">
          <cell r="A482">
            <v>8990224</v>
          </cell>
          <cell r="B482" t="str">
            <v>בן טל רפאל</v>
          </cell>
          <cell r="C482" t="str">
            <v>פתוח</v>
          </cell>
          <cell r="E482" t="str">
            <v>0218</v>
          </cell>
          <cell r="G482" t="str">
            <v>02181</v>
          </cell>
          <cell r="I482" t="str">
            <v>יורש-חבר</v>
          </cell>
        </row>
        <row r="483">
          <cell r="A483">
            <v>899023</v>
          </cell>
          <cell r="B483" t="str">
            <v>בן יעקב אברהם</v>
          </cell>
          <cell r="C483" t="str">
            <v>פתוח</v>
          </cell>
          <cell r="I483" t="str">
            <v>מוריש</v>
          </cell>
          <cell r="J483">
            <v>41258</v>
          </cell>
        </row>
        <row r="484">
          <cell r="A484">
            <v>8990231</v>
          </cell>
          <cell r="B484" t="str">
            <v>שאולה בן יעקב</v>
          </cell>
          <cell r="C484" t="str">
            <v>פתוח</v>
          </cell>
          <cell r="E484" t="str">
            <v>0206</v>
          </cell>
          <cell r="G484" t="str">
            <v>02062</v>
          </cell>
          <cell r="I484" t="str">
            <v>יורש-חבר</v>
          </cell>
        </row>
        <row r="485">
          <cell r="A485">
            <v>899024</v>
          </cell>
          <cell r="B485" t="str">
            <v>ברודי שמעון</v>
          </cell>
          <cell r="C485" t="str">
            <v>פתוח</v>
          </cell>
          <cell r="I485" t="str">
            <v>מוריש</v>
          </cell>
          <cell r="J485">
            <v>41258</v>
          </cell>
        </row>
        <row r="486">
          <cell r="A486">
            <v>8990241</v>
          </cell>
          <cell r="B486" t="str">
            <v>תיאה ברודי ז"ל</v>
          </cell>
          <cell r="C486" t="str">
            <v>סגור</v>
          </cell>
          <cell r="I486" t="str">
            <v>יורש-חבר</v>
          </cell>
        </row>
        <row r="487">
          <cell r="A487">
            <v>8990242</v>
          </cell>
          <cell r="B487" t="str">
            <v>אלחנן ברודי</v>
          </cell>
          <cell r="C487" t="str">
            <v>פתוח</v>
          </cell>
          <cell r="E487" t="str">
            <v>0217</v>
          </cell>
          <cell r="G487" t="str">
            <v>02171</v>
          </cell>
          <cell r="I487" t="str">
            <v>יורש-חבר</v>
          </cell>
        </row>
        <row r="488">
          <cell r="A488">
            <v>8990243</v>
          </cell>
          <cell r="B488" t="str">
            <v>אמנון ברודי</v>
          </cell>
          <cell r="C488" t="str">
            <v>פתוח</v>
          </cell>
          <cell r="E488" t="str">
            <v>0202</v>
          </cell>
          <cell r="I488" t="str">
            <v>יורש-חבר</v>
          </cell>
        </row>
        <row r="489">
          <cell r="A489">
            <v>899025</v>
          </cell>
          <cell r="B489" t="str">
            <v>ברטפלד יסכה</v>
          </cell>
          <cell r="C489" t="str">
            <v>פתוח</v>
          </cell>
          <cell r="I489" t="str">
            <v>מוריש</v>
          </cell>
          <cell r="J489">
            <v>41258</v>
          </cell>
        </row>
        <row r="490">
          <cell r="A490">
            <v>8990251</v>
          </cell>
          <cell r="B490" t="str">
            <v>יואב בר פלד</v>
          </cell>
          <cell r="C490" t="str">
            <v>פתוח</v>
          </cell>
          <cell r="E490" t="str">
            <v>0216</v>
          </cell>
          <cell r="G490" t="str">
            <v>02161</v>
          </cell>
          <cell r="I490" t="str">
            <v>יורש-חבר</v>
          </cell>
        </row>
        <row r="491">
          <cell r="A491">
            <v>8990252</v>
          </cell>
          <cell r="B491" t="str">
            <v>הדסה בן עמי</v>
          </cell>
          <cell r="C491" t="str">
            <v>פתוח</v>
          </cell>
          <cell r="E491" t="str">
            <v>0220</v>
          </cell>
          <cell r="I491" t="str">
            <v>יורש-חבר</v>
          </cell>
        </row>
        <row r="492">
          <cell r="A492">
            <v>8990253</v>
          </cell>
          <cell r="B492" t="str">
            <v>איתמר ברטפלד</v>
          </cell>
          <cell r="C492" t="str">
            <v>פתוח</v>
          </cell>
          <cell r="I492" t="str">
            <v>יורש-חוץ</v>
          </cell>
        </row>
        <row r="493">
          <cell r="A493">
            <v>899026</v>
          </cell>
          <cell r="B493" t="str">
            <v>ברטפלד יעקב</v>
          </cell>
          <cell r="C493" t="str">
            <v>פתוח</v>
          </cell>
          <cell r="I493" t="str">
            <v>מוריש</v>
          </cell>
          <cell r="J493">
            <v>41258</v>
          </cell>
        </row>
        <row r="494">
          <cell r="A494">
            <v>8990261</v>
          </cell>
          <cell r="B494" t="str">
            <v>בר פלד יואב</v>
          </cell>
          <cell r="C494" t="str">
            <v>פתוח</v>
          </cell>
          <cell r="E494" t="str">
            <v>0216</v>
          </cell>
          <cell r="G494" t="str">
            <v>02161</v>
          </cell>
          <cell r="I494" t="str">
            <v>יורש-חבר</v>
          </cell>
        </row>
        <row r="495">
          <cell r="A495">
            <v>8990262</v>
          </cell>
          <cell r="B495" t="str">
            <v>הדסה בן עמי</v>
          </cell>
          <cell r="C495" t="str">
            <v>פתוח</v>
          </cell>
          <cell r="E495" t="str">
            <v>0220</v>
          </cell>
          <cell r="I495" t="str">
            <v>יורש-חבר</v>
          </cell>
        </row>
        <row r="496">
          <cell r="A496">
            <v>8990263</v>
          </cell>
          <cell r="B496" t="str">
            <v>איתמר ברטפלד</v>
          </cell>
          <cell r="C496" t="str">
            <v>פתוח</v>
          </cell>
          <cell r="I496" t="str">
            <v>יורש-חוץ</v>
          </cell>
        </row>
        <row r="497">
          <cell r="A497">
            <v>899027</v>
          </cell>
          <cell r="B497" t="str">
            <v>באום חנה</v>
          </cell>
          <cell r="C497" t="str">
            <v>פתוח</v>
          </cell>
          <cell r="I497" t="str">
            <v>מוריש</v>
          </cell>
          <cell r="J497">
            <v>41258</v>
          </cell>
        </row>
        <row r="498">
          <cell r="A498">
            <v>8990271</v>
          </cell>
          <cell r="B498" t="str">
            <v>באום מאיר</v>
          </cell>
          <cell r="C498" t="str">
            <v>פתוח</v>
          </cell>
          <cell r="E498" t="str">
            <v>0209</v>
          </cell>
          <cell r="I498" t="str">
            <v>יורש-חבר</v>
          </cell>
        </row>
        <row r="499">
          <cell r="A499">
            <v>8990272</v>
          </cell>
          <cell r="B499" t="str">
            <v>אורן יהודה</v>
          </cell>
          <cell r="C499" t="str">
            <v>פתוח</v>
          </cell>
          <cell r="E499" t="str">
            <v>0107</v>
          </cell>
          <cell r="I499" t="str">
            <v>יורש-חבר</v>
          </cell>
        </row>
        <row r="500">
          <cell r="A500">
            <v>8990273</v>
          </cell>
          <cell r="B500" t="str">
            <v>שלם לאה</v>
          </cell>
          <cell r="C500" t="str">
            <v>פתוח</v>
          </cell>
          <cell r="I500" t="str">
            <v>יורש-חוץ</v>
          </cell>
        </row>
        <row r="501">
          <cell r="A501">
            <v>8990274</v>
          </cell>
          <cell r="B501" t="str">
            <v>קלוש שלומית</v>
          </cell>
          <cell r="C501" t="str">
            <v>פתוח</v>
          </cell>
          <cell r="E501">
            <v>1906</v>
          </cell>
          <cell r="I501" t="str">
            <v>יורש-חבר</v>
          </cell>
        </row>
        <row r="502">
          <cell r="A502">
            <v>899028</v>
          </cell>
          <cell r="B502" t="str">
            <v>בוקסבאום שרה</v>
          </cell>
          <cell r="C502" t="str">
            <v>פתוח</v>
          </cell>
          <cell r="I502" t="str">
            <v>מוריש</v>
          </cell>
          <cell r="J502">
            <v>41258</v>
          </cell>
        </row>
        <row r="503">
          <cell r="A503">
            <v>8990281</v>
          </cell>
          <cell r="B503" t="str">
            <v>דבורקין מרדכי</v>
          </cell>
          <cell r="C503" t="str">
            <v>פתוח</v>
          </cell>
          <cell r="I503" t="str">
            <v>יורש-חוץ</v>
          </cell>
        </row>
        <row r="504">
          <cell r="A504">
            <v>8990282</v>
          </cell>
          <cell r="B504" t="str">
            <v>דבורקין עמוס</v>
          </cell>
          <cell r="C504" t="str">
            <v>פתוח</v>
          </cell>
          <cell r="I504" t="str">
            <v>יורש-חוץ</v>
          </cell>
        </row>
        <row r="505">
          <cell r="A505">
            <v>8990283</v>
          </cell>
          <cell r="B505" t="str">
            <v>דבורקין שמעון</v>
          </cell>
          <cell r="C505" t="str">
            <v>פתוח</v>
          </cell>
          <cell r="E505" t="str">
            <v>0407</v>
          </cell>
          <cell r="I505" t="str">
            <v>יורש-חבר</v>
          </cell>
        </row>
        <row r="506">
          <cell r="A506">
            <v>8990284</v>
          </cell>
          <cell r="B506" t="str">
            <v>צור דורית</v>
          </cell>
          <cell r="C506" t="str">
            <v>פתוח</v>
          </cell>
          <cell r="I506" t="str">
            <v>יורש-חוץ</v>
          </cell>
        </row>
        <row r="507">
          <cell r="A507">
            <v>899029</v>
          </cell>
          <cell r="B507" t="str">
            <v>ברי מאיר</v>
          </cell>
          <cell r="C507" t="str">
            <v>פתוח</v>
          </cell>
          <cell r="I507" t="str">
            <v>מוריש</v>
          </cell>
          <cell r="J507">
            <v>41258</v>
          </cell>
        </row>
        <row r="508">
          <cell r="A508">
            <v>8990291</v>
          </cell>
          <cell r="B508" t="str">
            <v>שחף שרה</v>
          </cell>
          <cell r="C508" t="str">
            <v>פתוח</v>
          </cell>
          <cell r="I508" t="str">
            <v>יורש-חוץ</v>
          </cell>
        </row>
        <row r="509">
          <cell r="A509">
            <v>8990292</v>
          </cell>
          <cell r="B509" t="str">
            <v>ברי אביחי</v>
          </cell>
          <cell r="C509" t="str">
            <v>פתוח</v>
          </cell>
          <cell r="I509" t="str">
            <v>יורש-חוץ</v>
          </cell>
        </row>
        <row r="510">
          <cell r="A510">
            <v>8990293</v>
          </cell>
          <cell r="B510" t="str">
            <v>ברי דרוקר ליאורה</v>
          </cell>
          <cell r="C510" t="str">
            <v>פתוח</v>
          </cell>
          <cell r="I510" t="str">
            <v>יורש-חוץ</v>
          </cell>
        </row>
        <row r="511">
          <cell r="A511">
            <v>899030</v>
          </cell>
          <cell r="B511" t="str">
            <v>בירנבאום אריה</v>
          </cell>
          <cell r="C511" t="str">
            <v>פתוח</v>
          </cell>
          <cell r="I511" t="str">
            <v>מוריש</v>
          </cell>
          <cell r="J511">
            <v>41258</v>
          </cell>
        </row>
        <row r="512">
          <cell r="A512">
            <v>8990301</v>
          </cell>
          <cell r="B512" t="str">
            <v>גנדי נצר</v>
          </cell>
          <cell r="C512" t="str">
            <v>פתוח</v>
          </cell>
          <cell r="I512" t="str">
            <v>יורש-חוץ</v>
          </cell>
        </row>
        <row r="513">
          <cell r="A513">
            <v>8990302</v>
          </cell>
          <cell r="B513" t="str">
            <v>ישעיהו בן ארי</v>
          </cell>
          <cell r="C513" t="str">
            <v>פתוח</v>
          </cell>
          <cell r="I513" t="str">
            <v>יורש-חוץ</v>
          </cell>
        </row>
        <row r="514">
          <cell r="A514">
            <v>8990303</v>
          </cell>
          <cell r="B514" t="str">
            <v>בירנבאום צבי</v>
          </cell>
          <cell r="C514" t="str">
            <v>פתוח</v>
          </cell>
          <cell r="E514" t="str">
            <v>0212</v>
          </cell>
          <cell r="G514" t="str">
            <v>02121</v>
          </cell>
          <cell r="I514" t="str">
            <v>יורש-חבר</v>
          </cell>
        </row>
        <row r="515">
          <cell r="A515">
            <v>8990304</v>
          </cell>
          <cell r="B515" t="str">
            <v>מגדה בירנבאום</v>
          </cell>
          <cell r="C515" t="str">
            <v>סגור</v>
          </cell>
          <cell r="I515" t="str">
            <v>יורש-חבר</v>
          </cell>
        </row>
        <row r="516">
          <cell r="A516">
            <v>899031</v>
          </cell>
          <cell r="B516" t="str">
            <v>ברודי תיאה</v>
          </cell>
          <cell r="C516" t="str">
            <v>פתוח</v>
          </cell>
          <cell r="I516" t="str">
            <v>מוריש</v>
          </cell>
          <cell r="J516">
            <v>41809</v>
          </cell>
        </row>
        <row r="517">
          <cell r="A517">
            <v>8990311</v>
          </cell>
          <cell r="B517" t="str">
            <v>אלחנן ברודי</v>
          </cell>
          <cell r="C517" t="str">
            <v>פתוח</v>
          </cell>
          <cell r="E517" t="str">
            <v>0217</v>
          </cell>
          <cell r="G517" t="str">
            <v>02171</v>
          </cell>
          <cell r="I517" t="str">
            <v>יורש-חבר</v>
          </cell>
        </row>
        <row r="518">
          <cell r="A518">
            <v>8990312</v>
          </cell>
          <cell r="B518" t="str">
            <v>אמנון ברודי</v>
          </cell>
          <cell r="C518" t="str">
            <v>פתוח</v>
          </cell>
          <cell r="E518" t="str">
            <v>0202</v>
          </cell>
          <cell r="I518" t="str">
            <v>יורש-חבר</v>
          </cell>
        </row>
        <row r="519">
          <cell r="A519">
            <v>899032</v>
          </cell>
          <cell r="B519" t="str">
            <v>בן טל ציפורה</v>
          </cell>
          <cell r="C519" t="str">
            <v>פתוח</v>
          </cell>
          <cell r="I519" t="str">
            <v>מוריש</v>
          </cell>
          <cell r="J519">
            <v>42103</v>
          </cell>
        </row>
        <row r="520">
          <cell r="A520">
            <v>8990321</v>
          </cell>
          <cell r="B520" t="str">
            <v>בן טל רפאל</v>
          </cell>
          <cell r="C520" t="str">
            <v>פתוח</v>
          </cell>
          <cell r="E520" t="str">
            <v>0218</v>
          </cell>
          <cell r="G520" t="str">
            <v>02181</v>
          </cell>
          <cell r="I520" t="str">
            <v>יורש-חבר</v>
          </cell>
        </row>
        <row r="521">
          <cell r="A521">
            <v>899033</v>
          </cell>
          <cell r="B521" t="str">
            <v>בן דב שושנה</v>
          </cell>
          <cell r="C521" t="str">
            <v>פתוח</v>
          </cell>
          <cell r="I521" t="str">
            <v>מוריש</v>
          </cell>
          <cell r="J521">
            <v>42785</v>
          </cell>
        </row>
        <row r="522">
          <cell r="A522">
            <v>8990331</v>
          </cell>
          <cell r="B522" t="str">
            <v>בן דב עזריאל</v>
          </cell>
          <cell r="C522" t="str">
            <v>סגור</v>
          </cell>
          <cell r="I522" t="str">
            <v>יורש-חבר</v>
          </cell>
        </row>
        <row r="523">
          <cell r="A523">
            <v>8990332</v>
          </cell>
          <cell r="B523" t="str">
            <v>שילה רות</v>
          </cell>
          <cell r="C523" t="str">
            <v>פתוח</v>
          </cell>
          <cell r="I523" t="str">
            <v>יורש-חוץ</v>
          </cell>
        </row>
        <row r="524">
          <cell r="A524">
            <v>8990333</v>
          </cell>
          <cell r="B524" t="str">
            <v>יאיר חנה</v>
          </cell>
          <cell r="C524" t="str">
            <v>פתוח</v>
          </cell>
          <cell r="I524" t="str">
            <v>יורש-חוץ</v>
          </cell>
        </row>
        <row r="525">
          <cell r="A525">
            <v>8990334</v>
          </cell>
          <cell r="B525" t="str">
            <v>בן דב יצחק</v>
          </cell>
          <cell r="C525" t="str">
            <v>פתוח</v>
          </cell>
          <cell r="I525" t="str">
            <v>יורש-חוץ</v>
          </cell>
        </row>
        <row r="526">
          <cell r="A526">
            <v>8990335</v>
          </cell>
          <cell r="B526" t="str">
            <v>בן דב רועי</v>
          </cell>
          <cell r="C526" t="str">
            <v>פתוח</v>
          </cell>
          <cell r="I526" t="str">
            <v>יורש-חוץ</v>
          </cell>
        </row>
        <row r="527">
          <cell r="A527">
            <v>899034</v>
          </cell>
          <cell r="B527" t="str">
            <v>גלבוע מרדכי</v>
          </cell>
          <cell r="C527" t="str">
            <v>פתוח</v>
          </cell>
          <cell r="I527" t="str">
            <v>מוריש</v>
          </cell>
          <cell r="J527">
            <v>42739</v>
          </cell>
        </row>
        <row r="528">
          <cell r="A528">
            <v>8990341</v>
          </cell>
          <cell r="B528" t="str">
            <v>גלבוע חנה</v>
          </cell>
          <cell r="C528" t="str">
            <v>פתוח</v>
          </cell>
          <cell r="E528" t="str">
            <v>0302</v>
          </cell>
          <cell r="I528" t="str">
            <v>יורש-חבר</v>
          </cell>
        </row>
        <row r="529">
          <cell r="A529">
            <v>899035</v>
          </cell>
          <cell r="B529" t="str">
            <v>בן דב עזריאל</v>
          </cell>
          <cell r="C529" t="str">
            <v>פתוח</v>
          </cell>
          <cell r="I529" t="str">
            <v>מוריש</v>
          </cell>
          <cell r="J529">
            <v>44024</v>
          </cell>
        </row>
        <row r="530">
          <cell r="A530">
            <v>8990351</v>
          </cell>
          <cell r="B530" t="str">
            <v>שילה רות</v>
          </cell>
          <cell r="C530" t="str">
            <v>פתוח</v>
          </cell>
          <cell r="I530" t="str">
            <v>יורש-חוץ</v>
          </cell>
        </row>
        <row r="531">
          <cell r="A531">
            <v>8990352</v>
          </cell>
          <cell r="B531" t="str">
            <v>יאיר חנה</v>
          </cell>
          <cell r="C531" t="str">
            <v>פתוח</v>
          </cell>
          <cell r="I531" t="str">
            <v>יורש-חוץ</v>
          </cell>
        </row>
        <row r="532">
          <cell r="A532">
            <v>8990353</v>
          </cell>
          <cell r="B532" t="str">
            <v>בן דב יצחק</v>
          </cell>
          <cell r="C532" t="str">
            <v>פתוח</v>
          </cell>
          <cell r="I532" t="str">
            <v>יורש-חוץ</v>
          </cell>
        </row>
        <row r="533">
          <cell r="A533">
            <v>8990354</v>
          </cell>
          <cell r="B533" t="str">
            <v>בן דב רועי</v>
          </cell>
          <cell r="C533" t="str">
            <v>פתוח</v>
          </cell>
          <cell r="I533" t="str">
            <v>יורש-חוץ</v>
          </cell>
        </row>
        <row r="534">
          <cell r="A534">
            <v>899036</v>
          </cell>
          <cell r="B534" t="str">
            <v>בשן אליעזר</v>
          </cell>
          <cell r="C534" t="str">
            <v>פתוח</v>
          </cell>
          <cell r="I534" t="str">
            <v>מוריש</v>
          </cell>
          <cell r="J534">
            <v>43973</v>
          </cell>
        </row>
        <row r="535">
          <cell r="A535">
            <v>8990361</v>
          </cell>
          <cell r="B535" t="str">
            <v>בשן דבורה</v>
          </cell>
          <cell r="C535" t="str">
            <v>סגור</v>
          </cell>
          <cell r="I535" t="str">
            <v>נפטר</v>
          </cell>
          <cell r="J535">
            <v>44931</v>
          </cell>
        </row>
        <row r="536">
          <cell r="A536">
            <v>8990362</v>
          </cell>
          <cell r="B536" t="str">
            <v>בשן עופר (חנה)</v>
          </cell>
          <cell r="C536" t="str">
            <v>פתוח</v>
          </cell>
          <cell r="I536" t="str">
            <v>יורש-חוץ</v>
          </cell>
        </row>
        <row r="537">
          <cell r="A537">
            <v>8990363</v>
          </cell>
          <cell r="B537" t="str">
            <v>בשן גדעון</v>
          </cell>
          <cell r="C537" t="str">
            <v>פתוח</v>
          </cell>
          <cell r="I537" t="str">
            <v>יורש-חוץ</v>
          </cell>
        </row>
        <row r="538">
          <cell r="A538">
            <v>8990364</v>
          </cell>
          <cell r="B538" t="str">
            <v>בשן בנימין</v>
          </cell>
          <cell r="C538" t="str">
            <v>פתוח</v>
          </cell>
          <cell r="E538" t="str">
            <v>0219</v>
          </cell>
          <cell r="I538" t="str">
            <v>יורש-חבר</v>
          </cell>
        </row>
        <row r="539">
          <cell r="A539">
            <v>899041</v>
          </cell>
          <cell r="B539" t="str">
            <v>דיין צבי</v>
          </cell>
          <cell r="C539" t="str">
            <v>פתוח</v>
          </cell>
          <cell r="I539" t="str">
            <v>מוריש</v>
          </cell>
          <cell r="J539">
            <v>41258</v>
          </cell>
        </row>
        <row r="540">
          <cell r="A540">
            <v>8990411</v>
          </cell>
          <cell r="B540" t="str">
            <v>שחר נורית</v>
          </cell>
          <cell r="C540" t="str">
            <v>פתוח</v>
          </cell>
          <cell r="I540" t="str">
            <v>יורש-חוץ</v>
          </cell>
        </row>
        <row r="541">
          <cell r="A541">
            <v>8990412</v>
          </cell>
          <cell r="B541" t="str">
            <v>ליפטשר אלישבע</v>
          </cell>
          <cell r="C541" t="str">
            <v>פתוח</v>
          </cell>
          <cell r="E541">
            <v>1216</v>
          </cell>
          <cell r="I541" t="str">
            <v>יורש-חבר</v>
          </cell>
        </row>
        <row r="542">
          <cell r="A542">
            <v>8990413</v>
          </cell>
          <cell r="B542" t="str">
            <v>רבקה תרצה רבינק</v>
          </cell>
          <cell r="C542" t="str">
            <v>פתוח</v>
          </cell>
          <cell r="I542" t="str">
            <v>יורש-חוץ</v>
          </cell>
        </row>
        <row r="543">
          <cell r="A543">
            <v>8990414</v>
          </cell>
          <cell r="B543" t="str">
            <v>רוזנברג עפרה</v>
          </cell>
          <cell r="C543" t="str">
            <v>פתוח</v>
          </cell>
          <cell r="E543">
            <v>2006</v>
          </cell>
          <cell r="I543" t="str">
            <v>יורש-חבר</v>
          </cell>
        </row>
        <row r="544">
          <cell r="A544">
            <v>899042</v>
          </cell>
          <cell r="B544" t="str">
            <v>דיין רחל</v>
          </cell>
          <cell r="C544" t="str">
            <v>פתוח</v>
          </cell>
          <cell r="I544" t="str">
            <v>מוריש</v>
          </cell>
          <cell r="J544">
            <v>41258</v>
          </cell>
        </row>
        <row r="545">
          <cell r="A545">
            <v>8990421</v>
          </cell>
          <cell r="B545" t="str">
            <v>שחר נורית</v>
          </cell>
          <cell r="C545" t="str">
            <v>פתוח</v>
          </cell>
          <cell r="I545" t="str">
            <v>יורש-חוץ</v>
          </cell>
        </row>
        <row r="546">
          <cell r="A546">
            <v>8990422</v>
          </cell>
          <cell r="B546" t="str">
            <v>ליפטשר אלישבע</v>
          </cell>
          <cell r="C546" t="str">
            <v>פתוח</v>
          </cell>
          <cell r="E546">
            <v>1216</v>
          </cell>
          <cell r="I546" t="str">
            <v>יורש-חבר</v>
          </cell>
        </row>
        <row r="547">
          <cell r="A547">
            <v>8990423</v>
          </cell>
          <cell r="B547" t="str">
            <v>רבקה תרצה רבינק</v>
          </cell>
          <cell r="C547" t="str">
            <v>פתוח</v>
          </cell>
          <cell r="I547" t="str">
            <v>יורש-חוץ</v>
          </cell>
        </row>
        <row r="548">
          <cell r="A548">
            <v>8990424</v>
          </cell>
          <cell r="B548" t="str">
            <v>רוזנברג עפרה</v>
          </cell>
          <cell r="C548" t="str">
            <v>פתוח</v>
          </cell>
          <cell r="E548">
            <v>2006</v>
          </cell>
          <cell r="I548" t="str">
            <v>יורש-חבר</v>
          </cell>
        </row>
        <row r="549">
          <cell r="A549">
            <v>899043</v>
          </cell>
          <cell r="B549" t="str">
            <v>דבורקין יהודה</v>
          </cell>
          <cell r="C549" t="str">
            <v>פתוח</v>
          </cell>
          <cell r="I549" t="str">
            <v>מוריש</v>
          </cell>
          <cell r="J549">
            <v>41258</v>
          </cell>
        </row>
        <row r="550">
          <cell r="A550">
            <v>8990431</v>
          </cell>
          <cell r="B550" t="str">
            <v>דבורקין מרדכי</v>
          </cell>
          <cell r="C550" t="str">
            <v>פתוח</v>
          </cell>
          <cell r="I550" t="str">
            <v>יורש-חוץ</v>
          </cell>
        </row>
        <row r="551">
          <cell r="A551">
            <v>8990432</v>
          </cell>
          <cell r="B551" t="str">
            <v>דבורקין עמוס</v>
          </cell>
          <cell r="C551" t="str">
            <v>פתוח</v>
          </cell>
          <cell r="I551" t="str">
            <v>יורש-חוץ</v>
          </cell>
        </row>
        <row r="552">
          <cell r="A552">
            <v>8990433</v>
          </cell>
          <cell r="B552" t="str">
            <v>דבורקין שמעון</v>
          </cell>
          <cell r="C552" t="str">
            <v>פתוח</v>
          </cell>
          <cell r="E552" t="str">
            <v>0407</v>
          </cell>
          <cell r="I552" t="str">
            <v>יורש-חבר</v>
          </cell>
        </row>
        <row r="553">
          <cell r="A553">
            <v>8990434</v>
          </cell>
          <cell r="B553" t="str">
            <v>צור דורית</v>
          </cell>
          <cell r="C553" t="str">
            <v>פתוח</v>
          </cell>
          <cell r="I553" t="str">
            <v>יורש-חוץ</v>
          </cell>
        </row>
        <row r="554">
          <cell r="A554">
            <v>899044</v>
          </cell>
          <cell r="B554" t="str">
            <v>דורון יעקב</v>
          </cell>
          <cell r="C554" t="str">
            <v>פתוח</v>
          </cell>
          <cell r="I554" t="str">
            <v>מוריש</v>
          </cell>
          <cell r="J554">
            <v>42158</v>
          </cell>
        </row>
        <row r="555">
          <cell r="A555">
            <v>8990441</v>
          </cell>
          <cell r="B555" t="str">
            <v>דורון רחל</v>
          </cell>
          <cell r="C555" t="str">
            <v>סגור</v>
          </cell>
          <cell r="G555" t="str">
            <v>04022</v>
          </cell>
          <cell r="I555" t="str">
            <v>נפטר</v>
          </cell>
        </row>
        <row r="556">
          <cell r="A556">
            <v>8990442</v>
          </cell>
          <cell r="B556" t="str">
            <v>דורון גבריאל</v>
          </cell>
          <cell r="C556" t="str">
            <v>פתוח</v>
          </cell>
          <cell r="E556" t="str">
            <v>0403</v>
          </cell>
          <cell r="G556" t="str">
            <v>04031</v>
          </cell>
          <cell r="I556" t="str">
            <v>יורש-חבר</v>
          </cell>
        </row>
        <row r="557">
          <cell r="A557">
            <v>8990443</v>
          </cell>
          <cell r="B557" t="str">
            <v>דורון יצחק</v>
          </cell>
          <cell r="C557" t="str">
            <v>פתוח</v>
          </cell>
          <cell r="E557" t="str">
            <v>0406</v>
          </cell>
          <cell r="G557" t="str">
            <v>04061</v>
          </cell>
          <cell r="I557" t="str">
            <v>יורש-חבר</v>
          </cell>
        </row>
        <row r="558">
          <cell r="A558">
            <v>8990444</v>
          </cell>
          <cell r="B558" t="str">
            <v>לויכטר עדנה</v>
          </cell>
          <cell r="C558" t="str">
            <v>פתוח</v>
          </cell>
          <cell r="I558" t="str">
            <v>יורש-חוץ</v>
          </cell>
        </row>
        <row r="559">
          <cell r="A559">
            <v>899045</v>
          </cell>
          <cell r="B559" t="str">
            <v>דוידוביץ אברהם</v>
          </cell>
          <cell r="C559" t="str">
            <v>פתוח</v>
          </cell>
          <cell r="I559" t="str">
            <v>מוריש</v>
          </cell>
          <cell r="J559">
            <v>43134</v>
          </cell>
        </row>
        <row r="560">
          <cell r="A560">
            <v>8990451</v>
          </cell>
          <cell r="B560" t="str">
            <v>דוידוביץ רבקה</v>
          </cell>
          <cell r="C560" t="str">
            <v>סגור</v>
          </cell>
          <cell r="E560" t="str">
            <v>0401</v>
          </cell>
          <cell r="G560" t="str">
            <v>04012</v>
          </cell>
          <cell r="I560" t="str">
            <v>יורש-חבר</v>
          </cell>
        </row>
        <row r="561">
          <cell r="A561">
            <v>899046</v>
          </cell>
          <cell r="B561" t="str">
            <v>דורון רחל</v>
          </cell>
          <cell r="C561" t="str">
            <v>פתוח</v>
          </cell>
          <cell r="I561" t="str">
            <v>מוריש</v>
          </cell>
          <cell r="J561">
            <v>45052</v>
          </cell>
        </row>
        <row r="562">
          <cell r="A562">
            <v>8990461</v>
          </cell>
          <cell r="B562" t="str">
            <v>דורון גבריאל</v>
          </cell>
          <cell r="C562" t="str">
            <v>פתוח</v>
          </cell>
          <cell r="E562" t="str">
            <v>0403</v>
          </cell>
          <cell r="I562" t="str">
            <v>יורש-חבר</v>
          </cell>
        </row>
        <row r="563">
          <cell r="A563">
            <v>8990462</v>
          </cell>
          <cell r="B563" t="str">
            <v>דורון יצחק</v>
          </cell>
          <cell r="C563" t="str">
            <v>פתוח</v>
          </cell>
          <cell r="E563" t="str">
            <v>0406</v>
          </cell>
          <cell r="G563" t="str">
            <v>04061</v>
          </cell>
          <cell r="I563" t="str">
            <v>יורש-חבר</v>
          </cell>
        </row>
        <row r="564">
          <cell r="A564">
            <v>8990463</v>
          </cell>
          <cell r="B564" t="str">
            <v>לויכטר עדנה</v>
          </cell>
          <cell r="C564" t="str">
            <v>פתוח</v>
          </cell>
          <cell r="I564" t="str">
            <v>יורש-חוץ</v>
          </cell>
        </row>
        <row r="565">
          <cell r="A565">
            <v>899051</v>
          </cell>
          <cell r="B565" t="str">
            <v>הרטוב שרה</v>
          </cell>
          <cell r="C565" t="str">
            <v>פתוח</v>
          </cell>
          <cell r="I565" t="str">
            <v>מוריש</v>
          </cell>
          <cell r="J565">
            <v>41258</v>
          </cell>
        </row>
        <row r="566">
          <cell r="A566">
            <v>8990511</v>
          </cell>
          <cell r="B566" t="str">
            <v>גבריאל הרטוב ז"ל</v>
          </cell>
          <cell r="C566" t="str">
            <v>סגור</v>
          </cell>
          <cell r="I566" t="str">
            <v>יורש-חבר</v>
          </cell>
        </row>
        <row r="567">
          <cell r="A567">
            <v>8990512</v>
          </cell>
          <cell r="B567" t="str">
            <v>אסתר צור</v>
          </cell>
          <cell r="C567" t="str">
            <v>פתוח</v>
          </cell>
          <cell r="I567" t="str">
            <v>יורש-חוץ</v>
          </cell>
        </row>
        <row r="568">
          <cell r="A568">
            <v>8990513</v>
          </cell>
          <cell r="B568" t="str">
            <v>הרטוב חגי</v>
          </cell>
          <cell r="C568" t="str">
            <v>פתוח</v>
          </cell>
          <cell r="E568" t="str">
            <v>0506</v>
          </cell>
          <cell r="I568" t="str">
            <v>יורש-חבר</v>
          </cell>
        </row>
        <row r="569">
          <cell r="A569">
            <v>8990514</v>
          </cell>
          <cell r="B569" t="str">
            <v>הרטוב ישראל</v>
          </cell>
          <cell r="C569" t="str">
            <v>פתוח</v>
          </cell>
          <cell r="I569" t="str">
            <v>יורש-חוץ</v>
          </cell>
        </row>
        <row r="570">
          <cell r="A570">
            <v>8990515</v>
          </cell>
          <cell r="B570" t="str">
            <v>הרטוב שרה</v>
          </cell>
          <cell r="C570" t="str">
            <v>פתוח</v>
          </cell>
          <cell r="E570" t="str">
            <v>0502</v>
          </cell>
          <cell r="G570" t="str">
            <v>05022</v>
          </cell>
          <cell r="I570" t="str">
            <v>יורש-חבר</v>
          </cell>
        </row>
        <row r="571">
          <cell r="A571">
            <v>899052</v>
          </cell>
          <cell r="B571" t="str">
            <v>הרטוב גבריאל</v>
          </cell>
          <cell r="C571" t="str">
            <v>פתוח</v>
          </cell>
          <cell r="I571" t="str">
            <v>מוריש</v>
          </cell>
          <cell r="J571">
            <v>42238</v>
          </cell>
        </row>
        <row r="572">
          <cell r="A572">
            <v>8990521</v>
          </cell>
          <cell r="B572" t="str">
            <v>הרטוב שרה</v>
          </cell>
          <cell r="C572" t="str">
            <v>פתוח</v>
          </cell>
          <cell r="E572" t="str">
            <v>0502</v>
          </cell>
          <cell r="G572" t="str">
            <v>05022</v>
          </cell>
          <cell r="I572" t="str">
            <v>יורש-חבר</v>
          </cell>
        </row>
        <row r="573">
          <cell r="A573">
            <v>8990522</v>
          </cell>
          <cell r="B573" t="str">
            <v>הרטוב חגי</v>
          </cell>
          <cell r="C573" t="str">
            <v>פתוח</v>
          </cell>
          <cell r="E573" t="str">
            <v>0506</v>
          </cell>
          <cell r="G573" t="str">
            <v>05061</v>
          </cell>
          <cell r="I573" t="str">
            <v>יורש-חבר</v>
          </cell>
        </row>
        <row r="574">
          <cell r="A574">
            <v>8990523</v>
          </cell>
          <cell r="B574" t="str">
            <v>הרטוב ישראל</v>
          </cell>
          <cell r="C574" t="str">
            <v>פתוח</v>
          </cell>
          <cell r="I574" t="str">
            <v>יורש-חוץ</v>
          </cell>
        </row>
        <row r="575">
          <cell r="A575">
            <v>8990524</v>
          </cell>
          <cell r="B575" t="str">
            <v>צור אסתר</v>
          </cell>
          <cell r="C575" t="str">
            <v>פתוח</v>
          </cell>
          <cell r="I575" t="str">
            <v>יורש-חוץ</v>
          </cell>
        </row>
        <row r="576">
          <cell r="A576">
            <v>899053</v>
          </cell>
          <cell r="B576" t="str">
            <v>המר אהרון</v>
          </cell>
          <cell r="C576" t="str">
            <v>פתוח</v>
          </cell>
          <cell r="I576" t="str">
            <v>מוריש</v>
          </cell>
          <cell r="J576">
            <v>43921</v>
          </cell>
        </row>
        <row r="577">
          <cell r="A577">
            <v>8990531</v>
          </cell>
          <cell r="B577" t="str">
            <v>המר מלכה</v>
          </cell>
          <cell r="C577" t="str">
            <v>פתוח</v>
          </cell>
          <cell r="E577" t="str">
            <v>0502</v>
          </cell>
          <cell r="I577" t="str">
            <v>יורש-חבר</v>
          </cell>
        </row>
        <row r="578">
          <cell r="A578">
            <v>8990532</v>
          </cell>
          <cell r="B578" t="str">
            <v>המר יוסף</v>
          </cell>
          <cell r="C578" t="str">
            <v>פתוח</v>
          </cell>
          <cell r="E578" t="str">
            <v>0505</v>
          </cell>
          <cell r="I578" t="str">
            <v>יורש-חבר</v>
          </cell>
        </row>
        <row r="579">
          <cell r="A579">
            <v>8990533</v>
          </cell>
          <cell r="B579" t="str">
            <v>המר בועז</v>
          </cell>
          <cell r="C579" t="str">
            <v>פתוח</v>
          </cell>
          <cell r="E579" t="str">
            <v>0504</v>
          </cell>
          <cell r="I579" t="str">
            <v>יורש-חבר</v>
          </cell>
        </row>
        <row r="580">
          <cell r="A580">
            <v>8990534</v>
          </cell>
          <cell r="B580" t="str">
            <v>וייס תמי</v>
          </cell>
          <cell r="C580" t="str">
            <v>פתוח</v>
          </cell>
          <cell r="E580" t="str">
            <v>0606</v>
          </cell>
          <cell r="I580" t="str">
            <v>יורש-חבר</v>
          </cell>
        </row>
        <row r="581">
          <cell r="A581">
            <v>899055</v>
          </cell>
          <cell r="B581" t="str">
            <v>המר יוסף</v>
          </cell>
          <cell r="C581" t="str">
            <v>פתוח</v>
          </cell>
          <cell r="I581" t="str">
            <v>מוריש</v>
          </cell>
          <cell r="J581">
            <v>45090</v>
          </cell>
        </row>
        <row r="582">
          <cell r="A582">
            <v>8990551</v>
          </cell>
          <cell r="B582" t="str">
            <v>המר נילי</v>
          </cell>
          <cell r="C582" t="str">
            <v>פתוח</v>
          </cell>
          <cell r="E582" t="str">
            <v>0505</v>
          </cell>
          <cell r="I582" t="str">
            <v>יורש-חבר</v>
          </cell>
        </row>
        <row r="583">
          <cell r="A583">
            <v>899061</v>
          </cell>
          <cell r="B583" t="str">
            <v>וייס יהודה</v>
          </cell>
          <cell r="C583" t="str">
            <v>פתוח</v>
          </cell>
          <cell r="I583" t="str">
            <v>מוריש</v>
          </cell>
          <cell r="J583">
            <v>41258</v>
          </cell>
        </row>
        <row r="584">
          <cell r="A584">
            <v>8990611</v>
          </cell>
          <cell r="B584" t="str">
            <v>יוסף וייס</v>
          </cell>
          <cell r="C584" t="str">
            <v>פתוח</v>
          </cell>
          <cell r="I584" t="str">
            <v>יורש-חוץ</v>
          </cell>
        </row>
        <row r="585">
          <cell r="A585">
            <v>8990612</v>
          </cell>
          <cell r="B585" t="str">
            <v>שלמה וייס</v>
          </cell>
          <cell r="C585" t="str">
            <v>פתוח</v>
          </cell>
          <cell r="E585" t="str">
            <v>0606</v>
          </cell>
          <cell r="I585" t="str">
            <v>יורש-חבר</v>
          </cell>
        </row>
        <row r="586">
          <cell r="A586">
            <v>8990613</v>
          </cell>
          <cell r="B586" t="str">
            <v>יצחק לבנה (וייס)</v>
          </cell>
          <cell r="C586" t="str">
            <v>פתוח</v>
          </cell>
          <cell r="I586" t="str">
            <v>יורש-חוץ</v>
          </cell>
        </row>
        <row r="587">
          <cell r="A587">
            <v>899062</v>
          </cell>
          <cell r="B587" t="str">
            <v>וייס מלכה</v>
          </cell>
          <cell r="C587" t="str">
            <v>פתוח</v>
          </cell>
          <cell r="I587" t="str">
            <v>מוריש</v>
          </cell>
          <cell r="J587">
            <v>41258</v>
          </cell>
        </row>
        <row r="588">
          <cell r="A588">
            <v>8990621</v>
          </cell>
          <cell r="B588" t="str">
            <v>שלמה וייס</v>
          </cell>
          <cell r="C588" t="str">
            <v>פתוח</v>
          </cell>
          <cell r="E588" t="str">
            <v>0606</v>
          </cell>
          <cell r="I588" t="str">
            <v>יורש-חבר</v>
          </cell>
        </row>
        <row r="589">
          <cell r="A589">
            <v>8990622</v>
          </cell>
          <cell r="B589" t="str">
            <v>אור וייס</v>
          </cell>
          <cell r="C589" t="str">
            <v>סגור</v>
          </cell>
          <cell r="I589" t="str">
            <v>יורש-חוץ</v>
          </cell>
        </row>
        <row r="590">
          <cell r="A590">
            <v>8990623</v>
          </cell>
          <cell r="B590" t="str">
            <v>גיל וייס</v>
          </cell>
          <cell r="C590" t="str">
            <v>פתוח</v>
          </cell>
          <cell r="I590" t="str">
            <v>יורש-חוץ</v>
          </cell>
        </row>
        <row r="591">
          <cell r="A591">
            <v>8990624</v>
          </cell>
          <cell r="B591" t="str">
            <v>יזהר וייס</v>
          </cell>
          <cell r="C591" t="str">
            <v>פתוח</v>
          </cell>
          <cell r="I591" t="str">
            <v>יורש-חוץ</v>
          </cell>
        </row>
        <row r="592">
          <cell r="A592">
            <v>8990625</v>
          </cell>
          <cell r="B592" t="str">
            <v>עינת כהן</v>
          </cell>
          <cell r="C592" t="str">
            <v>פתוח</v>
          </cell>
          <cell r="I592" t="str">
            <v>יורש-חוץ</v>
          </cell>
        </row>
        <row r="593">
          <cell r="A593">
            <v>8990626</v>
          </cell>
          <cell r="B593" t="str">
            <v>רן וייס ז"ל</v>
          </cell>
          <cell r="C593" t="str">
            <v>סגור</v>
          </cell>
          <cell r="I593" t="str">
            <v>יורש-חוץ</v>
          </cell>
        </row>
        <row r="594">
          <cell r="A594">
            <v>899063</v>
          </cell>
          <cell r="B594" t="str">
            <v>וייס רחל</v>
          </cell>
          <cell r="C594" t="str">
            <v>פתוח</v>
          </cell>
          <cell r="I594" t="str">
            <v>מוריש</v>
          </cell>
          <cell r="J594">
            <v>41258</v>
          </cell>
        </row>
        <row r="595">
          <cell r="A595">
            <v>8990631</v>
          </cell>
          <cell r="B595" t="str">
            <v>יוסף וייס</v>
          </cell>
          <cell r="C595" t="str">
            <v>פתוח</v>
          </cell>
          <cell r="I595" t="str">
            <v>יורש-חוץ</v>
          </cell>
        </row>
        <row r="596">
          <cell r="A596">
            <v>8990632</v>
          </cell>
          <cell r="B596" t="str">
            <v>יצחק לבנה (וייס)</v>
          </cell>
          <cell r="C596" t="str">
            <v>פתוח</v>
          </cell>
          <cell r="I596" t="str">
            <v>יורש-חוץ</v>
          </cell>
        </row>
        <row r="597">
          <cell r="A597">
            <v>8990633</v>
          </cell>
          <cell r="B597" t="str">
            <v>שלמה וייס</v>
          </cell>
          <cell r="C597" t="str">
            <v>פתוח</v>
          </cell>
          <cell r="E597" t="str">
            <v>0606</v>
          </cell>
          <cell r="I597" t="str">
            <v>יורש-חבר</v>
          </cell>
        </row>
        <row r="598">
          <cell r="A598">
            <v>899064</v>
          </cell>
          <cell r="B598" t="str">
            <v>וילדשטיין יפה</v>
          </cell>
          <cell r="C598" t="str">
            <v>פתוח</v>
          </cell>
          <cell r="I598" t="str">
            <v>מוריש</v>
          </cell>
          <cell r="J598">
            <v>42355</v>
          </cell>
        </row>
        <row r="599">
          <cell r="A599">
            <v>8990641</v>
          </cell>
          <cell r="B599" t="str">
            <v>וילדשטיין יצחק</v>
          </cell>
          <cell r="C599" t="str">
            <v>סגור</v>
          </cell>
          <cell r="I599" t="str">
            <v>יורש-חבר</v>
          </cell>
        </row>
        <row r="600">
          <cell r="A600">
            <v>8990642</v>
          </cell>
          <cell r="B600" t="str">
            <v>וילדשטיין דוד</v>
          </cell>
          <cell r="C600" t="str">
            <v>פתוח</v>
          </cell>
          <cell r="E600" t="str">
            <v>0605</v>
          </cell>
          <cell r="G600" t="str">
            <v>06051</v>
          </cell>
          <cell r="I600" t="str">
            <v>יורש-חבר</v>
          </cell>
        </row>
        <row r="601">
          <cell r="A601">
            <v>8990643</v>
          </cell>
          <cell r="B601" t="str">
            <v>ויצל ציפי</v>
          </cell>
          <cell r="C601" t="str">
            <v>פתוח</v>
          </cell>
          <cell r="I601" t="str">
            <v>יורש-חוץ</v>
          </cell>
        </row>
        <row r="602">
          <cell r="A602">
            <v>8990644</v>
          </cell>
          <cell r="B602" t="str">
            <v>בן טולילה אסתר</v>
          </cell>
          <cell r="C602" t="str">
            <v>פתוח</v>
          </cell>
          <cell r="I602" t="str">
            <v>יורש-חוץ</v>
          </cell>
        </row>
        <row r="603">
          <cell r="A603">
            <v>899065</v>
          </cell>
          <cell r="B603" t="str">
            <v>וילדשטיין יצחק</v>
          </cell>
          <cell r="C603" t="str">
            <v>פתוח</v>
          </cell>
          <cell r="I603" t="str">
            <v>מוריש</v>
          </cell>
          <cell r="J603">
            <v>44332</v>
          </cell>
        </row>
        <row r="604">
          <cell r="A604">
            <v>8990651</v>
          </cell>
          <cell r="B604" t="str">
            <v>וילדשטיין דוד</v>
          </cell>
          <cell r="C604" t="str">
            <v>פתוח</v>
          </cell>
          <cell r="E604" t="str">
            <v>0605</v>
          </cell>
          <cell r="G604" t="str">
            <v>06051</v>
          </cell>
          <cell r="I604" t="str">
            <v>יורש-חבר</v>
          </cell>
        </row>
        <row r="605">
          <cell r="A605">
            <v>8990652</v>
          </cell>
          <cell r="B605" t="str">
            <v>ויצל ציפי</v>
          </cell>
          <cell r="C605" t="str">
            <v>פתוח</v>
          </cell>
          <cell r="I605" t="str">
            <v>יורש-חוץ</v>
          </cell>
        </row>
        <row r="606">
          <cell r="A606">
            <v>8990653</v>
          </cell>
          <cell r="B606" t="str">
            <v>בן טולילה אסתר</v>
          </cell>
          <cell r="C606" t="str">
            <v>פתוח</v>
          </cell>
          <cell r="I606" t="str">
            <v>יורש-חוץ</v>
          </cell>
        </row>
        <row r="607">
          <cell r="A607">
            <v>899066</v>
          </cell>
          <cell r="B607" t="str">
            <v>וולברג משה</v>
          </cell>
          <cell r="C607" t="str">
            <v>פתוח</v>
          </cell>
          <cell r="I607" t="str">
            <v>מוריש</v>
          </cell>
          <cell r="J607">
            <v>45296</v>
          </cell>
        </row>
        <row r="608">
          <cell r="A608">
            <v>8990661</v>
          </cell>
          <cell r="B608" t="str">
            <v>וולברג מרים</v>
          </cell>
          <cell r="C608" t="str">
            <v>פתוח</v>
          </cell>
          <cell r="E608" t="str">
            <v>0603</v>
          </cell>
          <cell r="I608" t="str">
            <v>יורש-חבר</v>
          </cell>
        </row>
        <row r="609">
          <cell r="A609">
            <v>899081</v>
          </cell>
          <cell r="B609" t="str">
            <v>חובב דינה</v>
          </cell>
          <cell r="C609" t="str">
            <v>פתוח</v>
          </cell>
          <cell r="I609" t="str">
            <v>מוריש</v>
          </cell>
          <cell r="J609">
            <v>41258</v>
          </cell>
        </row>
        <row r="610">
          <cell r="A610">
            <v>8990811</v>
          </cell>
          <cell r="B610" t="str">
            <v>גדעון חובב</v>
          </cell>
          <cell r="C610" t="str">
            <v>פתוח</v>
          </cell>
          <cell r="I610" t="str">
            <v>יורש-חוץ</v>
          </cell>
        </row>
        <row r="611">
          <cell r="A611">
            <v>8990812</v>
          </cell>
          <cell r="B611" t="str">
            <v>רחל פורת</v>
          </cell>
          <cell r="C611" t="str">
            <v>פתוח</v>
          </cell>
          <cell r="I611" t="str">
            <v>יורש-חוץ</v>
          </cell>
        </row>
        <row r="612">
          <cell r="A612">
            <v>899082</v>
          </cell>
          <cell r="B612" t="str">
            <v>חובב משה</v>
          </cell>
          <cell r="C612" t="str">
            <v>פתוח</v>
          </cell>
          <cell r="I612" t="str">
            <v>מוריש</v>
          </cell>
          <cell r="J612">
            <v>41258</v>
          </cell>
        </row>
        <row r="613">
          <cell r="A613">
            <v>8990821</v>
          </cell>
          <cell r="B613" t="str">
            <v>גדעון חובב</v>
          </cell>
          <cell r="C613" t="str">
            <v>פתוח</v>
          </cell>
          <cell r="I613" t="str">
            <v>יורש-חוץ</v>
          </cell>
        </row>
        <row r="614">
          <cell r="A614">
            <v>8990822</v>
          </cell>
          <cell r="B614" t="str">
            <v>רחל פורת</v>
          </cell>
          <cell r="C614" t="str">
            <v>פתוח</v>
          </cell>
          <cell r="I614" t="str">
            <v>יורש-חוץ</v>
          </cell>
        </row>
        <row r="615">
          <cell r="A615">
            <v>899083</v>
          </cell>
          <cell r="B615" t="str">
            <v>חורש חנן</v>
          </cell>
          <cell r="C615" t="str">
            <v>פתוח</v>
          </cell>
          <cell r="I615" t="str">
            <v>מוריש</v>
          </cell>
          <cell r="J615">
            <v>41644</v>
          </cell>
        </row>
        <row r="616">
          <cell r="A616">
            <v>8990831</v>
          </cell>
          <cell r="B616" t="str">
            <v>אבנר חורש</v>
          </cell>
          <cell r="C616" t="str">
            <v>פתוח</v>
          </cell>
          <cell r="E616" t="str">
            <v>0803</v>
          </cell>
          <cell r="I616" t="str">
            <v>יורש-חבר</v>
          </cell>
        </row>
        <row r="617">
          <cell r="A617">
            <v>8990832</v>
          </cell>
          <cell r="B617" t="str">
            <v>גדי חורש</v>
          </cell>
          <cell r="C617" t="str">
            <v>פתוח</v>
          </cell>
          <cell r="E617" t="str">
            <v>0804</v>
          </cell>
          <cell r="I617" t="str">
            <v>יורש-חבר</v>
          </cell>
        </row>
        <row r="618">
          <cell r="A618">
            <v>8990833</v>
          </cell>
          <cell r="B618" t="str">
            <v>כפיר יהודית</v>
          </cell>
          <cell r="C618" t="str">
            <v>פתוח</v>
          </cell>
          <cell r="E618">
            <v>1102</v>
          </cell>
          <cell r="I618" t="str">
            <v>יורש-חבר</v>
          </cell>
        </row>
        <row r="619">
          <cell r="A619">
            <v>8990834</v>
          </cell>
          <cell r="B619" t="str">
            <v>מרים חורש ז"ל</v>
          </cell>
          <cell r="C619" t="str">
            <v>סגור</v>
          </cell>
          <cell r="I619" t="str">
            <v>יורש-חבר</v>
          </cell>
        </row>
        <row r="620">
          <cell r="A620">
            <v>899084</v>
          </cell>
          <cell r="B620" t="str">
            <v>חורש מרים</v>
          </cell>
          <cell r="C620" t="str">
            <v>פתוח</v>
          </cell>
          <cell r="I620" t="str">
            <v>מוריש</v>
          </cell>
          <cell r="J620">
            <v>42090</v>
          </cell>
        </row>
        <row r="621">
          <cell r="A621">
            <v>8990841</v>
          </cell>
          <cell r="B621" t="str">
            <v>חורש אבנר</v>
          </cell>
          <cell r="C621" t="str">
            <v>פתוח</v>
          </cell>
          <cell r="E621" t="str">
            <v>0803</v>
          </cell>
          <cell r="I621" t="str">
            <v>יורש-חבר</v>
          </cell>
        </row>
        <row r="622">
          <cell r="A622">
            <v>8990842</v>
          </cell>
          <cell r="B622" t="str">
            <v>חורש גדי</v>
          </cell>
          <cell r="C622" t="str">
            <v>פתוח</v>
          </cell>
          <cell r="E622" t="str">
            <v>0804</v>
          </cell>
          <cell r="I622" t="str">
            <v>יורש-חבר</v>
          </cell>
        </row>
        <row r="623">
          <cell r="A623">
            <v>8990843</v>
          </cell>
          <cell r="B623" t="str">
            <v>כפיר יהודית</v>
          </cell>
          <cell r="C623" t="str">
            <v>פתוח</v>
          </cell>
          <cell r="E623">
            <v>1102</v>
          </cell>
          <cell r="I623" t="str">
            <v>יורש-חבר</v>
          </cell>
        </row>
        <row r="624">
          <cell r="A624">
            <v>899101</v>
          </cell>
          <cell r="B624" t="str">
            <v>ישורון שלום</v>
          </cell>
          <cell r="C624" t="str">
            <v>פתוח</v>
          </cell>
          <cell r="I624" t="str">
            <v>מוריש</v>
          </cell>
          <cell r="J624">
            <v>41258</v>
          </cell>
        </row>
        <row r="625">
          <cell r="A625">
            <v>8991011</v>
          </cell>
          <cell r="B625" t="str">
            <v>שמשון ישורון</v>
          </cell>
          <cell r="C625" t="str">
            <v>פתוח</v>
          </cell>
          <cell r="E625">
            <v>1003</v>
          </cell>
          <cell r="I625" t="str">
            <v>יורש-חבר</v>
          </cell>
        </row>
        <row r="626">
          <cell r="A626">
            <v>899102</v>
          </cell>
          <cell r="B626" t="str">
            <v>ישורון רות</v>
          </cell>
          <cell r="C626" t="str">
            <v>פתוח</v>
          </cell>
          <cell r="I626" t="str">
            <v>מוריש</v>
          </cell>
          <cell r="J626">
            <v>41258</v>
          </cell>
        </row>
        <row r="627">
          <cell r="A627">
            <v>8991021</v>
          </cell>
          <cell r="B627" t="str">
            <v>ישורון שמשון</v>
          </cell>
          <cell r="C627" t="str">
            <v>פתוח</v>
          </cell>
          <cell r="E627">
            <v>1003</v>
          </cell>
          <cell r="I627" t="str">
            <v>יורש-חבר</v>
          </cell>
        </row>
        <row r="628">
          <cell r="A628">
            <v>8991022</v>
          </cell>
          <cell r="B628" t="str">
            <v>ולש אודיה</v>
          </cell>
          <cell r="C628" t="str">
            <v>פתוח</v>
          </cell>
          <cell r="I628" t="str">
            <v>יורש-חוץ</v>
          </cell>
        </row>
        <row r="629">
          <cell r="A629">
            <v>8991023</v>
          </cell>
          <cell r="B629" t="str">
            <v>נתנאל שור</v>
          </cell>
          <cell r="C629" t="str">
            <v>פתוח</v>
          </cell>
          <cell r="I629" t="str">
            <v>יורש-חוץ</v>
          </cell>
        </row>
        <row r="630">
          <cell r="A630">
            <v>8991024</v>
          </cell>
          <cell r="B630" t="str">
            <v>אבירם שור</v>
          </cell>
          <cell r="C630" t="str">
            <v>פתוח</v>
          </cell>
          <cell r="I630" t="str">
            <v>יורש-חוץ</v>
          </cell>
        </row>
        <row r="631">
          <cell r="A631">
            <v>899111</v>
          </cell>
          <cell r="B631" t="str">
            <v>כהן אליעזר</v>
          </cell>
          <cell r="C631" t="str">
            <v>פתוח</v>
          </cell>
          <cell r="I631" t="str">
            <v>מוריש</v>
          </cell>
          <cell r="J631">
            <v>41882</v>
          </cell>
        </row>
        <row r="632">
          <cell r="A632">
            <v>8991111</v>
          </cell>
          <cell r="B632" t="str">
            <v>כהן דינה</v>
          </cell>
          <cell r="C632" t="str">
            <v>סגור</v>
          </cell>
          <cell r="I632" t="str">
            <v>יורש-חבר</v>
          </cell>
        </row>
        <row r="633">
          <cell r="A633">
            <v>8991112</v>
          </cell>
          <cell r="B633" t="str">
            <v>כהן דוד</v>
          </cell>
          <cell r="C633" t="str">
            <v>פתוח</v>
          </cell>
          <cell r="E633">
            <v>1104</v>
          </cell>
          <cell r="G633">
            <v>11041</v>
          </cell>
          <cell r="I633" t="str">
            <v>יורש-חבר</v>
          </cell>
        </row>
        <row r="634">
          <cell r="A634">
            <v>8991113</v>
          </cell>
          <cell r="B634" t="str">
            <v>כהן דני</v>
          </cell>
          <cell r="C634" t="str">
            <v>פתוח</v>
          </cell>
          <cell r="I634" t="str">
            <v>יורש-חוץ</v>
          </cell>
        </row>
        <row r="635">
          <cell r="A635">
            <v>8991114</v>
          </cell>
          <cell r="B635" t="str">
            <v>גדות אביגיל מרים</v>
          </cell>
          <cell r="C635" t="str">
            <v>פתוח</v>
          </cell>
          <cell r="I635" t="str">
            <v>יורש-חוץ</v>
          </cell>
        </row>
        <row r="636">
          <cell r="A636">
            <v>8991115</v>
          </cell>
          <cell r="B636" t="str">
            <v>שרון דבי</v>
          </cell>
          <cell r="C636" t="str">
            <v>פתוח</v>
          </cell>
          <cell r="I636" t="str">
            <v>יורש-חוץ</v>
          </cell>
        </row>
        <row r="637">
          <cell r="A637">
            <v>8991116</v>
          </cell>
          <cell r="B637" t="str">
            <v>כהן בנימין</v>
          </cell>
          <cell r="C637" t="str">
            <v>פתוח</v>
          </cell>
          <cell r="I637" t="str">
            <v>יורש-חוץ</v>
          </cell>
        </row>
        <row r="638">
          <cell r="A638">
            <v>899112</v>
          </cell>
          <cell r="B638" t="str">
            <v>כלפה עמנואל</v>
          </cell>
          <cell r="C638" t="str">
            <v>פתוח</v>
          </cell>
          <cell r="I638" t="str">
            <v>מוריש</v>
          </cell>
          <cell r="J638">
            <v>42178</v>
          </cell>
        </row>
        <row r="639">
          <cell r="A639">
            <v>8991121</v>
          </cell>
          <cell r="B639" t="str">
            <v>כלפה רותי</v>
          </cell>
          <cell r="C639" t="str">
            <v>פתוח</v>
          </cell>
          <cell r="E639">
            <v>1103</v>
          </cell>
          <cell r="G639">
            <v>11032</v>
          </cell>
          <cell r="I639" t="str">
            <v>יורש-חבר</v>
          </cell>
        </row>
        <row r="640">
          <cell r="A640">
            <v>899113</v>
          </cell>
          <cell r="B640" t="str">
            <v>כהן דינה</v>
          </cell>
          <cell r="C640" t="str">
            <v>פתוח</v>
          </cell>
          <cell r="I640" t="str">
            <v>מוריש</v>
          </cell>
          <cell r="J640">
            <v>44614</v>
          </cell>
        </row>
        <row r="641">
          <cell r="A641">
            <v>8991131</v>
          </cell>
          <cell r="B641" t="str">
            <v>כהן דוד</v>
          </cell>
          <cell r="C641" t="str">
            <v>פתוח</v>
          </cell>
          <cell r="E641">
            <v>1104</v>
          </cell>
          <cell r="G641">
            <v>11041</v>
          </cell>
          <cell r="I641" t="str">
            <v>יורש-חבר</v>
          </cell>
        </row>
        <row r="642">
          <cell r="A642">
            <v>8991132</v>
          </cell>
          <cell r="B642" t="str">
            <v>כהן דני</v>
          </cell>
          <cell r="C642" t="str">
            <v>פתוח</v>
          </cell>
          <cell r="I642" t="str">
            <v>יורש-חוץ</v>
          </cell>
        </row>
        <row r="643">
          <cell r="A643">
            <v>8991133</v>
          </cell>
          <cell r="B643" t="str">
            <v>גדות אביגיל מרים</v>
          </cell>
          <cell r="C643" t="str">
            <v>פתוח</v>
          </cell>
          <cell r="I643" t="str">
            <v>יורש-חוץ</v>
          </cell>
        </row>
        <row r="644">
          <cell r="A644">
            <v>8991134</v>
          </cell>
          <cell r="B644" t="str">
            <v>שרון דבי</v>
          </cell>
          <cell r="C644" t="str">
            <v>פתוח</v>
          </cell>
          <cell r="I644" t="str">
            <v>יורש-חוץ</v>
          </cell>
        </row>
        <row r="645">
          <cell r="A645">
            <v>8991135</v>
          </cell>
          <cell r="B645" t="str">
            <v>כהן בנימין</v>
          </cell>
          <cell r="C645" t="str">
            <v>פתוח</v>
          </cell>
          <cell r="I645" t="str">
            <v>יורש-חוץ</v>
          </cell>
        </row>
        <row r="646">
          <cell r="A646">
            <v>899120</v>
          </cell>
          <cell r="B646" t="str">
            <v>לבבי ציפורה</v>
          </cell>
          <cell r="C646" t="str">
            <v>פתוח</v>
          </cell>
          <cell r="I646" t="str">
            <v>מוריש</v>
          </cell>
          <cell r="J646">
            <v>42547</v>
          </cell>
        </row>
        <row r="647">
          <cell r="A647">
            <v>8991201</v>
          </cell>
          <cell r="B647" t="str">
            <v>אליהו לבבי</v>
          </cell>
          <cell r="C647" t="str">
            <v>פתוח</v>
          </cell>
          <cell r="E647">
            <v>1205</v>
          </cell>
          <cell r="I647" t="str">
            <v>יורש-חבר</v>
          </cell>
        </row>
        <row r="648">
          <cell r="A648">
            <v>8991202</v>
          </cell>
          <cell r="B648" t="str">
            <v>מרים קנוהל</v>
          </cell>
          <cell r="C648" t="str">
            <v>פתוח</v>
          </cell>
          <cell r="I648" t="str">
            <v>יורש-חוץ</v>
          </cell>
        </row>
        <row r="649">
          <cell r="A649">
            <v>8991203</v>
          </cell>
          <cell r="B649" t="str">
            <v>צבי לבבי</v>
          </cell>
          <cell r="C649" t="str">
            <v>פתוח</v>
          </cell>
          <cell r="E649">
            <v>1207</v>
          </cell>
          <cell r="G649">
            <v>12071</v>
          </cell>
          <cell r="I649" t="str">
            <v>יורש-חבר</v>
          </cell>
        </row>
        <row r="650">
          <cell r="A650">
            <v>8991204</v>
          </cell>
          <cell r="B650" t="str">
            <v>שי רחלי</v>
          </cell>
          <cell r="C650" t="str">
            <v>פתוח</v>
          </cell>
          <cell r="E650">
            <v>2111</v>
          </cell>
          <cell r="G650">
            <v>21112</v>
          </cell>
          <cell r="I650" t="str">
            <v>יורש-חבר</v>
          </cell>
        </row>
        <row r="651">
          <cell r="A651">
            <v>899121</v>
          </cell>
          <cell r="B651" t="str">
            <v>לבבי נחום</v>
          </cell>
          <cell r="C651" t="str">
            <v>פתוח</v>
          </cell>
          <cell r="I651" t="str">
            <v>מוריש</v>
          </cell>
          <cell r="J651">
            <v>41258</v>
          </cell>
        </row>
        <row r="652">
          <cell r="A652">
            <v>8991211</v>
          </cell>
          <cell r="B652" t="str">
            <v>צפורה לבבי</v>
          </cell>
          <cell r="C652" t="str">
            <v>סגור</v>
          </cell>
          <cell r="I652" t="str">
            <v>יורש-חבר</v>
          </cell>
        </row>
        <row r="653">
          <cell r="A653">
            <v>8991212</v>
          </cell>
          <cell r="B653" t="str">
            <v>אליהו לבבי</v>
          </cell>
          <cell r="C653" t="str">
            <v>פתוח</v>
          </cell>
          <cell r="E653">
            <v>1205</v>
          </cell>
          <cell r="I653" t="str">
            <v>יורש-חבר</v>
          </cell>
        </row>
        <row r="654">
          <cell r="A654">
            <v>8991213</v>
          </cell>
          <cell r="B654" t="str">
            <v>מרים קנוהל</v>
          </cell>
          <cell r="C654" t="str">
            <v>פתוח</v>
          </cell>
          <cell r="I654" t="str">
            <v>יורש-חוץ</v>
          </cell>
        </row>
        <row r="655">
          <cell r="A655">
            <v>8991214</v>
          </cell>
          <cell r="B655" t="str">
            <v>צבי לבבי</v>
          </cell>
          <cell r="C655" t="str">
            <v>פתוח</v>
          </cell>
          <cell r="E655">
            <v>1207</v>
          </cell>
          <cell r="G655">
            <v>12071</v>
          </cell>
          <cell r="I655" t="str">
            <v>יורש-חבר</v>
          </cell>
        </row>
        <row r="656">
          <cell r="A656">
            <v>8991215</v>
          </cell>
          <cell r="B656" t="str">
            <v>שי רחלי</v>
          </cell>
          <cell r="C656" t="str">
            <v>פתוח</v>
          </cell>
          <cell r="E656">
            <v>2111</v>
          </cell>
          <cell r="G656">
            <v>21112</v>
          </cell>
          <cell r="I656" t="str">
            <v>יורש-חבר</v>
          </cell>
        </row>
        <row r="657">
          <cell r="A657">
            <v>899122</v>
          </cell>
          <cell r="B657" t="str">
            <v>לבון אסתר</v>
          </cell>
          <cell r="C657" t="str">
            <v>פתוח</v>
          </cell>
          <cell r="I657" t="str">
            <v>מוריש</v>
          </cell>
          <cell r="J657">
            <v>41258</v>
          </cell>
        </row>
        <row r="658">
          <cell r="A658">
            <v>8991221</v>
          </cell>
          <cell r="B658" t="str">
            <v>חיים צבי לבון וייס</v>
          </cell>
          <cell r="C658" t="str">
            <v>סגור</v>
          </cell>
          <cell r="I658" t="str">
            <v>יורש-חבר</v>
          </cell>
        </row>
        <row r="659">
          <cell r="A659">
            <v>8991222</v>
          </cell>
          <cell r="B659" t="str">
            <v>אביטל לבון</v>
          </cell>
          <cell r="C659" t="str">
            <v>פתוח</v>
          </cell>
          <cell r="I659" t="str">
            <v>יורש-חוץ</v>
          </cell>
        </row>
        <row r="660">
          <cell r="A660">
            <v>8991223</v>
          </cell>
          <cell r="B660" t="str">
            <v>אהרון אזריאל לבון וייס</v>
          </cell>
          <cell r="C660" t="str">
            <v>פתוח</v>
          </cell>
          <cell r="I660" t="str">
            <v>יורש-חוץ</v>
          </cell>
        </row>
        <row r="661">
          <cell r="A661">
            <v>8991224</v>
          </cell>
          <cell r="B661" t="str">
            <v>אור לאה אוהנה</v>
          </cell>
          <cell r="C661" t="str">
            <v>פתוח</v>
          </cell>
          <cell r="I661" t="str">
            <v>יורש-חוץ</v>
          </cell>
        </row>
        <row r="662">
          <cell r="A662">
            <v>8991225</v>
          </cell>
          <cell r="B662" t="str">
            <v>ורדה פולינר</v>
          </cell>
          <cell r="C662" t="str">
            <v>פתוח</v>
          </cell>
          <cell r="I662" t="str">
            <v>יורש-חוץ</v>
          </cell>
        </row>
        <row r="663">
          <cell r="A663">
            <v>8991226</v>
          </cell>
          <cell r="B663" t="str">
            <v>חנה רחל לבון</v>
          </cell>
          <cell r="C663" t="str">
            <v>פתוח</v>
          </cell>
          <cell r="I663" t="str">
            <v>יורש-חוץ</v>
          </cell>
        </row>
        <row r="664">
          <cell r="A664">
            <v>8991227</v>
          </cell>
          <cell r="B664" t="str">
            <v>שלומית שפט</v>
          </cell>
          <cell r="C664" t="str">
            <v>פתוח</v>
          </cell>
          <cell r="I664" t="str">
            <v>יורש-חוץ</v>
          </cell>
        </row>
        <row r="665">
          <cell r="A665">
            <v>8991228</v>
          </cell>
          <cell r="B665" t="str">
            <v>תמר לב ארי</v>
          </cell>
          <cell r="C665" t="str">
            <v>פתוח</v>
          </cell>
          <cell r="I665" t="str">
            <v>יורש-חוץ</v>
          </cell>
        </row>
        <row r="666">
          <cell r="A666">
            <v>899123</v>
          </cell>
          <cell r="B666" t="str">
            <v>לזר ימימה</v>
          </cell>
          <cell r="C666" t="str">
            <v>פתוח</v>
          </cell>
          <cell r="I666" t="str">
            <v>מוריש</v>
          </cell>
          <cell r="J666">
            <v>41258</v>
          </cell>
        </row>
        <row r="667">
          <cell r="A667">
            <v>8991231</v>
          </cell>
          <cell r="B667" t="str">
            <v>לזר מיכאל מאיר</v>
          </cell>
          <cell r="C667" t="str">
            <v>פתוח</v>
          </cell>
          <cell r="E667">
            <v>1218</v>
          </cell>
          <cell r="I667" t="str">
            <v>יורש-חבר</v>
          </cell>
        </row>
        <row r="668">
          <cell r="A668">
            <v>8991232</v>
          </cell>
          <cell r="B668" t="str">
            <v>לזר טל יוסף</v>
          </cell>
          <cell r="C668" t="str">
            <v>פתוח</v>
          </cell>
          <cell r="I668" t="str">
            <v>יורש-חוץ</v>
          </cell>
        </row>
        <row r="669">
          <cell r="A669">
            <v>8991233</v>
          </cell>
          <cell r="B669" t="str">
            <v>לזר סיוון</v>
          </cell>
          <cell r="C669" t="str">
            <v>פתוח</v>
          </cell>
          <cell r="I669" t="str">
            <v>יורש-חוץ</v>
          </cell>
        </row>
        <row r="670">
          <cell r="A670">
            <v>8991234</v>
          </cell>
          <cell r="B670" t="str">
            <v>לזר עידן</v>
          </cell>
          <cell r="C670" t="str">
            <v>פתוח</v>
          </cell>
          <cell r="I670" t="str">
            <v>יורש-חוץ</v>
          </cell>
        </row>
        <row r="671">
          <cell r="A671">
            <v>8991235</v>
          </cell>
          <cell r="B671" t="str">
            <v>לזר עמיחי אביגדור</v>
          </cell>
          <cell r="C671" t="str">
            <v>פתוח</v>
          </cell>
          <cell r="I671" t="str">
            <v>יורש-חוץ</v>
          </cell>
        </row>
        <row r="672">
          <cell r="A672">
            <v>899124</v>
          </cell>
          <cell r="B672" t="str">
            <v>לזר שמעון</v>
          </cell>
          <cell r="C672" t="str">
            <v>פתוח</v>
          </cell>
          <cell r="I672" t="str">
            <v>מוריש</v>
          </cell>
          <cell r="J672">
            <v>41258</v>
          </cell>
        </row>
        <row r="673">
          <cell r="A673">
            <v>8991241</v>
          </cell>
          <cell r="B673" t="str">
            <v>לזר מרים (מרי)</v>
          </cell>
          <cell r="C673" t="str">
            <v>פתוח</v>
          </cell>
          <cell r="E673">
            <v>1211</v>
          </cell>
          <cell r="I673" t="str">
            <v>יורש-חבר</v>
          </cell>
        </row>
        <row r="674">
          <cell r="A674">
            <v>8991242</v>
          </cell>
          <cell r="B674" t="str">
            <v>וילק אילנה</v>
          </cell>
          <cell r="C674" t="str">
            <v>פתוח</v>
          </cell>
          <cell r="E674" t="str">
            <v>0608</v>
          </cell>
          <cell r="I674" t="str">
            <v>יורש-חבר</v>
          </cell>
        </row>
        <row r="675">
          <cell r="A675">
            <v>8991243</v>
          </cell>
          <cell r="B675" t="str">
            <v>לזר איתמר</v>
          </cell>
          <cell r="C675" t="str">
            <v>פתוח</v>
          </cell>
          <cell r="E675">
            <v>1222</v>
          </cell>
          <cell r="I675" t="str">
            <v>יורש-חבר</v>
          </cell>
        </row>
        <row r="676">
          <cell r="A676">
            <v>8991244</v>
          </cell>
          <cell r="B676" t="str">
            <v>לוי חגית רחל</v>
          </cell>
          <cell r="C676" t="str">
            <v>פתוח</v>
          </cell>
          <cell r="I676" t="str">
            <v>יורש-חוץ</v>
          </cell>
        </row>
        <row r="677">
          <cell r="A677">
            <v>8991245</v>
          </cell>
          <cell r="B677" t="str">
            <v>לזר מיכאל מאיר</v>
          </cell>
          <cell r="C677" t="str">
            <v>פתוח</v>
          </cell>
          <cell r="E677">
            <v>1218</v>
          </cell>
          <cell r="I677" t="str">
            <v>יורש-חבר</v>
          </cell>
        </row>
        <row r="678">
          <cell r="A678">
            <v>8991246</v>
          </cell>
          <cell r="B678" t="str">
            <v>לזר רונן אריה</v>
          </cell>
          <cell r="C678" t="str">
            <v>פתוח</v>
          </cell>
          <cell r="I678" t="str">
            <v>יורש-חוץ</v>
          </cell>
        </row>
        <row r="679">
          <cell r="A679">
            <v>899125</v>
          </cell>
          <cell r="B679" t="str">
            <v>לאופר נחמיה</v>
          </cell>
          <cell r="C679" t="str">
            <v>פתוח</v>
          </cell>
          <cell r="I679" t="str">
            <v>מוריש</v>
          </cell>
          <cell r="J679">
            <v>41258</v>
          </cell>
        </row>
        <row r="680">
          <cell r="A680">
            <v>8991251</v>
          </cell>
          <cell r="B680" t="str">
            <v>לאופר חוה</v>
          </cell>
          <cell r="C680" t="str">
            <v>סגור</v>
          </cell>
          <cell r="I680" t="str">
            <v>יורש-חבר</v>
          </cell>
        </row>
        <row r="681">
          <cell r="A681">
            <v>8991252</v>
          </cell>
          <cell r="B681" t="str">
            <v>לאופר שמעון</v>
          </cell>
          <cell r="C681" t="str">
            <v>פתוח</v>
          </cell>
          <cell r="E681">
            <v>1208</v>
          </cell>
          <cell r="I681" t="str">
            <v>יורש-חבר</v>
          </cell>
        </row>
        <row r="682">
          <cell r="A682">
            <v>8991253</v>
          </cell>
          <cell r="B682" t="str">
            <v>אמסל יוכבד</v>
          </cell>
          <cell r="C682" t="str">
            <v>פתוח</v>
          </cell>
          <cell r="I682" t="str">
            <v>יורש-חוץ</v>
          </cell>
        </row>
        <row r="683">
          <cell r="A683">
            <v>8991254</v>
          </cell>
          <cell r="B683" t="str">
            <v>עופר איתן</v>
          </cell>
          <cell r="C683" t="str">
            <v>פתוח</v>
          </cell>
          <cell r="I683" t="str">
            <v>יורש-חוץ</v>
          </cell>
        </row>
        <row r="684">
          <cell r="A684">
            <v>899126</v>
          </cell>
          <cell r="B684" t="str">
            <v>לבנה שמואל</v>
          </cell>
          <cell r="C684" t="str">
            <v>פתוח</v>
          </cell>
          <cell r="I684" t="str">
            <v>מוריש</v>
          </cell>
          <cell r="J684">
            <v>41527</v>
          </cell>
        </row>
        <row r="685">
          <cell r="A685">
            <v>8991261</v>
          </cell>
          <cell r="B685" t="str">
            <v>לבנה מרים</v>
          </cell>
          <cell r="C685" t="str">
            <v>פתוח</v>
          </cell>
          <cell r="E685">
            <v>1203</v>
          </cell>
          <cell r="I685" t="str">
            <v>יורש-חבר</v>
          </cell>
        </row>
        <row r="686">
          <cell r="A686">
            <v>899127</v>
          </cell>
          <cell r="B686" t="str">
            <v>ליפטשר ברוך</v>
          </cell>
          <cell r="C686" t="str">
            <v>פתוח</v>
          </cell>
          <cell r="I686" t="str">
            <v>מוריש</v>
          </cell>
          <cell r="J686">
            <v>41258</v>
          </cell>
        </row>
        <row r="687">
          <cell r="A687">
            <v>8991271</v>
          </cell>
          <cell r="B687" t="str">
            <v>דוד ליפטשר</v>
          </cell>
          <cell r="C687" t="str">
            <v>פתוח</v>
          </cell>
          <cell r="E687">
            <v>1216</v>
          </cell>
          <cell r="I687" t="str">
            <v>יורש-חבר</v>
          </cell>
        </row>
        <row r="688">
          <cell r="A688">
            <v>8991272</v>
          </cell>
          <cell r="B688" t="str">
            <v>אילנה קליימן</v>
          </cell>
          <cell r="C688" t="str">
            <v>פתוח</v>
          </cell>
          <cell r="I688" t="str">
            <v>יורש-חוץ</v>
          </cell>
        </row>
        <row r="689">
          <cell r="A689">
            <v>899128</v>
          </cell>
          <cell r="B689" t="str">
            <v>ליפטשר רחל</v>
          </cell>
          <cell r="C689" t="str">
            <v>פתוח</v>
          </cell>
          <cell r="I689" t="str">
            <v>מוריש</v>
          </cell>
          <cell r="J689">
            <v>41258</v>
          </cell>
        </row>
        <row r="690">
          <cell r="A690">
            <v>8991281</v>
          </cell>
          <cell r="B690" t="str">
            <v>דוד ליפטשר</v>
          </cell>
          <cell r="C690" t="str">
            <v>פתוח</v>
          </cell>
          <cell r="E690">
            <v>1216</v>
          </cell>
          <cell r="I690" t="str">
            <v>יורש-חבר</v>
          </cell>
        </row>
        <row r="691">
          <cell r="A691">
            <v>899129</v>
          </cell>
          <cell r="B691" t="str">
            <v>להב מרים</v>
          </cell>
          <cell r="C691" t="str">
            <v>פתוח</v>
          </cell>
          <cell r="I691" t="str">
            <v>מוריש</v>
          </cell>
          <cell r="J691">
            <v>41824</v>
          </cell>
        </row>
        <row r="692">
          <cell r="A692">
            <v>8991291</v>
          </cell>
          <cell r="B692" t="str">
            <v>חיים יחזקאל להב</v>
          </cell>
          <cell r="C692" t="str">
            <v>פתוח</v>
          </cell>
          <cell r="I692" t="str">
            <v>יורש-חוץ</v>
          </cell>
        </row>
        <row r="693">
          <cell r="A693">
            <v>8991292</v>
          </cell>
          <cell r="B693" t="str">
            <v>מיכל אהרון</v>
          </cell>
          <cell r="C693" t="str">
            <v>פתוח</v>
          </cell>
          <cell r="I693" t="str">
            <v>יורש-חוץ</v>
          </cell>
        </row>
        <row r="694">
          <cell r="A694">
            <v>8991293</v>
          </cell>
          <cell r="B694" t="str">
            <v>שרה לאה מוססון</v>
          </cell>
          <cell r="C694" t="str">
            <v>פתוח</v>
          </cell>
          <cell r="I694" t="str">
            <v>יורש-חוץ</v>
          </cell>
        </row>
        <row r="695">
          <cell r="A695">
            <v>899130</v>
          </cell>
          <cell r="B695" t="str">
            <v>להב פנחס</v>
          </cell>
          <cell r="C695" t="str">
            <v>פתוח</v>
          </cell>
          <cell r="I695" t="str">
            <v>מוריש</v>
          </cell>
          <cell r="J695">
            <v>41845</v>
          </cell>
        </row>
        <row r="696">
          <cell r="A696">
            <v>8991301</v>
          </cell>
          <cell r="B696" t="str">
            <v>חיים יחזקאל להב</v>
          </cell>
          <cell r="C696" t="str">
            <v>פתוח</v>
          </cell>
          <cell r="I696" t="str">
            <v>יורש-חוץ</v>
          </cell>
        </row>
        <row r="697">
          <cell r="A697">
            <v>8991302</v>
          </cell>
          <cell r="B697" t="str">
            <v>מיכל אהרון</v>
          </cell>
          <cell r="C697" t="str">
            <v>פתוח</v>
          </cell>
          <cell r="I697" t="str">
            <v>יורש-חוץ</v>
          </cell>
        </row>
        <row r="698">
          <cell r="A698">
            <v>8991303</v>
          </cell>
          <cell r="B698" t="str">
            <v>שרה לאה מוססון</v>
          </cell>
          <cell r="C698" t="str">
            <v>פתוח</v>
          </cell>
          <cell r="I698" t="str">
            <v>יורש-חוץ</v>
          </cell>
        </row>
        <row r="699">
          <cell r="A699">
            <v>899131</v>
          </cell>
          <cell r="B699" t="str">
            <v>נדיבי חיים</v>
          </cell>
          <cell r="C699" t="str">
            <v>פתוח</v>
          </cell>
          <cell r="I699" t="str">
            <v>מוריש</v>
          </cell>
          <cell r="J699">
            <v>41258</v>
          </cell>
        </row>
        <row r="700">
          <cell r="A700">
            <v>8991311</v>
          </cell>
          <cell r="B700" t="str">
            <v>נדיבי רבקה</v>
          </cell>
          <cell r="C700" t="str">
            <v>פתוח</v>
          </cell>
          <cell r="E700">
            <v>1401</v>
          </cell>
          <cell r="I700" t="str">
            <v>יורש-חבר</v>
          </cell>
        </row>
        <row r="701">
          <cell r="A701">
            <v>899132</v>
          </cell>
          <cell r="B701" t="str">
            <v>מושקוביץ אורה</v>
          </cell>
          <cell r="C701" t="str">
            <v>פתוח</v>
          </cell>
          <cell r="I701" t="str">
            <v>מוריש</v>
          </cell>
          <cell r="J701">
            <v>41258</v>
          </cell>
        </row>
        <row r="702">
          <cell r="A702">
            <v>8991321</v>
          </cell>
          <cell r="B702" t="str">
            <v>מושקוביץ משה</v>
          </cell>
          <cell r="C702" t="str">
            <v>סגור</v>
          </cell>
          <cell r="I702" t="str">
            <v>יורש-חבר</v>
          </cell>
        </row>
        <row r="703">
          <cell r="A703">
            <v>8991322</v>
          </cell>
          <cell r="B703" t="str">
            <v>כץ שלומית</v>
          </cell>
          <cell r="C703" t="str">
            <v>פתוח</v>
          </cell>
          <cell r="I703" t="str">
            <v>יורש-חוץ</v>
          </cell>
        </row>
        <row r="704">
          <cell r="A704">
            <v>8991323</v>
          </cell>
          <cell r="B704" t="str">
            <v>קרן מיכל</v>
          </cell>
          <cell r="C704" t="str">
            <v>פתוח</v>
          </cell>
          <cell r="I704" t="str">
            <v>יורש-חוץ</v>
          </cell>
        </row>
        <row r="705">
          <cell r="A705">
            <v>8991324</v>
          </cell>
          <cell r="B705" t="str">
            <v>מאור יורם</v>
          </cell>
          <cell r="C705" t="str">
            <v>פתוח</v>
          </cell>
          <cell r="I705" t="str">
            <v>יורש-חוץ</v>
          </cell>
        </row>
        <row r="706">
          <cell r="A706">
            <v>8991325</v>
          </cell>
          <cell r="B706" t="str">
            <v>מושקוביץ יעל</v>
          </cell>
          <cell r="C706" t="str">
            <v>פתוח</v>
          </cell>
          <cell r="E706">
            <v>1302</v>
          </cell>
          <cell r="I706" t="str">
            <v>יורש-חבר</v>
          </cell>
        </row>
        <row r="707">
          <cell r="A707">
            <v>899133</v>
          </cell>
          <cell r="B707" t="str">
            <v>מרצ`ינובסקי אבא</v>
          </cell>
          <cell r="C707" t="str">
            <v>פתוח</v>
          </cell>
          <cell r="I707" t="str">
            <v>מוריש</v>
          </cell>
          <cell r="J707">
            <v>41258</v>
          </cell>
        </row>
        <row r="708">
          <cell r="A708">
            <v>8991331</v>
          </cell>
          <cell r="B708" t="str">
            <v>שחף שרה</v>
          </cell>
          <cell r="C708" t="str">
            <v>פתוח</v>
          </cell>
          <cell r="I708" t="str">
            <v>יורש-חוץ</v>
          </cell>
        </row>
        <row r="709">
          <cell r="A709">
            <v>8991332</v>
          </cell>
          <cell r="B709" t="str">
            <v>שילה שושנה</v>
          </cell>
          <cell r="C709" t="str">
            <v>פתוח</v>
          </cell>
          <cell r="I709" t="str">
            <v>יורש-חוץ</v>
          </cell>
        </row>
        <row r="710">
          <cell r="A710">
            <v>8991333</v>
          </cell>
          <cell r="B710" t="str">
            <v>בן צור תחיה</v>
          </cell>
          <cell r="C710" t="str">
            <v>פתוח</v>
          </cell>
          <cell r="I710" t="str">
            <v>יורש-חוץ</v>
          </cell>
        </row>
        <row r="711">
          <cell r="A711">
            <v>8991334</v>
          </cell>
          <cell r="B711" t="str">
            <v>שלו נורית</v>
          </cell>
          <cell r="C711" t="str">
            <v>פתוח</v>
          </cell>
          <cell r="I711" t="str">
            <v>יורש-חוץ</v>
          </cell>
        </row>
        <row r="712">
          <cell r="A712">
            <v>899134</v>
          </cell>
          <cell r="B712" t="str">
            <v>מרצ`ינובסקי פרומקה</v>
          </cell>
          <cell r="C712" t="str">
            <v>פתוח</v>
          </cell>
          <cell r="I712" t="str">
            <v>מוריש</v>
          </cell>
          <cell r="J712">
            <v>41258</v>
          </cell>
        </row>
        <row r="713">
          <cell r="A713">
            <v>8991341</v>
          </cell>
          <cell r="B713" t="str">
            <v>שחף שרה</v>
          </cell>
          <cell r="C713" t="str">
            <v>פתוח</v>
          </cell>
          <cell r="I713" t="str">
            <v>יורש-חוץ</v>
          </cell>
        </row>
        <row r="714">
          <cell r="A714">
            <v>8991342</v>
          </cell>
          <cell r="B714" t="str">
            <v>שילה שושנה</v>
          </cell>
          <cell r="C714" t="str">
            <v>פתוח</v>
          </cell>
          <cell r="I714" t="str">
            <v>יורש-חוץ</v>
          </cell>
        </row>
        <row r="715">
          <cell r="A715">
            <v>8991343</v>
          </cell>
          <cell r="B715" t="str">
            <v>בן צור תחיה</v>
          </cell>
          <cell r="C715" t="str">
            <v>פתוח</v>
          </cell>
          <cell r="I715" t="str">
            <v>יורש-חוץ</v>
          </cell>
        </row>
        <row r="716">
          <cell r="A716">
            <v>8991344</v>
          </cell>
          <cell r="B716" t="str">
            <v>שלו נורית</v>
          </cell>
          <cell r="C716" t="str">
            <v>פתוח</v>
          </cell>
          <cell r="I716" t="str">
            <v>יורש-חוץ</v>
          </cell>
        </row>
        <row r="717">
          <cell r="A717">
            <v>899135</v>
          </cell>
          <cell r="B717" t="str">
            <v>לבון חיים צבי</v>
          </cell>
          <cell r="C717" t="str">
            <v>פתוח</v>
          </cell>
          <cell r="I717" t="str">
            <v>מוריש</v>
          </cell>
          <cell r="J717">
            <v>43713</v>
          </cell>
        </row>
        <row r="718">
          <cell r="A718">
            <v>8991351</v>
          </cell>
          <cell r="B718" t="str">
            <v>אביטל לבון</v>
          </cell>
          <cell r="C718" t="str">
            <v>פתוח</v>
          </cell>
          <cell r="I718" t="str">
            <v>יורש-חוץ</v>
          </cell>
        </row>
        <row r="719">
          <cell r="A719">
            <v>8991352</v>
          </cell>
          <cell r="B719" t="str">
            <v>אהרון אזריאל לבון וייס</v>
          </cell>
          <cell r="C719" t="str">
            <v>פתוח</v>
          </cell>
          <cell r="I719" t="str">
            <v>יורש-חוץ</v>
          </cell>
        </row>
        <row r="720">
          <cell r="A720">
            <v>8991353</v>
          </cell>
          <cell r="B720" t="str">
            <v>אור לאה אוהנה</v>
          </cell>
          <cell r="C720" t="str">
            <v>פתוח</v>
          </cell>
          <cell r="I720" t="str">
            <v>יורש-חוץ</v>
          </cell>
        </row>
        <row r="721">
          <cell r="A721">
            <v>8991354</v>
          </cell>
          <cell r="B721" t="str">
            <v>ורדה פולינר</v>
          </cell>
          <cell r="C721" t="str">
            <v>פתוח</v>
          </cell>
          <cell r="I721" t="str">
            <v>יורש-חוץ</v>
          </cell>
        </row>
        <row r="722">
          <cell r="A722">
            <v>8991355</v>
          </cell>
          <cell r="B722" t="str">
            <v>חנה רחל לבון</v>
          </cell>
          <cell r="C722" t="str">
            <v>פתוח</v>
          </cell>
          <cell r="I722" t="str">
            <v>יורש-חוץ</v>
          </cell>
        </row>
        <row r="723">
          <cell r="A723">
            <v>8991356</v>
          </cell>
          <cell r="B723" t="str">
            <v>שלומית שפט</v>
          </cell>
          <cell r="C723" t="str">
            <v>פתוח</v>
          </cell>
          <cell r="I723" t="str">
            <v>יורש-חוץ</v>
          </cell>
        </row>
        <row r="724">
          <cell r="A724">
            <v>8991357</v>
          </cell>
          <cell r="B724" t="str">
            <v>תמר לב ארי</v>
          </cell>
          <cell r="C724" t="str">
            <v>פתוח</v>
          </cell>
          <cell r="I724" t="str">
            <v>יורש-חוץ</v>
          </cell>
        </row>
        <row r="725">
          <cell r="A725">
            <v>899136</v>
          </cell>
          <cell r="B725" t="str">
            <v>לאופר חווה</v>
          </cell>
          <cell r="C725" t="str">
            <v>פתוח</v>
          </cell>
          <cell r="I725" t="str">
            <v>מוריש</v>
          </cell>
          <cell r="J725">
            <v>43840</v>
          </cell>
        </row>
        <row r="726">
          <cell r="A726">
            <v>8991361</v>
          </cell>
          <cell r="B726" t="str">
            <v>לאופר שמעון</v>
          </cell>
          <cell r="C726" t="str">
            <v>פתוח</v>
          </cell>
          <cell r="E726">
            <v>1208</v>
          </cell>
          <cell r="I726" t="str">
            <v>יורש-חבר</v>
          </cell>
        </row>
        <row r="727">
          <cell r="A727">
            <v>8991362</v>
          </cell>
          <cell r="B727" t="str">
            <v>אמסל יוכבד</v>
          </cell>
          <cell r="C727" t="str">
            <v>פתוח</v>
          </cell>
          <cell r="I727" t="str">
            <v>יורש-חוץ</v>
          </cell>
        </row>
        <row r="728">
          <cell r="A728">
            <v>8991363</v>
          </cell>
          <cell r="B728" t="str">
            <v>עופר איתן</v>
          </cell>
          <cell r="C728" t="str">
            <v>פתוח</v>
          </cell>
          <cell r="I728" t="str">
            <v>יורש-חוץ</v>
          </cell>
        </row>
        <row r="729">
          <cell r="A729">
            <v>899137</v>
          </cell>
          <cell r="B729" t="str">
            <v>מושקוביץ משה</v>
          </cell>
          <cell r="C729" t="str">
            <v>פתוח</v>
          </cell>
          <cell r="I729" t="str">
            <v>מוריש</v>
          </cell>
          <cell r="J729">
            <v>44219</v>
          </cell>
        </row>
        <row r="730">
          <cell r="A730">
            <v>8991371</v>
          </cell>
          <cell r="B730" t="str">
            <v>מושקוביץ יעל</v>
          </cell>
          <cell r="C730" t="str">
            <v>פתוח</v>
          </cell>
          <cell r="E730">
            <v>1302</v>
          </cell>
          <cell r="I730" t="str">
            <v>יורש-חבר</v>
          </cell>
        </row>
        <row r="731">
          <cell r="A731">
            <v>8991372</v>
          </cell>
          <cell r="B731" t="str">
            <v>כץ שלומית</v>
          </cell>
          <cell r="C731" t="str">
            <v>פתוח</v>
          </cell>
          <cell r="I731" t="str">
            <v>יורש-חוץ</v>
          </cell>
        </row>
        <row r="732">
          <cell r="A732">
            <v>8991373</v>
          </cell>
          <cell r="B732" t="str">
            <v>קרן מיכל</v>
          </cell>
          <cell r="C732" t="str">
            <v>פתוח</v>
          </cell>
          <cell r="I732" t="str">
            <v>יורש-חוץ</v>
          </cell>
        </row>
        <row r="733">
          <cell r="A733">
            <v>8991374</v>
          </cell>
          <cell r="B733" t="str">
            <v>מאור יורם</v>
          </cell>
          <cell r="C733" t="str">
            <v>פתוח</v>
          </cell>
          <cell r="I733" t="str">
            <v>יורש-חוץ</v>
          </cell>
        </row>
        <row r="734">
          <cell r="A734">
            <v>899138</v>
          </cell>
          <cell r="B734" t="str">
            <v>המר מלכה</v>
          </cell>
          <cell r="C734" t="str">
            <v>פתוח</v>
          </cell>
          <cell r="I734" t="str">
            <v>מוריש</v>
          </cell>
          <cell r="J734">
            <v>44888</v>
          </cell>
        </row>
        <row r="735">
          <cell r="A735">
            <v>8991381</v>
          </cell>
          <cell r="B735" t="str">
            <v>המר יוסף</v>
          </cell>
          <cell r="C735" t="str">
            <v>פתוח</v>
          </cell>
          <cell r="E735" t="str">
            <v>0505</v>
          </cell>
          <cell r="I735" t="str">
            <v>יורש-חבר</v>
          </cell>
        </row>
        <row r="736">
          <cell r="A736">
            <v>8991382</v>
          </cell>
          <cell r="B736" t="str">
            <v>המר בועז</v>
          </cell>
          <cell r="C736" t="str">
            <v>פתוח</v>
          </cell>
          <cell r="E736" t="str">
            <v>0504</v>
          </cell>
          <cell r="I736" t="str">
            <v>יורש-חבר</v>
          </cell>
        </row>
        <row r="737">
          <cell r="A737">
            <v>8991383</v>
          </cell>
          <cell r="B737" t="str">
            <v>וייס תמי</v>
          </cell>
          <cell r="C737" t="str">
            <v>פתוח</v>
          </cell>
          <cell r="E737" t="str">
            <v>0606</v>
          </cell>
          <cell r="I737" t="str">
            <v>יורש-חבר</v>
          </cell>
        </row>
        <row r="738">
          <cell r="A738">
            <v>899139</v>
          </cell>
          <cell r="B738" t="str">
            <v>מושקוביץ יעל</v>
          </cell>
          <cell r="C738" t="str">
            <v>פתוח</v>
          </cell>
          <cell r="I738" t="str">
            <v>מוריש</v>
          </cell>
          <cell r="J738">
            <v>45388</v>
          </cell>
        </row>
        <row r="739">
          <cell r="A739">
            <v>8991392</v>
          </cell>
          <cell r="B739" t="str">
            <v>כץ שלומית</v>
          </cell>
          <cell r="C739" t="str">
            <v>פתוח</v>
          </cell>
          <cell r="I739" t="str">
            <v>יורש-חוץ</v>
          </cell>
        </row>
        <row r="740">
          <cell r="A740">
            <v>8991393</v>
          </cell>
          <cell r="B740" t="str">
            <v>קרן מיכל</v>
          </cell>
          <cell r="C740" t="str">
            <v>פתוח</v>
          </cell>
          <cell r="I740" t="str">
            <v>יורש-חוץ</v>
          </cell>
        </row>
        <row r="741">
          <cell r="A741">
            <v>8991394</v>
          </cell>
          <cell r="B741" t="str">
            <v>מאור יורם</v>
          </cell>
          <cell r="C741" t="str">
            <v>פתוח</v>
          </cell>
          <cell r="I741" t="str">
            <v>יורש-חוץ</v>
          </cell>
        </row>
        <row r="742">
          <cell r="A742">
            <v>899141</v>
          </cell>
          <cell r="B742" t="str">
            <v>ניר דוד</v>
          </cell>
          <cell r="C742" t="str">
            <v>פתוח</v>
          </cell>
          <cell r="I742" t="str">
            <v>מוריש</v>
          </cell>
          <cell r="J742">
            <v>41258</v>
          </cell>
        </row>
        <row r="743">
          <cell r="A743">
            <v>8991411</v>
          </cell>
          <cell r="B743" t="str">
            <v>מנור רבקה</v>
          </cell>
          <cell r="C743" t="str">
            <v>פתוח</v>
          </cell>
          <cell r="I743" t="str">
            <v>יורש-חוץ</v>
          </cell>
        </row>
        <row r="744">
          <cell r="A744">
            <v>899151</v>
          </cell>
          <cell r="B744" t="str">
            <v>סוקל יהושוע</v>
          </cell>
          <cell r="C744" t="str">
            <v>פתוח</v>
          </cell>
          <cell r="I744" t="str">
            <v>מוריש</v>
          </cell>
          <cell r="J744">
            <v>41258</v>
          </cell>
        </row>
        <row r="745">
          <cell r="A745">
            <v>8991511</v>
          </cell>
          <cell r="B745" t="str">
            <v>סוקל רחל</v>
          </cell>
          <cell r="C745" t="str">
            <v>פתוח</v>
          </cell>
          <cell r="E745">
            <v>1501</v>
          </cell>
          <cell r="I745" t="str">
            <v>יורש-חבר</v>
          </cell>
        </row>
        <row r="746">
          <cell r="A746">
            <v>899161</v>
          </cell>
          <cell r="B746" t="str">
            <v>עמית מרדכי</v>
          </cell>
          <cell r="C746" t="str">
            <v>פתוח</v>
          </cell>
          <cell r="I746" t="str">
            <v>מוריש</v>
          </cell>
          <cell r="J746">
            <v>41258</v>
          </cell>
        </row>
        <row r="747">
          <cell r="A747">
            <v>8991611</v>
          </cell>
          <cell r="B747" t="str">
            <v>עמית חיה</v>
          </cell>
          <cell r="C747" t="str">
            <v>סגור</v>
          </cell>
          <cell r="I747" t="str">
            <v>יורש-חבר</v>
          </cell>
        </row>
        <row r="748">
          <cell r="A748">
            <v>8991612</v>
          </cell>
          <cell r="B748" t="str">
            <v>יובל רבקה</v>
          </cell>
          <cell r="C748" t="str">
            <v>פתוח</v>
          </cell>
          <cell r="I748" t="str">
            <v>יורש-חוץ</v>
          </cell>
        </row>
        <row r="749">
          <cell r="A749">
            <v>8991613</v>
          </cell>
          <cell r="B749" t="str">
            <v>פייל אסתר</v>
          </cell>
          <cell r="C749" t="str">
            <v>פתוח</v>
          </cell>
          <cell r="I749" t="str">
            <v>יורש-חוץ</v>
          </cell>
        </row>
        <row r="750">
          <cell r="A750">
            <v>8991614</v>
          </cell>
          <cell r="B750" t="str">
            <v>גרינפלד רחל</v>
          </cell>
          <cell r="C750" t="str">
            <v>פתוח</v>
          </cell>
          <cell r="I750" t="str">
            <v>יורש-חוץ</v>
          </cell>
        </row>
        <row r="751">
          <cell r="A751">
            <v>8991615</v>
          </cell>
          <cell r="B751" t="str">
            <v>עמית יעקב</v>
          </cell>
          <cell r="C751" t="str">
            <v>פתוח</v>
          </cell>
          <cell r="I751" t="str">
            <v>יורש-חוץ</v>
          </cell>
        </row>
        <row r="752">
          <cell r="A752">
            <v>8991616</v>
          </cell>
          <cell r="B752" t="str">
            <v>עמית יונתן</v>
          </cell>
          <cell r="C752" t="str">
            <v>פתוח</v>
          </cell>
          <cell r="I752" t="str">
            <v>יורש-חוץ</v>
          </cell>
        </row>
        <row r="753">
          <cell r="A753">
            <v>899162</v>
          </cell>
          <cell r="B753" t="str">
            <v>עמית חיה</v>
          </cell>
          <cell r="C753" t="str">
            <v>פתוח</v>
          </cell>
          <cell r="I753" t="str">
            <v>מוריש</v>
          </cell>
          <cell r="J753">
            <v>42911</v>
          </cell>
        </row>
        <row r="754">
          <cell r="A754">
            <v>8991621</v>
          </cell>
          <cell r="B754" t="str">
            <v>יובל רבקה</v>
          </cell>
          <cell r="C754" t="str">
            <v>פתוח</v>
          </cell>
          <cell r="I754" t="str">
            <v>יורש-חוץ</v>
          </cell>
        </row>
        <row r="755">
          <cell r="A755">
            <v>8991622</v>
          </cell>
          <cell r="B755" t="str">
            <v>פייל אסתר</v>
          </cell>
          <cell r="C755" t="str">
            <v>פתוח</v>
          </cell>
          <cell r="I755" t="str">
            <v>יורש-חוץ</v>
          </cell>
        </row>
        <row r="756">
          <cell r="A756">
            <v>8991623</v>
          </cell>
          <cell r="B756" t="str">
            <v>גרינפלד רחל</v>
          </cell>
          <cell r="C756" t="str">
            <v>פתוח</v>
          </cell>
          <cell r="I756" t="str">
            <v>יורש-חוץ</v>
          </cell>
        </row>
        <row r="757">
          <cell r="A757">
            <v>8991624</v>
          </cell>
          <cell r="B757" t="str">
            <v>עמית יעקב</v>
          </cell>
          <cell r="C757" t="str">
            <v>פתוח</v>
          </cell>
          <cell r="I757" t="str">
            <v>יורש-חוץ</v>
          </cell>
        </row>
        <row r="758">
          <cell r="A758">
            <v>8991625</v>
          </cell>
          <cell r="B758" t="str">
            <v>עמית יונתן</v>
          </cell>
          <cell r="C758" t="str">
            <v>פתוח</v>
          </cell>
          <cell r="I758" t="str">
            <v>יורש-חוץ</v>
          </cell>
        </row>
        <row r="759">
          <cell r="A759">
            <v>899171</v>
          </cell>
          <cell r="B759" t="str">
            <v>פורת אהרון</v>
          </cell>
          <cell r="C759" t="str">
            <v>פתוח</v>
          </cell>
          <cell r="I759" t="str">
            <v>מוריש</v>
          </cell>
          <cell r="J759">
            <v>41258</v>
          </cell>
        </row>
        <row r="760">
          <cell r="A760">
            <v>8991711</v>
          </cell>
          <cell r="B760" t="str">
            <v>פורת אסתר</v>
          </cell>
          <cell r="C760" t="str">
            <v>פתוח</v>
          </cell>
          <cell r="E760">
            <v>1703</v>
          </cell>
          <cell r="I760" t="str">
            <v>יורש-חבר</v>
          </cell>
        </row>
        <row r="761">
          <cell r="A761">
            <v>899172</v>
          </cell>
          <cell r="B761" t="str">
            <v>פז אבא</v>
          </cell>
          <cell r="C761" t="str">
            <v>פתוח</v>
          </cell>
          <cell r="I761" t="str">
            <v>מוריש</v>
          </cell>
          <cell r="J761">
            <v>41258</v>
          </cell>
        </row>
        <row r="762">
          <cell r="A762">
            <v>8991721</v>
          </cell>
          <cell r="B762" t="str">
            <v>פז הדרה</v>
          </cell>
          <cell r="C762" t="str">
            <v>סגור</v>
          </cell>
          <cell r="I762" t="str">
            <v>יורש-חבר</v>
          </cell>
        </row>
        <row r="763">
          <cell r="A763">
            <v>8991722</v>
          </cell>
          <cell r="B763" t="str">
            <v>פז יעקב</v>
          </cell>
          <cell r="C763" t="str">
            <v>פתוח</v>
          </cell>
          <cell r="I763" t="str">
            <v>יורש-חוץ</v>
          </cell>
        </row>
        <row r="764">
          <cell r="A764">
            <v>8991723</v>
          </cell>
          <cell r="B764" t="str">
            <v>פז ניר</v>
          </cell>
          <cell r="C764" t="str">
            <v>פתוח</v>
          </cell>
          <cell r="I764" t="str">
            <v>יורש-חוץ</v>
          </cell>
        </row>
        <row r="765">
          <cell r="A765">
            <v>8991724</v>
          </cell>
          <cell r="B765" t="str">
            <v>פז תמר</v>
          </cell>
          <cell r="C765" t="str">
            <v>פתוח</v>
          </cell>
          <cell r="E765">
            <v>1708</v>
          </cell>
          <cell r="I765" t="str">
            <v>יורש-חבר</v>
          </cell>
        </row>
        <row r="766">
          <cell r="A766">
            <v>8991725</v>
          </cell>
          <cell r="B766" t="str">
            <v>פז יצחק</v>
          </cell>
          <cell r="C766" t="str">
            <v>פתוח</v>
          </cell>
          <cell r="E766">
            <v>1724</v>
          </cell>
          <cell r="I766" t="str">
            <v>יורש-חבר</v>
          </cell>
        </row>
        <row r="767">
          <cell r="A767">
            <v>8991726</v>
          </cell>
          <cell r="B767" t="str">
            <v>פז מוריה</v>
          </cell>
          <cell r="C767" t="str">
            <v>פתוח</v>
          </cell>
          <cell r="E767">
            <v>1723</v>
          </cell>
          <cell r="I767" t="str">
            <v>יורש-חבר</v>
          </cell>
        </row>
        <row r="768">
          <cell r="A768">
            <v>8991727</v>
          </cell>
          <cell r="B768" t="str">
            <v>פז רננה</v>
          </cell>
          <cell r="C768" t="str">
            <v>פתוח</v>
          </cell>
          <cell r="E768">
            <v>1726</v>
          </cell>
          <cell r="I768" t="str">
            <v>יורש-חבר</v>
          </cell>
        </row>
        <row r="769">
          <cell r="A769">
            <v>8991728</v>
          </cell>
          <cell r="B769" t="str">
            <v>פז שירה</v>
          </cell>
          <cell r="C769" t="str">
            <v>פתוח</v>
          </cell>
          <cell r="E769">
            <v>1701</v>
          </cell>
          <cell r="I769" t="str">
            <v>יורש-חבר</v>
          </cell>
        </row>
        <row r="770">
          <cell r="A770">
            <v>899173</v>
          </cell>
          <cell r="B770" t="str">
            <v>פז ברוך</v>
          </cell>
          <cell r="C770" t="str">
            <v>פתוח</v>
          </cell>
          <cell r="I770" t="str">
            <v>מוריש</v>
          </cell>
          <cell r="J770">
            <v>41258</v>
          </cell>
        </row>
        <row r="771">
          <cell r="A771">
            <v>8991731</v>
          </cell>
          <cell r="B771" t="str">
            <v>פז תמר</v>
          </cell>
          <cell r="C771" t="str">
            <v>פתוח</v>
          </cell>
          <cell r="E771">
            <v>1708</v>
          </cell>
          <cell r="I771" t="str">
            <v>יורש-חבר</v>
          </cell>
        </row>
        <row r="772">
          <cell r="A772">
            <v>8991732</v>
          </cell>
          <cell r="B772" t="str">
            <v>פז יצחק</v>
          </cell>
          <cell r="C772" t="str">
            <v>פתוח</v>
          </cell>
          <cell r="E772">
            <v>1724</v>
          </cell>
          <cell r="I772" t="str">
            <v>יורש-חבר</v>
          </cell>
        </row>
        <row r="773">
          <cell r="A773">
            <v>8991733</v>
          </cell>
          <cell r="B773" t="str">
            <v>פז שירה</v>
          </cell>
          <cell r="C773" t="str">
            <v>פתוח</v>
          </cell>
          <cell r="E773">
            <v>1701</v>
          </cell>
          <cell r="I773" t="str">
            <v>יורש-חבר</v>
          </cell>
        </row>
        <row r="774">
          <cell r="A774">
            <v>8991734</v>
          </cell>
          <cell r="B774" t="str">
            <v>פז מוריה</v>
          </cell>
          <cell r="C774" t="str">
            <v>פתוח</v>
          </cell>
          <cell r="E774">
            <v>1723</v>
          </cell>
          <cell r="I774" t="str">
            <v>יורש-חבר</v>
          </cell>
        </row>
        <row r="775">
          <cell r="A775">
            <v>8991735</v>
          </cell>
          <cell r="B775" t="str">
            <v>פז רננה</v>
          </cell>
          <cell r="C775" t="str">
            <v>פתוח</v>
          </cell>
          <cell r="E775">
            <v>1726</v>
          </cell>
          <cell r="I775" t="str">
            <v>יורש-חבר</v>
          </cell>
        </row>
        <row r="776">
          <cell r="A776">
            <v>899174</v>
          </cell>
          <cell r="B776" t="str">
            <v>פרנקל נחמה</v>
          </cell>
          <cell r="C776" t="str">
            <v>פתוח</v>
          </cell>
          <cell r="I776" t="str">
            <v>מוריש</v>
          </cell>
          <cell r="J776">
            <v>41258</v>
          </cell>
        </row>
        <row r="777">
          <cell r="A777">
            <v>8991741</v>
          </cell>
          <cell r="B777" t="str">
            <v>פאר אבי</v>
          </cell>
          <cell r="C777" t="str">
            <v>פתוח</v>
          </cell>
          <cell r="I777" t="str">
            <v>יורש-חוץ</v>
          </cell>
        </row>
        <row r="778">
          <cell r="A778">
            <v>8991742</v>
          </cell>
          <cell r="B778" t="str">
            <v>פרנקל חנוך</v>
          </cell>
          <cell r="C778" t="str">
            <v>פתוח</v>
          </cell>
          <cell r="I778" t="str">
            <v>יורש-חוץ</v>
          </cell>
        </row>
        <row r="779">
          <cell r="A779">
            <v>8991743</v>
          </cell>
          <cell r="B779" t="str">
            <v>ארצמן ציפורה</v>
          </cell>
          <cell r="C779" t="str">
            <v>פתוח</v>
          </cell>
          <cell r="I779" t="str">
            <v>יורש-חוץ</v>
          </cell>
        </row>
        <row r="780">
          <cell r="A780">
            <v>8991744</v>
          </cell>
          <cell r="B780" t="str">
            <v>בוכניק טלי</v>
          </cell>
          <cell r="C780" t="str">
            <v>פתוח</v>
          </cell>
          <cell r="I780" t="str">
            <v>יורש-חוץ</v>
          </cell>
        </row>
        <row r="781">
          <cell r="A781">
            <v>8991745</v>
          </cell>
          <cell r="B781" t="str">
            <v>חסמן שחר</v>
          </cell>
          <cell r="C781" t="str">
            <v>פתוח</v>
          </cell>
          <cell r="I781" t="str">
            <v>יורש-חוץ</v>
          </cell>
        </row>
        <row r="782">
          <cell r="A782">
            <v>899175</v>
          </cell>
          <cell r="B782" t="str">
            <v>פרנקל דוד</v>
          </cell>
          <cell r="C782" t="str">
            <v>פתוח</v>
          </cell>
          <cell r="I782" t="str">
            <v>מוריש</v>
          </cell>
          <cell r="J782">
            <v>41258</v>
          </cell>
        </row>
        <row r="783">
          <cell r="A783">
            <v>8991752</v>
          </cell>
          <cell r="B783" t="str">
            <v>פרנקל חנוך</v>
          </cell>
          <cell r="C783" t="str">
            <v>פתוח</v>
          </cell>
          <cell r="I783" t="str">
            <v>יורש-חוץ</v>
          </cell>
        </row>
        <row r="784">
          <cell r="A784">
            <v>8991753</v>
          </cell>
          <cell r="B784" t="str">
            <v>ארצמן ציפורה</v>
          </cell>
          <cell r="C784" t="str">
            <v>פתוח</v>
          </cell>
          <cell r="I784" t="str">
            <v>יורש-חוץ</v>
          </cell>
        </row>
        <row r="785">
          <cell r="A785">
            <v>8991754</v>
          </cell>
          <cell r="B785" t="str">
            <v>בוכניק טלי</v>
          </cell>
          <cell r="C785" t="str">
            <v>פתוח</v>
          </cell>
          <cell r="I785" t="str">
            <v>יורש-חוץ</v>
          </cell>
        </row>
        <row r="786">
          <cell r="A786">
            <v>8991755</v>
          </cell>
          <cell r="B786" t="str">
            <v>חסמן בוריס</v>
          </cell>
          <cell r="C786" t="str">
            <v>סגור</v>
          </cell>
          <cell r="I786" t="str">
            <v>יורש-חוץ</v>
          </cell>
        </row>
        <row r="787">
          <cell r="A787">
            <v>8991756</v>
          </cell>
          <cell r="B787" t="str">
            <v>חסמן שחר</v>
          </cell>
          <cell r="C787" t="str">
            <v>פתוח</v>
          </cell>
          <cell r="I787" t="str">
            <v>יורש-חוץ</v>
          </cell>
        </row>
        <row r="788">
          <cell r="A788">
            <v>8991757</v>
          </cell>
          <cell r="B788" t="str">
            <v>פאר אבי</v>
          </cell>
          <cell r="C788" t="str">
            <v>פתוח</v>
          </cell>
          <cell r="I788" t="str">
            <v>יורש-חוץ</v>
          </cell>
        </row>
        <row r="789">
          <cell r="A789">
            <v>899176</v>
          </cell>
          <cell r="B789" t="str">
            <v>פז הדרה</v>
          </cell>
          <cell r="C789" t="str">
            <v>פתוח</v>
          </cell>
          <cell r="I789" t="str">
            <v>מוריש</v>
          </cell>
          <cell r="J789">
            <v>43600</v>
          </cell>
        </row>
        <row r="790">
          <cell r="A790">
            <v>8991761</v>
          </cell>
          <cell r="B790" t="str">
            <v>פז יעקב</v>
          </cell>
          <cell r="C790" t="str">
            <v>פתוח</v>
          </cell>
          <cell r="I790" t="str">
            <v>יורש-חוץ</v>
          </cell>
        </row>
        <row r="791">
          <cell r="A791">
            <v>8991762</v>
          </cell>
          <cell r="B791" t="str">
            <v>פז ניר</v>
          </cell>
          <cell r="C791" t="str">
            <v>פתוח</v>
          </cell>
          <cell r="I791" t="str">
            <v>יורש-חוץ</v>
          </cell>
        </row>
        <row r="792">
          <cell r="A792">
            <v>8991763</v>
          </cell>
          <cell r="B792" t="str">
            <v>פז תמר</v>
          </cell>
          <cell r="C792" t="str">
            <v>פתוח</v>
          </cell>
          <cell r="E792">
            <v>1708</v>
          </cell>
          <cell r="I792" t="str">
            <v>יורש-חבר</v>
          </cell>
        </row>
        <row r="793">
          <cell r="A793">
            <v>899191</v>
          </cell>
          <cell r="B793" t="str">
            <v>קלוש רבקה</v>
          </cell>
          <cell r="C793" t="str">
            <v>פתוח</v>
          </cell>
          <cell r="I793" t="str">
            <v>מוריש</v>
          </cell>
          <cell r="J793">
            <v>41258</v>
          </cell>
        </row>
        <row r="794">
          <cell r="A794">
            <v>8991911</v>
          </cell>
          <cell r="B794" t="str">
            <v>ברודי רחל</v>
          </cell>
          <cell r="C794" t="str">
            <v>פתוח</v>
          </cell>
          <cell r="E794" t="str">
            <v>0217</v>
          </cell>
          <cell r="G794" t="str">
            <v>02172</v>
          </cell>
          <cell r="I794" t="str">
            <v>יורש-חבר</v>
          </cell>
        </row>
        <row r="795">
          <cell r="A795">
            <v>8991912</v>
          </cell>
          <cell r="B795" t="str">
            <v>מאיר שרה</v>
          </cell>
          <cell r="C795" t="str">
            <v>פתוח</v>
          </cell>
          <cell r="I795" t="str">
            <v>יורש-חוץ</v>
          </cell>
        </row>
        <row r="796">
          <cell r="A796">
            <v>899192</v>
          </cell>
          <cell r="B796" t="str">
            <v>קליין דוד</v>
          </cell>
          <cell r="C796" t="str">
            <v>פתוח</v>
          </cell>
          <cell r="I796" t="str">
            <v>מוריש</v>
          </cell>
          <cell r="J796">
            <v>41258</v>
          </cell>
        </row>
        <row r="797">
          <cell r="A797">
            <v>8991921</v>
          </cell>
          <cell r="B797" t="str">
            <v>אמיתי אליעזר</v>
          </cell>
          <cell r="C797" t="str">
            <v>פתוח</v>
          </cell>
          <cell r="E797" t="str">
            <v>0109</v>
          </cell>
          <cell r="I797" t="str">
            <v>יורש-חבר</v>
          </cell>
        </row>
        <row r="798">
          <cell r="A798">
            <v>8991922</v>
          </cell>
          <cell r="B798" t="str">
            <v>קליין משה</v>
          </cell>
          <cell r="C798" t="str">
            <v>פתוח</v>
          </cell>
          <cell r="E798">
            <v>1907</v>
          </cell>
          <cell r="I798" t="str">
            <v>יורש-חבר</v>
          </cell>
        </row>
        <row r="799">
          <cell r="A799">
            <v>8991923</v>
          </cell>
          <cell r="B799" t="str">
            <v>כהן צפורה</v>
          </cell>
          <cell r="C799" t="str">
            <v>פתוח</v>
          </cell>
          <cell r="I799" t="str">
            <v>יורש-חוץ</v>
          </cell>
        </row>
        <row r="800">
          <cell r="A800">
            <v>899193</v>
          </cell>
          <cell r="B800" t="str">
            <v>קליין יפה</v>
          </cell>
          <cell r="C800" t="str">
            <v>פתוח</v>
          </cell>
          <cell r="I800" t="str">
            <v>מוריש</v>
          </cell>
          <cell r="J800">
            <v>41258</v>
          </cell>
        </row>
        <row r="801">
          <cell r="A801">
            <v>8991931</v>
          </cell>
          <cell r="B801" t="str">
            <v>קליין משה</v>
          </cell>
          <cell r="C801" t="str">
            <v>פתוח</v>
          </cell>
          <cell r="E801">
            <v>1907</v>
          </cell>
          <cell r="I801" t="str">
            <v>יורש-חבר</v>
          </cell>
        </row>
        <row r="802">
          <cell r="A802">
            <v>8991932</v>
          </cell>
          <cell r="B802" t="str">
            <v>אמיתי אליעזר</v>
          </cell>
          <cell r="C802" t="str">
            <v>פתוח</v>
          </cell>
          <cell r="E802" t="str">
            <v>0109</v>
          </cell>
          <cell r="I802" t="str">
            <v>יורש-חבר</v>
          </cell>
        </row>
        <row r="803">
          <cell r="A803">
            <v>8991933</v>
          </cell>
          <cell r="B803" t="str">
            <v>כהן צפורה</v>
          </cell>
          <cell r="C803" t="str">
            <v>פתוח</v>
          </cell>
          <cell r="I803" t="str">
            <v>יורש-חוץ</v>
          </cell>
        </row>
        <row r="804">
          <cell r="A804">
            <v>899194</v>
          </cell>
          <cell r="B804" t="str">
            <v>קראוס אביגדור</v>
          </cell>
          <cell r="C804" t="str">
            <v>פתוח</v>
          </cell>
          <cell r="I804" t="str">
            <v>מוריש</v>
          </cell>
          <cell r="J804">
            <v>41258</v>
          </cell>
        </row>
        <row r="805">
          <cell r="A805">
            <v>8991941</v>
          </cell>
          <cell r="B805" t="str">
            <v>קראוס דבורה</v>
          </cell>
          <cell r="C805" t="str">
            <v>פתוח</v>
          </cell>
          <cell r="E805">
            <v>1902</v>
          </cell>
          <cell r="I805" t="str">
            <v>יורש-חבר</v>
          </cell>
        </row>
        <row r="806">
          <cell r="A806">
            <v>8991942</v>
          </cell>
          <cell r="B806" t="str">
            <v>קראוס נחמיה</v>
          </cell>
          <cell r="C806" t="str">
            <v>פתוח</v>
          </cell>
          <cell r="E806">
            <v>1902</v>
          </cell>
          <cell r="I806" t="str">
            <v>יורש-חבר</v>
          </cell>
        </row>
        <row r="807">
          <cell r="A807">
            <v>8991943</v>
          </cell>
          <cell r="B807" t="str">
            <v>פלישמן אסנת</v>
          </cell>
          <cell r="C807" t="str">
            <v>פתוח</v>
          </cell>
          <cell r="E807">
            <v>1902</v>
          </cell>
          <cell r="I807" t="str">
            <v>יורש-חבר</v>
          </cell>
        </row>
        <row r="808">
          <cell r="A808">
            <v>899195</v>
          </cell>
          <cell r="B808" t="str">
            <v>קרליבך עמנואל</v>
          </cell>
          <cell r="C808" t="str">
            <v>פתוח</v>
          </cell>
          <cell r="I808" t="str">
            <v>מוריש</v>
          </cell>
          <cell r="J808">
            <v>41258</v>
          </cell>
        </row>
        <row r="809">
          <cell r="A809">
            <v>8991951</v>
          </cell>
          <cell r="B809" t="str">
            <v>קרליבך יפה</v>
          </cell>
          <cell r="C809" t="str">
            <v>סגור</v>
          </cell>
          <cell r="I809" t="str">
            <v>יורש-חבר</v>
          </cell>
        </row>
        <row r="810">
          <cell r="A810">
            <v>8991952</v>
          </cell>
          <cell r="B810" t="str">
            <v>קרליבך דוד</v>
          </cell>
          <cell r="C810" t="str">
            <v>פתוח</v>
          </cell>
          <cell r="E810">
            <v>1911</v>
          </cell>
          <cell r="I810" t="str">
            <v>יורש-חבר</v>
          </cell>
        </row>
        <row r="811">
          <cell r="A811">
            <v>8991953</v>
          </cell>
          <cell r="B811" t="str">
            <v>לבבי חנה</v>
          </cell>
          <cell r="C811" t="str">
            <v>פתוח</v>
          </cell>
          <cell r="E811">
            <v>1207</v>
          </cell>
          <cell r="G811">
            <v>12072</v>
          </cell>
          <cell r="I811" t="str">
            <v>יורש-חבר</v>
          </cell>
        </row>
        <row r="812">
          <cell r="A812">
            <v>8991954</v>
          </cell>
          <cell r="B812" t="str">
            <v>קרליבך יעקב</v>
          </cell>
          <cell r="C812" t="str">
            <v>פתוח</v>
          </cell>
          <cell r="I812" t="str">
            <v>יורש-חוץ</v>
          </cell>
        </row>
        <row r="813">
          <cell r="A813">
            <v>8991955</v>
          </cell>
          <cell r="B813" t="str">
            <v>קרליבך יצחק</v>
          </cell>
          <cell r="C813" t="str">
            <v>פתוח</v>
          </cell>
          <cell r="E813">
            <v>1914</v>
          </cell>
          <cell r="I813" t="str">
            <v>יורש-חבר</v>
          </cell>
        </row>
        <row r="814">
          <cell r="A814">
            <v>899196</v>
          </cell>
          <cell r="B814" t="str">
            <v>קלוש יונה</v>
          </cell>
          <cell r="C814" t="str">
            <v>פתוח</v>
          </cell>
          <cell r="I814" t="str">
            <v>מוריש</v>
          </cell>
          <cell r="J814">
            <v>41258</v>
          </cell>
        </row>
        <row r="815">
          <cell r="A815">
            <v>8991961</v>
          </cell>
          <cell r="B815" t="str">
            <v>ברודי רחל</v>
          </cell>
          <cell r="C815" t="str">
            <v>פתוח</v>
          </cell>
          <cell r="E815" t="str">
            <v>0217</v>
          </cell>
          <cell r="G815" t="str">
            <v>02172</v>
          </cell>
          <cell r="I815" t="str">
            <v>יורש-חבר</v>
          </cell>
        </row>
        <row r="816">
          <cell r="A816">
            <v>8991962</v>
          </cell>
          <cell r="B816" t="str">
            <v>מאיר שרה</v>
          </cell>
          <cell r="C816" t="str">
            <v>פתוח</v>
          </cell>
          <cell r="I816" t="str">
            <v>יורש-חוץ</v>
          </cell>
        </row>
        <row r="817">
          <cell r="A817">
            <v>899197</v>
          </cell>
          <cell r="B817" t="str">
            <v>קרן שמואל</v>
          </cell>
          <cell r="C817" t="str">
            <v>פתוח</v>
          </cell>
          <cell r="I817" t="str">
            <v>מוריש</v>
          </cell>
          <cell r="J817">
            <v>42148</v>
          </cell>
        </row>
        <row r="818">
          <cell r="A818">
            <v>8991971</v>
          </cell>
          <cell r="B818" t="str">
            <v>קרן אסתר</v>
          </cell>
          <cell r="C818" t="str">
            <v>פתוח</v>
          </cell>
          <cell r="E818">
            <v>1905</v>
          </cell>
          <cell r="I818" t="str">
            <v>יורש-חבר</v>
          </cell>
        </row>
        <row r="819">
          <cell r="A819">
            <v>8991972</v>
          </cell>
          <cell r="B819" t="str">
            <v>קרן בנימין</v>
          </cell>
          <cell r="C819" t="str">
            <v>סגור</v>
          </cell>
          <cell r="G819">
            <v>19131</v>
          </cell>
          <cell r="I819" t="str">
            <v>יורש-חבר</v>
          </cell>
        </row>
        <row r="820">
          <cell r="A820">
            <v>8991973</v>
          </cell>
          <cell r="B820" t="str">
            <v>הופמן שולי</v>
          </cell>
          <cell r="C820" t="str">
            <v>סגור</v>
          </cell>
          <cell r="G820" t="str">
            <v>05072</v>
          </cell>
          <cell r="I820" t="str">
            <v>יורש-חבר</v>
          </cell>
        </row>
        <row r="821">
          <cell r="A821">
            <v>8991974</v>
          </cell>
          <cell r="B821" t="str">
            <v>אלחדף חנה</v>
          </cell>
          <cell r="C821" t="str">
            <v>סגור</v>
          </cell>
          <cell r="I821" t="str">
            <v>יורש-חוץ</v>
          </cell>
        </row>
        <row r="822">
          <cell r="A822">
            <v>8991975</v>
          </cell>
          <cell r="B822" t="str">
            <v>שילה שרה</v>
          </cell>
          <cell r="C822" t="str">
            <v>סגור</v>
          </cell>
          <cell r="I822" t="str">
            <v>יורש-חוץ</v>
          </cell>
        </row>
        <row r="823">
          <cell r="A823">
            <v>899198</v>
          </cell>
          <cell r="B823" t="str">
            <v>קראוס דבורה</v>
          </cell>
          <cell r="C823" t="str">
            <v>פתוח</v>
          </cell>
          <cell r="I823" t="str">
            <v>מוריש</v>
          </cell>
          <cell r="J823">
            <v>44939</v>
          </cell>
        </row>
        <row r="824">
          <cell r="A824">
            <v>8991981</v>
          </cell>
          <cell r="B824" t="str">
            <v>קראוס נחמיה</v>
          </cell>
          <cell r="C824" t="str">
            <v>פתוח</v>
          </cell>
          <cell r="E824">
            <v>1902</v>
          </cell>
          <cell r="I824" t="str">
            <v>יורש-חבר</v>
          </cell>
        </row>
        <row r="825">
          <cell r="A825">
            <v>8991982</v>
          </cell>
          <cell r="B825" t="str">
            <v>פלישמן אסנת</v>
          </cell>
          <cell r="C825" t="str">
            <v>פתוח</v>
          </cell>
          <cell r="E825">
            <v>1902</v>
          </cell>
          <cell r="I825" t="str">
            <v>יורש-חבר</v>
          </cell>
        </row>
        <row r="826">
          <cell r="A826">
            <v>899199</v>
          </cell>
          <cell r="B826" t="str">
            <v>קרליבך יפה</v>
          </cell>
          <cell r="C826" t="str">
            <v>פתוח</v>
          </cell>
          <cell r="I826" t="str">
            <v>מוריש</v>
          </cell>
          <cell r="J826">
            <v>45034</v>
          </cell>
        </row>
        <row r="827">
          <cell r="A827">
            <v>8991991</v>
          </cell>
          <cell r="B827" t="str">
            <v>קרליבך דוד</v>
          </cell>
          <cell r="C827" t="str">
            <v>פתוח</v>
          </cell>
          <cell r="E827">
            <v>1911</v>
          </cell>
          <cell r="I827" t="str">
            <v>יורש-חבר</v>
          </cell>
        </row>
        <row r="828">
          <cell r="A828">
            <v>8991992</v>
          </cell>
          <cell r="B828" t="str">
            <v>לבבי חנה</v>
          </cell>
          <cell r="C828" t="str">
            <v>פתוח</v>
          </cell>
          <cell r="E828">
            <v>1207</v>
          </cell>
          <cell r="G828">
            <v>12072</v>
          </cell>
          <cell r="I828" t="str">
            <v>יורש-חבר</v>
          </cell>
        </row>
        <row r="829">
          <cell r="A829">
            <v>8991993</v>
          </cell>
          <cell r="B829" t="str">
            <v>קרליבך יעקב</v>
          </cell>
          <cell r="C829" t="str">
            <v>פתוח</v>
          </cell>
          <cell r="I829" t="str">
            <v>יורש-חוץ</v>
          </cell>
        </row>
        <row r="830">
          <cell r="A830">
            <v>8991994</v>
          </cell>
          <cell r="B830" t="str">
            <v>קרליבך יצחק</v>
          </cell>
          <cell r="C830" t="str">
            <v>פתוח</v>
          </cell>
          <cell r="E830">
            <v>1914</v>
          </cell>
          <cell r="I830" t="str">
            <v>יורש-חבר</v>
          </cell>
        </row>
        <row r="831">
          <cell r="A831">
            <v>899200</v>
          </cell>
          <cell r="B831" t="str">
            <v>רובינשטיין אליהו</v>
          </cell>
          <cell r="C831" t="str">
            <v>פתוח</v>
          </cell>
          <cell r="I831" t="str">
            <v>מוריש</v>
          </cell>
          <cell r="J831">
            <v>42448</v>
          </cell>
        </row>
        <row r="832">
          <cell r="A832">
            <v>8992001</v>
          </cell>
          <cell r="B832" t="str">
            <v>רובינשטיין צבי</v>
          </cell>
          <cell r="C832" t="str">
            <v>פתוח</v>
          </cell>
          <cell r="I832" t="str">
            <v>יורש-חוץ</v>
          </cell>
        </row>
        <row r="833">
          <cell r="A833">
            <v>8992002</v>
          </cell>
          <cell r="B833" t="str">
            <v>רמון סילבי</v>
          </cell>
          <cell r="C833" t="str">
            <v>פתוח</v>
          </cell>
          <cell r="E833">
            <v>2008</v>
          </cell>
          <cell r="G833">
            <v>20082</v>
          </cell>
          <cell r="I833" t="str">
            <v>יורש-חבר</v>
          </cell>
        </row>
        <row r="834">
          <cell r="A834">
            <v>8992003</v>
          </cell>
          <cell r="B834" t="str">
            <v>ברוך יהודית</v>
          </cell>
          <cell r="C834" t="str">
            <v>פתוח</v>
          </cell>
          <cell r="I834" t="str">
            <v>יורש-חוץ</v>
          </cell>
        </row>
        <row r="835">
          <cell r="A835">
            <v>8992004</v>
          </cell>
          <cell r="B835" t="str">
            <v>בולר חנה</v>
          </cell>
          <cell r="C835" t="str">
            <v>פתוח</v>
          </cell>
          <cell r="I835" t="str">
            <v>יורש-חוץ</v>
          </cell>
        </row>
        <row r="836">
          <cell r="A836">
            <v>8992005</v>
          </cell>
          <cell r="B836" t="str">
            <v>פרג`ון אורית</v>
          </cell>
          <cell r="C836" t="str">
            <v>פתוח</v>
          </cell>
          <cell r="E836">
            <v>1710</v>
          </cell>
          <cell r="G836">
            <v>17102</v>
          </cell>
          <cell r="I836" t="str">
            <v>יורש-חבר</v>
          </cell>
        </row>
        <row r="837">
          <cell r="A837">
            <v>899201</v>
          </cell>
          <cell r="B837" t="str">
            <v>רביב יעקב</v>
          </cell>
          <cell r="C837" t="str">
            <v>פתוח</v>
          </cell>
          <cell r="I837" t="str">
            <v>מוריש</v>
          </cell>
          <cell r="J837">
            <v>41258</v>
          </cell>
        </row>
        <row r="838">
          <cell r="A838">
            <v>8992011</v>
          </cell>
          <cell r="B838" t="str">
            <v>רביב דבורה</v>
          </cell>
          <cell r="C838" t="str">
            <v>פתוח</v>
          </cell>
          <cell r="E838">
            <v>2005</v>
          </cell>
          <cell r="I838" t="str">
            <v>יורש-חבר</v>
          </cell>
        </row>
        <row r="839">
          <cell r="A839">
            <v>8992012</v>
          </cell>
          <cell r="B839" t="str">
            <v>רביב טל מיכאל</v>
          </cell>
          <cell r="C839" t="str">
            <v>פתוח</v>
          </cell>
          <cell r="I839" t="str">
            <v>יורש-חוץ</v>
          </cell>
        </row>
        <row r="840">
          <cell r="A840">
            <v>8992013</v>
          </cell>
          <cell r="B840" t="str">
            <v>רביב יגאל</v>
          </cell>
          <cell r="C840" t="str">
            <v>פתוח</v>
          </cell>
          <cell r="E840">
            <v>2016</v>
          </cell>
          <cell r="I840" t="str">
            <v>יורש-חבר</v>
          </cell>
        </row>
        <row r="841">
          <cell r="A841">
            <v>8992014</v>
          </cell>
          <cell r="B841" t="str">
            <v>רביב יצחק</v>
          </cell>
          <cell r="C841" t="str">
            <v>פתוח</v>
          </cell>
          <cell r="E841">
            <v>2011</v>
          </cell>
          <cell r="I841" t="str">
            <v>יורש-חבר</v>
          </cell>
        </row>
        <row r="842">
          <cell r="A842">
            <v>8992015</v>
          </cell>
          <cell r="B842" t="str">
            <v>רביב כתריאל ניסים</v>
          </cell>
          <cell r="C842" t="str">
            <v>פתוח</v>
          </cell>
          <cell r="E842">
            <v>2028</v>
          </cell>
          <cell r="I842" t="str">
            <v>יורש-חבר</v>
          </cell>
        </row>
        <row r="843">
          <cell r="A843">
            <v>8992016</v>
          </cell>
          <cell r="B843" t="str">
            <v>רביב אבלס נעה</v>
          </cell>
          <cell r="C843" t="str">
            <v>פתוח</v>
          </cell>
          <cell r="I843" t="str">
            <v>יורש-חוץ</v>
          </cell>
        </row>
        <row r="844">
          <cell r="A844">
            <v>899202</v>
          </cell>
          <cell r="B844" t="str">
            <v>רובינשטיין רות</v>
          </cell>
          <cell r="C844" t="str">
            <v>פתוח</v>
          </cell>
          <cell r="I844" t="str">
            <v>מוריש</v>
          </cell>
          <cell r="J844">
            <v>41258</v>
          </cell>
        </row>
        <row r="845">
          <cell r="A845">
            <v>8992021</v>
          </cell>
          <cell r="B845" t="str">
            <v>רובינשטיין אליהו</v>
          </cell>
          <cell r="C845" t="str">
            <v>סגור</v>
          </cell>
          <cell r="I845" t="str">
            <v>יורש-חבר</v>
          </cell>
        </row>
        <row r="846">
          <cell r="A846">
            <v>8992022</v>
          </cell>
          <cell r="B846" t="str">
            <v>רמון סילבי</v>
          </cell>
          <cell r="C846" t="str">
            <v>פתוח</v>
          </cell>
          <cell r="E846">
            <v>2008</v>
          </cell>
          <cell r="G846">
            <v>20082</v>
          </cell>
          <cell r="I846" t="str">
            <v>יורש-חבר</v>
          </cell>
        </row>
        <row r="847">
          <cell r="A847">
            <v>8992023</v>
          </cell>
          <cell r="B847" t="str">
            <v>ברוך יהודית</v>
          </cell>
          <cell r="C847" t="str">
            <v>פתוח</v>
          </cell>
          <cell r="I847" t="str">
            <v>יורש-חוץ</v>
          </cell>
        </row>
        <row r="848">
          <cell r="A848">
            <v>8992024</v>
          </cell>
          <cell r="B848" t="str">
            <v>בולר חנה</v>
          </cell>
          <cell r="C848" t="str">
            <v>פתוח</v>
          </cell>
          <cell r="I848" t="str">
            <v>יורש-חוץ</v>
          </cell>
        </row>
        <row r="849">
          <cell r="A849">
            <v>8992025</v>
          </cell>
          <cell r="B849" t="str">
            <v>פרג`ון אורית</v>
          </cell>
          <cell r="C849" t="str">
            <v>פתוח</v>
          </cell>
          <cell r="E849">
            <v>1710</v>
          </cell>
          <cell r="G849">
            <v>17102</v>
          </cell>
          <cell r="I849" t="str">
            <v>יורש-חבר</v>
          </cell>
        </row>
        <row r="850">
          <cell r="A850">
            <v>8992026</v>
          </cell>
          <cell r="B850" t="str">
            <v>רובינשטיין צבי</v>
          </cell>
          <cell r="C850" t="str">
            <v>פתוח</v>
          </cell>
          <cell r="I850" t="str">
            <v>יורש-חוץ</v>
          </cell>
        </row>
        <row r="851">
          <cell r="A851">
            <v>899203</v>
          </cell>
          <cell r="B851" t="str">
            <v>רוט יוסי</v>
          </cell>
          <cell r="C851" t="str">
            <v>פתוח</v>
          </cell>
          <cell r="I851" t="str">
            <v>מוריש</v>
          </cell>
          <cell r="J851">
            <v>41258</v>
          </cell>
        </row>
        <row r="852">
          <cell r="A852">
            <v>8992031</v>
          </cell>
          <cell r="B852" t="str">
            <v>רוט סוניה קולט</v>
          </cell>
          <cell r="C852" t="str">
            <v>סגור</v>
          </cell>
          <cell r="I852" t="str">
            <v>יורש-חבר</v>
          </cell>
        </row>
        <row r="853">
          <cell r="A853">
            <v>8992032</v>
          </cell>
          <cell r="B853" t="str">
            <v>ליפטשר עפרה</v>
          </cell>
          <cell r="C853" t="str">
            <v>פתוח</v>
          </cell>
          <cell r="E853">
            <v>1214</v>
          </cell>
          <cell r="I853" t="str">
            <v>יורש-חבר</v>
          </cell>
        </row>
        <row r="854">
          <cell r="A854">
            <v>8992033</v>
          </cell>
          <cell r="B854" t="str">
            <v>מייטליס יעל</v>
          </cell>
          <cell r="C854" t="str">
            <v>פתוח</v>
          </cell>
          <cell r="I854" t="str">
            <v>יורש-חוץ</v>
          </cell>
        </row>
        <row r="855">
          <cell r="A855">
            <v>8992034</v>
          </cell>
          <cell r="B855" t="str">
            <v>רוט צבי</v>
          </cell>
          <cell r="C855" t="str">
            <v>פתוח</v>
          </cell>
          <cell r="E855">
            <v>2017</v>
          </cell>
          <cell r="I855" t="str">
            <v>יורש-חבר</v>
          </cell>
        </row>
        <row r="856">
          <cell r="A856">
            <v>8992035</v>
          </cell>
          <cell r="B856" t="str">
            <v>ברזילי  רחל</v>
          </cell>
          <cell r="C856" t="str">
            <v>פתוח</v>
          </cell>
          <cell r="I856" t="str">
            <v>יורש-חוץ</v>
          </cell>
        </row>
        <row r="857">
          <cell r="A857">
            <v>899204</v>
          </cell>
          <cell r="B857" t="str">
            <v>רון פועה</v>
          </cell>
          <cell r="C857" t="str">
            <v>פתוח</v>
          </cell>
          <cell r="I857" t="str">
            <v>מוריש</v>
          </cell>
          <cell r="J857">
            <v>41258</v>
          </cell>
        </row>
        <row r="858">
          <cell r="A858">
            <v>8992040</v>
          </cell>
          <cell r="B858" t="str">
            <v>ברקאי ענבר</v>
          </cell>
          <cell r="C858" t="str">
            <v>פתוח</v>
          </cell>
          <cell r="I858" t="str">
            <v>יורש-חוץ</v>
          </cell>
        </row>
        <row r="859">
          <cell r="A859">
            <v>8992041</v>
          </cell>
          <cell r="B859" t="str">
            <v>פאר דפנה</v>
          </cell>
          <cell r="C859" t="str">
            <v>פתוח</v>
          </cell>
          <cell r="I859" t="str">
            <v>יורש-חוץ</v>
          </cell>
        </row>
        <row r="860">
          <cell r="A860">
            <v>8992042</v>
          </cell>
          <cell r="B860" t="str">
            <v>רון יואב</v>
          </cell>
          <cell r="C860" t="str">
            <v>פתוח</v>
          </cell>
          <cell r="E860">
            <v>2009</v>
          </cell>
          <cell r="I860" t="str">
            <v>יורש-חבר</v>
          </cell>
        </row>
        <row r="861">
          <cell r="A861">
            <v>8992043</v>
          </cell>
          <cell r="B861" t="str">
            <v>רון אירית</v>
          </cell>
          <cell r="C861" t="str">
            <v>פתוח</v>
          </cell>
          <cell r="E861">
            <v>2003</v>
          </cell>
          <cell r="I861" t="str">
            <v>יורש-חבר</v>
          </cell>
        </row>
        <row r="862">
          <cell r="A862">
            <v>8992044</v>
          </cell>
          <cell r="B862" t="str">
            <v>רון אורי</v>
          </cell>
          <cell r="C862" t="str">
            <v>פתוח</v>
          </cell>
          <cell r="I862" t="str">
            <v>יורש-חוץ</v>
          </cell>
        </row>
        <row r="863">
          <cell r="A863">
            <v>8992045</v>
          </cell>
          <cell r="B863" t="str">
            <v>פאר גיא</v>
          </cell>
          <cell r="C863" t="str">
            <v>פתוח</v>
          </cell>
          <cell r="I863" t="str">
            <v>יורש-חוץ</v>
          </cell>
        </row>
        <row r="864">
          <cell r="A864">
            <v>8992046</v>
          </cell>
          <cell r="B864" t="str">
            <v>רון משה</v>
          </cell>
          <cell r="C864" t="str">
            <v>פתוח</v>
          </cell>
          <cell r="I864" t="str">
            <v>יורש-חוץ</v>
          </cell>
        </row>
        <row r="865">
          <cell r="A865">
            <v>8992047</v>
          </cell>
          <cell r="B865" t="str">
            <v>רון -עמית נגה</v>
          </cell>
          <cell r="C865" t="str">
            <v>פתוח</v>
          </cell>
          <cell r="I865" t="str">
            <v>יורש-חוץ</v>
          </cell>
        </row>
        <row r="866">
          <cell r="A866">
            <v>8992048</v>
          </cell>
          <cell r="B866" t="str">
            <v>פאר סער</v>
          </cell>
          <cell r="C866" t="str">
            <v>פתוח</v>
          </cell>
          <cell r="I866" t="str">
            <v>יורש-חוץ</v>
          </cell>
        </row>
        <row r="867">
          <cell r="A867">
            <v>8992049</v>
          </cell>
          <cell r="B867" t="str">
            <v>רון עדי</v>
          </cell>
          <cell r="C867" t="str">
            <v>פתוח</v>
          </cell>
          <cell r="I867" t="str">
            <v>יורש-חוץ</v>
          </cell>
        </row>
        <row r="868">
          <cell r="A868">
            <v>89920491</v>
          </cell>
          <cell r="B868" t="str">
            <v>פאר- לוי שירי</v>
          </cell>
          <cell r="C868" t="str">
            <v>פתוח</v>
          </cell>
          <cell r="I868" t="str">
            <v>יורש-חוץ</v>
          </cell>
        </row>
        <row r="869">
          <cell r="A869">
            <v>899205</v>
          </cell>
          <cell r="B869" t="str">
            <v>רון שלמה</v>
          </cell>
          <cell r="C869" t="str">
            <v>פתוח</v>
          </cell>
          <cell r="I869" t="str">
            <v>מוריש</v>
          </cell>
          <cell r="J869">
            <v>41258</v>
          </cell>
        </row>
        <row r="870">
          <cell r="A870">
            <v>8992050</v>
          </cell>
          <cell r="B870" t="str">
            <v>פאר- לוי שירי</v>
          </cell>
          <cell r="C870" t="str">
            <v>פתוח</v>
          </cell>
          <cell r="I870" t="str">
            <v>יורש-חוץ</v>
          </cell>
        </row>
        <row r="871">
          <cell r="A871">
            <v>8992051</v>
          </cell>
          <cell r="B871" t="str">
            <v>רון יואב</v>
          </cell>
          <cell r="C871" t="str">
            <v>פתוח</v>
          </cell>
          <cell r="E871">
            <v>2009</v>
          </cell>
          <cell r="I871" t="str">
            <v>יורש-חבר</v>
          </cell>
        </row>
        <row r="872">
          <cell r="A872">
            <v>8992052</v>
          </cell>
          <cell r="B872" t="str">
            <v>רון אירית</v>
          </cell>
          <cell r="C872" t="str">
            <v>פתוח</v>
          </cell>
          <cell r="E872">
            <v>2003</v>
          </cell>
          <cell r="I872" t="str">
            <v>יורש-חבר</v>
          </cell>
        </row>
        <row r="873">
          <cell r="A873">
            <v>8992053</v>
          </cell>
          <cell r="B873" t="str">
            <v>פאר דפנה</v>
          </cell>
          <cell r="C873" t="str">
            <v>פתוח</v>
          </cell>
          <cell r="I873" t="str">
            <v>יורש-חוץ</v>
          </cell>
        </row>
        <row r="874">
          <cell r="A874">
            <v>8992054</v>
          </cell>
          <cell r="B874" t="str">
            <v>רון אורי</v>
          </cell>
          <cell r="C874" t="str">
            <v>פתוח</v>
          </cell>
          <cell r="I874" t="str">
            <v>יורש-חוץ</v>
          </cell>
        </row>
        <row r="875">
          <cell r="A875">
            <v>8992055</v>
          </cell>
          <cell r="B875" t="str">
            <v>רון משה</v>
          </cell>
          <cell r="C875" t="str">
            <v>פתוח</v>
          </cell>
          <cell r="I875" t="str">
            <v>יורש-חוץ</v>
          </cell>
        </row>
        <row r="876">
          <cell r="A876">
            <v>8992056</v>
          </cell>
          <cell r="B876" t="str">
            <v>רון עדי</v>
          </cell>
          <cell r="C876" t="str">
            <v>פתוח</v>
          </cell>
          <cell r="I876" t="str">
            <v>יורש-חוץ</v>
          </cell>
        </row>
        <row r="877">
          <cell r="A877">
            <v>8992057</v>
          </cell>
          <cell r="B877" t="str">
            <v>רון- עמית נוגה</v>
          </cell>
          <cell r="C877" t="str">
            <v>פתוח</v>
          </cell>
          <cell r="I877" t="str">
            <v>יורש-חוץ</v>
          </cell>
        </row>
        <row r="878">
          <cell r="A878">
            <v>8992058</v>
          </cell>
          <cell r="B878" t="str">
            <v>ברקאי ענבר</v>
          </cell>
          <cell r="C878" t="str">
            <v>פתוח</v>
          </cell>
          <cell r="I878" t="str">
            <v>יורש-חוץ</v>
          </cell>
        </row>
        <row r="879">
          <cell r="A879">
            <v>8992059</v>
          </cell>
          <cell r="B879" t="str">
            <v>פאר סער</v>
          </cell>
          <cell r="C879" t="str">
            <v>פתוח</v>
          </cell>
          <cell r="I879" t="str">
            <v>יורש-חוץ</v>
          </cell>
        </row>
        <row r="880">
          <cell r="A880">
            <v>89920591</v>
          </cell>
          <cell r="B880" t="str">
            <v>פאר גיא</v>
          </cell>
          <cell r="C880" t="str">
            <v>פתוח</v>
          </cell>
          <cell r="I880" t="str">
            <v>יורש-חוץ</v>
          </cell>
        </row>
        <row r="881">
          <cell r="A881">
            <v>89920592</v>
          </cell>
          <cell r="B881" t="str">
            <v>פאר- לוי שירי</v>
          </cell>
          <cell r="C881" t="str">
            <v>פתוח</v>
          </cell>
          <cell r="I881" t="str">
            <v>יורש-חוץ</v>
          </cell>
        </row>
        <row r="882">
          <cell r="A882">
            <v>899206</v>
          </cell>
          <cell r="B882" t="str">
            <v>רוט סוניה</v>
          </cell>
          <cell r="C882" t="str">
            <v>פתוח</v>
          </cell>
          <cell r="I882" t="str">
            <v>מוריש</v>
          </cell>
          <cell r="J882">
            <v>43630</v>
          </cell>
        </row>
        <row r="883">
          <cell r="A883">
            <v>8992060</v>
          </cell>
          <cell r="B883" t="str">
            <v>פאר- לוי שירי</v>
          </cell>
          <cell r="C883" t="str">
            <v>סגור</v>
          </cell>
          <cell r="I883" t="str">
            <v>יורש-חוץ</v>
          </cell>
        </row>
        <row r="884">
          <cell r="A884">
            <v>8992061</v>
          </cell>
          <cell r="B884" t="str">
            <v>פאר גיא</v>
          </cell>
          <cell r="C884" t="str">
            <v>סגור</v>
          </cell>
          <cell r="I884" t="str">
            <v>יורש-חוץ</v>
          </cell>
        </row>
        <row r="885">
          <cell r="A885">
            <v>8992062</v>
          </cell>
          <cell r="B885" t="str">
            <v>ליפטשר עפרה</v>
          </cell>
          <cell r="C885" t="str">
            <v>פתוח</v>
          </cell>
          <cell r="E885">
            <v>1214</v>
          </cell>
          <cell r="I885" t="str">
            <v>יורש-חבר</v>
          </cell>
        </row>
        <row r="886">
          <cell r="A886">
            <v>8992063</v>
          </cell>
          <cell r="B886" t="str">
            <v>מייטליס יעל</v>
          </cell>
          <cell r="C886" t="str">
            <v>פתוח</v>
          </cell>
          <cell r="I886" t="str">
            <v>יורש-חוץ</v>
          </cell>
        </row>
        <row r="887">
          <cell r="A887">
            <v>8992064</v>
          </cell>
          <cell r="B887" t="str">
            <v>רוט צבי</v>
          </cell>
          <cell r="C887" t="str">
            <v>פתוח</v>
          </cell>
          <cell r="E887">
            <v>2017</v>
          </cell>
          <cell r="I887" t="str">
            <v>יורש-חבר</v>
          </cell>
        </row>
        <row r="888">
          <cell r="A888">
            <v>8992065</v>
          </cell>
          <cell r="B888" t="str">
            <v>ברזילי  רחל</v>
          </cell>
          <cell r="C888" t="str">
            <v>פתוח</v>
          </cell>
          <cell r="I888" t="str">
            <v>יורש-חוץ</v>
          </cell>
        </row>
        <row r="889">
          <cell r="A889">
            <v>899210</v>
          </cell>
          <cell r="B889" t="str">
            <v>שלסינגר יוסף</v>
          </cell>
          <cell r="C889" t="str">
            <v>פתוח</v>
          </cell>
          <cell r="I889" t="str">
            <v>מוריש</v>
          </cell>
          <cell r="J889">
            <v>43586</v>
          </cell>
        </row>
        <row r="890">
          <cell r="A890">
            <v>8992101</v>
          </cell>
          <cell r="B890" t="str">
            <v>שלסינגר מרים</v>
          </cell>
          <cell r="C890" t="str">
            <v>סגור</v>
          </cell>
          <cell r="E890">
            <v>2107</v>
          </cell>
          <cell r="I890" t="str">
            <v>יורש-חבר</v>
          </cell>
        </row>
        <row r="891">
          <cell r="A891">
            <v>89921073</v>
          </cell>
          <cell r="B891" t="str">
            <v>שלסינגר מרים</v>
          </cell>
          <cell r="C891" t="str">
            <v>פתוח</v>
          </cell>
          <cell r="E891">
            <v>2107</v>
          </cell>
          <cell r="I891" t="str">
            <v>מוריש</v>
          </cell>
          <cell r="J891">
            <v>45770</v>
          </cell>
        </row>
        <row r="892">
          <cell r="A892">
            <v>899211</v>
          </cell>
          <cell r="B892" t="str">
            <v>שאול פנינה</v>
          </cell>
          <cell r="C892" t="str">
            <v>פתוח</v>
          </cell>
          <cell r="I892" t="str">
            <v>מוריש</v>
          </cell>
          <cell r="J892">
            <v>41258</v>
          </cell>
        </row>
        <row r="893">
          <cell r="A893">
            <v>8992111</v>
          </cell>
          <cell r="B893" t="str">
            <v>שאול אבי</v>
          </cell>
          <cell r="C893" t="str">
            <v>פתוח</v>
          </cell>
          <cell r="I893" t="str">
            <v>יורש-חוץ</v>
          </cell>
        </row>
        <row r="894">
          <cell r="A894">
            <v>8992112</v>
          </cell>
          <cell r="B894" t="str">
            <v>שאול- דדוש אורלי</v>
          </cell>
          <cell r="C894" t="str">
            <v>פתוח</v>
          </cell>
          <cell r="I894" t="str">
            <v>יורש-חוץ</v>
          </cell>
        </row>
        <row r="895">
          <cell r="A895">
            <v>8992113</v>
          </cell>
          <cell r="B895" t="str">
            <v>שאול אריה</v>
          </cell>
          <cell r="C895" t="str">
            <v>פתוח</v>
          </cell>
          <cell r="E895">
            <v>2110</v>
          </cell>
          <cell r="I895" t="str">
            <v>יורש-חבר</v>
          </cell>
        </row>
        <row r="896">
          <cell r="A896">
            <v>8992114</v>
          </cell>
          <cell r="B896" t="str">
            <v>שאול יובל</v>
          </cell>
          <cell r="C896" t="str">
            <v>פתוח</v>
          </cell>
          <cell r="I896" t="str">
            <v>יורש-חוץ</v>
          </cell>
        </row>
        <row r="897">
          <cell r="A897">
            <v>899212</v>
          </cell>
          <cell r="B897" t="str">
            <v>שדמי יצחק</v>
          </cell>
          <cell r="C897" t="str">
            <v>פתוח</v>
          </cell>
          <cell r="I897" t="str">
            <v>מוריש</v>
          </cell>
          <cell r="J897">
            <v>41258</v>
          </cell>
        </row>
        <row r="898">
          <cell r="A898">
            <v>8992121</v>
          </cell>
          <cell r="B898" t="str">
            <v>בובליל ברוריה</v>
          </cell>
          <cell r="C898" t="str">
            <v>פתוח</v>
          </cell>
          <cell r="I898" t="str">
            <v>יורש-חוץ</v>
          </cell>
        </row>
        <row r="899">
          <cell r="A899">
            <v>8992122</v>
          </cell>
          <cell r="B899" t="str">
            <v>לאונגר דבורה</v>
          </cell>
          <cell r="C899" t="str">
            <v>פתוח</v>
          </cell>
          <cell r="E899">
            <v>1215</v>
          </cell>
          <cell r="I899" t="str">
            <v>יורש-חבר</v>
          </cell>
        </row>
        <row r="900">
          <cell r="A900">
            <v>8992123</v>
          </cell>
          <cell r="B900" t="str">
            <v>שדמי מנחם</v>
          </cell>
          <cell r="C900" t="str">
            <v>פתוח</v>
          </cell>
          <cell r="I900" t="str">
            <v>יורש-חוץ</v>
          </cell>
        </row>
        <row r="901">
          <cell r="A901">
            <v>899213</v>
          </cell>
          <cell r="B901" t="str">
            <v>שדמי לאה</v>
          </cell>
          <cell r="C901" t="str">
            <v>פתוח</v>
          </cell>
          <cell r="I901" t="str">
            <v>מוריש</v>
          </cell>
          <cell r="J901">
            <v>41258</v>
          </cell>
        </row>
        <row r="902">
          <cell r="A902">
            <v>8992131</v>
          </cell>
          <cell r="B902" t="str">
            <v>בובליל ברוריה</v>
          </cell>
          <cell r="C902" t="str">
            <v>פתוח</v>
          </cell>
          <cell r="I902" t="str">
            <v>יורש-חוץ</v>
          </cell>
        </row>
        <row r="903">
          <cell r="A903">
            <v>8992132</v>
          </cell>
          <cell r="B903" t="str">
            <v>לאונגר דבורה</v>
          </cell>
          <cell r="C903" t="str">
            <v>פתוח</v>
          </cell>
          <cell r="E903">
            <v>1215</v>
          </cell>
          <cell r="I903" t="str">
            <v>יורש-חבר</v>
          </cell>
        </row>
        <row r="904">
          <cell r="A904">
            <v>8992133</v>
          </cell>
          <cell r="B904" t="str">
            <v>שדמי מנחם</v>
          </cell>
          <cell r="C904" t="str">
            <v>פתוח</v>
          </cell>
          <cell r="I904" t="str">
            <v>יורש-חוץ</v>
          </cell>
        </row>
        <row r="905">
          <cell r="A905">
            <v>899214</v>
          </cell>
          <cell r="B905" t="str">
            <v>שילה שמעון</v>
          </cell>
          <cell r="C905" t="str">
            <v>פתוח</v>
          </cell>
          <cell r="I905" t="str">
            <v>מוריש</v>
          </cell>
          <cell r="J905">
            <v>41258</v>
          </cell>
        </row>
        <row r="906">
          <cell r="A906">
            <v>8992141</v>
          </cell>
          <cell r="B906" t="str">
            <v>יהודית שילה</v>
          </cell>
          <cell r="C906" t="str">
            <v>סגור</v>
          </cell>
          <cell r="I906" t="str">
            <v>יורש-חבר</v>
          </cell>
        </row>
        <row r="907">
          <cell r="A907">
            <v>8992142</v>
          </cell>
          <cell r="B907" t="str">
            <v>שילה ששון</v>
          </cell>
          <cell r="C907" t="str">
            <v>פתוח</v>
          </cell>
          <cell r="I907" t="str">
            <v>יורש-חוץ</v>
          </cell>
        </row>
        <row r="908">
          <cell r="A908">
            <v>8992143</v>
          </cell>
          <cell r="B908" t="str">
            <v>שילה יואל</v>
          </cell>
          <cell r="C908" t="str">
            <v>פתוח</v>
          </cell>
          <cell r="I908" t="str">
            <v>יורש-חוץ</v>
          </cell>
        </row>
        <row r="909">
          <cell r="A909">
            <v>8992144</v>
          </cell>
          <cell r="B909" t="str">
            <v>אנגל רוחמה</v>
          </cell>
          <cell r="C909" t="str">
            <v>פתוח</v>
          </cell>
          <cell r="I909" t="str">
            <v>יורש-חוץ</v>
          </cell>
        </row>
        <row r="910">
          <cell r="A910">
            <v>899215</v>
          </cell>
          <cell r="B910" t="str">
            <v>שפייר מרתה</v>
          </cell>
          <cell r="C910" t="str">
            <v>פתוח</v>
          </cell>
          <cell r="I910" t="str">
            <v>מוריש</v>
          </cell>
          <cell r="J910">
            <v>41258</v>
          </cell>
        </row>
        <row r="911">
          <cell r="A911">
            <v>8992151</v>
          </cell>
          <cell r="B911" t="str">
            <v>אייל חגית</v>
          </cell>
          <cell r="C911" t="str">
            <v>פתוח</v>
          </cell>
          <cell r="I911" t="str">
            <v>יורש-חוץ</v>
          </cell>
        </row>
        <row r="912">
          <cell r="A912">
            <v>8992152</v>
          </cell>
          <cell r="B912" t="str">
            <v>שפייר עודד</v>
          </cell>
          <cell r="C912" t="str">
            <v>פתוח</v>
          </cell>
          <cell r="I912" t="str">
            <v>יורש-חוץ</v>
          </cell>
        </row>
        <row r="913">
          <cell r="A913">
            <v>8992153</v>
          </cell>
          <cell r="B913" t="str">
            <v>שפייר יואב</v>
          </cell>
          <cell r="C913" t="str">
            <v>פתוח</v>
          </cell>
          <cell r="I913" t="str">
            <v>יורש-חוץ</v>
          </cell>
        </row>
        <row r="914">
          <cell r="A914">
            <v>8992154</v>
          </cell>
          <cell r="B914" t="str">
            <v>רוט ציפורה</v>
          </cell>
          <cell r="C914" t="str">
            <v>פתוח</v>
          </cell>
          <cell r="I914" t="str">
            <v>יורש-חוץ</v>
          </cell>
        </row>
        <row r="915">
          <cell r="A915">
            <v>899216</v>
          </cell>
          <cell r="B915" t="str">
            <v>שרייבר ראובן</v>
          </cell>
          <cell r="C915" t="str">
            <v>פתוח</v>
          </cell>
          <cell r="I915" t="str">
            <v>מוריש</v>
          </cell>
          <cell r="J915">
            <v>41258</v>
          </cell>
        </row>
        <row r="916">
          <cell r="A916">
            <v>8992161</v>
          </cell>
          <cell r="B916" t="str">
            <v>שרייבר מלכה</v>
          </cell>
          <cell r="C916" t="str">
            <v>פתוח</v>
          </cell>
          <cell r="E916">
            <v>2108</v>
          </cell>
          <cell r="I916" t="str">
            <v>יורש-חבר</v>
          </cell>
        </row>
        <row r="917">
          <cell r="A917">
            <v>8992162</v>
          </cell>
          <cell r="B917" t="str">
            <v>דוידוביץ הניה</v>
          </cell>
          <cell r="C917" t="str">
            <v>פתוח</v>
          </cell>
          <cell r="I917" t="str">
            <v>יורש-חוץ</v>
          </cell>
        </row>
        <row r="918">
          <cell r="A918">
            <v>8992163</v>
          </cell>
          <cell r="B918" t="str">
            <v>ורטהיימר שרה</v>
          </cell>
          <cell r="C918" t="str">
            <v>פתוח</v>
          </cell>
          <cell r="I918" t="str">
            <v>יורש-חוץ</v>
          </cell>
        </row>
        <row r="919">
          <cell r="A919">
            <v>899217</v>
          </cell>
          <cell r="B919" t="str">
            <v>שפייר יהודה</v>
          </cell>
          <cell r="C919" t="str">
            <v>פתוח</v>
          </cell>
          <cell r="I919" t="str">
            <v>מוריש</v>
          </cell>
          <cell r="J919">
            <v>41258</v>
          </cell>
        </row>
        <row r="920">
          <cell r="A920">
            <v>8992171</v>
          </cell>
          <cell r="B920" t="str">
            <v>אייל חגית</v>
          </cell>
          <cell r="C920" t="str">
            <v>פתוח</v>
          </cell>
          <cell r="I920" t="str">
            <v>יורש-חוץ</v>
          </cell>
        </row>
        <row r="921">
          <cell r="A921">
            <v>8992172</v>
          </cell>
          <cell r="B921" t="str">
            <v>שפייר עודד</v>
          </cell>
          <cell r="C921" t="str">
            <v>פתוח</v>
          </cell>
          <cell r="I921" t="str">
            <v>יורש-חוץ</v>
          </cell>
        </row>
        <row r="922">
          <cell r="A922">
            <v>8992173</v>
          </cell>
          <cell r="B922" t="str">
            <v>שפייר יואב</v>
          </cell>
          <cell r="C922" t="str">
            <v>פתוח</v>
          </cell>
          <cell r="I922" t="str">
            <v>יורש-חוץ</v>
          </cell>
        </row>
        <row r="923">
          <cell r="A923">
            <v>8992174</v>
          </cell>
          <cell r="B923" t="str">
            <v>רוט ציפורה</v>
          </cell>
          <cell r="C923" t="str">
            <v>פתוח</v>
          </cell>
          <cell r="I923" t="str">
            <v>יורש-חוץ</v>
          </cell>
        </row>
        <row r="924">
          <cell r="A924">
            <v>899218</v>
          </cell>
          <cell r="B924" t="str">
            <v>שפירא שמואל</v>
          </cell>
          <cell r="C924" t="str">
            <v>פתוח</v>
          </cell>
          <cell r="I924" t="str">
            <v>מוריש</v>
          </cell>
          <cell r="J924">
            <v>42034</v>
          </cell>
        </row>
        <row r="925">
          <cell r="A925">
            <v>8992181</v>
          </cell>
          <cell r="B925" t="str">
            <v>שפירא רחל</v>
          </cell>
          <cell r="C925" t="str">
            <v>סגור</v>
          </cell>
          <cell r="G925">
            <v>21022</v>
          </cell>
          <cell r="I925" t="str">
            <v>יורש-חבר</v>
          </cell>
        </row>
        <row r="926">
          <cell r="A926">
            <v>8992182</v>
          </cell>
          <cell r="B926" t="str">
            <v>שפירא ישעיהו</v>
          </cell>
          <cell r="C926" t="str">
            <v>פתוח</v>
          </cell>
          <cell r="I926" t="str">
            <v>יורש-חוץ</v>
          </cell>
        </row>
        <row r="927">
          <cell r="A927">
            <v>8992183</v>
          </cell>
          <cell r="B927" t="str">
            <v>שפירא חיה</v>
          </cell>
          <cell r="C927" t="str">
            <v>פתוח</v>
          </cell>
          <cell r="I927" t="str">
            <v>יורש-חוץ</v>
          </cell>
        </row>
        <row r="928">
          <cell r="A928">
            <v>8992184</v>
          </cell>
          <cell r="B928" t="str">
            <v>שלום אלי</v>
          </cell>
          <cell r="C928" t="str">
            <v>פתוח</v>
          </cell>
          <cell r="I928" t="str">
            <v>יורש-חוץ</v>
          </cell>
        </row>
        <row r="929">
          <cell r="A929">
            <v>899219</v>
          </cell>
          <cell r="B929" t="str">
            <v>שפירא רחל</v>
          </cell>
          <cell r="C929" t="str">
            <v>פתוח</v>
          </cell>
          <cell r="I929" t="str">
            <v>מוריש</v>
          </cell>
          <cell r="J929">
            <v>43456</v>
          </cell>
        </row>
        <row r="930">
          <cell r="A930">
            <v>8992191</v>
          </cell>
          <cell r="B930" t="str">
            <v>שלום אלי</v>
          </cell>
          <cell r="C930" t="str">
            <v>פתוח</v>
          </cell>
          <cell r="I930" t="str">
            <v>יורש-חוץ</v>
          </cell>
        </row>
        <row r="931">
          <cell r="A931">
            <v>8992192</v>
          </cell>
          <cell r="B931" t="str">
            <v>שפירא ישעיהו</v>
          </cell>
          <cell r="C931" t="str">
            <v>פתוח</v>
          </cell>
          <cell r="I931" t="str">
            <v>יורש-חוץ</v>
          </cell>
        </row>
        <row r="932">
          <cell r="A932">
            <v>8992193</v>
          </cell>
          <cell r="B932" t="str">
            <v>שפירא חיה</v>
          </cell>
          <cell r="C932" t="str">
            <v>פתוח</v>
          </cell>
          <cell r="I932" t="str">
            <v>יורש-חוץ</v>
          </cell>
        </row>
        <row r="933">
          <cell r="A933">
            <v>899220</v>
          </cell>
          <cell r="B933" t="str">
            <v>שטרומר קלמן</v>
          </cell>
          <cell r="C933" t="str">
            <v>פתוח</v>
          </cell>
          <cell r="I933" t="str">
            <v>מוריש</v>
          </cell>
          <cell r="J933">
            <v>43827</v>
          </cell>
        </row>
        <row r="934">
          <cell r="A934">
            <v>8992201</v>
          </cell>
          <cell r="B934" t="str">
            <v>שטרומר רות</v>
          </cell>
          <cell r="C934" t="str">
            <v>סגור</v>
          </cell>
          <cell r="G934">
            <v>21032</v>
          </cell>
          <cell r="I934" t="str">
            <v>יורש-חבר</v>
          </cell>
        </row>
        <row r="935">
          <cell r="A935">
            <v>8992202</v>
          </cell>
          <cell r="B935" t="str">
            <v>עמירם חנה ו/או קיבוץ לביא</v>
          </cell>
          <cell r="C935" t="str">
            <v>פתוח</v>
          </cell>
          <cell r="I935" t="str">
            <v>יורש-חוץ</v>
          </cell>
        </row>
        <row r="936">
          <cell r="A936">
            <v>899221</v>
          </cell>
          <cell r="B936" t="str">
            <v>שאול יצחק</v>
          </cell>
          <cell r="C936" t="str">
            <v>פתוח</v>
          </cell>
          <cell r="I936" t="str">
            <v>מוריש</v>
          </cell>
          <cell r="J936">
            <v>43989</v>
          </cell>
        </row>
        <row r="937">
          <cell r="A937">
            <v>8992211</v>
          </cell>
          <cell r="B937" t="str">
            <v>שאול אבי</v>
          </cell>
          <cell r="C937" t="str">
            <v>פתוח</v>
          </cell>
          <cell r="I937" t="str">
            <v>יורש-חוץ</v>
          </cell>
        </row>
        <row r="938">
          <cell r="A938">
            <v>8992212</v>
          </cell>
          <cell r="B938" t="str">
            <v>שאול- דדוש אורלי</v>
          </cell>
          <cell r="C938" t="str">
            <v>פתוח</v>
          </cell>
          <cell r="I938" t="str">
            <v>יורש-חוץ</v>
          </cell>
        </row>
        <row r="939">
          <cell r="A939">
            <v>8992213</v>
          </cell>
          <cell r="B939" t="str">
            <v>שאול אריה</v>
          </cell>
          <cell r="C939" t="str">
            <v>פתוח</v>
          </cell>
          <cell r="E939">
            <v>2110</v>
          </cell>
          <cell r="I939" t="str">
            <v>יורש-חבר</v>
          </cell>
        </row>
        <row r="940">
          <cell r="A940">
            <v>8992214</v>
          </cell>
          <cell r="B940" t="str">
            <v>שאול יובל</v>
          </cell>
          <cell r="C940" t="str">
            <v>פתוח</v>
          </cell>
          <cell r="I940" t="str">
            <v>יורש-חוץ</v>
          </cell>
        </row>
        <row r="941">
          <cell r="A941">
            <v>899222</v>
          </cell>
          <cell r="B941" t="str">
            <v>שטרומר רות</v>
          </cell>
          <cell r="C941" t="str">
            <v>פתוח</v>
          </cell>
          <cell r="I941" t="str">
            <v>מוריש</v>
          </cell>
          <cell r="J941">
            <v>44197</v>
          </cell>
        </row>
        <row r="942">
          <cell r="A942">
            <v>8992221</v>
          </cell>
          <cell r="B942" t="str">
            <v>עמירם חנה ו/או קיבוץ לביא</v>
          </cell>
          <cell r="C942" t="str">
            <v>פתוח</v>
          </cell>
          <cell r="I942" t="str">
            <v>יורש-חוץ</v>
          </cell>
        </row>
        <row r="943">
          <cell r="A943">
            <v>899223</v>
          </cell>
          <cell r="B943" t="str">
            <v>שילה יהודית</v>
          </cell>
          <cell r="C943" t="str">
            <v>פתוח</v>
          </cell>
          <cell r="I943" t="str">
            <v>מוריש</v>
          </cell>
          <cell r="J943">
            <v>44309</v>
          </cell>
        </row>
        <row r="944">
          <cell r="A944">
            <v>8992231</v>
          </cell>
          <cell r="B944" t="str">
            <v>שילה ששון</v>
          </cell>
          <cell r="C944" t="str">
            <v>פתוח</v>
          </cell>
          <cell r="I944" t="str">
            <v>יורש-חוץ</v>
          </cell>
        </row>
        <row r="945">
          <cell r="A945">
            <v>8992232</v>
          </cell>
          <cell r="B945" t="str">
            <v>שילה יואל</v>
          </cell>
          <cell r="C945" t="str">
            <v>פתוח</v>
          </cell>
          <cell r="I945" t="str">
            <v>יורש-חוץ</v>
          </cell>
        </row>
        <row r="946">
          <cell r="A946">
            <v>8992233</v>
          </cell>
          <cell r="B946" t="str">
            <v>אנגל רוחמה</v>
          </cell>
          <cell r="C946" t="str">
            <v>פתוח</v>
          </cell>
          <cell r="I946" t="str">
            <v>יורש-חוץ</v>
          </cell>
        </row>
        <row r="947">
          <cell r="A947">
            <v>899224</v>
          </cell>
          <cell r="B947" t="str">
            <v>שרייבר מלכה</v>
          </cell>
          <cell r="C947" t="str">
            <v>פתוח</v>
          </cell>
          <cell r="I947" t="str">
            <v>מוריש</v>
          </cell>
          <cell r="J947">
            <v>45341</v>
          </cell>
        </row>
        <row r="948">
          <cell r="A948">
            <v>8992242</v>
          </cell>
          <cell r="B948" t="str">
            <v>דוידוביץ הניה</v>
          </cell>
          <cell r="C948" t="str">
            <v>פתוח</v>
          </cell>
          <cell r="I948" t="str">
            <v>יורש-חוץ</v>
          </cell>
        </row>
        <row r="949">
          <cell r="A949">
            <v>8992243</v>
          </cell>
          <cell r="B949" t="str">
            <v>ורטהיימר שרה</v>
          </cell>
          <cell r="C949" t="str">
            <v>פתוח</v>
          </cell>
          <cell r="I949" t="str">
            <v>יורש-חוץ</v>
          </cell>
        </row>
        <row r="950">
          <cell r="A950">
            <v>899260</v>
          </cell>
          <cell r="B950" t="str">
            <v>כרטיס פנוי</v>
          </cell>
          <cell r="C950" t="str">
            <v>פתוח</v>
          </cell>
        </row>
        <row r="951">
          <cell r="A951">
            <v>899321</v>
          </cell>
          <cell r="B951" t="str">
            <v>בן ישר מנחם</v>
          </cell>
          <cell r="C951" t="str">
            <v>פתוח</v>
          </cell>
          <cell r="I951" t="str">
            <v>מוריש</v>
          </cell>
          <cell r="J951">
            <v>44682</v>
          </cell>
        </row>
        <row r="952">
          <cell r="A952">
            <v>8993211</v>
          </cell>
          <cell r="B952" t="str">
            <v>בן ישר חדווה</v>
          </cell>
          <cell r="C952" t="str">
            <v>פתוח</v>
          </cell>
          <cell r="E952" t="str">
            <v>0201</v>
          </cell>
          <cell r="I952" t="str">
            <v>יורש-חבר</v>
          </cell>
        </row>
        <row r="953">
          <cell r="A953">
            <v>8993213</v>
          </cell>
          <cell r="B953" t="str">
            <v>בן ארצי מילכה</v>
          </cell>
          <cell r="C953" t="str">
            <v>פתוח</v>
          </cell>
          <cell r="I953" t="str">
            <v>יורש-חוץ</v>
          </cell>
        </row>
        <row r="954">
          <cell r="A954">
            <v>8993214</v>
          </cell>
          <cell r="B954" t="str">
            <v>קאבאליון אפרת</v>
          </cell>
          <cell r="C954" t="str">
            <v>פתוח</v>
          </cell>
          <cell r="I954" t="str">
            <v>יורש-חוץ</v>
          </cell>
        </row>
        <row r="955">
          <cell r="A955">
            <v>8993215</v>
          </cell>
          <cell r="B955" t="str">
            <v>סבח גינת</v>
          </cell>
          <cell r="C955" t="str">
            <v>פתוח</v>
          </cell>
          <cell r="I955" t="str">
            <v>יורש-חוץ</v>
          </cell>
        </row>
        <row r="956">
          <cell r="A956">
            <v>899322</v>
          </cell>
          <cell r="B956" t="str">
            <v>בן ישר חדוה</v>
          </cell>
          <cell r="C956" t="str">
            <v>פתוח</v>
          </cell>
          <cell r="I956" t="str">
            <v>מוריש</v>
          </cell>
          <cell r="J956">
            <v>45335</v>
          </cell>
        </row>
        <row r="957">
          <cell r="A957">
            <v>8993223</v>
          </cell>
          <cell r="B957" t="str">
            <v>בן ארצי מילכה</v>
          </cell>
          <cell r="C957" t="str">
            <v>פתוח</v>
          </cell>
          <cell r="I957" t="str">
            <v>יורש-חוץ</v>
          </cell>
        </row>
        <row r="958">
          <cell r="A958">
            <v>8993224</v>
          </cell>
          <cell r="B958" t="str">
            <v>קאבאליון אפרת</v>
          </cell>
          <cell r="C958" t="str">
            <v>פתוח</v>
          </cell>
          <cell r="I958" t="str">
            <v>יורש-חוץ</v>
          </cell>
        </row>
        <row r="959">
          <cell r="A959">
            <v>8993225</v>
          </cell>
          <cell r="B959" t="str">
            <v>סבח גינת</v>
          </cell>
          <cell r="C959" t="str">
            <v>פתוח</v>
          </cell>
          <cell r="I959" t="str">
            <v>יורש-חוץ</v>
          </cell>
        </row>
        <row r="960">
          <cell r="A960">
            <v>8994012</v>
          </cell>
          <cell r="B960" t="str">
            <v>דוידויץ רבקה</v>
          </cell>
          <cell r="C960" t="str">
            <v>פתוח</v>
          </cell>
          <cell r="E960" t="str">
            <v>0401</v>
          </cell>
          <cell r="I960" t="str">
            <v>מוריש</v>
          </cell>
          <cell r="J960">
            <v>45707</v>
          </cell>
        </row>
        <row r="961">
          <cell r="A961">
            <v>899990</v>
          </cell>
          <cell r="B961" t="str">
            <v>כספים לחלוקה משנים קודמות</v>
          </cell>
          <cell r="C961" t="str">
            <v>פתוח</v>
          </cell>
        </row>
        <row r="962">
          <cell r="A962">
            <v>8999999</v>
          </cell>
          <cell r="B962" t="str">
            <v>שיוך הון אג"ח</v>
          </cell>
          <cell r="C962" t="str">
            <v>פתוח</v>
          </cell>
        </row>
        <row r="963">
          <cell r="A963">
            <v>91031200</v>
          </cell>
          <cell r="B963" t="str">
            <v>ניכוי מס במקור</v>
          </cell>
          <cell r="C963" t="str">
            <v>פתוח</v>
          </cell>
        </row>
        <row r="964">
          <cell r="A964">
            <v>9560</v>
          </cell>
          <cell r="B964" t="str">
            <v>יתרת רווח</v>
          </cell>
          <cell r="C964" t="str">
            <v>פתוח</v>
          </cell>
        </row>
        <row r="965">
          <cell r="A965">
            <v>9565</v>
          </cell>
          <cell r="B965" t="str">
            <v>קרן הון</v>
          </cell>
          <cell r="C965" t="str">
            <v>פתוח</v>
          </cell>
        </row>
        <row r="966">
          <cell r="A966">
            <v>99999999</v>
          </cell>
          <cell r="B966" t="str">
            <v>העברת יתרות פתיחה</v>
          </cell>
          <cell r="C966" t="str">
            <v>פתוח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di" refreshedDate="45929.519247685188" createdVersion="8" refreshedVersion="8" minRefreshableVersion="3" recordCount="729" xr:uid="{9168CB10-F5AE-4F17-B215-356E27801602}">
  <cacheSource type="worksheet">
    <worksheetSource name="HEVARIM"/>
  </cacheSource>
  <cacheFields count="41">
    <cacheField name="קוד חבר" numFmtId="0">
      <sharedItems/>
    </cacheField>
    <cacheField name="שם" numFmtId="0">
      <sharedItems/>
    </cacheField>
    <cacheField name="שם משפחה" numFmtId="0">
      <sharedItems/>
    </cacheField>
    <cacheField name="פרטי" numFmtId="0">
      <sharedItems/>
    </cacheField>
    <cacheField name="מין" numFmtId="0">
      <sharedItems/>
    </cacheField>
    <cacheField name="תאריך לידה" numFmtId="14">
      <sharedItems containsSemiMixedTypes="0" containsNonDate="0" containsDate="1" containsString="0" minDate="1925-05-11T00:00:00" maxDate="2025-07-24T00:00:00"/>
    </cacheField>
    <cacheField name="גיל" numFmtId="0">
      <sharedItems containsSemiMixedTypes="0" containsString="0" containsNumber="1" containsInteger="1" minValue="0" maxValue="100"/>
    </cacheField>
    <cacheField name="קוד תקציב" numFmtId="0">
      <sharedItems containsBlank="1" count="275">
        <s v="0115"/>
        <s v="0102"/>
        <s v="0106"/>
        <s v="0107"/>
        <s v="996108"/>
        <s v="0109"/>
        <s v="0110"/>
        <s v="0111"/>
        <s v="0112"/>
        <s v="0145"/>
        <s v="0114"/>
        <s v="0601"/>
        <s v="0118"/>
        <s v="0119"/>
        <s v="2032"/>
        <s v="0120"/>
        <s v="0121"/>
        <s v="0123"/>
        <s v="0125"/>
        <s v="0126"/>
        <s v="0147"/>
        <s v="0130"/>
        <s v="0308"/>
        <s v="0404"/>
        <s v="0522"/>
        <s v="0702"/>
        <s v="0134"/>
        <s v="991106"/>
        <s v="1232"/>
        <s v="91508"/>
        <s v="1724"/>
        <s v="6142"/>
        <s v="0136"/>
        <s v="0144"/>
        <s v="0149"/>
        <s v="0151"/>
        <s v="0310"/>
        <s v="0703"/>
        <s v="0146"/>
        <s v="1250"/>
        <s v="0148"/>
        <s v="91509"/>
        <s v="1901"/>
        <s v="0202"/>
        <s v="0206"/>
        <s v="0211"/>
        <s v="2034"/>
        <s v="0212"/>
        <s v="0214"/>
        <s v="0216"/>
        <s v="0217"/>
        <s v="0218"/>
        <s v="0219"/>
        <s v="0220"/>
        <s v="2035"/>
        <s v="0108"/>
        <s v="0224"/>
        <s v="0226"/>
        <s v="0258"/>
        <s v="0311"/>
        <s v="0227"/>
        <s v="1511"/>
        <s v="1701"/>
        <s v="1725"/>
        <s v="0237"/>
        <s v="1726"/>
        <s v="0249"/>
        <s v="2004"/>
        <s v="2023"/>
        <s v="0250"/>
        <s v="2024"/>
        <s v="2125"/>
        <s v="0252"/>
        <s v="2208"/>
        <s v="1110"/>
        <s v="1912"/>
        <s v="2027"/>
        <s v="0256"/>
        <s v="0113"/>
        <s v="0301"/>
        <s v="0302"/>
        <s v="0303"/>
        <s v="0304"/>
        <s v="0305"/>
        <s v="0306"/>
        <s v="0129"/>
        <s v="1001"/>
        <s v="1007"/>
        <s v="1915"/>
        <s v="0307"/>
        <s v="2017"/>
        <s v="2040"/>
        <s v="2042"/>
        <s v="0309"/>
        <s v="0320"/>
        <s v="1223"/>
        <s v="0312"/>
        <s v="0510"/>
        <s v="1005"/>
        <s v="2020"/>
        <s v="0805"/>
        <s v="0314"/>
        <s v="0315"/>
        <s v="0317"/>
        <s v="1261"/>
        <s v="2028"/>
        <s v="0613"/>
        <s v="1503"/>
        <s v="1913"/>
        <s v="0403"/>
        <s v="0405"/>
        <s v="0406"/>
        <s v="0407"/>
        <s v="0408"/>
        <s v="0411"/>
        <s v="1004"/>
        <s v="0413"/>
        <s v="0502"/>
        <s v="0504"/>
        <s v="0505"/>
        <s v="0506"/>
        <s v="0507"/>
        <s v="0509"/>
        <s v="1214"/>
        <s v="1219"/>
        <s v="0511"/>
        <s v="1301"/>
        <s v="1914"/>
        <s v="1923"/>
        <s v="0514"/>
        <s v="2030"/>
        <s v="0523"/>
        <s v="0701"/>
        <s v="0815"/>
        <s v="1107"/>
        <s v="1935"/>
        <s v="0603"/>
        <s v="0604"/>
        <s v="0605"/>
        <s v="0606"/>
        <s v="0608"/>
        <s v="0609"/>
        <s v="2022"/>
        <s v="2113"/>
        <s v="2115"/>
        <s v="2119"/>
        <s v="2122"/>
        <s v="0614"/>
        <s v="0620"/>
        <s v="1112"/>
        <s v="1119"/>
        <s v="0705"/>
        <s v="1218"/>
        <s v="1922"/>
        <s v="0706"/>
        <s v="0708"/>
        <s v="0803"/>
        <s v="0804"/>
        <s v="0813"/>
        <s v="1224"/>
        <s v="0816"/>
        <s v="1002"/>
        <s v="1003"/>
        <s v="2118"/>
        <s v="1008"/>
        <s v="1011"/>
        <s v="1013"/>
        <s v="1014"/>
        <s v="1102"/>
        <s v="1103"/>
        <s v="1104"/>
        <s v="1109"/>
        <s v="1113"/>
        <s v="1115"/>
        <s v="1202"/>
        <s v="1203"/>
        <s v="1204"/>
        <s v="1205"/>
        <s v="1207"/>
        <s v="1208"/>
        <s v="1209"/>
        <s v="1210"/>
        <s v="1211"/>
        <s v="1212"/>
        <s v="1213"/>
        <s v="1215"/>
        <s v="1216"/>
        <s v="1222"/>
        <s v="1226"/>
        <s v="2101"/>
        <s v="1230"/>
        <s v="1235"/>
        <s v="1239"/>
        <s v="1303"/>
        <s v="1304"/>
        <s v="1305"/>
        <s v="1306"/>
        <s v="1401"/>
        <s v="1501"/>
        <s v="1502"/>
        <s v="1506"/>
        <s v="2031"/>
        <s v="1510"/>
        <s v="1512"/>
        <s v="1602"/>
        <s v="1607"/>
        <s v="1703"/>
        <s v="1706"/>
        <s v="1707"/>
        <s v="1708"/>
        <s v="1710"/>
        <s v="1712"/>
        <s v="1714"/>
        <s v="1722"/>
        <s v="1904"/>
        <s v="1905"/>
        <s v="1906"/>
        <s v="1907"/>
        <s v="1908"/>
        <s v="1910"/>
        <s v="1911"/>
        <s v="1917"/>
        <s v="1918"/>
        <s v="1924"/>
        <s v="1926"/>
        <s v="1931"/>
        <s v="2121"/>
        <s v="2001"/>
        <s v="2003"/>
        <s v="2005"/>
        <s v="2006"/>
        <s v="2007"/>
        <s v="2008"/>
        <s v="2009"/>
        <s v="2010"/>
        <s v="2011"/>
        <s v="2012"/>
        <s v="2014"/>
        <s v="2016"/>
        <s v="2033"/>
        <s v="2036"/>
        <s v="2038"/>
        <s v="2039"/>
        <s v="2041"/>
        <s v="2043"/>
        <s v="2044"/>
        <s v="2045"/>
        <s v="2046"/>
        <s v="2047"/>
        <s v="2050"/>
        <s v="2102"/>
        <s v="2109"/>
        <s v="2110"/>
        <s v="2111"/>
        <s v="2117"/>
        <s v="2120"/>
        <s v="2123"/>
        <s v="2201"/>
        <s v="2203"/>
        <s v="2209"/>
        <s v="6103"/>
        <s v="6104"/>
        <s v="6105"/>
        <s v="6109"/>
        <s v="6111"/>
        <s v="6112"/>
        <s v="6122"/>
        <s v="6126"/>
        <s v="6132"/>
        <s v="6134"/>
        <s v="9996135"/>
        <s v="6137"/>
        <s v="6138"/>
        <s v="6139"/>
        <m/>
      </sharedItems>
    </cacheField>
    <cacheField name="תאור תקציב" numFmtId="0">
      <sharedItems containsBlank="1" count="275">
        <s v="אלדד נפתלי ומאשי"/>
        <s v="אלדד רוניאל"/>
        <s v="אריאל חנן וענת"/>
        <s v="אורן יהודה והניה"/>
        <s v="צהלי-שימוש בקראון"/>
        <s v="אמיתי אליעזר ופרדי"/>
        <s v="אדלר מרדכי"/>
        <s v="אמיר מיכה ותמר"/>
        <s v="אלירז שמואל ועפרה"/>
        <s v="אביעד נטע"/>
        <s v="אביעד עמיחי ורבקה"/>
        <s v="פרץ עומר וצופיה"/>
        <s v="אריאל אסף ואלישבע"/>
        <s v="קפלן שמואל וחני )אלדד("/>
        <s v="רביב טליה"/>
        <s v="אריאל נעמה"/>
        <s v="אלדד מוטי"/>
        <s v="אונגר משה"/>
        <s v="אדלר בלימה"/>
        <s v="אביעד ברק ושיר"/>
        <s v="אלדד חן"/>
        <s v="אריאל יאיר ואילת"/>
        <s v="גביר ארז ונטע"/>
        <s v="דורון מור"/>
        <s v="המר אלמוג"/>
        <s v="זיסק דביר"/>
        <s v="אלדד שלומי ונעה"/>
        <s v="כהן ידעיה"/>
        <s v="לזר עידן"/>
        <s v="סהר אופק"/>
        <s v="פז יצחק"/>
        <s v="בקרה הנה&quot;ח - י.נ"/>
        <s v="שפר אלדד מעיין"/>
        <s v="אריה צוריאל ואורלי"/>
        <s v="אמיר מורן"/>
        <s v="אמיר יצחק"/>
        <s v="גביר אלון ואור"/>
        <s v="רדה דניאל ועטרה"/>
        <s v="אלדד נעם ושי"/>
        <s v="לזר שוהם"/>
        <s v="שושן-המר אדווה"/>
        <s v="סהר יהב"/>
        <s v="קרן יהונתן"/>
        <s v="ברודי אמנון אתי"/>
        <s v="בן יעקב שאולה"/>
        <s v="ברודי נעם וקרן"/>
        <s v="רביב יובל"/>
        <s v="בירנבאום צביקה ואורה"/>
        <s v="בן חמו סרג` ורחל"/>
        <s v="בר פלד יואב וחנה"/>
        <s v="ברודי אלחנן ורחל"/>
        <s v="בן טל רפי ושושנה"/>
        <s v="בשן בנימין ורחל"/>
        <s v="בן עמי צבי והדסה"/>
        <s v="רייך שני"/>
        <s v="אלדד שי"/>
        <s v="ברבן יונתן"/>
        <s v="בר מאור ושלי"/>
        <s v="ברבן גיא"/>
        <s v="גביר אוריה"/>
        <s v="ברודי עודד ואביבית"/>
        <s v="סולומון נתנאל"/>
        <s v="פז שירה"/>
        <s v="פרג`ון אפרת"/>
        <s v="ברבן אבי ותמי"/>
        <s v="רוזנברג נעם ורננה"/>
        <s v="עובדיה לוטם"/>
        <s v="רוט קרן"/>
        <s v="רביב רותם"/>
        <s v="בן עמי ירדן ודנה"/>
        <s v="רימון אופיר"/>
        <s v="בוהרון אלירם והדס"/>
        <s v="בן אהרון ערן ודפנה"/>
        <s v="רקובסקי עידן ופריאל )תורג`מן("/>
        <s v="כהן יזרעאל"/>
        <s v="קרן טליה"/>
        <s v="רגב רביד"/>
        <s v="בירנבאום זמיר"/>
        <s v="בן דוד )אלדד( רינה"/>
        <s v="גוטליב דב ונעמי"/>
        <s v="גלבוע מרדכי ז&quot;ל וחנה"/>
        <s v="גרינבלט משה ורותי"/>
        <s v="גביר שמואל ואילה"/>
        <s v="גרייסמן אורי וחנה"/>
        <s v="גוזלנד שמעון ומוריה"/>
        <s v="קדמון נועם וצליל"/>
        <s v="יקיר שחר"/>
        <s v="יוגב מעין"/>
        <s v="קרליבך עדי"/>
        <s v="גוטליב ידידיה ואהבה"/>
        <s v="רוט צבי ונורית"/>
        <s v="רחמים שירה"/>
        <s v="עמיאל בראל ורון"/>
        <s v="גלבוע נעם"/>
        <s v="גלבוע נעה"/>
        <s v="לבבי נחום ושלומית"/>
        <s v="כרמל איתמר ולימור"/>
        <s v="הולצר מוטי ולאה"/>
        <s v="יקיר הראל ואורית"/>
        <s v="רימון ארנון וסימי"/>
        <s v="חורש עופר ולידור"/>
        <s v="גוטליב נעם"/>
        <s v="גביר אביה"/>
        <s v="גורי יעקב ונעמי"/>
        <s v="לבקוביץ ירון ועטרה"/>
        <s v="רביב כתי ולאה"/>
        <s v="ויסטוך משה ונעה"/>
        <s v="סהר אבשלום ונעמה"/>
        <s v="קרן בני ורחלי"/>
        <s v="דורון גבי וברנדה"/>
        <s v="ריינר הראל ומעין"/>
        <s v="דורון יצחק ואילנה"/>
        <s v="דבורקין שמעון ורחל"/>
        <s v="דורון מירב"/>
        <s v="דבורקין דגן ואופיר"/>
        <s v="יוגב ענת"/>
        <s v="דורון אסף"/>
        <s v="הרטוב שרה"/>
        <s v="המר בועז ודליה"/>
        <s v="המר יוסי ונילי"/>
        <s v="הרטוב חגי וניצה"/>
        <s v="הופמן אבי ושולי"/>
        <s v="המר שחף"/>
        <s v="ליפטשר אבינועם ועופרה"/>
        <s v="לבבי נחומי ושני"/>
        <s v="הופמן אלעד ואלדר"/>
        <s v="מידב כפיר ורחל"/>
        <s v="קרליבך יצחק וורד"/>
        <s v="קליין דן וחדוה"/>
        <s v="הופמן אוריה וגל"/>
        <s v="ראבינסאן דגן ומירית"/>
        <s v="הבר נעם ושירה"/>
        <s v="זיסק ישראל וגלית"/>
        <s v="חסון טל וחגית"/>
        <s v="כהן יוני וטלי"/>
        <s v="קליין יוחאי ושלומית"/>
        <s v="וולברג משה ז&quot;ל ומרים"/>
        <s v="וייס יזהר"/>
        <s v="וילדשטיין דוד ורותי"/>
        <s v="וייס שלמה ותמי"/>
        <s v="וילק שרגא ואילנה"/>
        <s v="וייס גיל"/>
        <s v="רייך ענת"/>
        <s v="שאול איתי ויעל"/>
        <s v="שוורץ רוני ושיראל"/>
        <s v="שיין נפתלי וגילה"/>
        <s v="שרעבי אביאל ואסנת"/>
        <s v="וילק נדב ואורטל"/>
        <s v="וייס מתן"/>
        <s v="כהן בועז ותמר"/>
        <s v="כהן שרון ושמחה"/>
        <s v="זיו עמית ואסתי"/>
        <s v="לזר מיקי וריקי"/>
        <s v="קרליבך ישי ונועה"/>
        <s v="זיסק שלומציון"/>
        <s v="זיסק תפארת"/>
        <s v="חורש אבנר וחני"/>
        <s v="חורש גדי ושרי"/>
        <s v="גדסי מיכאל ותמר"/>
        <s v="לאופר יובל ואורנית"/>
        <s v="חסין משה ושלומית"/>
        <s v="יקיר גדעון ומרים"/>
        <s v="ישורון שמשון ורותי"/>
        <s v="דורון רותם"/>
        <s v="יורקביץ בר יוחאי"/>
        <s v="יוגב מינו"/>
        <s v="יוגב רועי"/>
        <s v="יוגב אור"/>
        <s v="כפיר קלי ויהודית"/>
        <s v="כלפה רותי"/>
        <s v="כהן דוד ונחמי"/>
        <s v="כהן אלדד והודיה"/>
        <s v="כהן הראל    עוזיה"/>
        <s v="פלג יואב ורוני )כהן("/>
        <s v="לבבי נטע"/>
        <s v="לבנה מרים"/>
        <s v="לבבי הלל"/>
        <s v="לבבי אליהו ונעמי"/>
        <s v="לבבי צבי וחנה"/>
        <s v="לאופר שמעון ותמר"/>
        <s v="ליבוביץ משה ושורי"/>
        <s v="לייקוב חיים ולאה"/>
        <s v="לזר מרים"/>
        <s v="לבבי מתנאל"/>
        <s v="הורן יהודה ויעל"/>
        <s v="לאונגר משה ודבורה"/>
        <s v="ליפטשר דוד ואלישבע"/>
        <s v="לזר איתמר וליאורה"/>
        <s v="לבבי טליה"/>
        <s v="דימנט דביר ורננה"/>
        <s v="לייקוב בתיה"/>
        <s v="לאופר שחר ועדי"/>
        <s v="לבבי יוסף וליאור"/>
        <s v="מידב לשם"/>
        <s v="מור יוסף אליה ושילת"/>
        <s v="מידב לביא"/>
        <s v="מנשאוף שלומית ויאיר"/>
        <s v="נדיבי רבקה"/>
        <s v="סוקל רחל"/>
        <s v="סולומון אייזיק וקלר"/>
        <s v="קדוש נסאל ואליענה"/>
        <s v="לוי נדב ואביב )רגב("/>
        <s v="סהר תהל"/>
        <s v="סהר דולב"/>
        <s v="עובדיה ישראל ווונדי"/>
        <s v="גרוס אלעד ואביב"/>
        <s v="פורת אסתר"/>
        <s v="פטרסון אליהו וג`נט"/>
        <s v="פליישמן ברוך ואסי"/>
        <s v="פז תמי"/>
        <s v="פרג`ון מוטי ואורית"/>
        <s v="פליישמן דורי ודינה"/>
        <s v="גוב ארי מוטי ואורטל"/>
        <s v="פרג`ון נוה ושקד"/>
        <s v="קרליבך יובל"/>
        <s v="קרן אסתר"/>
        <s v="קלוש אריה ושלומית"/>
        <s v="קליין משה ונאוה"/>
        <s v="קראוס נחמיה ושלומית"/>
        <s v="קרליבך רועי ועינב"/>
        <s v="קרליבך דוד ומיכל"/>
        <s v="קרן נויה"/>
        <s v="קרן מוריה"/>
        <s v="קרליבך הילה"/>
        <s v="קרן הדר"/>
        <s v="ספיר תומר ונעמה"/>
        <s v="אלבז שריה ומוריה"/>
        <s v="רוט שירה"/>
        <s v="רון אירית"/>
        <s v="רביב דבורה"/>
        <s v="רוזנברג יעקב ועפרה"/>
        <s v="רייך גלעד ויפעת"/>
        <s v="רימון שלמה וסלבי"/>
        <s v="רון יואב ומרים"/>
        <s v="רייך מיכאל ובלה"/>
        <s v="רביב יצחק ויעל"/>
        <s v="רגב שמוליק ודפי"/>
        <s v="רחמים יהושוע ושרה )איצק`("/>
        <s v="רביב יגאל ומירב"/>
        <s v="סיידנר יהודה ועומר )רגב("/>
        <s v="רביב אוהד"/>
        <s v="רייך שיאל"/>
        <s v="רביב שי"/>
        <s v="וולווביק עידו ומטר"/>
        <s v="רוט אפרת"/>
        <s v="רביב גילי"/>
        <s v="רחמים תהילה"/>
        <s v="רייך שגיא"/>
        <s v="רחמים הודיה"/>
        <s v="ריינר שירה ואריאל"/>
        <s v="שיין טליה"/>
        <s v="שיין יהודה וורדה"/>
        <s v="שאול אריה ואמירה"/>
        <s v="שי ישראל ורחל"/>
        <s v="שי רועי"/>
        <s v="שילה נתנאל וסיון"/>
        <s v="שלום ששון ותמר"/>
        <s v="תורג`מן מיכאל ומוניק"/>
        <s v="תורג`מן דורון  וכרמל"/>
        <s v="תורג`מן עמיאור"/>
        <s v="רוטשילד נעמה"/>
        <s v="ראצבי מירב"/>
        <s v="אדם תהילה"/>
        <s v="בן דור הדס"/>
        <s v="עמיחי מורשה"/>
        <s v="שניג תמר"/>
        <s v="הרב נהוראי"/>
        <s v="אזולאי חן"/>
        <s v="גופר משיי ואפרת"/>
        <s v="הדר שי ורחל"/>
        <s v="פרוכטר דורון ועומר"/>
        <s v="סאלאמא יהודה ושרון"/>
        <s v="שטרמר אפק ומיכל"/>
        <s v="חורב נועה"/>
        <m/>
      </sharedItems>
    </cacheField>
    <cacheField name="מצב תקציב" numFmtId="14">
      <sharedItems containsBlank="1"/>
    </cacheField>
    <cacheField name="קבוצת תקציב" numFmtId="14">
      <sharedItems containsBlank="1"/>
    </cacheField>
    <cacheField name="תעודת זהות" numFmtId="0">
      <sharedItems/>
    </cacheField>
    <cacheField name="מספר משפחה" numFmtId="0">
      <sharedItems containsBlank="1"/>
    </cacheField>
    <cacheField name="משפחה" numFmtId="0">
      <sharedItems containsBlank="1"/>
    </cacheField>
    <cacheField name="מצב משפחתי" numFmtId="0">
      <sharedItems containsSemiMixedTypes="0" containsString="0" containsNumber="1" containsInteger="1" minValue="0" maxValue="2"/>
    </cacheField>
    <cacheField name="קוד מעמד" numFmtId="0">
      <sharedItems/>
    </cacheField>
    <cacheField name="מעמד" numFmtId="0">
      <sharedItems count="19">
        <s v="מסלול צעירים - זכאי 3/2 ביטוח בריאות"/>
        <s v="תושב-בר רשות"/>
        <s v="ילד תושב"/>
        <s v="חבר                                         ^חבר"/>
        <s v="חייל בשרות חובה"/>
        <s v="מסלול צעירים -עד גיל 03"/>
        <s v="ילד-מסיימי שמינית                           ^מועמד"/>
        <s v="מועמד קשב- זכאי 3/2 בריאות        ^מועמד"/>
        <s v="ילד"/>
        <s v="חינוך מיוחד 12-81"/>
        <s v="מועמד                                       ^מועמד"/>
        <s v="שרות לאומי"/>
        <s v="תושב זמני"/>
        <s v="בן/בת לימוד תורני                           ^מועמד"/>
        <s v="מועמד קשב - עד גיל 03                  ^מועמד"/>
        <s v="תושב בר רשות-זכאי ב.ל.                      ^מועמד"/>
        <s v="חבר בחופשה"/>
        <s v="ילד-הורים בחופשה ממושכת"/>
        <s v="בנות בית בקהילה"/>
      </sharedItems>
    </cacheField>
    <cacheField name="תאריך מעמד" numFmtId="14">
      <sharedItems containsSemiMixedTypes="0" containsNonDate="0" containsDate="1" containsString="0" minDate="1928-01-28T00:00:00" maxDate="2025-09-11T00:00:00"/>
    </cacheField>
    <cacheField name="מצב משפחתי2" numFmtId="14">
      <sharedItems containsBlank="1"/>
    </cacheField>
    <cacheField name="קבוצת חינוך" numFmtId="0">
      <sharedItems/>
    </cacheField>
    <cacheField name="סיווג לנקודת זיכוי" numFmtId="0">
      <sharedItems containsMixedTypes="1" containsNumber="1" containsInteger="1" minValue="1" maxValue="18"/>
    </cacheField>
    <cacheField name="קצבת זיקנה בניכוי בריאות" numFmtId="0">
      <sharedItems containsSemiMixedTypes="0" containsString="0" containsNumber="1" containsInteger="1" minValue="0" maxValue="2567"/>
    </cacheField>
    <cacheField name="פנסיה" numFmtId="0">
      <sharedItems containsSemiMixedTypes="0" containsString="0" containsNumber="1" containsInteger="1" minValue="0" maxValue="7500"/>
    </cacheField>
    <cacheField name="שארים" numFmtId="0">
      <sharedItems containsSemiMixedTypes="0" containsString="0" containsNumber="1" containsInteger="1" minValue="0" maxValue="4900"/>
    </cacheField>
    <cacheField name="לספירה לתקציבים מיוחדים" numFmtId="0">
      <sharedItems containsSemiMixedTypes="0" containsString="0" containsNumber="1" containsInteger="1" minValue="0" maxValue="1"/>
    </cacheField>
    <cacheField name="בקרה לריכוז" numFmtId="0">
      <sharedItems/>
    </cacheField>
    <cacheField name="בר מצוה" numFmtId="164">
      <sharedItems containsSemiMixedTypes="0" containsString="0" containsNumber="1" minValue="0" maxValue="7053.99"/>
    </cacheField>
    <cacheField name="בר מצווה שנה" numFmtId="1">
      <sharedItems containsSemiMixedTypes="0" containsString="0" containsNumber="1" containsInteger="1" minValue="0" maxValue="2037"/>
    </cacheField>
    <cacheField name="בת מצוה" numFmtId="164">
      <sharedItems containsSemiMixedTypes="0" containsString="0" containsNumber="1" minValue="0" maxValue="5502.61"/>
    </cacheField>
    <cacheField name="בת מצווה שנה" numFmtId="1">
      <sharedItems containsSemiMixedTypes="0" containsString="0" containsNumber="1" containsInteger="1" minValue="0" maxValue="2036"/>
    </cacheField>
    <cacheField name="מסיבת חתונה לבן/בת " numFmtId="164">
      <sharedItems containsSemiMixedTypes="0" containsString="0" containsNumber="1" minValue="0" maxValue="58068.185714285719"/>
    </cacheField>
    <cacheField name=" ציוד לבן /בת מתחתן/ת" numFmtId="164">
      <sharedItems containsSemiMixedTypes="0" containsString="0" containsNumber="1" minValue="0" maxValue="21628.642857142855"/>
    </cacheField>
    <cacheField name="חתונה שנה" numFmtId="1">
      <sharedItems containsSemiMixedTypes="0" containsString="0" containsNumber="1" containsInteger="1" minValue="0" maxValue="2045"/>
    </cacheField>
    <cacheField name=" ציוד לבן/בת משוחרר מצה&quot;ל" numFmtId="164">
      <sharedItems containsSemiMixedTypes="0" containsString="0" containsNumber="1" minValue="0" maxValue="3220.98"/>
    </cacheField>
    <cacheField name="שחרור שנה" numFmtId="1">
      <sharedItems containsSemiMixedTypes="0" containsString="0" containsNumber="1" containsInteger="1" minValue="0" maxValue="2047"/>
    </cacheField>
    <cacheField name="מענק לימודים" numFmtId="164">
      <sharedItems containsSemiMixedTypes="0" containsString="0" containsNumber="1" minValue="0" maxValue="50000"/>
    </cacheField>
    <cacheField name="לימוד שנה" numFmtId="1">
      <sharedItems containsSemiMixedTypes="0" containsString="0" containsNumber="1" containsInteger="1" minValue="0" maxValue="2045"/>
    </cacheField>
    <cacheField name="בקרה" numFmtId="0">
      <sharedItems containsSemiMixedTypes="0" containsString="0" containsNumber="1" containsInteger="1" minValue="0" maxValue="0"/>
    </cacheField>
    <cacheField name="ותק מחברה 40" numFmtId="164">
      <sharedItems containsMixedTypes="1" containsNumber="1" minValue="2.99" maxValue="48"/>
    </cacheField>
    <cacheField name="דמי עזיבה 25 שנות ותק" numFmtId="164">
      <sharedItems containsSemiMixedTypes="0" containsString="0" containsNumber="1" minValue="0" maxValue="37504.584809999993"/>
    </cacheField>
    <cacheField name="דמי עזיבה לגיל 65" numFmtId="164">
      <sharedItems containsSemiMixedTypes="0" containsString="0" containsNumber="1" minValue="0" maxValue="80297.2603125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">
  <r>
    <s v="01021"/>
    <s v="אלדד רוניאל"/>
    <s v="אלדד"/>
    <s v="רוניאל"/>
    <s v="ז "/>
    <d v="1999-03-03T00:00:00"/>
    <n v="26"/>
    <x v="0"/>
    <x v="0"/>
    <s v="פתוח      "/>
    <s v="חבר"/>
    <s v="206967846"/>
    <s v="01021"/>
    <s v="אלדד רוניאל"/>
    <n v="2"/>
    <s v="36    "/>
    <x v="0"/>
    <d v="2022-03-01T00:00:00"/>
    <s v="נשוי"/>
    <s v="--"/>
    <s v=""/>
    <n v="0"/>
    <n v="0"/>
    <n v="0"/>
    <n v="1"/>
    <b v="0"/>
    <n v="0"/>
    <n v="0"/>
    <n v="0"/>
    <n v="0"/>
    <n v="0"/>
    <n v="0"/>
    <n v="0"/>
    <n v="0"/>
    <n v="0"/>
    <n v="0"/>
    <n v="0"/>
    <n v="0"/>
    <s v=""/>
    <n v="0"/>
    <n v="0"/>
  </r>
  <r>
    <s v="01022"/>
    <s v="אלדד שולמית פנינה"/>
    <s v="אלדד"/>
    <s v="שולמית פנינה"/>
    <s v="נ "/>
    <d v="2000-04-08T00:00:00"/>
    <n v="25"/>
    <x v="1"/>
    <x v="1"/>
    <s v="פתוח      "/>
    <s v="תושב לגביה"/>
    <s v="211500681"/>
    <s v="01021"/>
    <s v="אלדד רוניאל"/>
    <n v="0"/>
    <s v="6     "/>
    <x v="1"/>
    <d v="2024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023"/>
    <s v="אלדד קדם איתן"/>
    <s v="אלדד"/>
    <s v="קדם איתן"/>
    <s v="ז "/>
    <d v="2021-12-03T00:00:00"/>
    <n v="4"/>
    <x v="1"/>
    <x v="1"/>
    <s v="פתוח      "/>
    <s v="תושב לגביה"/>
    <s v="234321297"/>
    <s v="01021"/>
    <s v="אלדד רוניאל"/>
    <n v="0"/>
    <s v="17    "/>
    <x v="2"/>
    <d v="2024-09-01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024"/>
    <s v="אלדד שקד הודי"/>
    <s v="אלדד"/>
    <s v="שקד הודי"/>
    <s v="נ "/>
    <d v="2024-04-07T00:00:00"/>
    <n v="1"/>
    <x v="1"/>
    <x v="1"/>
    <s v="פתוח      "/>
    <s v="תושב לגביה"/>
    <s v="238742696"/>
    <s v="01021"/>
    <s v="אלדד רוניאל"/>
    <n v="0"/>
    <s v="17    "/>
    <x v="2"/>
    <d v="2024-09-01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061"/>
    <s v="אריאל חנן"/>
    <s v="אריאל"/>
    <s v="חנן"/>
    <s v="ז "/>
    <d v="1958-01-24T00:00:00"/>
    <n v="67"/>
    <x v="2"/>
    <x v="2"/>
    <s v="פתוח      "/>
    <s v="חבר"/>
    <s v="054998182"/>
    <s v="01061"/>
    <s v="אריאל חנן"/>
    <n v="2"/>
    <s v="1     "/>
    <x v="3"/>
    <d v="1985-09-01T00:00:00"/>
    <s v="נשוי"/>
    <s v="--"/>
    <s v=""/>
    <n v="2365"/>
    <n v="0"/>
    <n v="0"/>
    <n v="0"/>
    <b v="0"/>
    <n v="0"/>
    <n v="0"/>
    <n v="0"/>
    <n v="0"/>
    <n v="0"/>
    <n v="0"/>
    <n v="0"/>
    <n v="0"/>
    <n v="0"/>
    <n v="0"/>
    <n v="0"/>
    <n v="0"/>
    <n v="47.53"/>
    <n v="0"/>
    <n v="0"/>
  </r>
  <r>
    <s v="01062"/>
    <s v="אריאל ענת"/>
    <s v="אריאל"/>
    <s v="ענת"/>
    <s v="נ "/>
    <d v="1963-02-05T00:00:00"/>
    <n v="62"/>
    <x v="2"/>
    <x v="2"/>
    <s v="פתוח      "/>
    <s v="חבר"/>
    <s v="057874653"/>
    <s v="01061"/>
    <s v="אריאל חנן"/>
    <n v="2"/>
    <s v="1     "/>
    <x v="3"/>
    <d v="1986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9.06"/>
    <n v="0"/>
    <n v="64505.912625000004"/>
  </r>
  <r>
    <s v="01071"/>
    <s v="אורן יהודה"/>
    <s v="אורן"/>
    <s v="יהודה"/>
    <s v="ז "/>
    <d v="1951-09-19T00:00:00"/>
    <n v="74"/>
    <x v="3"/>
    <x v="3"/>
    <s v="פתוח      "/>
    <s v="חבר"/>
    <s v="051033199"/>
    <s v="01071"/>
    <s v="אורן יהודה"/>
    <n v="2"/>
    <s v="1     "/>
    <x v="3"/>
    <d v="1972-12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1072"/>
    <s v="אורן הניה"/>
    <s v="אורן"/>
    <s v="הניה"/>
    <s v="נ "/>
    <d v="1951-12-17T00:00:00"/>
    <n v="74"/>
    <x v="3"/>
    <x v="3"/>
    <s v="פתוח      "/>
    <s v="חבר"/>
    <s v="050489814"/>
    <s v="01071"/>
    <s v="אורן יהודה"/>
    <n v="2"/>
    <s v="1     "/>
    <x v="3"/>
    <d v="1972-05-30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961081"/>
    <s v="כרמר פינחס"/>
    <s v="כרמר"/>
    <s v="פינחס"/>
    <s v="ז "/>
    <d v="1993-01-01T00:00:00"/>
    <n v="32"/>
    <x v="4"/>
    <x v="4"/>
    <s v="סגור      "/>
    <s v="תושב"/>
    <s v="000000000"/>
    <m/>
    <m/>
    <n v="0"/>
    <s v="3     "/>
    <x v="4"/>
    <d v="2013-06-01T00:00:00"/>
    <m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1091"/>
    <s v="אמיתי אליעזר"/>
    <s v="אמיתי"/>
    <s v="אליעזר"/>
    <s v="ז "/>
    <d v="1947-08-20T00:00:00"/>
    <n v="78"/>
    <x v="5"/>
    <x v="5"/>
    <s v="פתוח      "/>
    <s v="חבר"/>
    <s v="004606539"/>
    <s v="01091"/>
    <s v="אמיתי אליעזר"/>
    <n v="2"/>
    <s v="1     "/>
    <x v="3"/>
    <d v="1968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73"/>
    <n v="0"/>
    <n v="0"/>
  </r>
  <r>
    <s v="01092"/>
    <s v="אמיתי פרדי"/>
    <s v="אמיתי"/>
    <s v="פרדי"/>
    <s v="נ "/>
    <d v="1949-03-23T00:00:00"/>
    <n v="76"/>
    <x v="5"/>
    <x v="5"/>
    <s v="פתוח      "/>
    <s v="חבר"/>
    <s v="013206131"/>
    <s v="01091"/>
    <s v="אמיתי אליעזר"/>
    <n v="2"/>
    <s v="1     "/>
    <x v="3"/>
    <d v="1972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7.36"/>
    <n v="0"/>
    <n v="0"/>
  </r>
  <r>
    <s v="01101"/>
    <s v="אדלר מרדכי"/>
    <s v="אדלר"/>
    <s v="מרדכי"/>
    <s v="ז "/>
    <d v="1953-05-01T00:00:00"/>
    <n v="72"/>
    <x v="6"/>
    <x v="6"/>
    <s v="פתוח      "/>
    <s v="חבר"/>
    <s v="051865699"/>
    <s v="01101"/>
    <s v="אדלר מרדכי"/>
    <n v="1"/>
    <s v="1     "/>
    <x v="3"/>
    <d v="1971-12-31T00:00:00"/>
    <s v="גרוש"/>
    <s v="--"/>
    <s v=""/>
    <n v="1564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1111"/>
    <s v="אמיר מיכה"/>
    <s v="אמיר"/>
    <s v="מיכה"/>
    <s v="ז "/>
    <d v="1961-08-04T00:00:00"/>
    <n v="64"/>
    <x v="7"/>
    <x v="7"/>
    <s v="פתוח      "/>
    <s v="חבר"/>
    <s v="056656085"/>
    <s v="01111"/>
    <s v="אמיר מיכה"/>
    <n v="2"/>
    <s v="1     "/>
    <x v="3"/>
    <d v="1993-11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3.9"/>
    <n v="0"/>
    <n v="50671.726874999993"/>
  </r>
  <r>
    <s v="01112"/>
    <s v="אמיר תמר"/>
    <s v="אמיר"/>
    <s v="תמר"/>
    <s v="נ "/>
    <d v="1963-02-05T00:00:00"/>
    <n v="62"/>
    <x v="7"/>
    <x v="7"/>
    <s v="פתוח      "/>
    <s v="חבר"/>
    <s v="057780108"/>
    <s v="01111"/>
    <s v="אמיר מיכה"/>
    <n v="2"/>
    <s v="1     "/>
    <x v="3"/>
    <d v="1991-10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1.95"/>
    <n v="0"/>
    <n v="72254.129062499997"/>
  </r>
  <r>
    <s v="01121"/>
    <s v="אלירז שמואל"/>
    <s v="אלירז"/>
    <s v="שמואל"/>
    <s v="ז "/>
    <d v="1953-02-24T00:00:00"/>
    <n v="72"/>
    <x v="8"/>
    <x v="8"/>
    <s v="פתוח      "/>
    <s v="חבר"/>
    <s v="051396232"/>
    <s v="01121"/>
    <s v="אלירז שמואל"/>
    <n v="2"/>
    <s v="1     "/>
    <x v="3"/>
    <d v="2007-09-1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1122"/>
    <s v="אלירז עפרה"/>
    <s v="אלירז"/>
    <s v="עפרה"/>
    <s v="נ "/>
    <d v="1954-11-09T00:00:00"/>
    <n v="71"/>
    <x v="8"/>
    <x v="8"/>
    <s v="פתוח      "/>
    <s v="חבר"/>
    <s v="052823911"/>
    <s v="01121"/>
    <s v="אלירז שמואל"/>
    <n v="2"/>
    <s v="1     "/>
    <x v="3"/>
    <d v="2007-09-1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1452"/>
    <s v="אביעד נטע"/>
    <s v="אביעד"/>
    <s v="נטע"/>
    <s v="נ "/>
    <d v="1995-07-25T00:00:00"/>
    <n v="30"/>
    <x v="9"/>
    <x v="9"/>
    <s v="פתוח      "/>
    <s v="תושב לגביה"/>
    <s v="314715285"/>
    <s v="01452"/>
    <s v="אביעד נטע"/>
    <n v="0"/>
    <s v="35    "/>
    <x v="5"/>
    <d v="2022-08-01T00:00:00"/>
    <s v="רווק"/>
    <s v="--"/>
    <s v=""/>
    <n v="0"/>
    <n v="0"/>
    <n v="0"/>
    <n v="1"/>
    <b v="1"/>
    <n v="0"/>
    <n v="0"/>
    <n v="0"/>
    <n v="0"/>
    <n v="58068.185714285719"/>
    <n v="21628.642857142855"/>
    <n v="2025"/>
    <n v="0"/>
    <n v="0"/>
    <n v="0"/>
    <n v="0"/>
    <n v="0"/>
    <s v=""/>
    <n v="0"/>
    <n v="0"/>
  </r>
  <r>
    <s v="01141"/>
    <s v="אביעד עמיחי"/>
    <s v="אביעד"/>
    <s v="עמיחי"/>
    <s v="ז "/>
    <d v="1957-08-15T00:00:00"/>
    <n v="68"/>
    <x v="10"/>
    <x v="10"/>
    <s v="פתוח      "/>
    <s v="חבר"/>
    <s v="054778915"/>
    <s v="01141"/>
    <s v="אביעד עמיחי"/>
    <n v="2"/>
    <s v="1     "/>
    <x v="3"/>
    <d v="1989-08-27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6.04"/>
    <n v="0"/>
    <n v="0"/>
  </r>
  <r>
    <s v="01142"/>
    <s v="אביעד רבקה"/>
    <s v="אביעד"/>
    <s v="רבקה"/>
    <s v="נ "/>
    <d v="1960-04-04T00:00:00"/>
    <n v="65"/>
    <x v="10"/>
    <x v="10"/>
    <s v="פתוח      "/>
    <s v="חבר"/>
    <s v="056354079"/>
    <s v="01141"/>
    <s v="אביעד עמיחי"/>
    <n v="2"/>
    <s v="1     "/>
    <x v="3"/>
    <d v="1989-08-27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36.04"/>
    <n v="0"/>
    <n v="0"/>
  </r>
  <r>
    <s v="01151"/>
    <s v="אלדד נפתלי"/>
    <s v="אלדד"/>
    <s v="נפתלי"/>
    <s v="ז "/>
    <d v="1962-05-25T00:00:00"/>
    <n v="63"/>
    <x v="0"/>
    <x v="0"/>
    <s v="פתוח      "/>
    <s v="חבר"/>
    <s v="057457699"/>
    <s v="01151"/>
    <s v="אלדד נפתלי"/>
    <n v="2"/>
    <s v="1     "/>
    <x v="3"/>
    <d v="1987-06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3.95"/>
    <n v="0"/>
    <n v="77616.216562500005"/>
  </r>
  <r>
    <s v="01152"/>
    <s v="אלדד מאשי"/>
    <s v="אלדד"/>
    <s v="מאשי"/>
    <s v="נ "/>
    <d v="1963-02-19T00:00:00"/>
    <n v="62"/>
    <x v="0"/>
    <x v="0"/>
    <s v="פתוח      "/>
    <s v="חבר"/>
    <s v="058002593"/>
    <s v="01151"/>
    <s v="אלדד נפתלי"/>
    <n v="2"/>
    <s v="1     "/>
    <x v="3"/>
    <d v="1987-12-1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8.24"/>
    <n v="0"/>
    <n v="62307.456750000005"/>
  </r>
  <r>
    <s v="06012"/>
    <s v="פרץ צופיה"/>
    <s v="פרץ"/>
    <s v="צופיה"/>
    <s v="נ "/>
    <d v="1995-08-04T00:00:00"/>
    <n v="30"/>
    <x v="11"/>
    <x v="11"/>
    <s v="פתוח      "/>
    <s v="תושב לגביה"/>
    <s v="314962283"/>
    <s v="06011"/>
    <s v="פרץ עומר"/>
    <n v="0"/>
    <s v="35    "/>
    <x v="5"/>
    <d v="2022-0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1182"/>
    <s v="אריאל אלישבע"/>
    <s v="אריאל"/>
    <s v="אלישבע"/>
    <s v="נ "/>
    <d v="1996-06-30T00:00:00"/>
    <n v="29"/>
    <x v="12"/>
    <x v="12"/>
    <s v="פתוח      "/>
    <s v="תושב לגביה"/>
    <s v="315657932"/>
    <s v="01181"/>
    <s v="אריאל אסף"/>
    <n v="0"/>
    <s v="6     "/>
    <x v="1"/>
    <d v="2023-03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183"/>
    <s v="אריאל ירדן"/>
    <s v="אריאל"/>
    <s v="ירדן"/>
    <s v="ז "/>
    <d v="2022-06-30T00:00:00"/>
    <n v="3"/>
    <x v="12"/>
    <x v="12"/>
    <s v="פתוח      "/>
    <s v="תושב לגביה"/>
    <s v="235226933"/>
    <s v="01181"/>
    <s v="אריאל אסף"/>
    <n v="0"/>
    <s v="17    "/>
    <x v="2"/>
    <d v="2023-03-01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184"/>
    <s v="אריאל טליה"/>
    <s v="אריאל"/>
    <s v="טליה"/>
    <s v="נ "/>
    <d v="2024-04-09T00:00:00"/>
    <n v="1"/>
    <x v="12"/>
    <x v="12"/>
    <s v="פתוח      "/>
    <s v="תושב לגביה"/>
    <s v="240069922"/>
    <s v="01181"/>
    <s v="אריאל אסף"/>
    <n v="0"/>
    <s v="17    "/>
    <x v="2"/>
    <d v="2024-04-09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191"/>
    <s v="קפלן שמואל חיים"/>
    <s v="קפלן"/>
    <s v="שמואל חיים"/>
    <s v="ז "/>
    <d v="1965-03-05T00:00:00"/>
    <n v="60"/>
    <x v="13"/>
    <x v="13"/>
    <s v="פתוח      "/>
    <s v="חבר"/>
    <s v="059253021"/>
    <s v="01191"/>
    <s v="קפלן שמואל חיים"/>
    <n v="1"/>
    <s v="6     "/>
    <x v="1"/>
    <d v="2011-11-0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01192"/>
    <s v="קפלן )אבינר( חנה"/>
    <s v="קפלן )אבינר("/>
    <s v="חנה"/>
    <s v="נ "/>
    <d v="1974-02-22T00:00:00"/>
    <n v="51"/>
    <x v="13"/>
    <x v="13"/>
    <s v="פתוח      "/>
    <s v="חבר"/>
    <s v="200123792"/>
    <s v="01192"/>
    <s v="קפלן )אבינר( חנה"/>
    <n v="1"/>
    <s v="1     "/>
    <x v="3"/>
    <d v="2000-02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9.19"/>
    <n v="0"/>
    <n v="38044.010812499997"/>
  </r>
  <r>
    <s v="20322"/>
    <s v="רביב טליה"/>
    <s v="רביב"/>
    <s v="טליה"/>
    <s v="נ "/>
    <d v="1995-09-09T00:00:00"/>
    <n v="30"/>
    <x v="14"/>
    <x v="14"/>
    <s v="פתוח      "/>
    <s v="תושב לגביה"/>
    <s v="208288886"/>
    <s v="20322"/>
    <s v="רביב טליה"/>
    <n v="0"/>
    <s v="35    "/>
    <x v="5"/>
    <d v="2022-01-01T00:00:00"/>
    <s v="רווק"/>
    <s v="--"/>
    <s v=""/>
    <n v="0"/>
    <n v="0"/>
    <n v="0"/>
    <n v="1"/>
    <b v="1"/>
    <n v="0"/>
    <n v="0"/>
    <n v="0"/>
    <n v="0"/>
    <n v="58068.185714285719"/>
    <n v="21628.642857142855"/>
    <n v="2025"/>
    <n v="0"/>
    <n v="0"/>
    <n v="0"/>
    <n v="0"/>
    <n v="0"/>
    <s v=""/>
    <n v="0"/>
    <n v="0"/>
  </r>
  <r>
    <s v="01202"/>
    <s v="אריאל נעמה שולמית"/>
    <s v="אריאל"/>
    <s v="נעמה שולמית"/>
    <s v="נ "/>
    <d v="2003-11-19T00:00:00"/>
    <n v="22"/>
    <x v="15"/>
    <x v="15"/>
    <s v="פתוח      "/>
    <s v="חבר"/>
    <s v="213195423"/>
    <s v="01202"/>
    <s v="אריאל נעמה שולמית"/>
    <n v="0"/>
    <s v="36    "/>
    <x v="0"/>
    <d v="2024-08-01T00:00:00"/>
    <s v="רווק"/>
    <s v="--"/>
    <s v=""/>
    <n v="0"/>
    <n v="0"/>
    <n v="0"/>
    <n v="1"/>
    <b v="1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01211"/>
    <s v="אלדד מורדכי"/>
    <s v="אלדד"/>
    <s v="מורדכי"/>
    <s v="ז "/>
    <d v="1969-09-29T00:00:00"/>
    <n v="56"/>
    <x v="16"/>
    <x v="16"/>
    <s v="פתוח      "/>
    <s v="חבר"/>
    <s v="024474892"/>
    <s v="01211"/>
    <s v="אלדד מורדכי"/>
    <n v="1"/>
    <s v="1     "/>
    <x v="3"/>
    <d v="1998-07-19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7.36"/>
    <n v="0"/>
    <n v="59948.138249999996"/>
  </r>
  <r>
    <s v="01231"/>
    <s v="אונגר משה      נתן"/>
    <s v="אונגר"/>
    <s v="משה      נתן"/>
    <s v="ז "/>
    <d v="1982-03-06T00:00:00"/>
    <n v="43"/>
    <x v="17"/>
    <x v="17"/>
    <s v="פתוח      "/>
    <s v="חבר"/>
    <s v="060958279"/>
    <s v="01231"/>
    <s v="אונגר משה      נתן"/>
    <n v="1"/>
    <s v="1     "/>
    <x v="3"/>
    <d v="2013-04-3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4.8"/>
    <n v="22220.490600000001"/>
    <n v="0"/>
  </r>
  <r>
    <s v="01181"/>
    <s v="אריאל אסף"/>
    <s v="אריאל"/>
    <s v="אסף"/>
    <s v="ז "/>
    <d v="1996-05-26T00:00:00"/>
    <n v="29"/>
    <x v="12"/>
    <x v="12"/>
    <s v="פתוח      "/>
    <s v="תושב לגביה"/>
    <s v="206904666"/>
    <s v="01181"/>
    <s v="אריאל אסף"/>
    <n v="0"/>
    <s v="35    "/>
    <x v="5"/>
    <d v="2024-06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1252"/>
    <s v="אדלר בלימה"/>
    <s v="אדלר"/>
    <s v="בלימה"/>
    <s v="נ "/>
    <d v="1952-09-26T00:00:00"/>
    <n v="73"/>
    <x v="18"/>
    <x v="18"/>
    <s v="פתוח      "/>
    <s v="חבר"/>
    <s v="017069824"/>
    <s v="01252"/>
    <s v="אדלר בלימה"/>
    <n v="1"/>
    <s v="1     "/>
    <x v="3"/>
    <d v="1978-12-31T00:00:00"/>
    <s v="גרוש"/>
    <s v="--"/>
    <s v=""/>
    <n v="1564"/>
    <n v="7500"/>
    <n v="0"/>
    <n v="0"/>
    <b v="0"/>
    <n v="0"/>
    <n v="0"/>
    <n v="0"/>
    <n v="0"/>
    <n v="0"/>
    <n v="0"/>
    <n v="0"/>
    <n v="0"/>
    <n v="0"/>
    <n v="0"/>
    <n v="0"/>
    <n v="0"/>
    <n v="43.44"/>
    <n v="0"/>
    <n v="0"/>
  </r>
  <r>
    <s v="01261"/>
    <s v="אביעד ברק צבי"/>
    <s v="אביעד"/>
    <s v="ברק צבי"/>
    <s v="ז "/>
    <d v="1992-05-01T00:00:00"/>
    <n v="33"/>
    <x v="19"/>
    <x v="19"/>
    <s v="פתוח      "/>
    <s v="תושב לגביה"/>
    <s v="308357821"/>
    <s v="01261"/>
    <s v="אביעד ברק צבי"/>
    <n v="0"/>
    <s v="6     "/>
    <x v="1"/>
    <d v="2023-01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262"/>
    <s v="אביעד שיר אסנת"/>
    <s v="אביעד"/>
    <s v="שיר אסנת"/>
    <s v="נ "/>
    <d v="1993-12-10T00:00:00"/>
    <n v="32"/>
    <x v="19"/>
    <x v="19"/>
    <s v="פתוח      "/>
    <s v="תושב לגביה"/>
    <s v="311176606"/>
    <s v="01261"/>
    <s v="אביעד ברק צבי"/>
    <n v="0"/>
    <s v="6     "/>
    <x v="1"/>
    <d v="2019-09-25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263"/>
    <s v="אביעד מיכאל יצחק"/>
    <s v="אביעד"/>
    <s v="מיכאל יצחק"/>
    <s v="ז "/>
    <d v="2019-11-22T00:00:00"/>
    <n v="6"/>
    <x v="19"/>
    <x v="19"/>
    <s v="פתוח      "/>
    <s v="תושב לגביה"/>
    <s v="229510581"/>
    <s v="01261"/>
    <s v="אביעד ברק צבי"/>
    <n v="0"/>
    <s v="17    "/>
    <x v="2"/>
    <d v="2019-11-24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264"/>
    <s v="אביעד גפן חנה"/>
    <s v="אביעד"/>
    <s v="גפן חנה"/>
    <s v="נ "/>
    <d v="2021-03-20T00:00:00"/>
    <n v="4"/>
    <x v="19"/>
    <x v="19"/>
    <s v="פתוח      "/>
    <s v="תושב לגביה"/>
    <s v="229952361"/>
    <s v="01261"/>
    <s v="אביעד ברק צבי"/>
    <n v="0"/>
    <s v="17    "/>
    <x v="2"/>
    <d v="2021-03-20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472"/>
    <s v="שלו )אלדד( חן"/>
    <s v="שלו )אלדד("/>
    <s v="חן"/>
    <s v="נ "/>
    <d v="1996-08-16T00:00:00"/>
    <n v="29"/>
    <x v="20"/>
    <x v="20"/>
    <s v="פתוח      "/>
    <s v="תושב לגביה"/>
    <s v="206799959"/>
    <s v="01471"/>
    <s v="שלו שי שמעון"/>
    <n v="0"/>
    <s v="35    "/>
    <x v="5"/>
    <d v="2022-0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1301"/>
    <s v="אריאל יאיר"/>
    <s v="אריאל"/>
    <s v="יאיר"/>
    <s v="ז "/>
    <d v="1985-10-21T00:00:00"/>
    <n v="40"/>
    <x v="21"/>
    <x v="21"/>
    <s v="פתוח      "/>
    <s v="חבר"/>
    <s v="038021804"/>
    <s v="01301"/>
    <s v="אריאל יאיר"/>
    <n v="2"/>
    <s v="1     "/>
    <x v="3"/>
    <d v="2013-12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76"/>
    <n v="20659.050719999999"/>
    <n v="0"/>
  </r>
  <r>
    <s v="01302"/>
    <s v="אריאל איילת"/>
    <s v="אריאל"/>
    <s v="איילת"/>
    <s v="נ "/>
    <d v="1983-05-11T00:00:00"/>
    <n v="42"/>
    <x v="21"/>
    <x v="21"/>
    <s v="פתוח      "/>
    <s v="חבר"/>
    <s v="039899349"/>
    <s v="01301"/>
    <s v="אריאל יאיר"/>
    <n v="2"/>
    <s v="1     "/>
    <x v="3"/>
    <d v="2013-12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76"/>
    <n v="20659.050719999999"/>
    <n v="0"/>
  </r>
  <r>
    <s v="03081"/>
    <s v="גביר ארז יוסף"/>
    <s v="גביר"/>
    <s v="ארז יוסף"/>
    <s v="ז "/>
    <d v="1996-02-05T00:00:00"/>
    <n v="29"/>
    <x v="22"/>
    <x v="22"/>
    <s v="פתוח      "/>
    <s v="תושב לגביה"/>
    <s v="206955403"/>
    <s v="03081"/>
    <s v="גביר ארז יוסף"/>
    <n v="0"/>
    <s v="35    "/>
    <x v="5"/>
    <d v="2023-10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4042"/>
    <s v="דורון מור"/>
    <s v="דורון"/>
    <s v="מור"/>
    <s v="נ "/>
    <d v="1996-03-25T00:00:00"/>
    <n v="29"/>
    <x v="23"/>
    <x v="23"/>
    <s v="פתוח      "/>
    <s v="תושב לגביה"/>
    <s v="207045618"/>
    <s v="04042"/>
    <s v="דורון מור"/>
    <n v="0"/>
    <s v="35    "/>
    <x v="5"/>
    <d v="2022-01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05221"/>
    <s v="המר אלמוג"/>
    <s v="המר"/>
    <s v="אלמוג"/>
    <s v="ז "/>
    <d v="1996-07-23T00:00:00"/>
    <n v="29"/>
    <x v="24"/>
    <x v="24"/>
    <s v="פתוח      "/>
    <s v="תושב לגביה"/>
    <s v="207206756"/>
    <s v="05221"/>
    <s v="המר אלמוג"/>
    <n v="0"/>
    <s v="35    "/>
    <x v="5"/>
    <d v="2023-07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07021"/>
    <s v="זיסק דביר"/>
    <s v="זיסק"/>
    <s v="דביר"/>
    <s v="ז "/>
    <d v="1996-07-19T00:00:00"/>
    <n v="29"/>
    <x v="25"/>
    <x v="25"/>
    <s v="פתוח      "/>
    <s v="תושב לגביה"/>
    <s v="207207333"/>
    <s v="07021"/>
    <s v="זיסק דביר"/>
    <n v="0"/>
    <s v="35    "/>
    <x v="5"/>
    <d v="2022-11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01341"/>
    <s v="אלדד שלמה פינחס"/>
    <s v="אלדד"/>
    <s v="שלמה פינחס"/>
    <s v="ז "/>
    <d v="1987-10-15T00:00:00"/>
    <n v="38"/>
    <x v="26"/>
    <x v="26"/>
    <s v="פתוח      "/>
    <s v="חבר"/>
    <s v="301088449"/>
    <s v="01341"/>
    <s v="אלדד שלמה פינחס"/>
    <n v="2"/>
    <s v="1     "/>
    <x v="3"/>
    <d v="2020-02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7.58"/>
    <n v="11380.49451"/>
    <n v="0"/>
  </r>
  <r>
    <s v="01342"/>
    <s v="אלדד נעה     נעמה"/>
    <s v="אלדד"/>
    <s v="נעה     נעמה"/>
    <s v="נ "/>
    <d v="1990-09-29T00:00:00"/>
    <n v="35"/>
    <x v="26"/>
    <x v="26"/>
    <s v="פתוח      "/>
    <s v="חבר"/>
    <s v="305596322"/>
    <s v="01341"/>
    <s v="אלדד שלמה פינחס"/>
    <n v="2"/>
    <s v="1     "/>
    <x v="3"/>
    <d v="2020-02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7.58"/>
    <n v="11380.49451"/>
    <n v="0"/>
  </r>
  <r>
    <s v="11061"/>
    <s v="כהן ידעיה   יעקב"/>
    <s v="כהן"/>
    <s v="ידעיה   יעקב"/>
    <s v="ז "/>
    <d v="1996-07-21T00:00:00"/>
    <n v="29"/>
    <x v="27"/>
    <x v="27"/>
    <s v="סגור      "/>
    <s v="לא פעילים"/>
    <s v="315965475"/>
    <s v="11061"/>
    <s v="כהן ידעיה   יעקב"/>
    <n v="0"/>
    <s v="35    "/>
    <x v="5"/>
    <d v="2022-05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12321"/>
    <s v="לזר עידן"/>
    <s v="לזר"/>
    <s v="עידן"/>
    <s v="ז "/>
    <d v="1996-09-17T00:00:00"/>
    <n v="29"/>
    <x v="28"/>
    <x v="28"/>
    <s v="פתוח      "/>
    <s v="תושב לגביה"/>
    <s v="316582170"/>
    <s v="12321"/>
    <s v="לזר עידן"/>
    <n v="0"/>
    <s v="35    "/>
    <x v="5"/>
    <d v="2022-07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15082"/>
    <s v="סהר אופק"/>
    <s v="סהר"/>
    <s v="אופק"/>
    <s v="נ "/>
    <d v="1996-04-01T00:00:00"/>
    <n v="29"/>
    <x v="29"/>
    <x v="29"/>
    <s v="סגור      "/>
    <s v="חבר"/>
    <s v="207074204"/>
    <s v="15082"/>
    <s v="סהר אופק"/>
    <n v="0"/>
    <s v="35    "/>
    <x v="5"/>
    <d v="2022-01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17241"/>
    <s v="פז יצחק"/>
    <s v="פז"/>
    <s v="יצחק"/>
    <s v="ז "/>
    <d v="1996-09-14T00:00:00"/>
    <n v="29"/>
    <x v="30"/>
    <x v="30"/>
    <s v="פתוח      "/>
    <s v="תושב לגביה"/>
    <s v="316094333"/>
    <s v="17241"/>
    <s v="פז יצחק"/>
    <n v="0"/>
    <s v="35    "/>
    <x v="5"/>
    <d v="2023-10-01T00:00:00"/>
    <s v="נשוי בשנית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61422"/>
    <s v="יורקביץ נוי"/>
    <s v="יורקביץ"/>
    <s v="נוי"/>
    <s v="נ "/>
    <d v="1996-05-03T00:00:00"/>
    <n v="29"/>
    <x v="31"/>
    <x v="31"/>
    <s v="פתוח      "/>
    <s v="חסכונות"/>
    <s v="208061408"/>
    <s v="61422"/>
    <s v="יורקביץ נוי"/>
    <n v="0"/>
    <s v="35    "/>
    <x v="5"/>
    <d v="2020-09-01T00:00:00"/>
    <s v="רווק"/>
    <s v="--"/>
    <s v=""/>
    <n v="0"/>
    <n v="0"/>
    <n v="0"/>
    <n v="1"/>
    <b v="1"/>
    <n v="0"/>
    <n v="0"/>
    <n v="0"/>
    <n v="0"/>
    <n v="56132.579523809531"/>
    <n v="20907.688095238093"/>
    <n v="2025"/>
    <n v="0"/>
    <n v="0"/>
    <n v="0"/>
    <n v="0"/>
    <n v="0"/>
    <s v=""/>
    <n v="0"/>
    <n v="0"/>
  </r>
  <r>
    <s v="01361"/>
    <s v="שפר הלל יוסף"/>
    <s v="שפר"/>
    <s v="הלל יוסף"/>
    <s v="ז "/>
    <d v="2003-03-25T00:00:00"/>
    <n v="22"/>
    <x v="32"/>
    <x v="32"/>
    <s v="פתוח      "/>
    <s v="תושב לגביה"/>
    <s v="213381627"/>
    <s v="01361"/>
    <s v="שפר הלל יוסף"/>
    <n v="0"/>
    <s v="6     "/>
    <x v="1"/>
    <d v="2023-07-16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362"/>
    <s v="שפר מעיין אהבה"/>
    <s v="שפר"/>
    <s v="מעיין אהבה"/>
    <s v="נ "/>
    <d v="2003-02-17T00:00:00"/>
    <n v="22"/>
    <x v="32"/>
    <x v="32"/>
    <s v="פתוח      "/>
    <s v="תושב לגביה"/>
    <s v="325183697"/>
    <s v="01362"/>
    <s v="שפר מעיין אהבה"/>
    <n v="0"/>
    <s v="36    "/>
    <x v="0"/>
    <d v="2023-09-01T00:00:00"/>
    <s v="נשוי"/>
    <s v="--"/>
    <s v=""/>
    <n v="0"/>
    <n v="0"/>
    <n v="0"/>
    <n v="1"/>
    <b v="1"/>
    <n v="0"/>
    <n v="0"/>
    <n v="0"/>
    <n v="0"/>
    <n v="0"/>
    <n v="0"/>
    <n v="0"/>
    <n v="3080.9373913043478"/>
    <n v="2026"/>
    <n v="0"/>
    <n v="0"/>
    <n v="0"/>
    <s v=""/>
    <n v="0"/>
    <n v="0"/>
  </r>
  <r>
    <s v="01363"/>
    <s v="שפר טוהר"/>
    <s v="שפר"/>
    <s v="טוהר"/>
    <s v="נ "/>
    <d v="2025-03-17T00:00:00"/>
    <n v="0"/>
    <x v="32"/>
    <x v="32"/>
    <s v="פתוח      "/>
    <s v="תושב לגביה"/>
    <s v="241729532"/>
    <s v="01361"/>
    <s v="שפר הלל יוסף"/>
    <n v="0"/>
    <s v="17    "/>
    <x v="2"/>
    <d v="2025-03-17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364"/>
    <s v="שפר עדן"/>
    <s v="שפר"/>
    <s v="עדן"/>
    <s v="נ "/>
    <d v="2025-03-17T00:00:00"/>
    <n v="0"/>
    <x v="32"/>
    <x v="32"/>
    <s v="פתוח      "/>
    <s v="תושב לגביה"/>
    <s v="241729540"/>
    <s v="01361"/>
    <s v="שפר הלל יוסף"/>
    <n v="0"/>
    <s v="17    "/>
    <x v="2"/>
    <d v="2025-03-17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441"/>
    <s v="אריה צוריאל"/>
    <s v="אריה"/>
    <s v="צוריאל"/>
    <s v="ז "/>
    <d v="1988-05-17T00:00:00"/>
    <n v="37"/>
    <x v="33"/>
    <x v="33"/>
    <s v="פתוח      "/>
    <s v="חבר"/>
    <s v="200617793"/>
    <s v="01441"/>
    <s v="אריה צוריאל"/>
    <n v="2"/>
    <s v="1     "/>
    <x v="3"/>
    <d v="2018-11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84"/>
    <n v="13272.238979999996"/>
    <n v="0"/>
  </r>
  <r>
    <s v="01442"/>
    <s v="אריה אורלי"/>
    <s v="אריה"/>
    <s v="אורלי"/>
    <s v="נ "/>
    <d v="1989-12-27T00:00:00"/>
    <n v="36"/>
    <x v="33"/>
    <x v="33"/>
    <s v="פתוח      "/>
    <s v="חבר"/>
    <s v="201307246"/>
    <s v="01441"/>
    <s v="אריה צוריאל"/>
    <n v="2"/>
    <s v="1     "/>
    <x v="3"/>
    <d v="2018-11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84"/>
    <n v="13272.238979999996"/>
    <n v="0"/>
  </r>
  <r>
    <s v="01492"/>
    <s v="אמיר מורן"/>
    <s v="אמיר"/>
    <s v="מורן"/>
    <s v="נ "/>
    <d v="1997-07-27T00:00:00"/>
    <n v="28"/>
    <x v="34"/>
    <x v="34"/>
    <s v="פתוח      "/>
    <s v="תושב לגביה"/>
    <s v="318234010"/>
    <s v="01492"/>
    <s v="אמיר מורן"/>
    <n v="0"/>
    <s v="35    "/>
    <x v="5"/>
    <d v="2022-01-01T00:00:00"/>
    <s v="רווק"/>
    <s v="--"/>
    <s v=""/>
    <n v="0"/>
    <n v="0"/>
    <n v="0"/>
    <n v="1"/>
    <b v="1"/>
    <n v="0"/>
    <n v="0"/>
    <n v="0"/>
    <n v="0"/>
    <n v="54196.973333333335"/>
    <n v="20186.73333333333"/>
    <n v="2025"/>
    <n v="0"/>
    <n v="0"/>
    <n v="0"/>
    <n v="0"/>
    <n v="0"/>
    <s v=""/>
    <n v="0"/>
    <n v="0"/>
  </r>
  <r>
    <s v="01511"/>
    <s v="אמיר יצחק"/>
    <s v="אמיר"/>
    <s v="יצחק"/>
    <s v="ז "/>
    <d v="1997-07-27T00:00:00"/>
    <n v="28"/>
    <x v="35"/>
    <x v="35"/>
    <s v="פתוח      "/>
    <s v="תושב לגביה"/>
    <s v="318234028"/>
    <s v="01511"/>
    <s v="אמיר יצחק"/>
    <n v="0"/>
    <s v="35    "/>
    <x v="5"/>
    <d v="2025-0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3101"/>
    <s v="גביר אלון יאיר"/>
    <s v="גביר"/>
    <s v="אלון יאיר"/>
    <s v="ז "/>
    <d v="1997-06-10T00:00:00"/>
    <n v="28"/>
    <x v="36"/>
    <x v="36"/>
    <s v="פתוח      "/>
    <s v="תושב לגביה"/>
    <s v="208882159"/>
    <s v="03101"/>
    <s v="גביר אלון יאיר"/>
    <n v="0"/>
    <s v="35    "/>
    <x v="5"/>
    <d v="2024-05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7032"/>
    <s v="רדה עטרה"/>
    <s v="רדה"/>
    <s v="עטרה"/>
    <s v="נ "/>
    <d v="1997-12-31T00:00:00"/>
    <n v="28"/>
    <x v="37"/>
    <x v="37"/>
    <s v="פתוח      "/>
    <s v="חבר"/>
    <s v="207521915"/>
    <s v="07031"/>
    <s v="רדה דניאל"/>
    <n v="0"/>
    <s v="35    "/>
    <x v="5"/>
    <d v="2023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1461"/>
    <s v="אלדד נעם"/>
    <s v="אלדד"/>
    <s v="נעם"/>
    <s v="ז "/>
    <d v="1995-05-12T00:00:00"/>
    <n v="30"/>
    <x v="38"/>
    <x v="38"/>
    <s v="פתוח      "/>
    <s v="תושב לגביה"/>
    <s v="205867658"/>
    <s v="01461"/>
    <s v="אלדד נעם"/>
    <n v="0"/>
    <s v="6     "/>
    <x v="1"/>
    <d v="2025-05-12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462"/>
    <s v="אלדד-יעקב שי"/>
    <s v="אלדד-יעקב"/>
    <s v="שי"/>
    <s v="נ "/>
    <d v="1999-09-15T00:00:00"/>
    <n v="26"/>
    <x v="38"/>
    <x v="38"/>
    <s v="פתוח      "/>
    <s v="תושב לגביה"/>
    <s v="206937963"/>
    <s v="01461"/>
    <s v="אלדד נעם"/>
    <n v="0"/>
    <s v="6     "/>
    <x v="1"/>
    <d v="2023-09-03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2501"/>
    <s v="לזר שוהם יוסף"/>
    <s v="לזר"/>
    <s v="שוהם יוסף"/>
    <s v="ז "/>
    <d v="1997-06-13T00:00:00"/>
    <n v="28"/>
    <x v="39"/>
    <x v="39"/>
    <s v="פתוח      "/>
    <s v="תושב לגביה"/>
    <s v="318206133"/>
    <s v="12501"/>
    <s v="לזר שוהם יוסף"/>
    <n v="0"/>
    <s v="35    "/>
    <x v="5"/>
    <d v="2023-09-01T00:00:00"/>
    <s v="רווק"/>
    <s v="--"/>
    <s v=""/>
    <n v="0"/>
    <n v="0"/>
    <n v="0"/>
    <n v="1"/>
    <b v="1"/>
    <n v="0"/>
    <n v="0"/>
    <n v="0"/>
    <n v="0"/>
    <n v="54196.973333333335"/>
    <n v="20186.73333333333"/>
    <n v="2025"/>
    <n v="0"/>
    <n v="0"/>
    <n v="0"/>
    <n v="0"/>
    <n v="0"/>
    <s v=""/>
    <n v="0"/>
    <n v="0"/>
  </r>
  <r>
    <s v="01481"/>
    <s v="שושן אבי"/>
    <s v="שושן"/>
    <s v="אבי"/>
    <s v="ז "/>
    <d v="1976-09-23T00:00:00"/>
    <n v="49"/>
    <x v="40"/>
    <x v="40"/>
    <s v="פתוח      "/>
    <s v="חבר"/>
    <s v="033406497"/>
    <s v="01482"/>
    <s v="המר-שושן אדוה"/>
    <n v="1"/>
    <s v="6     "/>
    <x v="1"/>
    <d v="2024-11-21T00:00:00"/>
    <s v="נשוי בשנית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01482"/>
    <s v="המר-שושן אדוה"/>
    <s v="המר-שושן"/>
    <s v="אדוה"/>
    <s v="נ "/>
    <d v="1985-05-10T00:00:00"/>
    <n v="40"/>
    <x v="40"/>
    <x v="40"/>
    <s v="פתוח      "/>
    <s v="חבר"/>
    <s v="036819514"/>
    <s v="01482"/>
    <s v="המר-שושן אדוה"/>
    <n v="1"/>
    <s v="1     "/>
    <x v="3"/>
    <d v="2009-01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18"/>
    <n v="27295.170209999997"/>
    <n v="0"/>
  </r>
  <r>
    <s v="15092"/>
    <s v="בן דוד סהר יהב"/>
    <s v="בן דוד סהר"/>
    <s v="יהב"/>
    <s v="נ "/>
    <d v="1997-12-11T00:00:00"/>
    <n v="28"/>
    <x v="41"/>
    <x v="41"/>
    <s v="סגור      "/>
    <s v="לא פעילים"/>
    <s v="207522699"/>
    <s v="15092"/>
    <s v="בן דוד סהר יהב"/>
    <n v="0"/>
    <s v="35    "/>
    <x v="5"/>
    <d v="2022-09-16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9011"/>
    <s v="קרן יהונתן"/>
    <s v="קרן"/>
    <s v="יהונתן"/>
    <s v="ז "/>
    <d v="1997-03-28T00:00:00"/>
    <n v="28"/>
    <x v="42"/>
    <x v="42"/>
    <s v="פתוח      "/>
    <s v="תושב לגביה"/>
    <s v="208495861"/>
    <s v="19011"/>
    <s v="קרן יהונתן"/>
    <n v="0"/>
    <s v="35    "/>
    <x v="5"/>
    <d v="2024-09-01T00:00:00"/>
    <s v="רווק"/>
    <s v="--"/>
    <s v=""/>
    <n v="0"/>
    <n v="0"/>
    <n v="0"/>
    <n v="1"/>
    <b v="1"/>
    <n v="0"/>
    <n v="0"/>
    <n v="0"/>
    <n v="0"/>
    <n v="54196.973333333335"/>
    <n v="20186.73333333333"/>
    <n v="2025"/>
    <n v="0"/>
    <n v="0"/>
    <n v="0"/>
    <n v="0"/>
    <n v="0"/>
    <s v=""/>
    <n v="0"/>
    <n v="0"/>
  </r>
  <r>
    <s v="02021"/>
    <s v="ברודי אמנון"/>
    <s v="ברודי"/>
    <s v="אמנון"/>
    <s v="ז "/>
    <d v="1951-03-27T00:00:00"/>
    <n v="74"/>
    <x v="43"/>
    <x v="43"/>
    <s v="פתוח      "/>
    <s v="חבר"/>
    <s v="050649383"/>
    <s v="02021"/>
    <s v="ברודי אמנון"/>
    <n v="2"/>
    <s v="1     "/>
    <x v="3"/>
    <d v="196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022"/>
    <s v="ברודי אתי"/>
    <s v="ברודי"/>
    <s v="אתי"/>
    <s v="נ "/>
    <d v="1951-12-25T00:00:00"/>
    <n v="74"/>
    <x v="43"/>
    <x v="43"/>
    <s v="פתוח      "/>
    <s v="חבר"/>
    <s v="050872654"/>
    <s v="02021"/>
    <s v="ברודי אמנון"/>
    <n v="2"/>
    <s v="1     "/>
    <x v="3"/>
    <d v="1973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062"/>
    <s v="בן-יעקב שאולה"/>
    <s v="בן-יעקב"/>
    <s v="שאולה"/>
    <s v="נ "/>
    <d v="1939-07-05T00:00:00"/>
    <n v="86"/>
    <x v="44"/>
    <x v="44"/>
    <s v="פתוח      "/>
    <s v="חבר"/>
    <s v="003160678"/>
    <s v="902061"/>
    <s v="בן-יעקב אברהם ז&quot;ל"/>
    <n v="1"/>
    <s v="1     "/>
    <x v="3"/>
    <d v="1964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4.69"/>
    <n v="0"/>
    <n v="0"/>
  </r>
  <r>
    <s v="02111"/>
    <s v="ברודי נועם"/>
    <s v="ברודי"/>
    <s v="נועם"/>
    <s v="ז "/>
    <d v="1974-10-11T00:00:00"/>
    <n v="51"/>
    <x v="45"/>
    <x v="45"/>
    <s v="פתוח      "/>
    <s v="חבר במסב"/>
    <s v="031943954"/>
    <s v="02111"/>
    <s v="ברודי נועם"/>
    <n v="2"/>
    <s v="1     "/>
    <x v="3"/>
    <d v="2011-09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5.68"/>
    <n v="23541.708959999996"/>
    <n v="0"/>
  </r>
  <r>
    <s v="02112"/>
    <s v="ברודי קרן"/>
    <s v="ברודי"/>
    <s v="קרן"/>
    <s v="נ "/>
    <d v="1974-11-23T00:00:00"/>
    <n v="51"/>
    <x v="45"/>
    <x v="45"/>
    <s v="פתוח      "/>
    <s v="חבר במסב"/>
    <s v="031880529"/>
    <s v="02111"/>
    <s v="ברודי נועם"/>
    <n v="2"/>
    <s v="1     "/>
    <x v="3"/>
    <d v="2011-09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5.68"/>
    <n v="23541.708959999996"/>
    <n v="0"/>
  </r>
  <r>
    <s v="20342"/>
    <s v="רביב יובל"/>
    <s v="רביב"/>
    <s v="יובל"/>
    <s v="נ "/>
    <d v="1997-04-02T00:00:00"/>
    <n v="28"/>
    <x v="46"/>
    <x v="46"/>
    <s v="פתוח      "/>
    <s v="תושב לגביה"/>
    <s v="208496919"/>
    <s v="20342"/>
    <s v="רביב יובל"/>
    <n v="0"/>
    <s v="35    "/>
    <x v="5"/>
    <d v="2023-01-30T00:00:00"/>
    <s v="רווק"/>
    <s v="--"/>
    <s v=""/>
    <n v="0"/>
    <n v="0"/>
    <n v="0"/>
    <n v="1"/>
    <b v="1"/>
    <n v="0"/>
    <n v="0"/>
    <n v="0"/>
    <n v="0"/>
    <n v="54196.973333333335"/>
    <n v="20186.73333333333"/>
    <n v="2025"/>
    <n v="0"/>
    <n v="0"/>
    <n v="0"/>
    <n v="0"/>
    <n v="0"/>
    <s v=""/>
    <n v="0"/>
    <n v="0"/>
  </r>
  <r>
    <s v="02121"/>
    <s v="בירנבאום צבי"/>
    <s v="בירנבאום"/>
    <s v="צבי"/>
    <s v="ז "/>
    <d v="1956-02-14T00:00:00"/>
    <n v="69"/>
    <x v="47"/>
    <x v="47"/>
    <s v="פתוח      "/>
    <s v="חבר"/>
    <s v="054015409"/>
    <s v="02121"/>
    <s v="בירנבאום צבי"/>
    <n v="2"/>
    <s v="1     "/>
    <x v="3"/>
    <d v="1974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122"/>
    <s v="בירנבאום אורה"/>
    <s v="בירנבאום"/>
    <s v="אורה"/>
    <s v="נ "/>
    <d v="1960-06-27T00:00:00"/>
    <n v="65"/>
    <x v="47"/>
    <x v="47"/>
    <s v="פתוח      "/>
    <s v="חבר"/>
    <s v="056488497"/>
    <s v="02121"/>
    <s v="בירנבאום צבי"/>
    <n v="2"/>
    <s v="1     "/>
    <x v="3"/>
    <d v="1986-11-25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38.869999999999997"/>
    <n v="0"/>
    <n v="0"/>
  </r>
  <r>
    <s v="02141"/>
    <s v="בן-חמו סרג`"/>
    <s v="בן-חמו"/>
    <s v="סרג`"/>
    <s v="ז "/>
    <d v="1955-07-13T00:00:00"/>
    <n v="70"/>
    <x v="48"/>
    <x v="48"/>
    <s v="פתוח      "/>
    <s v="חבר"/>
    <s v="011235751"/>
    <s v="02141"/>
    <s v="בן-חמו סרג`"/>
    <n v="2"/>
    <s v="1     "/>
    <x v="3"/>
    <d v="1989-06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6.76"/>
    <n v="0"/>
    <n v="0"/>
  </r>
  <r>
    <s v="02142"/>
    <s v="בן חמו רחל אן"/>
    <s v="בן חמו"/>
    <s v="רחל אן"/>
    <s v="נ "/>
    <d v="1961-02-27T00:00:00"/>
    <n v="64"/>
    <x v="48"/>
    <x v="48"/>
    <s v="פתוח      "/>
    <s v="חבר"/>
    <s v="015436124"/>
    <s v="02141"/>
    <s v="בן-חמו סרג`"/>
    <n v="2"/>
    <s v="1     "/>
    <x v="3"/>
    <d v="1989-06-0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36.9"/>
    <n v="0"/>
    <n v="58714.858124999999"/>
  </r>
  <r>
    <s v="02161"/>
    <s v="בר פלד יואב"/>
    <s v="בר פלד"/>
    <s v="יואב"/>
    <s v="ז "/>
    <d v="1952-05-10T00:00:00"/>
    <n v="73"/>
    <x v="49"/>
    <x v="49"/>
    <s v="פתוח      "/>
    <s v="חבר"/>
    <s v="051207397"/>
    <s v="02161"/>
    <s v="בר פלד יואב"/>
    <n v="2"/>
    <s v="1     "/>
    <x v="3"/>
    <d v="197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162"/>
    <s v="בר פלד חנה"/>
    <s v="בר פלד"/>
    <s v="חנה"/>
    <s v="נ "/>
    <d v="1953-07-22T00:00:00"/>
    <n v="72"/>
    <x v="49"/>
    <x v="49"/>
    <s v="פתוח      "/>
    <s v="חבר"/>
    <s v="051963973"/>
    <s v="02161"/>
    <s v="בר פלד יואב"/>
    <n v="2"/>
    <s v="1     "/>
    <x v="3"/>
    <d v="1975-10-06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7.82"/>
    <n v="0"/>
    <n v="0"/>
  </r>
  <r>
    <s v="02171"/>
    <s v="ברודי אלחנן"/>
    <s v="ברודי"/>
    <s v="אלחנן"/>
    <s v="ז "/>
    <d v="1953-06-17T00:00:00"/>
    <n v="72"/>
    <x v="50"/>
    <x v="50"/>
    <s v="פתוח      "/>
    <s v="חבר"/>
    <s v="051789634"/>
    <s v="02171"/>
    <s v="ברודי אלחנן"/>
    <n v="2"/>
    <s v="1     "/>
    <x v="3"/>
    <d v="1953-06-17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172"/>
    <s v="ברודי רחל"/>
    <s v="ברודי"/>
    <s v="רחל"/>
    <s v="נ "/>
    <d v="1956-01-02T00:00:00"/>
    <n v="69"/>
    <x v="50"/>
    <x v="50"/>
    <s v="פתוח      "/>
    <s v="חבר"/>
    <s v="053954905"/>
    <s v="02171"/>
    <s v="ברודי אלחנן"/>
    <n v="2"/>
    <s v="1     "/>
    <x v="3"/>
    <d v="1973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181"/>
    <s v="בן-טל רפאל"/>
    <s v="בן-טל"/>
    <s v="רפאל"/>
    <s v="ז "/>
    <d v="1955-10-23T00:00:00"/>
    <n v="70"/>
    <x v="51"/>
    <x v="51"/>
    <s v="פתוח      "/>
    <s v="חבר"/>
    <s v="053446498"/>
    <s v="02181"/>
    <s v="בן-טל רפאל"/>
    <n v="2"/>
    <s v="1     "/>
    <x v="3"/>
    <d v="1973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182"/>
    <s v="בן-טל שושנה"/>
    <s v="בן-טל"/>
    <s v="שושנה"/>
    <s v="נ "/>
    <d v="1955-06-25T00:00:00"/>
    <n v="70"/>
    <x v="51"/>
    <x v="51"/>
    <s v="פתוח      "/>
    <s v="חבר"/>
    <s v="053461802"/>
    <s v="02181"/>
    <s v="בן-טל רפאל"/>
    <n v="2"/>
    <s v="1     "/>
    <x v="3"/>
    <d v="1977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2191"/>
    <s v="בשן בנימין"/>
    <s v="בשן"/>
    <s v="בנימין"/>
    <s v="ז "/>
    <d v="1954-12-08T00:00:00"/>
    <n v="71"/>
    <x v="52"/>
    <x v="52"/>
    <s v="פתוח      "/>
    <s v="חבר"/>
    <s v="053038089"/>
    <s v="02191"/>
    <s v="בשן בנימין"/>
    <n v="2"/>
    <s v="1     "/>
    <x v="3"/>
    <d v="1976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26"/>
    <n v="0"/>
    <n v="0"/>
  </r>
  <r>
    <s v="02192"/>
    <s v="בשן רחל"/>
    <s v="בשן"/>
    <s v="רחל"/>
    <s v="נ "/>
    <d v="1956-09-26T00:00:00"/>
    <n v="69"/>
    <x v="52"/>
    <x v="52"/>
    <s v="פתוח      "/>
    <s v="חבר"/>
    <s v="054551023"/>
    <s v="02191"/>
    <s v="בשן בנימין"/>
    <n v="2"/>
    <s v="1     "/>
    <x v="3"/>
    <d v="1979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89"/>
    <n v="0"/>
    <n v="0"/>
  </r>
  <r>
    <s v="02201"/>
    <s v="בן-עמי צבי"/>
    <s v="בן-עמי"/>
    <s v="צבי"/>
    <s v="ז "/>
    <d v="1953-09-19T00:00:00"/>
    <n v="72"/>
    <x v="53"/>
    <x v="53"/>
    <s v="פתוח      "/>
    <s v="חבר"/>
    <s v="011181591"/>
    <s v="02201"/>
    <s v="בן-עמי צבי"/>
    <n v="2"/>
    <s v="1     "/>
    <x v="3"/>
    <d v="1980-10-05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2.98"/>
    <n v="0"/>
    <n v="0"/>
  </r>
  <r>
    <s v="02202"/>
    <s v="בן-עמי הדסה"/>
    <s v="בן-עמי"/>
    <s v="הדסה"/>
    <s v="נ "/>
    <d v="1955-10-17T00:00:00"/>
    <n v="70"/>
    <x v="53"/>
    <x v="53"/>
    <s v="פתוח      "/>
    <s v="חבר"/>
    <s v="053571121"/>
    <s v="02201"/>
    <s v="בן-עמי צבי"/>
    <n v="2"/>
    <s v="1     "/>
    <x v="3"/>
    <d v="1980-10-05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4.94"/>
    <n v="0"/>
    <n v="0"/>
  </r>
  <r>
    <s v="20352"/>
    <s v="מלכה שני"/>
    <s v="מלכה"/>
    <s v="שני"/>
    <s v="נ "/>
    <d v="1997-10-29T00:00:00"/>
    <n v="28"/>
    <x v="54"/>
    <x v="54"/>
    <s v="פתוח      "/>
    <s v="תושב לגביה"/>
    <s v="318509775"/>
    <s v="20352"/>
    <s v="מלכה שני"/>
    <n v="0"/>
    <s v="35    "/>
    <x v="5"/>
    <d v="2023-07-16T00:00:00"/>
    <s v="רווק"/>
    <s v="--"/>
    <s v=""/>
    <n v="0"/>
    <n v="0"/>
    <n v="0"/>
    <n v="1"/>
    <b v="1"/>
    <n v="0"/>
    <n v="0"/>
    <n v="0"/>
    <n v="0"/>
    <n v="54196.973333333335"/>
    <n v="20186.73333333333"/>
    <n v="2025"/>
    <n v="0"/>
    <n v="0"/>
    <n v="0"/>
    <n v="0"/>
    <n v="0"/>
    <s v=""/>
    <n v="0"/>
    <n v="0"/>
  </r>
  <r>
    <s v="01081"/>
    <s v="אלדד שי יוסף"/>
    <s v="אלדד"/>
    <s v="שי יוסף"/>
    <s v="ז "/>
    <d v="1998-04-15T00:00:00"/>
    <n v="27"/>
    <x v="55"/>
    <x v="55"/>
    <s v="פתוח      "/>
    <s v="חבר"/>
    <s v="207351917"/>
    <s v="01081"/>
    <s v="אלדד שי יוסף"/>
    <n v="0"/>
    <s v="35    "/>
    <x v="5"/>
    <d v="2024-09-14T00:00:00"/>
    <s v="רווק"/>
    <s v="--"/>
    <s v=""/>
    <n v="0"/>
    <n v="0"/>
    <n v="0"/>
    <n v="1"/>
    <b v="1"/>
    <n v="0"/>
    <n v="0"/>
    <n v="0"/>
    <n v="0"/>
    <n v="52261.367142857154"/>
    <n v="19465.778571428571"/>
    <n v="2025"/>
    <n v="0"/>
    <n v="0"/>
    <n v="0"/>
    <n v="0"/>
    <n v="0"/>
    <s v=""/>
    <n v="0"/>
    <n v="0"/>
  </r>
  <r>
    <s v="02241"/>
    <s v="ברבן יהונתן"/>
    <s v="ברבן"/>
    <s v="יהונתן"/>
    <s v="ז "/>
    <d v="2003-06-23T00:00:00"/>
    <n v="22"/>
    <x v="56"/>
    <x v="56"/>
    <s v="פתוח      "/>
    <s v="חבר"/>
    <s v="214288003"/>
    <s v="02241"/>
    <s v="ברבן יהונתן"/>
    <n v="0"/>
    <s v="36    "/>
    <x v="0"/>
    <d v="2025-08-17T00:00:00"/>
    <s v="רווק"/>
    <s v="--"/>
    <s v=""/>
    <n v="0"/>
    <n v="0"/>
    <n v="0"/>
    <n v="1"/>
    <b v="1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02261"/>
    <s v="בר מאור"/>
    <s v="בר"/>
    <s v="מאור"/>
    <s v="ז "/>
    <d v="1980-05-24T00:00:00"/>
    <n v="45"/>
    <x v="57"/>
    <x v="57"/>
    <s v="פתוח      "/>
    <s v="חבר"/>
    <s v="040063240"/>
    <s v="02261"/>
    <s v="בר מאור"/>
    <n v="2"/>
    <s v="1     "/>
    <x v="3"/>
    <d v="2012-06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4.01"/>
    <n v="21034.396844999999"/>
    <n v="0"/>
  </r>
  <r>
    <s v="02262"/>
    <s v="בר שלי"/>
    <s v="בר"/>
    <s v="שלי"/>
    <s v="נ "/>
    <d v="1979-03-24T00:00:00"/>
    <n v="46"/>
    <x v="57"/>
    <x v="57"/>
    <s v="פתוח      "/>
    <s v="חבר"/>
    <s v="031521842"/>
    <s v="02261"/>
    <s v="בר מאור"/>
    <n v="2"/>
    <s v="1     "/>
    <x v="3"/>
    <d v="2012-06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4.01"/>
    <n v="21034.396844999999"/>
    <n v="0"/>
  </r>
  <r>
    <s v="02581"/>
    <s v="ברבן גיא"/>
    <s v="ברבן"/>
    <s v="גיא"/>
    <s v="ז "/>
    <d v="1998-01-25T00:00:00"/>
    <n v="27"/>
    <x v="58"/>
    <x v="58"/>
    <s v="פתוח      "/>
    <s v="תושב לגביה"/>
    <s v="208577049"/>
    <s v="02581"/>
    <s v="ברבן גיא"/>
    <n v="0"/>
    <s v="35    "/>
    <x v="5"/>
    <d v="2025-04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3112"/>
    <s v="גביר אוריה"/>
    <s v="גביר"/>
    <s v="אוריה"/>
    <s v="נ "/>
    <d v="1998-12-13T00:00:00"/>
    <n v="27"/>
    <x v="59"/>
    <x v="59"/>
    <s v="פתוח      "/>
    <s v="תושב לגביה"/>
    <s v="208256776"/>
    <s v="03112"/>
    <s v="גביר אוריה"/>
    <n v="0"/>
    <s v="35    "/>
    <x v="5"/>
    <d v="2024-09-01T00:00:00"/>
    <s v="רווק"/>
    <s v="--"/>
    <s v=""/>
    <n v="0"/>
    <n v="0"/>
    <n v="0"/>
    <n v="1"/>
    <b v="1"/>
    <n v="0"/>
    <n v="0"/>
    <n v="0"/>
    <n v="0"/>
    <n v="52261.367142857154"/>
    <n v="19465.778571428571"/>
    <n v="2025"/>
    <n v="0"/>
    <n v="0"/>
    <n v="0"/>
    <n v="0"/>
    <n v="0"/>
    <s v=""/>
    <n v="0"/>
    <n v="0"/>
  </r>
  <r>
    <s v="02271"/>
    <s v="ברודי עודד"/>
    <s v="ברודי"/>
    <s v="עודד"/>
    <s v="ז "/>
    <d v="1980-04-01T00:00:00"/>
    <n v="45"/>
    <x v="60"/>
    <x v="60"/>
    <s v="פתוח      "/>
    <s v="חבר"/>
    <s v="040012577"/>
    <s v="02271"/>
    <s v="ברודי עודד"/>
    <n v="2"/>
    <s v="1     "/>
    <x v="3"/>
    <d v="2015-07-1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5.81"/>
    <n v="23736.888944999999"/>
    <n v="0"/>
  </r>
  <r>
    <s v="02272"/>
    <s v="ברודי אביבית"/>
    <s v="ברודי"/>
    <s v="אביבית"/>
    <s v="נ "/>
    <d v="1987-12-29T00:00:00"/>
    <n v="38"/>
    <x v="60"/>
    <x v="60"/>
    <s v="פתוח      "/>
    <s v="חבר"/>
    <s v="200539450"/>
    <s v="02271"/>
    <s v="ברודי עודד"/>
    <n v="2"/>
    <s v="1     "/>
    <x v="3"/>
    <d v="2015-07-1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2.43"/>
    <n v="18662.209334999996"/>
    <n v="0"/>
  </r>
  <r>
    <s v="15111"/>
    <s v="סולומון נתנאל - רלף"/>
    <s v="סולומון"/>
    <s v="נתנאל - רלף"/>
    <s v="ז "/>
    <d v="1998-12-18T00:00:00"/>
    <n v="27"/>
    <x v="61"/>
    <x v="61"/>
    <s v="פתוח      "/>
    <s v="תושב לגביה"/>
    <s v="208257212"/>
    <s v="15111"/>
    <s v="סולומון נתנאל - רלף"/>
    <n v="0"/>
    <s v="35    "/>
    <x v="5"/>
    <d v="2025-07-25T00:00:00"/>
    <s v="רווק"/>
    <s v="--"/>
    <s v=""/>
    <n v="0"/>
    <n v="0"/>
    <n v="0"/>
    <n v="1"/>
    <b v="1"/>
    <n v="0"/>
    <n v="0"/>
    <n v="0"/>
    <n v="0"/>
    <n v="52261.367142857154"/>
    <n v="19465.778571428571"/>
    <n v="2025"/>
    <n v="0"/>
    <n v="0"/>
    <n v="0"/>
    <n v="0"/>
    <n v="0"/>
    <s v=""/>
    <n v="0"/>
    <n v="0"/>
  </r>
  <r>
    <s v="17012"/>
    <s v="אברהם שירה"/>
    <s v="אברהם"/>
    <s v="שירה"/>
    <s v="נ "/>
    <d v="1998-01-08T00:00:00"/>
    <n v="27"/>
    <x v="62"/>
    <x v="62"/>
    <s v="פתוח      "/>
    <s v="תושב לגביה"/>
    <s v="207319690"/>
    <s v="17012"/>
    <s v="אברהם שירה"/>
    <n v="0"/>
    <s v="35    "/>
    <x v="5"/>
    <d v="2022-0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7252"/>
    <s v="פרג`ון אפרת"/>
    <s v="פרג`ון"/>
    <s v="אפרת"/>
    <s v="נ "/>
    <d v="1998-11-30T00:00:00"/>
    <n v="27"/>
    <x v="63"/>
    <x v="63"/>
    <s v="פתוח      "/>
    <s v="תושב לגביה"/>
    <s v="315244079"/>
    <s v="17252"/>
    <s v="פרג`ון אפרת"/>
    <n v="0"/>
    <s v="35    "/>
    <x v="5"/>
    <d v="2022-09-01T00:00:00"/>
    <s v="רווק"/>
    <s v="--"/>
    <s v=""/>
    <n v="0"/>
    <n v="0"/>
    <n v="0"/>
    <n v="1"/>
    <b v="1"/>
    <n v="0"/>
    <n v="0"/>
    <n v="0"/>
    <n v="0"/>
    <n v="52261.367142857154"/>
    <n v="19465.778571428571"/>
    <n v="2025"/>
    <n v="0"/>
    <n v="0"/>
    <n v="0"/>
    <n v="0"/>
    <n v="0"/>
    <s v=""/>
    <n v="0"/>
    <n v="0"/>
  </r>
  <r>
    <s v="02281"/>
    <s v="ברודי גיא"/>
    <s v="ברודי"/>
    <s v="גיא"/>
    <s v="ז "/>
    <d v="2007-05-06T00:00:00"/>
    <n v="18"/>
    <x v="45"/>
    <x v="45"/>
    <s v="פתוח      "/>
    <s v="חבר במסב"/>
    <s v="216789438"/>
    <s v="02111"/>
    <s v="ברודי נועם"/>
    <n v="2"/>
    <s v="31    "/>
    <x v="6"/>
    <d v="2025-07-01T00:00:00"/>
    <s v="רווק"/>
    <s v="--"/>
    <s v="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02371"/>
    <s v="ברבן אברהם"/>
    <s v="ברבן"/>
    <s v="אברהם"/>
    <s v="ז "/>
    <d v="1964-02-28T00:00:00"/>
    <n v="61"/>
    <x v="64"/>
    <x v="64"/>
    <s v="פתוח      "/>
    <s v="חבר"/>
    <s v="058488685"/>
    <s v="02371"/>
    <s v="ברבן אברהם"/>
    <n v="2"/>
    <s v="1     "/>
    <x v="3"/>
    <d v="2007-08-2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35"/>
    <n v="32054.559075000001"/>
    <n v="0"/>
  </r>
  <r>
    <s v="02372"/>
    <s v="ברבן תמר"/>
    <s v="ברבן"/>
    <s v="תמר"/>
    <s v="נ "/>
    <d v="1964-06-25T00:00:00"/>
    <n v="61"/>
    <x v="64"/>
    <x v="64"/>
    <s v="פתוח      "/>
    <s v="חבר"/>
    <s v="058875436"/>
    <s v="02371"/>
    <s v="ברבן אברהם"/>
    <n v="2"/>
    <s v="1     "/>
    <x v="3"/>
    <d v="2007-08-2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35"/>
    <n v="32054.559075000001"/>
    <n v="0"/>
  </r>
  <r>
    <s v="17262"/>
    <s v="רוזנברג פז רננה"/>
    <s v="רוזנברג פז"/>
    <s v="רננה"/>
    <s v="נ "/>
    <d v="1998-01-08T00:00:00"/>
    <n v="27"/>
    <x v="65"/>
    <x v="65"/>
    <s v="פתוח      "/>
    <s v="תושב לגביה"/>
    <s v="207319708"/>
    <s v="17261"/>
    <s v="רוזנברג נעם"/>
    <n v="0"/>
    <s v="35    "/>
    <x v="5"/>
    <d v="2022-0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2492"/>
    <s v="עבדיה )ביטון( לוטם"/>
    <s v="עבדיה )ביטון("/>
    <s v="לוטם"/>
    <s v="נ "/>
    <d v="1985-05-27T00:00:00"/>
    <n v="40"/>
    <x v="66"/>
    <x v="66"/>
    <s v="פתוח      "/>
    <s v="חבר"/>
    <s v="021586219"/>
    <s v="02492"/>
    <s v="עבדיה )ביטון( לוטם"/>
    <n v="1"/>
    <s v="1     "/>
    <x v="3"/>
    <d v="2011-05-24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6.28"/>
    <n v="24442.539659999999"/>
    <n v="0"/>
  </r>
  <r>
    <s v="20042"/>
    <s v="דומב קרן"/>
    <s v="דומב"/>
    <s v="קרן"/>
    <s v="נ "/>
    <d v="1998-05-10T00:00:00"/>
    <n v="27"/>
    <x v="67"/>
    <x v="67"/>
    <s v="פתוח      "/>
    <s v="תושב לגביה"/>
    <s v="207744764"/>
    <s v="20042"/>
    <s v="דומב קרן"/>
    <n v="0"/>
    <s v="35    "/>
    <x v="5"/>
    <d v="2022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20232"/>
    <s v="רביב רותם"/>
    <s v="רביב"/>
    <s v="רותם"/>
    <s v="נ "/>
    <d v="1998-11-27T00:00:00"/>
    <n v="27"/>
    <x v="68"/>
    <x v="68"/>
    <s v="פתוח      "/>
    <s v="תושב לגביה"/>
    <s v="315243246"/>
    <s v="20232"/>
    <s v="רביב רותם"/>
    <n v="0"/>
    <s v="35    "/>
    <x v="5"/>
    <d v="2023-09-01T00:00:00"/>
    <s v="רווק"/>
    <s v="--"/>
    <s v=""/>
    <n v="0"/>
    <n v="0"/>
    <n v="0"/>
    <n v="1"/>
    <b v="1"/>
    <n v="0"/>
    <n v="0"/>
    <n v="0"/>
    <n v="0"/>
    <n v="52261.367142857154"/>
    <n v="19465.778571428571"/>
    <n v="2025"/>
    <n v="0"/>
    <n v="0"/>
    <n v="0"/>
    <n v="0"/>
    <n v="0"/>
    <s v=""/>
    <n v="0"/>
    <n v="0"/>
  </r>
  <r>
    <s v="02501"/>
    <s v="בן עמי ירדן חיים"/>
    <s v="בן עמי"/>
    <s v="ירדן חיים"/>
    <s v="ז "/>
    <d v="1991-04-07T00:00:00"/>
    <n v="34"/>
    <x v="69"/>
    <x v="69"/>
    <s v="פתוח      "/>
    <s v="חבר במסב"/>
    <s v="305663395"/>
    <s v="02501"/>
    <s v="בן עמי ירדן חיים"/>
    <n v="2"/>
    <s v="1     "/>
    <x v="3"/>
    <d v="2024-09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03"/>
    <n v="4549.1950349999988"/>
    <n v="0"/>
  </r>
  <r>
    <s v="02502"/>
    <s v="בן עמי דנה"/>
    <s v="בן עמי"/>
    <s v="דנה"/>
    <s v="נ "/>
    <d v="1991-10-01T00:00:00"/>
    <n v="34"/>
    <x v="69"/>
    <x v="69"/>
    <s v="פתוח      "/>
    <s v="חבר במסב"/>
    <s v="203298997"/>
    <s v="02501"/>
    <s v="בן עמי ירדן חיים"/>
    <n v="2"/>
    <s v="1     "/>
    <x v="3"/>
    <d v="2024-09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03"/>
    <n v="4549.1950349999988"/>
    <n v="0"/>
  </r>
  <r>
    <s v="20242"/>
    <s v="רמון אופיר"/>
    <s v="רמון"/>
    <s v="אופיר"/>
    <s v="נ "/>
    <d v="1998-03-05T00:00:00"/>
    <n v="27"/>
    <x v="70"/>
    <x v="70"/>
    <s v="פתוח      "/>
    <s v="תושב לגביה"/>
    <s v="206963936"/>
    <s v="20242"/>
    <s v="רמון אופיר"/>
    <n v="0"/>
    <s v="35    "/>
    <x v="5"/>
    <d v="2022-08-16T00:00:00"/>
    <s v="רווק"/>
    <s v="--"/>
    <s v=""/>
    <n v="0"/>
    <n v="0"/>
    <n v="0"/>
    <n v="1"/>
    <b v="1"/>
    <n v="0"/>
    <n v="0"/>
    <n v="0"/>
    <n v="0"/>
    <n v="52261.367142857154"/>
    <n v="19465.778571428571"/>
    <n v="2025"/>
    <n v="0"/>
    <n v="0"/>
    <n v="0"/>
    <n v="0"/>
    <n v="0"/>
    <s v=""/>
    <n v="0"/>
    <n v="0"/>
  </r>
  <r>
    <s v="21252"/>
    <s v="בוהרון הדס"/>
    <s v="בוהרון"/>
    <s v="הדס"/>
    <s v="נ "/>
    <d v="1998-10-02T00:00:00"/>
    <n v="27"/>
    <x v="71"/>
    <x v="71"/>
    <s v="פתוח      "/>
    <s v="תושב לגביה"/>
    <s v="206845331"/>
    <s v="21251"/>
    <s v="בוהרון אלירם"/>
    <n v="0"/>
    <s v="35    "/>
    <x v="5"/>
    <d v="2022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2521"/>
    <s v="בן אהרון ערן"/>
    <s v="בן אהרון"/>
    <s v="ערן"/>
    <s v="ז "/>
    <d v="1980-12-20T00:00:00"/>
    <n v="45"/>
    <x v="72"/>
    <x v="72"/>
    <s v="פתוח      "/>
    <s v="חבר"/>
    <s v="040864050"/>
    <s v="02521"/>
    <s v="בן אהרון ערן"/>
    <n v="2"/>
    <s v="1     "/>
    <x v="3"/>
    <d v="2011-09-07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5.99"/>
    <n v="24007.138155000001"/>
    <n v="0"/>
  </r>
  <r>
    <s v="02522"/>
    <s v="בן אהרון דפנה-רבקה"/>
    <s v="בן אהרון"/>
    <s v="דפנה-רבקה"/>
    <s v="נ "/>
    <d v="1984-02-09T00:00:00"/>
    <n v="41"/>
    <x v="72"/>
    <x v="72"/>
    <s v="פתוח      "/>
    <s v="חבר"/>
    <s v="039633086"/>
    <s v="02521"/>
    <s v="בן אהרון ערן"/>
    <n v="2"/>
    <s v="1     "/>
    <x v="3"/>
    <d v="2009-09-07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7.52"/>
    <n v="26304.256439999997"/>
    <n v="0"/>
  </r>
  <r>
    <s v="22082"/>
    <s v="רקובסקי פריאל"/>
    <s v="רקובסקי"/>
    <s v="פריאל"/>
    <s v="נ "/>
    <d v="1998-12-19T00:00:00"/>
    <n v="27"/>
    <x v="73"/>
    <x v="73"/>
    <s v="פתוח      "/>
    <s v="תושב לגביה"/>
    <s v="209477116"/>
    <s v="22081"/>
    <s v="רקובסקי עידן"/>
    <n v="0"/>
    <s v="35    "/>
    <x v="5"/>
    <d v="2023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1101"/>
    <s v="כהן יזרעאל"/>
    <s v="כהן"/>
    <s v="יזרעאל"/>
    <s v="ז "/>
    <d v="1999-01-21T00:00:00"/>
    <n v="26"/>
    <x v="74"/>
    <x v="74"/>
    <s v="פתוח      "/>
    <s v="חבר"/>
    <s v="208692053"/>
    <s v="11101"/>
    <s v="כהן יזרעאל"/>
    <n v="0"/>
    <s v="35    "/>
    <x v="5"/>
    <d v="2025-09-01T00:00:00"/>
    <s v="רווק"/>
    <s v="--"/>
    <s v=""/>
    <n v="0"/>
    <n v="0"/>
    <n v="0"/>
    <n v="1"/>
    <b v="1"/>
    <n v="0"/>
    <n v="0"/>
    <n v="0"/>
    <n v="0"/>
    <n v="50325.760952380959"/>
    <n v="18744.823809523808"/>
    <n v="2025"/>
    <n v="0"/>
    <n v="0"/>
    <n v="0"/>
    <n v="0"/>
    <n v="0"/>
    <s v=""/>
    <n v="0"/>
    <n v="0"/>
  </r>
  <r>
    <s v="19122"/>
    <s v="קרן טליה"/>
    <s v="קרן"/>
    <s v="טליה"/>
    <s v="נ "/>
    <d v="1999-05-09T00:00:00"/>
    <n v="26"/>
    <x v="75"/>
    <x v="75"/>
    <s v="פתוח      "/>
    <s v="תושב לגביה"/>
    <s v="208327676"/>
    <s v="19122"/>
    <s v="קרן טליה"/>
    <n v="0"/>
    <s v="35    "/>
    <x v="5"/>
    <d v="2023-09-01T00:00:00"/>
    <s v="רווק"/>
    <s v="--"/>
    <s v=""/>
    <n v="0"/>
    <n v="0"/>
    <n v="0"/>
    <n v="1"/>
    <b v="1"/>
    <n v="0"/>
    <n v="0"/>
    <n v="0"/>
    <n v="0"/>
    <n v="50325.760952380959"/>
    <n v="18744.823809523808"/>
    <n v="2025"/>
    <n v="0"/>
    <n v="0"/>
    <n v="0"/>
    <n v="0"/>
    <n v="0"/>
    <s v=""/>
    <n v="0"/>
    <n v="0"/>
  </r>
  <r>
    <s v="20271"/>
    <s v="רגב רביד"/>
    <s v="רגב"/>
    <s v="רביד"/>
    <s v="ז "/>
    <d v="1999-06-01T00:00:00"/>
    <n v="26"/>
    <x v="76"/>
    <x v="76"/>
    <s v="פתוח      "/>
    <s v="תושב לגביה"/>
    <s v="207895863"/>
    <s v="20271"/>
    <s v="רגב רביד"/>
    <n v="0"/>
    <s v="35    "/>
    <x v="5"/>
    <d v="2025-09-10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2561"/>
    <s v="בירנבאום זמיר"/>
    <s v="בירנבאום"/>
    <s v="זמיר"/>
    <s v="ז "/>
    <d v="1988-12-06T00:00:00"/>
    <n v="37"/>
    <x v="77"/>
    <x v="77"/>
    <s v="פתוח      "/>
    <s v="תושב לגביה"/>
    <s v="201108826"/>
    <s v="02561"/>
    <s v="בירנבאום זמיר"/>
    <n v="0"/>
    <s v="6     "/>
    <x v="1"/>
    <d v="2020-02-01T00:00:00"/>
    <s v="גרוש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132"/>
    <s v="בן דוד )אלדד( רינה"/>
    <s v="בן דוד )אלדד("/>
    <s v="רינה"/>
    <s v="נ "/>
    <d v="2000-11-23T00:00:00"/>
    <n v="25"/>
    <x v="78"/>
    <x v="78"/>
    <s v="פתוח      "/>
    <s v="תושב לגביה"/>
    <s v="211684451"/>
    <s v="01132"/>
    <s v="בן דוד )אלדד( רינה"/>
    <n v="0"/>
    <s v="35    "/>
    <x v="5"/>
    <d v="2024-1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3011"/>
    <s v="גוטליב דב"/>
    <s v="גוטליב"/>
    <s v="דב"/>
    <s v="ז "/>
    <d v="1940-06-01T00:00:00"/>
    <n v="85"/>
    <x v="79"/>
    <x v="79"/>
    <s v="פתוח      "/>
    <s v="חבר"/>
    <s v="069892461"/>
    <s v="03011"/>
    <s v="גוטליב דב"/>
    <n v="2"/>
    <s v="1     "/>
    <x v="3"/>
    <d v="1964-12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5.52"/>
    <n v="0"/>
    <n v="0"/>
  </r>
  <r>
    <s v="03012"/>
    <s v="גוטליב נעמי"/>
    <s v="גוטליב"/>
    <s v="נעמי"/>
    <s v="נ "/>
    <d v="1942-12-01T00:00:00"/>
    <n v="83"/>
    <x v="79"/>
    <x v="79"/>
    <s v="פתוח      "/>
    <s v="חבר"/>
    <s v="069892479"/>
    <s v="03011"/>
    <s v="גוטליב דב"/>
    <n v="2"/>
    <s v="1     "/>
    <x v="3"/>
    <d v="1965-12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3022"/>
    <s v="גלבוע חנה"/>
    <s v="גלבוע"/>
    <s v="חנה"/>
    <s v="נ "/>
    <d v="1925-05-11T00:00:00"/>
    <n v="100"/>
    <x v="80"/>
    <x v="80"/>
    <s v="פתוח      "/>
    <s v="חבר"/>
    <s v="005615661"/>
    <s v="903021"/>
    <s v="גלבוע מרדכי ז&quot;ל"/>
    <n v="1"/>
    <s v="1     "/>
    <x v="3"/>
    <d v="1954-12-31T00:00:00"/>
    <s v="אלמן"/>
    <s v="Z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1.54"/>
    <n v="0"/>
    <n v="0"/>
  </r>
  <r>
    <s v="03031"/>
    <s v="גרינבלט משה"/>
    <s v="גרינבלט"/>
    <s v="משה"/>
    <s v="ז "/>
    <d v="1948-01-19T00:00:00"/>
    <n v="77"/>
    <x v="81"/>
    <x v="81"/>
    <s v="פתוח      "/>
    <s v="חבר"/>
    <s v="047081542"/>
    <s v="03031"/>
    <s v="גרינבלט משה"/>
    <n v="2"/>
    <s v="1     "/>
    <x v="3"/>
    <d v="196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3032"/>
    <s v="גרינבלט רותי"/>
    <s v="גרינבלט"/>
    <s v="רותי"/>
    <s v="נ "/>
    <d v="1949-07-15T00:00:00"/>
    <n v="76"/>
    <x v="81"/>
    <x v="81"/>
    <s v="פתוח      "/>
    <s v="חבר"/>
    <s v="046278339"/>
    <s v="03031"/>
    <s v="גרינבלט משה"/>
    <n v="2"/>
    <s v="1     "/>
    <x v="3"/>
    <d v="1971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3041"/>
    <s v="גביר שמואל"/>
    <s v="גביר"/>
    <s v="שמואל"/>
    <s v="ז "/>
    <d v="1971-05-17T00:00:00"/>
    <n v="54"/>
    <x v="82"/>
    <x v="82"/>
    <s v="פתוח      "/>
    <s v="חבר"/>
    <s v="028640100"/>
    <s v="03041"/>
    <s v="גביר שמואל"/>
    <n v="2"/>
    <s v="1     "/>
    <x v="3"/>
    <d v="1998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9.1"/>
    <n v="0"/>
    <n v="37802.716875000006"/>
  </r>
  <r>
    <s v="03042"/>
    <s v="גביר אילה"/>
    <s v="גביר"/>
    <s v="אילה"/>
    <s v="נ "/>
    <d v="1970-08-31T00:00:00"/>
    <n v="55"/>
    <x v="82"/>
    <x v="82"/>
    <s v="פתוח      "/>
    <s v="חבר"/>
    <s v="024888554"/>
    <s v="03041"/>
    <s v="גביר שמואל"/>
    <n v="2"/>
    <s v="1     "/>
    <x v="3"/>
    <d v="1995-04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94"/>
    <n v="0"/>
    <n v="58822.099874999993"/>
  </r>
  <r>
    <s v="03051"/>
    <s v="גריסמן אורי"/>
    <s v="גריסמן"/>
    <s v="אורי"/>
    <s v="ז "/>
    <d v="1950-11-17T00:00:00"/>
    <n v="75"/>
    <x v="83"/>
    <x v="83"/>
    <s v="פתוח      "/>
    <s v="חבר"/>
    <s v="050393107"/>
    <s v="03051"/>
    <s v="גריסמן אורי"/>
    <n v="2"/>
    <s v="1     "/>
    <x v="3"/>
    <d v="197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1.27"/>
    <n v="0"/>
    <n v="0"/>
  </r>
  <r>
    <s v="03052"/>
    <s v="גריסמן חנה"/>
    <s v="גריסמן"/>
    <s v="חנה"/>
    <s v="נ "/>
    <d v="1950-04-25T00:00:00"/>
    <n v="75"/>
    <x v="83"/>
    <x v="83"/>
    <s v="פתוח      "/>
    <s v="חבר"/>
    <s v="004999108"/>
    <s v="03051"/>
    <s v="גריסמן אורי"/>
    <n v="2"/>
    <s v="1     "/>
    <x v="3"/>
    <d v="197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0.71"/>
    <n v="0"/>
    <n v="0"/>
  </r>
  <r>
    <s v="03061"/>
    <s v="גוזלנד שמעון"/>
    <s v="גוזלנד"/>
    <s v="שמעון"/>
    <s v="ז "/>
    <d v="1977-06-14T00:00:00"/>
    <n v="48"/>
    <x v="84"/>
    <x v="84"/>
    <s v="פתוח      "/>
    <s v="חבר"/>
    <s v="033779844"/>
    <s v="03061"/>
    <s v="גוזלנד שמעון"/>
    <n v="2"/>
    <s v="1     "/>
    <x v="3"/>
    <d v="2009-03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52"/>
    <n v="27805.640939999997"/>
    <n v="0"/>
  </r>
  <r>
    <s v="03062"/>
    <s v="גוזלנד מוריה"/>
    <s v="גוזלנד"/>
    <s v="מוריה"/>
    <s v="נ "/>
    <d v="1980-06-10T00:00:00"/>
    <n v="45"/>
    <x v="84"/>
    <x v="84"/>
    <s v="פתוח      "/>
    <s v="חבר"/>
    <s v="040065740"/>
    <s v="03061"/>
    <s v="גוזלנד שמעון"/>
    <n v="2"/>
    <s v="1     "/>
    <x v="3"/>
    <d v="2007-03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3.48"/>
    <n v="35252.50806"/>
    <n v="0"/>
  </r>
  <r>
    <s v="01292"/>
    <s v="קדמון צליל"/>
    <s v="קדמון"/>
    <s v="צליל"/>
    <s v="נ "/>
    <d v="2000-07-07T00:00:00"/>
    <n v="25"/>
    <x v="85"/>
    <x v="85"/>
    <s v="פתוח      "/>
    <s v="תושב לגביה"/>
    <s v="322602392"/>
    <s v="01292"/>
    <s v="קדמון צליל"/>
    <n v="0"/>
    <s v="35    "/>
    <x v="5"/>
    <d v="2025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0012"/>
    <s v="יקיר שחר"/>
    <s v="יקיר"/>
    <s v="שחר"/>
    <s v="נ "/>
    <d v="2000-12-08T00:00:00"/>
    <n v="25"/>
    <x v="86"/>
    <x v="86"/>
    <s v="פתוח      "/>
    <s v="תושב לגביה"/>
    <s v="211776513"/>
    <s v="10012"/>
    <s v="יקיר שחר"/>
    <n v="0"/>
    <s v="35    "/>
    <x v="5"/>
    <d v="2024-09-01T00:00:00"/>
    <s v="רווק"/>
    <s v="--"/>
    <s v=""/>
    <n v="0"/>
    <n v="0"/>
    <n v="0"/>
    <n v="1"/>
    <b v="1"/>
    <n v="0"/>
    <n v="0"/>
    <n v="0"/>
    <n v="0"/>
    <n v="48390.154761904763"/>
    <n v="18023.869047619046"/>
    <n v="2025"/>
    <n v="0"/>
    <n v="0"/>
    <n v="0"/>
    <n v="0"/>
    <n v="0"/>
    <s v=""/>
    <n v="0"/>
    <n v="0"/>
  </r>
  <r>
    <s v="10072"/>
    <s v="יוגב מעין רחל"/>
    <s v="יוגב"/>
    <s v="מעין רחל"/>
    <s v="נ "/>
    <d v="2000-08-26T00:00:00"/>
    <n v="25"/>
    <x v="87"/>
    <x v="87"/>
    <s v="פתוח      "/>
    <s v="תושב לגביה"/>
    <s v="211736558"/>
    <s v="10072"/>
    <s v="יוגב מעין רחל"/>
    <n v="0"/>
    <s v="35    "/>
    <x v="5"/>
    <d v="2025-07-23T00:00:00"/>
    <s v="רווק"/>
    <s v="--"/>
    <s v=""/>
    <n v="0"/>
    <n v="0"/>
    <n v="0"/>
    <n v="1"/>
    <b v="1"/>
    <n v="0"/>
    <n v="0"/>
    <n v="0"/>
    <n v="0"/>
    <n v="48390.154761904763"/>
    <n v="18023.869047619046"/>
    <n v="2025"/>
    <n v="0"/>
    <n v="0"/>
    <n v="0"/>
    <n v="0"/>
    <n v="0"/>
    <s v=""/>
    <n v="0"/>
    <n v="0"/>
  </r>
  <r>
    <s v="19152"/>
    <s v="קרליבך עדי"/>
    <s v="קרליבך"/>
    <s v="עדי"/>
    <s v="נ "/>
    <d v="2000-06-23T00:00:00"/>
    <n v="25"/>
    <x v="88"/>
    <x v="88"/>
    <s v="פתוח      "/>
    <s v="תושב לגביה"/>
    <s v="322769290"/>
    <s v="19152"/>
    <s v="קרליבך עדי"/>
    <n v="0"/>
    <s v="35    "/>
    <x v="5"/>
    <d v="2024-07-01T00:00:00"/>
    <s v="רווק"/>
    <s v="--"/>
    <s v=""/>
    <n v="0"/>
    <n v="0"/>
    <n v="0"/>
    <n v="1"/>
    <b v="1"/>
    <n v="0"/>
    <n v="0"/>
    <n v="0"/>
    <n v="0"/>
    <n v="48390.154761904763"/>
    <n v="18023.869047619046"/>
    <n v="2025"/>
    <n v="0"/>
    <n v="0"/>
    <n v="0"/>
    <n v="0"/>
    <n v="0"/>
    <s v=""/>
    <n v="0"/>
    <n v="0"/>
  </r>
  <r>
    <s v="03071"/>
    <s v="גוטליב ידידיה"/>
    <s v="גוטליב"/>
    <s v="ידידיה"/>
    <s v="ז "/>
    <d v="1973-01-28T00:00:00"/>
    <n v="52"/>
    <x v="89"/>
    <x v="89"/>
    <s v="פתוח      "/>
    <s v="חבר"/>
    <s v="029606829"/>
    <s v="03071"/>
    <s v="גוטליב ידידיה"/>
    <n v="2"/>
    <s v="1     "/>
    <x v="3"/>
    <d v="2001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8.4"/>
    <n v="0"/>
    <n v="35925.986249999994"/>
  </r>
  <r>
    <s v="03072"/>
    <s v="גוטליב אהבה"/>
    <s v="גוטליב"/>
    <s v="אהבה"/>
    <s v="נ "/>
    <d v="1975-08-21T00:00:00"/>
    <n v="50"/>
    <x v="89"/>
    <x v="89"/>
    <s v="פתוח      "/>
    <s v="חבר"/>
    <s v="037583481"/>
    <s v="03071"/>
    <s v="גוטליב ידידיה"/>
    <n v="2"/>
    <s v="1     "/>
    <x v="3"/>
    <d v="2001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7.77"/>
    <n v="0"/>
    <n v="34236.928687499989"/>
  </r>
  <r>
    <s v="20371"/>
    <s v="רוט רועי"/>
    <s v="רוט"/>
    <s v="רועי"/>
    <s v="ז "/>
    <d v="2000-06-20T00:00:00"/>
    <n v="25"/>
    <x v="90"/>
    <x v="90"/>
    <s v="פתוח      "/>
    <s v="חבר"/>
    <s v="322266875"/>
    <s v="20171"/>
    <s v="רוט צבי"/>
    <n v="1"/>
    <s v="3     "/>
    <x v="4"/>
    <d v="2023-05-07T00:00:00"/>
    <s v="רווק"/>
    <s v="--"/>
    <s v=""/>
    <n v="0"/>
    <n v="0"/>
    <n v="0"/>
    <n v="1"/>
    <b v="0"/>
    <n v="0"/>
    <n v="0"/>
    <n v="0"/>
    <n v="0"/>
    <n v="48390.154761904763"/>
    <n v="18023.869047619046"/>
    <n v="2025"/>
    <n v="0"/>
    <n v="0"/>
    <n v="0"/>
    <n v="0"/>
    <n v="0"/>
    <s v=""/>
    <n v="0"/>
    <n v="0"/>
  </r>
  <r>
    <s v="20402"/>
    <s v="רחמים שירה"/>
    <s v="רחמים"/>
    <s v="שירה"/>
    <s v="נ "/>
    <d v="2001-02-11T00:00:00"/>
    <n v="24"/>
    <x v="91"/>
    <x v="91"/>
    <s v="פתוח      "/>
    <s v="תושב לגביה"/>
    <s v="209447770"/>
    <s v="20402"/>
    <s v="רחמים שירה"/>
    <n v="0"/>
    <s v="35    "/>
    <x v="5"/>
    <d v="2025-09-01T00:00:00"/>
    <s v="רווק"/>
    <s v="--"/>
    <s v=""/>
    <n v="0"/>
    <n v="0"/>
    <n v="0"/>
    <n v="1"/>
    <b v="1"/>
    <n v="0"/>
    <n v="0"/>
    <n v="0"/>
    <n v="0"/>
    <n v="46454.548571428575"/>
    <n v="17302.914285714283"/>
    <n v="2025"/>
    <n v="0"/>
    <n v="0"/>
    <n v="0"/>
    <n v="0"/>
    <n v="0"/>
    <s v=""/>
    <n v="0"/>
    <n v="0"/>
  </r>
  <r>
    <s v="20422"/>
    <s v="עמיאל רון"/>
    <s v="עמיאל"/>
    <s v="רון"/>
    <s v="נ "/>
    <d v="2001-07-12T00:00:00"/>
    <n v="24"/>
    <x v="92"/>
    <x v="92"/>
    <s v="פתוח      "/>
    <s v="תושב לגביה"/>
    <s v="323869768"/>
    <s v="20422"/>
    <s v="עמיאל רון"/>
    <n v="0"/>
    <s v="35    "/>
    <x v="5"/>
    <d v="2025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03082"/>
    <s v="גביר נטע"/>
    <s v="גביר"/>
    <s v="נטע"/>
    <s v="נ "/>
    <d v="1995-01-18T00:00:00"/>
    <n v="30"/>
    <x v="22"/>
    <x v="22"/>
    <s v="פתוח      "/>
    <s v="תושב לגביה"/>
    <s v="206106890"/>
    <s v="03081"/>
    <s v="גביר ארז יוסף"/>
    <n v="0"/>
    <s v="6     "/>
    <x v="1"/>
    <d v="2020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083"/>
    <s v="גביר רותם"/>
    <s v="גביר"/>
    <s v="רותם"/>
    <s v="ז "/>
    <d v="2021-10-24T00:00:00"/>
    <n v="4"/>
    <x v="22"/>
    <x v="22"/>
    <s v="פתוח      "/>
    <s v="תושב לגביה"/>
    <s v="234522589"/>
    <s v="03081"/>
    <s v="גביר ארז יוסף"/>
    <n v="0"/>
    <s v="17    "/>
    <x v="2"/>
    <d v="2021-10-24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084"/>
    <s v="גביר ארבל"/>
    <s v="גביר"/>
    <s v="ארבל"/>
    <s v="ז "/>
    <d v="2024-02-12T00:00:00"/>
    <n v="1"/>
    <x v="22"/>
    <x v="22"/>
    <s v="פתוח      "/>
    <s v="תושב לגביה"/>
    <s v="237468897"/>
    <s v="03081"/>
    <s v="גביר ארז יוסף"/>
    <n v="0"/>
    <s v="17    "/>
    <x v="2"/>
    <d v="2024-02-12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091"/>
    <s v="גלבוע נעם נפתלי"/>
    <s v="גלבוע"/>
    <s v="נעם נפתלי"/>
    <s v="ז "/>
    <d v="1983-06-25T00:00:00"/>
    <n v="42"/>
    <x v="93"/>
    <x v="93"/>
    <s v="פתוח      "/>
    <s v="חבר"/>
    <s v="038832366"/>
    <s v="03091"/>
    <s v="גלבוע נעם נפתלי"/>
    <n v="1"/>
    <s v="1     "/>
    <x v="3"/>
    <d v="2009-06-17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93"/>
    <n v="28421.208584999997"/>
    <n v="0"/>
  </r>
  <r>
    <s v="03092"/>
    <s v="גלבוע נעה"/>
    <s v="גלבוע"/>
    <s v="נעה"/>
    <s v="נ "/>
    <d v="1986-09-15T00:00:00"/>
    <n v="39"/>
    <x v="94"/>
    <x v="94"/>
    <s v="פתוח      "/>
    <s v="חבר"/>
    <s v="300007879"/>
    <s v="03092"/>
    <s v="גלבוע נעה"/>
    <n v="1"/>
    <s v="1     "/>
    <x v="3"/>
    <d v="2009-06-17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93"/>
    <n v="28421.208584999997"/>
    <n v="0"/>
  </r>
  <r>
    <s v="02231"/>
    <s v="ברבן נועם"/>
    <s v="ברבן"/>
    <s v="נועם"/>
    <s v="ז "/>
    <d v="2003-06-23T00:00:00"/>
    <n v="22"/>
    <x v="64"/>
    <x v="64"/>
    <s v="פתוח      "/>
    <s v="חבר"/>
    <s v="214287997"/>
    <s v="02371"/>
    <s v="ברבן אברהם"/>
    <n v="2"/>
    <s v="3     "/>
    <x v="4"/>
    <d v="2023-08-08T00:00:00"/>
    <s v="רווק"/>
    <s v="--"/>
    <s v=""/>
    <n v="0"/>
    <n v="0"/>
    <n v="0"/>
    <n v="1"/>
    <b v="0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12281"/>
    <s v="לבבי אלישב"/>
    <s v="לבבי"/>
    <s v="אלישב"/>
    <s v="ז "/>
    <d v="2003-02-21T00:00:00"/>
    <n v="22"/>
    <x v="95"/>
    <x v="95"/>
    <s v="פתוח      "/>
    <s v="חבר"/>
    <s v="325183945"/>
    <s v="12231"/>
    <s v="לבבי נחום )אלי("/>
    <n v="2"/>
    <s v="3     "/>
    <x v="4"/>
    <d v="2024-01-11T00:00:00"/>
    <s v="רווק"/>
    <s v="--"/>
    <s v=""/>
    <n v="0"/>
    <n v="0"/>
    <n v="0"/>
    <n v="1"/>
    <b v="0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02391"/>
    <s v="ברודי ניתאי  שמעון"/>
    <s v="ברודי"/>
    <s v="ניתאי  שמעון"/>
    <s v="ז "/>
    <d v="2004-10-15T00:00:00"/>
    <n v="21"/>
    <x v="45"/>
    <x v="45"/>
    <s v="פתוח      "/>
    <s v="חבר במסב"/>
    <s v="214959926"/>
    <s v="02111"/>
    <s v="ברודי נועם"/>
    <n v="2"/>
    <s v="3     "/>
    <x v="4"/>
    <d v="2024-08-15T00:00:00"/>
    <s v="רווק"/>
    <s v="--"/>
    <s v=""/>
    <n v="0"/>
    <n v="0"/>
    <n v="0"/>
    <n v="1"/>
    <b v="0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03102"/>
    <s v="גביר אור"/>
    <s v="גביר"/>
    <s v="אור"/>
    <s v="נ "/>
    <d v="1997-09-13T00:00:00"/>
    <n v="28"/>
    <x v="36"/>
    <x v="36"/>
    <s v="פתוח      "/>
    <s v="תושב לגביה"/>
    <s v="318229465"/>
    <s v="03101"/>
    <s v="גביר אלון יאיר"/>
    <n v="0"/>
    <s v="6     "/>
    <x v="1"/>
    <d v="2022-03-29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103"/>
    <s v="גביר כרמל"/>
    <s v="גביר"/>
    <s v="כרמל"/>
    <s v="נ "/>
    <d v="2024-09-13T00:00:00"/>
    <n v="1"/>
    <x v="36"/>
    <x v="36"/>
    <s v="פתוח      "/>
    <s v="תושב לגביה"/>
    <s v="241310200"/>
    <s v="03101"/>
    <s v="גביר אלון יאיר"/>
    <n v="0"/>
    <s v="17    "/>
    <x v="2"/>
    <d v="2024-09-13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181"/>
    <s v="גוטליב טנא"/>
    <s v="גוטליב"/>
    <s v="טנא"/>
    <s v="ז "/>
    <d v="2004-09-07T00:00:00"/>
    <n v="21"/>
    <x v="89"/>
    <x v="89"/>
    <s v="פתוח      "/>
    <s v="חבר"/>
    <s v="326353513"/>
    <s v="03071"/>
    <s v="גוטליב ידידיה"/>
    <n v="2"/>
    <s v="3     "/>
    <x v="4"/>
    <d v="2023-04-19T00:00:00"/>
    <s v="רווק"/>
    <s v="--"/>
    <s v=""/>
    <n v="0"/>
    <n v="0"/>
    <n v="0"/>
    <n v="1"/>
    <b v="0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03121"/>
    <s v="כרמל איתמר"/>
    <s v="כרמל"/>
    <s v="איתמר"/>
    <s v="ז "/>
    <d v="1983-10-03T00:00:00"/>
    <n v="42"/>
    <x v="96"/>
    <x v="96"/>
    <s v="פתוח      "/>
    <s v="חבר"/>
    <s v="065758195"/>
    <s v="03121"/>
    <s v="כרמל איתמר"/>
    <n v="2"/>
    <s v="1     "/>
    <x v="3"/>
    <d v="2015-04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0.43"/>
    <n v="15659.440334999999"/>
    <n v="0"/>
  </r>
  <r>
    <s v="03122"/>
    <s v="כרמל לימור"/>
    <s v="כרמל"/>
    <s v="לימור"/>
    <s v="נ "/>
    <d v="1985-07-09T00:00:00"/>
    <n v="40"/>
    <x v="96"/>
    <x v="96"/>
    <s v="פתוח      "/>
    <s v="חבר"/>
    <s v="021629589"/>
    <s v="03121"/>
    <s v="כרמל איתמר"/>
    <n v="2"/>
    <s v="1     "/>
    <x v="3"/>
    <d v="2015-04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1.17"/>
    <n v="16770.464864999998"/>
    <n v="0"/>
  </r>
  <r>
    <s v="05161"/>
    <s v="הולצר דור"/>
    <s v="הולצר"/>
    <s v="דור"/>
    <s v="ז "/>
    <d v="2004-11-03T00:00:00"/>
    <n v="21"/>
    <x v="97"/>
    <x v="97"/>
    <s v="פתוח      "/>
    <s v="חבר"/>
    <s v="214856510"/>
    <s v="05101"/>
    <s v="הולצר מרדכי"/>
    <n v="2"/>
    <s v="3     "/>
    <x v="4"/>
    <d v="2023-03-23T00:00:00"/>
    <s v="רווק"/>
    <s v="--"/>
    <s v=""/>
    <n v="0"/>
    <n v="0"/>
    <n v="0"/>
    <n v="1"/>
    <b v="0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10122"/>
    <s v="יקיר נעם"/>
    <s v="יקיר"/>
    <s v="נעם"/>
    <s v="נ "/>
    <d v="2004-03-24T00:00:00"/>
    <n v="21"/>
    <x v="98"/>
    <x v="98"/>
    <s v="פתוח      "/>
    <s v="חבר"/>
    <s v="213243371"/>
    <s v="10051"/>
    <s v="יקיר הראל"/>
    <n v="2"/>
    <s v="3     "/>
    <x v="4"/>
    <d v="2023-02-19T00:00:00"/>
    <s v="רווק"/>
    <s v="--"/>
    <s v=""/>
    <n v="0"/>
    <n v="0"/>
    <n v="0"/>
    <n v="1"/>
    <b v="0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20481"/>
    <s v="רמון דור"/>
    <s v="רמון"/>
    <s v="דור"/>
    <s v="ז "/>
    <d v="2004-02-07T00:00:00"/>
    <n v="21"/>
    <x v="99"/>
    <x v="99"/>
    <s v="פתוח      "/>
    <s v="חבר"/>
    <s v="325938678"/>
    <s v="20201"/>
    <s v="רמון ארנון"/>
    <n v="2"/>
    <s v="3     "/>
    <x v="4"/>
    <d v="2024-04-07T00:00:00"/>
    <s v="רווק"/>
    <s v="--"/>
    <s v=""/>
    <n v="0"/>
    <n v="0"/>
    <n v="0"/>
    <n v="1"/>
    <b v="0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02221"/>
    <s v="בר יתיר"/>
    <s v="בר"/>
    <s v="יתיר"/>
    <s v="ז "/>
    <d v="2005-10-10T00:00:00"/>
    <n v="20"/>
    <x v="57"/>
    <x v="57"/>
    <s v="פתוח      "/>
    <s v="חבר"/>
    <s v="329118590"/>
    <s v="02261"/>
    <s v="בר מאור"/>
    <n v="2"/>
    <s v="3     "/>
    <x v="4"/>
    <d v="2023-11-22T00:00:00"/>
    <s v="רווק"/>
    <s v="--"/>
    <s v=""/>
    <n v="0"/>
    <n v="0"/>
    <n v="0"/>
    <n v="1"/>
    <b v="0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08061"/>
    <s v="חורש יהונתן  חיים"/>
    <s v="חורש"/>
    <s v="יהונתן  חיים"/>
    <s v="ז "/>
    <d v="2005-09-08T00:00:00"/>
    <n v="20"/>
    <x v="100"/>
    <x v="100"/>
    <s v="פתוח      "/>
    <s v="חבר"/>
    <s v="328333505"/>
    <s v="08051"/>
    <s v="חורש עופר"/>
    <n v="2"/>
    <s v="3     "/>
    <x v="4"/>
    <d v="2025-03-27T00:00:00"/>
    <s v="רווק"/>
    <s v="--"/>
    <s v=""/>
    <n v="0"/>
    <n v="0"/>
    <n v="0"/>
    <n v="1"/>
    <b v="0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12251"/>
    <s v="כ מלאכי"/>
    <s v="כ"/>
    <s v="מלאכי"/>
    <s v="ז "/>
    <d v="2005-08-01T00:00:00"/>
    <n v="20"/>
    <x v="95"/>
    <x v="95"/>
    <s v="פתוח      "/>
    <s v="חבר"/>
    <s v="215323387"/>
    <s v="12231"/>
    <s v="לבבי נחום )אלי("/>
    <n v="2"/>
    <s v="3     "/>
    <x v="4"/>
    <d v="2024-11-14T00:00:00"/>
    <s v="רווק"/>
    <s v="--"/>
    <s v=""/>
    <n v="0"/>
    <n v="0"/>
    <n v="0"/>
    <n v="1"/>
    <b v="0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03142"/>
    <s v="גוטליב נעם"/>
    <s v="גוטליב"/>
    <s v="נעם"/>
    <s v="נ "/>
    <d v="2001-11-14T00:00:00"/>
    <n v="24"/>
    <x v="101"/>
    <x v="101"/>
    <s v="פתוח      "/>
    <s v="תושב לגביה"/>
    <s v="324232537"/>
    <s v="03142"/>
    <s v="גוטליב נעם"/>
    <n v="0"/>
    <s v="236   "/>
    <x v="7"/>
    <d v="2025-08-01T00:00:00"/>
    <s v="רווק"/>
    <s v="--"/>
    <s v=""/>
    <n v="0"/>
    <n v="0"/>
    <n v="0"/>
    <n v="1"/>
    <b v="1"/>
    <n v="0"/>
    <n v="0"/>
    <n v="0"/>
    <n v="0"/>
    <n v="46454.548571428575"/>
    <n v="17302.914285714283"/>
    <n v="2025"/>
    <n v="0"/>
    <n v="0"/>
    <n v="0"/>
    <n v="0"/>
    <n v="0"/>
    <s v=""/>
    <n v="0"/>
    <n v="0"/>
  </r>
  <r>
    <s v="03152"/>
    <s v="גביר אביה   יונית"/>
    <s v="גביר"/>
    <s v="אביה   יונית"/>
    <s v="נ "/>
    <d v="2004-01-25T00:00:00"/>
    <n v="21"/>
    <x v="102"/>
    <x v="102"/>
    <s v="פתוח      "/>
    <s v="חבר"/>
    <s v="213270259"/>
    <s v="03152"/>
    <s v="גביר אביה   יונית"/>
    <n v="0"/>
    <s v="36    "/>
    <x v="0"/>
    <d v="2025-08-06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03171"/>
    <s v="גורי יעקב"/>
    <s v="גורי"/>
    <s v="יעקב"/>
    <s v="ז "/>
    <d v="1982-07-23T00:00:00"/>
    <n v="43"/>
    <x v="103"/>
    <x v="103"/>
    <s v="פתוח      "/>
    <s v="חבר"/>
    <s v="062896303"/>
    <s v="03171"/>
    <s v="גורי יעקב"/>
    <n v="2"/>
    <s v="1     "/>
    <x v="3"/>
    <d v="2020-10-27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6.84"/>
    <n v="10269.46998"/>
    <n v="0"/>
  </r>
  <r>
    <s v="03172"/>
    <s v="גורי נעמי"/>
    <s v="גורי"/>
    <s v="נעמי"/>
    <s v="נ "/>
    <d v="1984-12-20T00:00:00"/>
    <n v="41"/>
    <x v="103"/>
    <x v="103"/>
    <s v="פתוח      "/>
    <s v="חבר"/>
    <s v="036970887"/>
    <s v="03171"/>
    <s v="גורי יעקב"/>
    <n v="2"/>
    <s v="1     "/>
    <x v="3"/>
    <d v="2020-10-27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6.84"/>
    <n v="10269.46998"/>
    <n v="0"/>
  </r>
  <r>
    <s v="12621"/>
    <s v="לבקוביץ רואי יוסף"/>
    <s v="לבקוביץ"/>
    <s v="רואי יוסף"/>
    <s v="ז "/>
    <d v="2005-07-26T00:00:00"/>
    <n v="20"/>
    <x v="104"/>
    <x v="104"/>
    <s v="פתוח      "/>
    <s v="חבר"/>
    <s v="328268339"/>
    <s v="12611"/>
    <s v="לבקוביץ ירון אלעזר"/>
    <n v="2"/>
    <s v="3     "/>
    <x v="4"/>
    <d v="2025-08-10T00:00:00"/>
    <s v="רווק"/>
    <s v="--"/>
    <s v=""/>
    <n v="0"/>
    <n v="0"/>
    <n v="0"/>
    <n v="1"/>
    <b v="0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20491"/>
    <s v="רביב אורי"/>
    <s v="רביב"/>
    <s v="אורי"/>
    <s v="ז "/>
    <d v="2005-08-02T00:00:00"/>
    <n v="20"/>
    <x v="105"/>
    <x v="105"/>
    <s v="פתוח      "/>
    <s v="חבר"/>
    <s v="328261797"/>
    <s v="20281"/>
    <s v="רביב כתריאל ניסים"/>
    <n v="2"/>
    <s v="3     "/>
    <x v="4"/>
    <d v="2024-04-18T00:00:00"/>
    <s v="רווק"/>
    <s v="--"/>
    <s v=""/>
    <n v="0"/>
    <n v="0"/>
    <n v="0"/>
    <n v="1"/>
    <b v="0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03132"/>
    <s v="גביר אשרת"/>
    <s v="גביר"/>
    <s v="אשרת"/>
    <s v="נ "/>
    <d v="2006-01-06T00:00:00"/>
    <n v="19"/>
    <x v="82"/>
    <x v="82"/>
    <s v="פתוח      "/>
    <s v="חבר"/>
    <s v="328367784"/>
    <s v="03041"/>
    <s v="גביר שמואל"/>
    <n v="2"/>
    <s v="3     "/>
    <x v="4"/>
    <d v="2024-12-23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03332"/>
    <s v="גלבוע אמונה"/>
    <s v="גלבוע"/>
    <s v="אמונה"/>
    <s v="נ "/>
    <d v="2006-07-02T00:00:00"/>
    <n v="19"/>
    <x v="93"/>
    <x v="93"/>
    <s v="פתוח      "/>
    <s v="חבר"/>
    <s v="328456181"/>
    <s v="03091"/>
    <s v="גלבוע נעם נפתלי"/>
    <n v="1"/>
    <s v="3     "/>
    <x v="4"/>
    <d v="2024-08-04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06133"/>
    <s v="ויסטוך יהודה"/>
    <s v="ויסטוך"/>
    <s v="יהודה"/>
    <s v="ז "/>
    <d v="2007-12-08T00:00:00"/>
    <n v="18"/>
    <x v="106"/>
    <x v="106"/>
    <s v="פתוח      "/>
    <s v="חבר"/>
    <s v="216976555"/>
    <s v="06131"/>
    <s v="ויסטוך משה"/>
    <n v="2"/>
    <s v="4     "/>
    <x v="8"/>
    <d v="2007-12-08T00:00:00"/>
    <s v="רווק"/>
    <s v="--"/>
    <n v="18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15037"/>
    <s v="סהר שפע"/>
    <s v="סהר"/>
    <s v="שפע"/>
    <s v="נ "/>
    <d v="2007-11-25T00:00:00"/>
    <n v="18"/>
    <x v="107"/>
    <x v="107"/>
    <s v="פתוח      "/>
    <s v="חבר"/>
    <s v="331549402"/>
    <s v="15031"/>
    <s v="סהר אבשלום"/>
    <n v="2"/>
    <s v="4     "/>
    <x v="8"/>
    <d v="2007-11-25T00:00:00"/>
    <s v="רווק"/>
    <s v="--"/>
    <n v="18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19138"/>
    <s v="קרן מעוז    יואל"/>
    <s v="קרן"/>
    <s v="מעוז    יואל"/>
    <s v="ז "/>
    <d v="2007-12-06T00:00:00"/>
    <n v="18"/>
    <x v="108"/>
    <x v="108"/>
    <s v="פתוח      "/>
    <s v="חבר"/>
    <s v="216976233"/>
    <s v="19131"/>
    <s v="קרן בני"/>
    <n v="2"/>
    <s v="4     "/>
    <x v="8"/>
    <d v="2007-12-06T00:00:00"/>
    <s v="רווק"/>
    <s v="--"/>
    <n v="18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04031"/>
    <s v="דורון גבי"/>
    <s v="דורון"/>
    <s v="גבי"/>
    <s v="ז "/>
    <d v="1947-04-02T00:00:00"/>
    <n v="78"/>
    <x v="109"/>
    <x v="109"/>
    <s v="פתוח      "/>
    <s v="חבר"/>
    <s v="004594016"/>
    <s v="04031"/>
    <s v="דורון גבי"/>
    <n v="2"/>
    <s v="1     "/>
    <x v="3"/>
    <d v="1964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4032"/>
    <s v="דורון ברנדה"/>
    <s v="דורון"/>
    <s v="ברנדה"/>
    <s v="נ "/>
    <d v="1947-01-24T00:00:00"/>
    <n v="78"/>
    <x v="109"/>
    <x v="109"/>
    <s v="פתוח      "/>
    <s v="חבר"/>
    <s v="012173845"/>
    <s v="04031"/>
    <s v="דורון גבי"/>
    <n v="2"/>
    <s v="1     "/>
    <x v="3"/>
    <d v="196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7.96"/>
    <n v="0"/>
    <n v="0"/>
  </r>
  <r>
    <s v="02523"/>
    <s v="בן אהרון מיכל"/>
    <s v="בן אהרון"/>
    <s v="מיכל"/>
    <s v="נ "/>
    <d v="2008-12-18T00:00:00"/>
    <n v="17"/>
    <x v="72"/>
    <x v="72"/>
    <s v="פתוח      "/>
    <s v="חבר"/>
    <s v="217811926"/>
    <s v="02521"/>
    <s v="בן אהרון ערן"/>
    <n v="2"/>
    <s v="4     "/>
    <x v="8"/>
    <d v="2009-09-07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4051"/>
    <s v="ריינר הראל"/>
    <s v="ריינר"/>
    <s v="הראל"/>
    <s v="ז "/>
    <d v="1985-04-30T00:00:00"/>
    <n v="40"/>
    <x v="110"/>
    <x v="110"/>
    <s v="פתוח      "/>
    <s v="חבר"/>
    <s v="036895258"/>
    <s v="04051"/>
    <s v="ריינר הראל"/>
    <n v="2"/>
    <s v="1     "/>
    <x v="3"/>
    <d v="2018-01-0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0.59"/>
    <n v="15899.661854999997"/>
    <n v="0"/>
  </r>
  <r>
    <s v="04052"/>
    <s v="ריינר מעין"/>
    <s v="ריינר"/>
    <s v="מעין"/>
    <s v="נ "/>
    <d v="1987-05-11T00:00:00"/>
    <n v="38"/>
    <x v="110"/>
    <x v="110"/>
    <s v="פתוח      "/>
    <s v="חבר"/>
    <s v="300810801"/>
    <s v="04051"/>
    <s v="ריינר הראל"/>
    <n v="2"/>
    <s v="1     "/>
    <x v="3"/>
    <d v="2018-01-0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0.59"/>
    <n v="15899.661854999997"/>
    <n v="0"/>
  </r>
  <r>
    <s v="03063"/>
    <s v="גוזלנד רוני    אסתר"/>
    <s v="גוזלנד"/>
    <s v="רוני    אסתר"/>
    <s v="נ "/>
    <d v="2008-07-08T00:00:00"/>
    <n v="17"/>
    <x v="84"/>
    <x v="84"/>
    <s v="פתוח      "/>
    <s v="חבר"/>
    <s v="217449818"/>
    <s v="03061"/>
    <s v="גוזלנד שמעון"/>
    <n v="2"/>
    <s v="4     "/>
    <x v="8"/>
    <d v="2008-07-08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3075"/>
    <s v="גוטליב גומא"/>
    <s v="גוטליב"/>
    <s v="גומא"/>
    <s v="ז "/>
    <d v="2008-09-18T00:00:00"/>
    <n v="17"/>
    <x v="89"/>
    <x v="89"/>
    <s v="פתוח      "/>
    <s v="חבר"/>
    <s v="217515675"/>
    <s v="03071"/>
    <s v="גוטליב ידידיה"/>
    <n v="2"/>
    <s v="4     "/>
    <x v="8"/>
    <d v="2008-09-18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5104"/>
    <s v="הולצר נגה"/>
    <s v="הולצר"/>
    <s v="נגה"/>
    <s v="נ "/>
    <d v="2008-01-30T00:00:00"/>
    <n v="17"/>
    <x v="97"/>
    <x v="97"/>
    <s v="פתוח      "/>
    <s v="חבר"/>
    <s v="216957910"/>
    <s v="05101"/>
    <s v="הולצר מרדכי"/>
    <n v="2"/>
    <s v="4     "/>
    <x v="8"/>
    <d v="2008-01-30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4061"/>
    <s v="דורון יצחק"/>
    <s v="דורון"/>
    <s v="יצחק"/>
    <s v="ז "/>
    <d v="1954-05-28T00:00:00"/>
    <n v="71"/>
    <x v="111"/>
    <x v="111"/>
    <s v="פתוח      "/>
    <s v="חבר"/>
    <s v="052275351"/>
    <s v="04061"/>
    <s v="דורון יצחק"/>
    <n v="2"/>
    <s v="1     "/>
    <x v="3"/>
    <d v="1972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4062"/>
    <s v="דורון אילנה"/>
    <s v="דורון"/>
    <s v="אילנה"/>
    <s v="נ "/>
    <d v="1956-05-23T00:00:00"/>
    <n v="69"/>
    <x v="111"/>
    <x v="111"/>
    <s v="פתוח      "/>
    <s v="חבר"/>
    <s v="054299441"/>
    <s v="04061"/>
    <s v="דורון יצחק"/>
    <n v="2"/>
    <s v="1     "/>
    <x v="3"/>
    <d v="198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87"/>
    <n v="0"/>
    <n v="0"/>
  </r>
  <r>
    <s v="04071"/>
    <s v="דבורקין שמעון"/>
    <s v="דבורקין"/>
    <s v="שמעון"/>
    <s v="ז "/>
    <d v="1958-02-19T00:00:00"/>
    <n v="67"/>
    <x v="112"/>
    <x v="112"/>
    <s v="פתוח      "/>
    <s v="חבר"/>
    <s v="055051114"/>
    <s v="04071"/>
    <s v="דבורקין שמעון"/>
    <n v="2"/>
    <s v="1     "/>
    <x v="3"/>
    <d v="1992-07-01T00:00:00"/>
    <s v="נשוי"/>
    <s v="--"/>
    <s v=""/>
    <n v="2365"/>
    <n v="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4072"/>
    <s v="דבורקין רחל"/>
    <s v="דבורקין"/>
    <s v="רחל"/>
    <s v="נ "/>
    <d v="1959-12-02T00:00:00"/>
    <n v="66"/>
    <x v="112"/>
    <x v="112"/>
    <s v="פתוח      "/>
    <s v="חבר"/>
    <s v="056109028"/>
    <s v="04071"/>
    <s v="דבורקין שמעון"/>
    <n v="2"/>
    <s v="1     "/>
    <x v="3"/>
    <d v="1992-07-0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6.28"/>
    <n v="0"/>
    <n v="0"/>
  </r>
  <r>
    <s v="04082"/>
    <s v="דורון מירב"/>
    <s v="דורון"/>
    <s v="מירב"/>
    <s v="נ "/>
    <d v="1970-05-12T00:00:00"/>
    <n v="55"/>
    <x v="113"/>
    <x v="113"/>
    <s v="פתוח      "/>
    <s v="חבר"/>
    <s v="027703347"/>
    <s v="04082"/>
    <s v="דורון מירב"/>
    <n v="1"/>
    <s v="1     "/>
    <x v="3"/>
    <d v="2017-11-01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4.19"/>
    <n v="0"/>
    <n v="51449.229562499997"/>
  </r>
  <r>
    <s v="08055"/>
    <s v="חורש יאיר    נריה"/>
    <s v="חורש"/>
    <s v="יאיר    נריה"/>
    <s v="ז "/>
    <d v="2008-04-01T00:00:00"/>
    <n v="17"/>
    <x v="100"/>
    <x v="100"/>
    <s v="פתוח      "/>
    <s v="חבר"/>
    <s v="332065754"/>
    <s v="08051"/>
    <s v="חורש עופר"/>
    <n v="2"/>
    <s v="4     "/>
    <x v="8"/>
    <d v="2008-05-11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4111"/>
    <s v="דבורקין דגן"/>
    <s v="דבורקין"/>
    <s v="דגן"/>
    <s v="ז "/>
    <d v="1991-01-05T00:00:00"/>
    <n v="34"/>
    <x v="114"/>
    <x v="114"/>
    <s v="פתוח      "/>
    <s v="חבר"/>
    <s v="203786876"/>
    <s v="04111"/>
    <s v="דבורקין דגן"/>
    <n v="2"/>
    <s v="1     "/>
    <x v="3"/>
    <d v="2024-07-2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9"/>
    <n v="4789.4165549999989"/>
    <n v="0"/>
  </r>
  <r>
    <s v="04112"/>
    <s v="דבורקין אופיר"/>
    <s v="דבורקין"/>
    <s v="אופיר"/>
    <s v="נ "/>
    <d v="1991-01-12T00:00:00"/>
    <n v="34"/>
    <x v="114"/>
    <x v="114"/>
    <s v="פתוח      "/>
    <s v="חבר"/>
    <s v="304981319"/>
    <s v="04111"/>
    <s v="דבורקין דגן"/>
    <n v="2"/>
    <s v="1     "/>
    <x v="3"/>
    <d v="2024-07-2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9"/>
    <n v="4789.4165549999989"/>
    <n v="0"/>
  </r>
  <r>
    <s v="10046"/>
    <s v="יוגב עומר"/>
    <s v="יוגב"/>
    <s v="עומר"/>
    <s v="ז "/>
    <d v="2008-06-08T00:00:00"/>
    <n v="17"/>
    <x v="115"/>
    <x v="115"/>
    <s v="פתוח      "/>
    <s v="חבר"/>
    <s v="217746114"/>
    <s v="10042"/>
    <s v="יוגב ענת"/>
    <n v="1"/>
    <s v="4     "/>
    <x v="8"/>
    <d v="2008-06-08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10047"/>
    <s v="יוגב נטע"/>
    <s v="יוגב"/>
    <s v="נטע"/>
    <s v="נ "/>
    <d v="2008-06-08T00:00:00"/>
    <n v="17"/>
    <x v="115"/>
    <x v="115"/>
    <s v="פתוח      "/>
    <s v="חבר"/>
    <s v="217746122"/>
    <s v="10042"/>
    <s v="יוגב ענת"/>
    <n v="1"/>
    <s v="4     "/>
    <x v="8"/>
    <d v="2008-06-08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4131"/>
    <s v="דורון אסף"/>
    <s v="דורון"/>
    <s v="אסף"/>
    <s v="ז "/>
    <d v="1970-04-20T00:00:00"/>
    <n v="55"/>
    <x v="116"/>
    <x v="116"/>
    <s v="פתוח      "/>
    <s v="חבר"/>
    <s v="024870677"/>
    <s v="04131"/>
    <s v="דורון אסף"/>
    <n v="1"/>
    <s v="1     "/>
    <x v="3"/>
    <d v="2002-05-03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86"/>
    <n v="0"/>
    <n v="58607.616374999998"/>
  </r>
  <r>
    <s v="05022"/>
    <s v="הרטוב שרה"/>
    <s v="הרטוב"/>
    <s v="שרה"/>
    <s v="נ "/>
    <d v="1926-09-05T00:00:00"/>
    <n v="99"/>
    <x v="117"/>
    <x v="117"/>
    <s v="פתוח      "/>
    <s v="חבר"/>
    <s v="005981568"/>
    <s v="905021"/>
    <s v="הרטוב גבריאל ז&quot;ל"/>
    <n v="1"/>
    <s v="1     "/>
    <x v="3"/>
    <d v="1979-12-31T00:00:00"/>
    <s v="אלמן"/>
    <s v="Z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17.27"/>
    <n v="25928.910314999997"/>
    <n v="0"/>
  </r>
  <r>
    <s v="05041"/>
    <s v="המר בועז"/>
    <s v="המר"/>
    <s v="בועז"/>
    <s v="ז "/>
    <d v="1960-06-13T00:00:00"/>
    <n v="65"/>
    <x v="118"/>
    <x v="118"/>
    <s v="פתוח      "/>
    <s v="חבר"/>
    <s v="056447758"/>
    <s v="05041"/>
    <s v="המר בועז"/>
    <n v="2"/>
    <s v="1     "/>
    <x v="3"/>
    <d v="1983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6.95"/>
    <n v="0"/>
    <n v="0"/>
  </r>
  <r>
    <s v="05042"/>
    <s v="המר דליה"/>
    <s v="המר"/>
    <s v="דליה"/>
    <s v="נ "/>
    <d v="1966-09-20T00:00:00"/>
    <n v="59"/>
    <x v="118"/>
    <x v="118"/>
    <s v="פתוח      "/>
    <s v="חבר"/>
    <s v="022443774"/>
    <s v="05041"/>
    <s v="המר בועז"/>
    <n v="2"/>
    <s v="1     "/>
    <x v="3"/>
    <d v="1990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200000000000003"/>
    <n v="0"/>
    <n v="56838.127500000002"/>
  </r>
  <r>
    <s v="05047"/>
    <s v="המר פלג       טל"/>
    <s v="המר"/>
    <s v="פלג       טל"/>
    <s v="ז "/>
    <d v="2005-10-22T00:00:00"/>
    <n v="20"/>
    <x v="118"/>
    <x v="118"/>
    <s v="פתוח      "/>
    <s v="חבר"/>
    <s v="329119747"/>
    <s v="05041"/>
    <s v="המר בועז"/>
    <n v="2"/>
    <s v="33    "/>
    <x v="9"/>
    <d v="2023-10-01T00:00:00"/>
    <s v="רווק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05052"/>
    <s v="המר נילי"/>
    <s v="המר"/>
    <s v="נילי"/>
    <s v="נ "/>
    <d v="1956-02-22T00:00:00"/>
    <n v="69"/>
    <x v="119"/>
    <x v="119"/>
    <s v="פתוח      "/>
    <s v="חבר"/>
    <s v="053525986"/>
    <s v="05051"/>
    <s v="המר יוסי"/>
    <n v="1"/>
    <s v="1     "/>
    <x v="3"/>
    <d v="1977-12-31T00:00:00"/>
    <s v="אלמן"/>
    <s v="--"/>
    <s v=""/>
    <n v="1564"/>
    <n v="7500"/>
    <n v="490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5061"/>
    <s v="הרטוב חגי"/>
    <s v="הרטוב"/>
    <s v="חגי"/>
    <s v="ז "/>
    <d v="1958-09-28T00:00:00"/>
    <n v="67"/>
    <x v="120"/>
    <x v="120"/>
    <s v="פתוח      "/>
    <s v="חבר"/>
    <s v="055520977"/>
    <s v="05061"/>
    <s v="הרטוב חגי"/>
    <n v="2"/>
    <s v="1     "/>
    <x v="3"/>
    <d v="1976-12-31T00:00:00"/>
    <s v="נשוי"/>
    <s v="--"/>
    <s v=""/>
    <n v="2365"/>
    <n v="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5062"/>
    <s v="הרטוב ניצה"/>
    <s v="הרטוב"/>
    <s v="ניצה"/>
    <s v="נ "/>
    <d v="1957-02-12T00:00:00"/>
    <n v="68"/>
    <x v="120"/>
    <x v="120"/>
    <s v="פתוח      "/>
    <s v="חבר"/>
    <s v="054684626"/>
    <s v="05061"/>
    <s v="הרטוב חגי"/>
    <n v="2"/>
    <s v="1     "/>
    <x v="3"/>
    <d v="1981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4.16"/>
    <n v="0"/>
    <n v="0"/>
  </r>
  <r>
    <s v="05071"/>
    <s v="הופמן אבי"/>
    <s v="הופמן"/>
    <s v="אבי"/>
    <s v="ז "/>
    <d v="1952-10-22T00:00:00"/>
    <n v="73"/>
    <x v="121"/>
    <x v="121"/>
    <s v="פתוח      "/>
    <s v="חבר"/>
    <s v="051662856"/>
    <s v="05071"/>
    <s v="הופמן אבי"/>
    <n v="2"/>
    <s v="1     "/>
    <x v="3"/>
    <d v="1983-05-16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9.47"/>
    <n v="0"/>
    <n v="0"/>
  </r>
  <r>
    <s v="05072"/>
    <s v="הופמן שולי"/>
    <s v="הופמן"/>
    <s v="שולי"/>
    <s v="נ "/>
    <d v="1956-04-10T00:00:00"/>
    <n v="69"/>
    <x v="121"/>
    <x v="121"/>
    <s v="פתוח      "/>
    <s v="חבר"/>
    <s v="054078944"/>
    <s v="05071"/>
    <s v="הופמן אבי"/>
    <n v="2"/>
    <s v="1     "/>
    <x v="3"/>
    <d v="198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2.33"/>
    <n v="0"/>
    <n v="0"/>
  </r>
  <r>
    <s v="05091"/>
    <s v="המר שחף"/>
    <s v="המר"/>
    <s v="שחף"/>
    <s v="ז "/>
    <d v="1999-07-03T00:00:00"/>
    <n v="26"/>
    <x v="122"/>
    <x v="122"/>
    <s v="פתוח      "/>
    <s v="תושב לגביה"/>
    <s v="207897216"/>
    <s v="05091"/>
    <s v="המר שחף"/>
    <n v="0"/>
    <s v="236   "/>
    <x v="7"/>
    <d v="2025-03-01T00:00:00"/>
    <s v="רווק"/>
    <s v="--"/>
    <s v=""/>
    <n v="0"/>
    <n v="0"/>
    <n v="0"/>
    <n v="1"/>
    <b v="1"/>
    <n v="0"/>
    <n v="0"/>
    <n v="0"/>
    <n v="0"/>
    <n v="50325.760952380959"/>
    <n v="18744.823809523808"/>
    <n v="2025"/>
    <n v="0"/>
    <n v="0"/>
    <n v="0"/>
    <n v="0"/>
    <n v="0"/>
    <s v=""/>
    <n v="0"/>
    <n v="0"/>
  </r>
  <r>
    <s v="05101"/>
    <s v="הולצר מרדכי"/>
    <s v="הולצר"/>
    <s v="מרדכי"/>
    <s v="ז "/>
    <d v="1977-07-16T00:00:00"/>
    <n v="48"/>
    <x v="97"/>
    <x v="97"/>
    <s v="פתוח      "/>
    <s v="חבר"/>
    <s v="033809930"/>
    <s v="05101"/>
    <s v="הולצר מרדכי"/>
    <n v="2"/>
    <s v="1     "/>
    <x v="3"/>
    <d v="2009-11-1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7.82"/>
    <n v="26754.671789999997"/>
    <n v="0"/>
  </r>
  <r>
    <s v="05102"/>
    <s v="הולצר לאה   אמיליה"/>
    <s v="הולצר"/>
    <s v="לאה   אמיליה"/>
    <s v="נ "/>
    <d v="1977-08-23T00:00:00"/>
    <n v="48"/>
    <x v="97"/>
    <x v="97"/>
    <s v="פתוח      "/>
    <s v="חבר"/>
    <s v="017726712"/>
    <s v="05101"/>
    <s v="הולצר מרדכי"/>
    <n v="2"/>
    <s v="1     "/>
    <x v="3"/>
    <d v="2009-11-1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7.82"/>
    <n v="26754.671789999997"/>
    <n v="0"/>
  </r>
  <r>
    <s v="12143"/>
    <s v="ליפטשר יפתח"/>
    <s v="ליפטשר"/>
    <s v="יפתח"/>
    <s v="ז "/>
    <d v="2008-02-05T00:00:00"/>
    <n v="17"/>
    <x v="123"/>
    <x v="123"/>
    <s v="פתוח      "/>
    <s v="חבר"/>
    <s v="331535773"/>
    <s v="12141"/>
    <s v="ליפטשר אבינועם"/>
    <n v="2"/>
    <s v="4     "/>
    <x v="8"/>
    <d v="2008-02-05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12195"/>
    <s v="לבבי יוגב"/>
    <s v="לבבי"/>
    <s v="יוגב"/>
    <s v="ז "/>
    <d v="2008-10-08T00:00:00"/>
    <n v="17"/>
    <x v="124"/>
    <x v="124"/>
    <s v="פתוח      "/>
    <s v="חבר"/>
    <s v="331814103"/>
    <s v="12191"/>
    <s v="לבבי נחומי"/>
    <n v="2"/>
    <s v="4     "/>
    <x v="8"/>
    <d v="2008-10-08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12237"/>
    <s v="לבבי רינת    חנה"/>
    <s v="לבבי"/>
    <s v="רינת    חנה"/>
    <s v="נ "/>
    <d v="2008-09-11T00:00:00"/>
    <n v="17"/>
    <x v="95"/>
    <x v="95"/>
    <s v="פתוח      "/>
    <s v="חבר"/>
    <s v="217519552"/>
    <s v="12231"/>
    <s v="לבבי נחום )אלי("/>
    <n v="2"/>
    <s v="4     "/>
    <x v="8"/>
    <d v="2008-09-11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5111"/>
    <s v="הופמן אלעד"/>
    <s v="הופמן"/>
    <s v="אלעד"/>
    <s v="ז "/>
    <d v="1984-03-28T00:00:00"/>
    <n v="41"/>
    <x v="125"/>
    <x v="125"/>
    <s v="פתוח      "/>
    <s v="חבר"/>
    <s v="066484791"/>
    <s v="05111"/>
    <s v="הופמן אלעד"/>
    <n v="2"/>
    <s v="1     "/>
    <x v="3"/>
    <d v="2007-05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9.79"/>
    <n v="29712.399254999997"/>
    <n v="0"/>
  </r>
  <r>
    <s v="05112"/>
    <s v="הופמן אלדר"/>
    <s v="הופמן"/>
    <s v="אלדר"/>
    <s v="נ "/>
    <d v="1984-12-31T00:00:00"/>
    <n v="41"/>
    <x v="125"/>
    <x v="125"/>
    <s v="פתוח      "/>
    <s v="חבר"/>
    <s v="039372792"/>
    <s v="05111"/>
    <s v="הופמן אלעד"/>
    <n v="2"/>
    <s v="1     "/>
    <x v="3"/>
    <d v="2014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"/>
    <n v="19517.998499999998"/>
    <n v="0"/>
  </r>
  <r>
    <s v="12614"/>
    <s v="לבקוביץ עמית בנימין"/>
    <s v="לבקוביץ"/>
    <s v="עמית בנימין"/>
    <s v="ז "/>
    <d v="2008-01-04T00:00:00"/>
    <n v="17"/>
    <x v="104"/>
    <x v="104"/>
    <s v="פתוח      "/>
    <s v="חבר"/>
    <s v="216981357"/>
    <s v="12611"/>
    <s v="לבקוביץ ירון אלעזר"/>
    <n v="2"/>
    <s v="4     "/>
    <x v="8"/>
    <d v="2013-09-01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13015"/>
    <s v="מידב שחל   מיכאל"/>
    <s v="מידב"/>
    <s v="שחל   מיכאל"/>
    <s v="ז "/>
    <d v="2008-05-08T00:00:00"/>
    <n v="17"/>
    <x v="126"/>
    <x v="126"/>
    <s v="פתוח      "/>
    <s v="חבר"/>
    <s v="329637987"/>
    <s v="13011"/>
    <s v="מידב כפיר"/>
    <n v="2"/>
    <s v="4     "/>
    <x v="8"/>
    <d v="2009-07-01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19147"/>
    <s v="קרליבך ענבר"/>
    <s v="קרליבך"/>
    <s v="ענבר"/>
    <s v="נ "/>
    <d v="2008-06-24T00:00:00"/>
    <n v="17"/>
    <x v="127"/>
    <x v="127"/>
    <s v="פתוח      "/>
    <s v="חבר"/>
    <s v="217322783"/>
    <s v="19141"/>
    <s v="קרליבך יצחק"/>
    <n v="2"/>
    <s v="4     "/>
    <x v="8"/>
    <d v="2008-06-24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19233"/>
    <s v="קליין נטע"/>
    <s v="קליין"/>
    <s v="נטע"/>
    <s v="נ "/>
    <d v="2008-08-15T00:00:00"/>
    <n v="17"/>
    <x v="128"/>
    <x v="128"/>
    <s v="פתוח      "/>
    <s v="חבר"/>
    <s v="217715630"/>
    <s v="19231"/>
    <s v="קליין דן-צבי"/>
    <n v="2"/>
    <s v="4     "/>
    <x v="8"/>
    <d v="2012-07-01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5141"/>
    <s v="הופמן אוריה מנחם"/>
    <s v="הופמן"/>
    <s v="אוריה מנחם"/>
    <s v="ז "/>
    <d v="1993-02-14T00:00:00"/>
    <n v="32"/>
    <x v="129"/>
    <x v="129"/>
    <s v="פתוח      "/>
    <s v="תושב לגביה"/>
    <s v="203388954"/>
    <s v="05141"/>
    <s v="הופמן אוריה מנחם"/>
    <n v="0"/>
    <s v="2     "/>
    <x v="10"/>
    <d v="2025-01-19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5142"/>
    <s v="הופמן גל אור"/>
    <s v="הופמן"/>
    <s v="גל אור"/>
    <s v="נ "/>
    <d v="1996-12-06T00:00:00"/>
    <n v="29"/>
    <x v="129"/>
    <x v="129"/>
    <s v="פתוח      "/>
    <s v="תושב לגביה"/>
    <s v="208398925"/>
    <s v="05141"/>
    <s v="הופמן אוריה מנחם"/>
    <n v="0"/>
    <s v="2     "/>
    <x v="10"/>
    <d v="2025-01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0303"/>
    <s v="ראבינסאן טליה"/>
    <s v="ראבינסאן"/>
    <s v="טליה"/>
    <s v="נ "/>
    <d v="2008-01-09T00:00:00"/>
    <n v="17"/>
    <x v="130"/>
    <x v="130"/>
    <s v="פתוח      "/>
    <s v="חבר"/>
    <s v="216982314"/>
    <s v="20301"/>
    <s v="ראבינסאן דגן"/>
    <n v="2"/>
    <s v="4     "/>
    <x v="8"/>
    <d v="2008-12-01T00:00:00"/>
    <s v="רווק"/>
    <s v="תיכון"/>
    <n v="18"/>
    <n v="0"/>
    <n v="0"/>
    <n v="0"/>
    <n v="1"/>
    <b v="0"/>
    <n v="0"/>
    <n v="0"/>
    <n v="0"/>
    <n v="0"/>
    <n v="32905.305238095243"/>
    <n v="12256.230952380953"/>
    <n v="2029"/>
    <n v="2380.7243478260866"/>
    <n v="2031"/>
    <n v="40476.190476190473"/>
    <n v="2029"/>
    <n v="0"/>
    <s v=""/>
    <n v="0"/>
    <n v="0"/>
  </r>
  <r>
    <s v="02264"/>
    <s v="בר אגת"/>
    <s v="בר"/>
    <s v="אגת"/>
    <s v="נ "/>
    <d v="2009-05-24T00:00:00"/>
    <n v="16"/>
    <x v="57"/>
    <x v="57"/>
    <s v="פתוח      "/>
    <s v="חבר"/>
    <s v="218570430"/>
    <s v="02261"/>
    <s v="בר מאור"/>
    <n v="2"/>
    <s v="4     "/>
    <x v="8"/>
    <d v="2011-09-01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3123"/>
    <s v="כרמל יהונתן"/>
    <s v="כרמל"/>
    <s v="יהונתן"/>
    <s v="ז "/>
    <d v="2009-08-24T00:00:00"/>
    <n v="16"/>
    <x v="96"/>
    <x v="96"/>
    <s v="פתוח      "/>
    <s v="חבר"/>
    <s v="218617736"/>
    <s v="03121"/>
    <s v="כרמל איתמר"/>
    <n v="2"/>
    <s v="4     "/>
    <x v="8"/>
    <d v="2015-04-01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5231"/>
    <s v="הבר נועם  אהרון"/>
    <s v="הבר"/>
    <s v="נועם  אהרון"/>
    <s v="ז "/>
    <d v="1985-05-19T00:00:00"/>
    <n v="40"/>
    <x v="131"/>
    <x v="131"/>
    <s v="פתוח      "/>
    <s v="חבר"/>
    <s v="036827962"/>
    <s v="05231"/>
    <s v="הבר נועם  אהרון"/>
    <n v="2"/>
    <s v="1     "/>
    <x v="3"/>
    <d v="2024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5.6"/>
    <n v="8407.7531999999974"/>
    <n v="0"/>
  </r>
  <r>
    <s v="05232"/>
    <s v="הבר שירה"/>
    <s v="הבר"/>
    <s v="שירה"/>
    <s v="נ "/>
    <d v="1985-10-10T00:00:00"/>
    <n v="40"/>
    <x v="131"/>
    <x v="131"/>
    <s v="פתוח      "/>
    <s v="חבר"/>
    <s v="034704395"/>
    <s v="05231"/>
    <s v="הבר נועם  אהרון"/>
    <n v="2"/>
    <s v="1     "/>
    <x v="3"/>
    <d v="2024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5.6"/>
    <n v="8407.7531999999974"/>
    <n v="0"/>
  </r>
  <r>
    <s v="06134"/>
    <s v="ויסטוך עדי"/>
    <s v="ויסטוך"/>
    <s v="עדי"/>
    <s v="נ "/>
    <d v="2009-10-12T00:00:00"/>
    <n v="16"/>
    <x v="106"/>
    <x v="106"/>
    <s v="פתוח      "/>
    <s v="חבר"/>
    <s v="218645141"/>
    <s v="06131"/>
    <s v="ויסטוך משה"/>
    <n v="2"/>
    <s v="4     "/>
    <x v="8"/>
    <d v="2009-10-12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7018"/>
    <s v="זיסק ארגמן    משה"/>
    <s v="זיסק"/>
    <s v="ארגמן    משה"/>
    <s v="ז "/>
    <d v="2009-11-18T00:00:00"/>
    <n v="16"/>
    <x v="132"/>
    <x v="132"/>
    <s v="פתוח      "/>
    <s v="חבר"/>
    <s v="218908358"/>
    <s v="07011"/>
    <s v="זיסק ישראל"/>
    <n v="2"/>
    <s v="4     "/>
    <x v="8"/>
    <d v="2009-11-18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8153"/>
    <s v="כהן יהונתן  דביר"/>
    <s v="כהן"/>
    <s v="יהונתן  דביר"/>
    <s v="ז "/>
    <d v="2009-07-15T00:00:00"/>
    <n v="16"/>
    <x v="133"/>
    <x v="133"/>
    <s v="פתוח      "/>
    <s v="חבר"/>
    <s v="333571180"/>
    <s v="08151"/>
    <s v="חסון טל"/>
    <n v="2"/>
    <s v="4     "/>
    <x v="8"/>
    <d v="2009-07-15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11073"/>
    <s v="כהן יאיר"/>
    <s v="כהן"/>
    <s v="יאיר"/>
    <s v="ז "/>
    <d v="2009-03-04T00:00:00"/>
    <n v="16"/>
    <x v="134"/>
    <x v="134"/>
    <s v="פתוח      "/>
    <s v="חבר"/>
    <s v="218265650"/>
    <s v="11071"/>
    <s v="כהן יונתן"/>
    <n v="2"/>
    <s v="4     "/>
    <x v="8"/>
    <d v="2020-08-04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6011"/>
    <s v="פרץ עומר"/>
    <s v="פרץ"/>
    <s v="עומר"/>
    <s v="ז "/>
    <d v="1994-03-24T00:00:00"/>
    <n v="31"/>
    <x v="11"/>
    <x v="11"/>
    <s v="פתוח      "/>
    <s v="תושב לגביה"/>
    <s v="312410616"/>
    <s v="06011"/>
    <s v="פרץ עומר"/>
    <n v="0"/>
    <s v="6     "/>
    <x v="1"/>
    <d v="2022-09-29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9353"/>
    <s v="קליין בארי        אמונה"/>
    <s v="קליין"/>
    <s v="בארי        אמונה"/>
    <s v="נ "/>
    <d v="2009-01-29T00:00:00"/>
    <n v="16"/>
    <x v="135"/>
    <x v="135"/>
    <s v="פתוח      "/>
    <s v="חבר"/>
    <s v="333098937"/>
    <s v="19351"/>
    <s v="קליין יוחאי"/>
    <n v="2"/>
    <s v="4     "/>
    <x v="8"/>
    <d v="2015-09-01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6013"/>
    <s v="פרץ אביב"/>
    <s v="פרץ"/>
    <s v="אביב"/>
    <s v="נ "/>
    <d v="2024-05-14T00:00:00"/>
    <n v="1"/>
    <x v="11"/>
    <x v="11"/>
    <s v="פתוח      "/>
    <s v="תושב לגביה"/>
    <s v="240653543"/>
    <s v="06011"/>
    <s v="פרץ עומר"/>
    <n v="0"/>
    <s v="17    "/>
    <x v="2"/>
    <d v="2024-05-14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6032"/>
    <s v="וולברג מרים"/>
    <s v="וולברג"/>
    <s v="מרים"/>
    <s v="נ "/>
    <d v="1935-07-30T00:00:00"/>
    <n v="90"/>
    <x v="136"/>
    <x v="136"/>
    <s v="פתוח      "/>
    <s v="חבר"/>
    <s v="000677054"/>
    <s v="06031"/>
    <s v="וולברג משה"/>
    <n v="1"/>
    <s v="1     "/>
    <x v="3"/>
    <d v="1962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3.19"/>
    <n v="0"/>
    <n v="0"/>
  </r>
  <r>
    <s v="06041"/>
    <s v="וייס יזהר"/>
    <s v="וייס"/>
    <s v="יזהר"/>
    <s v="ז "/>
    <d v="1978-03-25T00:00:00"/>
    <n v="47"/>
    <x v="137"/>
    <x v="137"/>
    <s v="פתוח      "/>
    <s v="חבר"/>
    <s v="034772285"/>
    <s v="06041"/>
    <s v="וייס יזהר"/>
    <n v="0"/>
    <s v="6     "/>
    <x v="1"/>
    <d v="2020-01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6051"/>
    <s v="וילדשטיין דוד"/>
    <s v="וילדשטיין"/>
    <s v="דוד"/>
    <s v="ז "/>
    <d v="1952-04-03T00:00:00"/>
    <n v="73"/>
    <x v="138"/>
    <x v="138"/>
    <s v="פתוח      "/>
    <s v="חבר"/>
    <s v="051339091"/>
    <s v="06051"/>
    <s v="וילדשטיין דוד"/>
    <n v="2"/>
    <s v="1     "/>
    <x v="3"/>
    <d v="1974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6052"/>
    <s v="וילדשטיין רותי"/>
    <s v="וילדשטיין"/>
    <s v="רותי"/>
    <s v="נ "/>
    <d v="1959-06-21T00:00:00"/>
    <n v="66"/>
    <x v="138"/>
    <x v="138"/>
    <s v="פתוח      "/>
    <s v="חבר"/>
    <s v="055729693"/>
    <s v="06051"/>
    <s v="וילדשטיין דוד"/>
    <n v="2"/>
    <s v="1     "/>
    <x v="3"/>
    <d v="1981-12-3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4.22"/>
    <n v="0"/>
    <n v="0"/>
  </r>
  <r>
    <s v="06061"/>
    <s v="וייס שלמה"/>
    <s v="וייס"/>
    <s v="שלמה"/>
    <s v="ז "/>
    <d v="1951-08-09T00:00:00"/>
    <n v="74"/>
    <x v="139"/>
    <x v="139"/>
    <s v="פתוח      "/>
    <s v="חבר"/>
    <s v="050549468"/>
    <s v="06061"/>
    <s v="וייס שלמה"/>
    <n v="1"/>
    <s v="1     "/>
    <x v="3"/>
    <d v="1969-12-31T00:00:00"/>
    <s v="נשוי"/>
    <s v="--"/>
    <s v=""/>
    <n v="1564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6062"/>
    <s v="וייס תמי"/>
    <s v="וייס"/>
    <s v="תמי"/>
    <s v="נ "/>
    <d v="1956-02-16T00:00:00"/>
    <n v="69"/>
    <x v="139"/>
    <x v="139"/>
    <s v="פתוח      "/>
    <s v="חבר"/>
    <s v="053451464"/>
    <s v="06061"/>
    <s v="וייס שלמה"/>
    <n v="1"/>
    <s v="6     "/>
    <x v="1"/>
    <d v="1999-10-08T00:00:00"/>
    <s v="נשוי"/>
    <s v="--"/>
    <s v=""/>
    <n v="1564"/>
    <n v="750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06081"/>
    <s v="וילק שרגא"/>
    <s v="וילק"/>
    <s v="שרגא"/>
    <s v="ז "/>
    <d v="1959-09-25T00:00:00"/>
    <n v="66"/>
    <x v="140"/>
    <x v="140"/>
    <s v="פתוח      "/>
    <s v="חבר"/>
    <s v="015161664"/>
    <s v="06081"/>
    <s v="וילק שרגא"/>
    <n v="2"/>
    <s v="1     "/>
    <x v="3"/>
    <d v="2021-02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0.770000000000003"/>
    <n v="0"/>
    <n v="0"/>
  </r>
  <r>
    <s v="06082"/>
    <s v="וילק אילנה"/>
    <s v="וילק"/>
    <s v="אילנה"/>
    <s v="נ "/>
    <d v="1960-11-16T00:00:00"/>
    <n v="65"/>
    <x v="140"/>
    <x v="140"/>
    <s v="פתוח      "/>
    <s v="חבר"/>
    <s v="056646300"/>
    <s v="06081"/>
    <s v="וילק שרגא"/>
    <n v="2"/>
    <s v="1     "/>
    <x v="3"/>
    <d v="2021-02-0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6.11"/>
    <n v="0"/>
    <n v="0"/>
  </r>
  <r>
    <s v="06091"/>
    <s v="וייס גיל"/>
    <s v="וייס"/>
    <s v="גיל"/>
    <s v="ז "/>
    <d v="1982-09-24T00:00:00"/>
    <n v="43"/>
    <x v="141"/>
    <x v="141"/>
    <s v="פתוח      "/>
    <s v="חבר"/>
    <s v="065667081"/>
    <s v="06091"/>
    <s v="וייס גיל"/>
    <n v="0"/>
    <s v="6     "/>
    <x v="1"/>
    <d v="2020-01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6131"/>
    <s v="ויסטוך משה"/>
    <s v="ויסטוך"/>
    <s v="משה"/>
    <s v="ז "/>
    <d v="1980-11-16T00:00:00"/>
    <n v="45"/>
    <x v="106"/>
    <x v="106"/>
    <s v="פתוח      "/>
    <s v="חבר"/>
    <s v="035848605"/>
    <s v="06131"/>
    <s v="ויסטוך משה"/>
    <n v="2"/>
    <s v="1     "/>
    <x v="3"/>
    <d v="2011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4.18"/>
    <n v="21289.63221"/>
    <n v="0"/>
  </r>
  <r>
    <s v="06132"/>
    <s v="ויסטוך נועה"/>
    <s v="ויסטוך"/>
    <s v="נועה"/>
    <s v="נ "/>
    <d v="1982-10-29T00:00:00"/>
    <n v="43"/>
    <x v="106"/>
    <x v="106"/>
    <s v="פתוח      "/>
    <s v="חבר"/>
    <s v="066165820"/>
    <s v="06131"/>
    <s v="ויסטוך משה"/>
    <n v="2"/>
    <s v="1     "/>
    <x v="3"/>
    <d v="2007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0.059999999999999"/>
    <n v="30117.773069999996"/>
    <n v="0"/>
  </r>
  <r>
    <s v="20177"/>
    <s v="רוט ברק"/>
    <s v="רוט"/>
    <s v="ברק"/>
    <s v="ז "/>
    <d v="2009-04-05T00:00:00"/>
    <n v="16"/>
    <x v="90"/>
    <x v="90"/>
    <s v="פתוח      "/>
    <s v="חבר"/>
    <s v="218119311"/>
    <s v="20171"/>
    <s v="רוט צבי"/>
    <n v="1"/>
    <s v="4     "/>
    <x v="8"/>
    <d v="2009-04-05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20223"/>
    <s v="רייך יובל    יעקב"/>
    <s v="רייך"/>
    <s v="יובל    יעקב"/>
    <s v="ז "/>
    <d v="2009-11-09T00:00:00"/>
    <n v="16"/>
    <x v="142"/>
    <x v="142"/>
    <s v="פתוח      "/>
    <s v="חבר"/>
    <s v="218904969"/>
    <s v="20222"/>
    <s v="רייך ענת"/>
    <n v="1"/>
    <s v="4     "/>
    <x v="8"/>
    <d v="2009-11-09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21133"/>
    <s v="שאול מעין אמונה"/>
    <s v="שאול"/>
    <s v="מעין אמונה"/>
    <s v="נ "/>
    <d v="2009-01-01T00:00:00"/>
    <n v="16"/>
    <x v="143"/>
    <x v="143"/>
    <s v="פתוח      "/>
    <s v="חבר"/>
    <s v="218412989"/>
    <s v="21131"/>
    <s v="שאול איתי בנימין"/>
    <n v="2"/>
    <s v="4     "/>
    <x v="8"/>
    <d v="2020-02-10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21154"/>
    <s v="שוורץ מעיין"/>
    <s v="שוורץ"/>
    <s v="מעיין"/>
    <s v="ז "/>
    <d v="2009-07-16T00:00:00"/>
    <n v="16"/>
    <x v="144"/>
    <x v="144"/>
    <s v="פתוח      "/>
    <s v="חבר"/>
    <s v="333562619"/>
    <s v="21151"/>
    <s v="שוורץ רוני"/>
    <n v="2"/>
    <s v="4     "/>
    <x v="8"/>
    <d v="2013-01-01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21195"/>
    <s v="שיין נועה"/>
    <s v="שיין"/>
    <s v="נועה"/>
    <s v="נ "/>
    <d v="2009-02-02T00:00:00"/>
    <n v="16"/>
    <x v="145"/>
    <x v="145"/>
    <s v="פתוח      "/>
    <s v="חבר"/>
    <s v="332877810"/>
    <s v="21191"/>
    <s v="שיין נפתלי"/>
    <n v="2"/>
    <s v="4     "/>
    <x v="8"/>
    <d v="2009-02-02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21223"/>
    <s v="שרעבי אוריה אברהם"/>
    <s v="שרעבי"/>
    <s v="אוריה אברהם"/>
    <s v="ז "/>
    <d v="2009-03-27T00:00:00"/>
    <n v="16"/>
    <x v="146"/>
    <x v="146"/>
    <s v="פתוח      "/>
    <s v="חבר"/>
    <s v="332224526"/>
    <s v="21221"/>
    <s v="שרעבי אביאל"/>
    <n v="2"/>
    <s v="4     "/>
    <x v="8"/>
    <d v="2012-07-18T00:00:00"/>
    <s v="רווק"/>
    <s v="תיכון"/>
    <n v="18"/>
    <n v="0"/>
    <n v="0"/>
    <n v="0"/>
    <n v="1"/>
    <b v="0"/>
    <n v="0"/>
    <n v="0"/>
    <n v="0"/>
    <n v="0"/>
    <n v="30969.699047619048"/>
    <n v="11535.27619047619"/>
    <n v="2030"/>
    <n v="2240.6817391304348"/>
    <n v="2032"/>
    <n v="38095.238095238092"/>
    <n v="2030"/>
    <n v="0"/>
    <s v=""/>
    <n v="0"/>
    <n v="0"/>
  </r>
  <r>
    <s v="06141"/>
    <s v="וילק נדב"/>
    <s v="וילק"/>
    <s v="נדב"/>
    <s v="ז "/>
    <d v="1989-07-28T00:00:00"/>
    <n v="36"/>
    <x v="147"/>
    <x v="147"/>
    <s v="פתוח      "/>
    <s v="חבר"/>
    <s v="201562220"/>
    <s v="06141"/>
    <s v="וילק נדב"/>
    <n v="2"/>
    <s v="1     "/>
    <x v="3"/>
    <d v="2021-12-1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5.75"/>
    <n v="8632.9608749999989"/>
    <n v="0"/>
  </r>
  <r>
    <s v="06142"/>
    <s v="וילק אורטל"/>
    <s v="וילק"/>
    <s v="אורטל"/>
    <s v="נ "/>
    <d v="1990-11-16T00:00:00"/>
    <n v="35"/>
    <x v="147"/>
    <x v="147"/>
    <s v="פתוח      "/>
    <s v="חבר"/>
    <s v="305580342"/>
    <s v="06141"/>
    <s v="וילק נדב"/>
    <n v="2"/>
    <s v="1     "/>
    <x v="3"/>
    <d v="2021-12-1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5.75"/>
    <n v="8632.9608749999989"/>
    <n v="0"/>
  </r>
  <r>
    <s v="01303"/>
    <s v="אריאל שחר"/>
    <s v="אריאל"/>
    <s v="שחר"/>
    <s v="ז "/>
    <d v="2010-05-02T00:00:00"/>
    <n v="15"/>
    <x v="21"/>
    <x v="21"/>
    <s v="פתוח      "/>
    <s v="חבר"/>
    <s v="334617156"/>
    <s v="01301"/>
    <s v="אריאל יאיר"/>
    <n v="2"/>
    <s v="4     "/>
    <x v="8"/>
    <d v="2013-12-01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2493"/>
    <s v="ביטון שמאי"/>
    <s v="ביטון"/>
    <s v="שמאי"/>
    <s v="ז "/>
    <d v="2010-05-28T00:00:00"/>
    <n v="15"/>
    <x v="66"/>
    <x v="66"/>
    <s v="פתוח      "/>
    <s v="חבר"/>
    <s v="219150349"/>
    <s v="02492"/>
    <s v="עבדיה )ביטון( לוטם"/>
    <n v="1"/>
    <s v="4     "/>
    <x v="8"/>
    <d v="2010-05-28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3094"/>
    <s v="גלבוע הדר מלכה"/>
    <s v="גלבוע"/>
    <s v="הדר מלכה"/>
    <s v="נ "/>
    <d v="2010-05-11T00:00:00"/>
    <n v="15"/>
    <x v="93"/>
    <x v="93"/>
    <s v="פתוח      "/>
    <s v="חבר"/>
    <s v="334614831"/>
    <s v="03091"/>
    <s v="גלבוע נעם נפתלי"/>
    <n v="1"/>
    <s v="4     "/>
    <x v="8"/>
    <d v="2010-05-11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6201"/>
    <s v="וייס מתן"/>
    <s v="וייס"/>
    <s v="מתן"/>
    <s v="ז "/>
    <d v="2002-06-04T00:00:00"/>
    <n v="23"/>
    <x v="148"/>
    <x v="148"/>
    <s v="פתוח      "/>
    <s v="תושב לגביה"/>
    <s v="212942304"/>
    <s v="06201"/>
    <s v="וייס מתן"/>
    <n v="0"/>
    <s v="36    "/>
    <x v="0"/>
    <d v="2025-01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07011"/>
    <s v="זיסק ישראל"/>
    <s v="זיסק"/>
    <s v="ישראל"/>
    <s v="ז "/>
    <d v="1968-01-20T00:00:00"/>
    <n v="57"/>
    <x v="132"/>
    <x v="132"/>
    <s v="פתוח      "/>
    <s v="חבר"/>
    <s v="023509003"/>
    <s v="07011"/>
    <s v="זיסק ישראל"/>
    <n v="2"/>
    <s v="1     "/>
    <x v="3"/>
    <d v="2005-06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0.36"/>
    <n v="0"/>
    <n v="41180.831999999995"/>
  </r>
  <r>
    <s v="07019"/>
    <s v="זיסק שלהבת  אורנה"/>
    <s v="זיסק"/>
    <s v="שלהבת  אורנה"/>
    <s v="נ "/>
    <d v="2010-10-06T00:00:00"/>
    <n v="15"/>
    <x v="132"/>
    <x v="132"/>
    <s v="פתוח      "/>
    <s v="חבר"/>
    <s v="219626793"/>
    <s v="07011"/>
    <s v="זיסק ישראל"/>
    <n v="2"/>
    <s v="4     "/>
    <x v="8"/>
    <d v="2010-10-06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7012"/>
    <s v="זיסק גלית"/>
    <s v="זיסק"/>
    <s v="גלית"/>
    <s v="נ "/>
    <d v="1970-02-02T00:00:00"/>
    <n v="55"/>
    <x v="132"/>
    <x v="132"/>
    <s v="פתוח      "/>
    <s v="חבר"/>
    <s v="029384898"/>
    <s v="07011"/>
    <s v="זיסק ישראל"/>
    <n v="2"/>
    <s v="1     "/>
    <x v="3"/>
    <d v="1992-10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94"/>
    <n v="0"/>
    <n v="58822.099874999993"/>
  </r>
  <r>
    <s v="10056"/>
    <s v="יקיר יהל    אלישב"/>
    <s v="יקיר"/>
    <s v="יהל    אלישב"/>
    <s v="ז "/>
    <d v="2010-04-10T00:00:00"/>
    <n v="15"/>
    <x v="98"/>
    <x v="98"/>
    <s v="פתוח      "/>
    <s v="חבר"/>
    <s v="334577152"/>
    <s v="10051"/>
    <s v="יקיר הראל"/>
    <n v="2"/>
    <s v="4     "/>
    <x v="8"/>
    <d v="2010-04-10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1074"/>
    <s v="כהן רון    ישראל"/>
    <s v="כהן"/>
    <s v="רון    ישראל"/>
    <s v="ז "/>
    <d v="2010-09-19T00:00:00"/>
    <n v="15"/>
    <x v="134"/>
    <x v="134"/>
    <s v="פתוח      "/>
    <s v="חבר"/>
    <s v="334874633"/>
    <s v="11071"/>
    <s v="כהן יונתן"/>
    <n v="2"/>
    <s v="4     "/>
    <x v="8"/>
    <d v="2020-08-04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1127"/>
    <s v="כהן הדס     טליה"/>
    <s v="כהן"/>
    <s v="הדס     טליה"/>
    <s v="נ "/>
    <d v="2010-12-08T00:00:00"/>
    <n v="15"/>
    <x v="149"/>
    <x v="149"/>
    <s v="פתוח      "/>
    <s v="חבר"/>
    <s v="219948916"/>
    <s v="11121"/>
    <s v="כהן בעז עוזר"/>
    <n v="2"/>
    <s v="4     "/>
    <x v="8"/>
    <d v="2010-12-08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7031"/>
    <s v="רדה דניאל"/>
    <s v="רדה"/>
    <s v="דניאל"/>
    <s v="ז "/>
    <d v="1997-12-09T00:00:00"/>
    <n v="28"/>
    <x v="37"/>
    <x v="37"/>
    <s v="פתוח      "/>
    <s v="חבר"/>
    <s v="209196435"/>
    <s v="07031"/>
    <s v="רדה דניאל"/>
    <n v="0"/>
    <s v="6     "/>
    <x v="1"/>
    <d v="2025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1195"/>
    <s v="כהן לביא     דוד"/>
    <s v="כהן"/>
    <s v="לביא     דוד"/>
    <s v="ז "/>
    <d v="2010-01-10T00:00:00"/>
    <n v="15"/>
    <x v="150"/>
    <x v="150"/>
    <s v="פתוח      "/>
    <s v="חבר"/>
    <s v="334574480"/>
    <s v="11191"/>
    <s v="כהן שרון"/>
    <n v="2"/>
    <s v="4     "/>
    <x v="8"/>
    <d v="2010-01-10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7033"/>
    <s v="רדה חירות"/>
    <s v="רדה"/>
    <s v="חירות"/>
    <s v="נ "/>
    <d v="2022-04-24T00:00:00"/>
    <n v="3"/>
    <x v="37"/>
    <x v="37"/>
    <s v="פתוח      "/>
    <s v="חבר"/>
    <s v="236786018"/>
    <s v="07031"/>
    <s v="רדה דניאל"/>
    <n v="0"/>
    <s v="17    "/>
    <x v="2"/>
    <d v="2025-09-01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7034"/>
    <s v="רדה הילה"/>
    <s v="רדה"/>
    <s v="הילה"/>
    <s v="נ "/>
    <d v="2025-05-10T00:00:00"/>
    <n v="0"/>
    <x v="37"/>
    <x v="37"/>
    <s v="פתוח      "/>
    <s v="חבר"/>
    <s v="241543511"/>
    <s v="07031"/>
    <s v="רדה דניאל"/>
    <n v="0"/>
    <s v="17    "/>
    <x v="2"/>
    <d v="2025-09-01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7051"/>
    <s v="זיו עמית"/>
    <s v="זיו"/>
    <s v="עמית"/>
    <s v="ז "/>
    <d v="1987-07-09T00:00:00"/>
    <n v="38"/>
    <x v="151"/>
    <x v="151"/>
    <s v="פתוח      "/>
    <s v="חבר"/>
    <s v="300945557"/>
    <s v="07051"/>
    <s v="זיו עמית"/>
    <n v="2"/>
    <s v="1     "/>
    <x v="3"/>
    <d v="2019-09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"/>
    <n v="12011.075999999999"/>
    <n v="0"/>
  </r>
  <r>
    <s v="07052"/>
    <s v="זיו אסתר"/>
    <s v="זיו"/>
    <s v="אסתר"/>
    <s v="נ "/>
    <d v="1989-05-12T00:00:00"/>
    <n v="36"/>
    <x v="151"/>
    <x v="151"/>
    <s v="פתוח      "/>
    <s v="חבר"/>
    <s v="302640248"/>
    <s v="07051"/>
    <s v="זיו עמית"/>
    <n v="2"/>
    <s v="1     "/>
    <x v="3"/>
    <d v="2019-09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"/>
    <n v="12011.075999999999"/>
    <n v="0"/>
  </r>
  <r>
    <s v="12144"/>
    <s v="ליפטשר חרות"/>
    <s v="ליפטשר"/>
    <s v="חרות"/>
    <s v="נ "/>
    <d v="2010-06-23T00:00:00"/>
    <n v="15"/>
    <x v="123"/>
    <x v="123"/>
    <s v="פתוח      "/>
    <s v="חבר"/>
    <s v="334457371"/>
    <s v="12141"/>
    <s v="ליפטשר אבינועם"/>
    <n v="2"/>
    <s v="4     "/>
    <x v="8"/>
    <d v="2010-06-23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2145"/>
    <s v="ליפטשר אסף"/>
    <s v="ליפטשר"/>
    <s v="אסף"/>
    <s v="ז "/>
    <d v="2010-06-23T00:00:00"/>
    <n v="15"/>
    <x v="123"/>
    <x v="123"/>
    <s v="פתוח      "/>
    <s v="חבר"/>
    <s v="334457389"/>
    <s v="12141"/>
    <s v="ליפטשר אבינועם"/>
    <n v="2"/>
    <s v="4     "/>
    <x v="8"/>
    <d v="2010-06-23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2187"/>
    <s v="לזר ירדן"/>
    <s v="לזר"/>
    <s v="ירדן"/>
    <s v="ז "/>
    <d v="2010-01-08T00:00:00"/>
    <n v="15"/>
    <x v="152"/>
    <x v="152"/>
    <s v="פתוח      "/>
    <s v="חבר"/>
    <s v="218899862"/>
    <s v="12181"/>
    <s v="לזר מיכאל"/>
    <n v="2"/>
    <s v="4     "/>
    <x v="8"/>
    <d v="2010-01-08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2196"/>
    <s v="לבבי ניר"/>
    <s v="לבבי"/>
    <s v="ניר"/>
    <s v="ז "/>
    <d v="2010-07-02T00:00:00"/>
    <n v="15"/>
    <x v="124"/>
    <x v="124"/>
    <s v="פתוח      "/>
    <s v="חבר"/>
    <s v="334848801"/>
    <s v="12191"/>
    <s v="לבבי נחומי"/>
    <n v="2"/>
    <s v="4     "/>
    <x v="8"/>
    <d v="2010-07-02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3016"/>
    <s v="מידב קדם"/>
    <s v="מידב"/>
    <s v="קדם"/>
    <s v="נ "/>
    <d v="2010-03-11T00:00:00"/>
    <n v="15"/>
    <x v="126"/>
    <x v="126"/>
    <s v="פתוח      "/>
    <s v="חבר"/>
    <s v="334625902"/>
    <s v="13011"/>
    <s v="מידב כפיר"/>
    <n v="2"/>
    <s v="4     "/>
    <x v="8"/>
    <d v="2010-03-11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19223"/>
    <s v="קרליבך מתן   אביעד"/>
    <s v="קרליבך"/>
    <s v="מתן   אביעד"/>
    <s v="ז "/>
    <d v="2010-01-18T00:00:00"/>
    <n v="15"/>
    <x v="153"/>
    <x v="153"/>
    <s v="פתוח      "/>
    <s v="חבר"/>
    <s v="333550358"/>
    <s v="19221"/>
    <s v="קרליבך ישי"/>
    <n v="2"/>
    <s v="4     "/>
    <x v="8"/>
    <d v="2017-08-15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7062"/>
    <s v="זיסק שלומציון רחל"/>
    <s v="זיסק"/>
    <s v="שלומציון רחל"/>
    <s v="נ "/>
    <d v="2002-12-06T00:00:00"/>
    <n v="23"/>
    <x v="154"/>
    <x v="154"/>
    <s v="פתוח      "/>
    <s v="תושב לגביה"/>
    <s v="325260255"/>
    <s v="07062"/>
    <s v="זיסק שלומציון רחל"/>
    <n v="0"/>
    <s v="36    "/>
    <x v="0"/>
    <d v="2024-08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07081"/>
    <s v="מזרחי הלל אריה"/>
    <s v="מזרחי"/>
    <s v="הלל אריה"/>
    <s v="ז "/>
    <d v="2002-02-17T00:00:00"/>
    <n v="23"/>
    <x v="155"/>
    <x v="155"/>
    <s v="פתוח      "/>
    <s v="תושב לגביה"/>
    <s v="212376701"/>
    <s v="07081"/>
    <s v="מזרחי הלל אריה"/>
    <n v="0"/>
    <s v="6     "/>
    <x v="1"/>
    <d v="2025-01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7082"/>
    <s v="מזרחי תפארת"/>
    <s v="מזרחי"/>
    <s v="תפארת"/>
    <s v="נ "/>
    <d v="2004-06-10T00:00:00"/>
    <n v="21"/>
    <x v="155"/>
    <x v="155"/>
    <s v="פתוח      "/>
    <s v="תושב לגביה"/>
    <s v="326252947"/>
    <s v="07081"/>
    <s v="מזרחי הלל אריה"/>
    <n v="0"/>
    <s v="36    "/>
    <x v="0"/>
    <d v="2024-12-05T00:00:00"/>
    <s v="נשוי"/>
    <s v="--"/>
    <s v=""/>
    <n v="0"/>
    <n v="0"/>
    <n v="0"/>
    <n v="1"/>
    <b v="1"/>
    <n v="0"/>
    <n v="0"/>
    <n v="0"/>
    <n v="0"/>
    <n v="0"/>
    <n v="0"/>
    <n v="0"/>
    <n v="2940.8947826086956"/>
    <n v="2027"/>
    <n v="50000"/>
    <n v="2025"/>
    <n v="0"/>
    <s v=""/>
    <n v="0"/>
    <n v="0"/>
  </r>
  <r>
    <s v="08031"/>
    <s v="חורש אבנר"/>
    <s v="חורש"/>
    <s v="אבנר"/>
    <s v="ז "/>
    <d v="1951-04-26T00:00:00"/>
    <n v="74"/>
    <x v="156"/>
    <x v="156"/>
    <s v="פתוח      "/>
    <s v="חבר"/>
    <s v="050455278"/>
    <s v="08031"/>
    <s v="חורש אבנר"/>
    <n v="2"/>
    <s v="1     "/>
    <x v="3"/>
    <d v="196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8032"/>
    <s v="חורש חני"/>
    <s v="חורש"/>
    <s v="חני"/>
    <s v="נ "/>
    <d v="1957-03-11T00:00:00"/>
    <n v="68"/>
    <x v="156"/>
    <x v="156"/>
    <s v="פתוח      "/>
    <s v="חבר"/>
    <s v="054729975"/>
    <s v="08031"/>
    <s v="חורש אבנר"/>
    <n v="2"/>
    <s v="1     "/>
    <x v="3"/>
    <d v="1978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6.99"/>
    <n v="0"/>
    <n v="0"/>
  </r>
  <r>
    <s v="08041"/>
    <s v="חורש גד"/>
    <s v="חורש"/>
    <s v="גד"/>
    <s v="ז "/>
    <d v="1955-06-23T00:00:00"/>
    <n v="70"/>
    <x v="157"/>
    <x v="157"/>
    <s v="פתוח      "/>
    <s v="חבר"/>
    <s v="053480778"/>
    <s v="08041"/>
    <s v="חורש גד"/>
    <n v="2"/>
    <s v="1     "/>
    <x v="3"/>
    <d v="1973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08042"/>
    <s v="חורש שרי"/>
    <s v="חורש"/>
    <s v="שרי"/>
    <s v="נ "/>
    <d v="1961-05-28T00:00:00"/>
    <n v="64"/>
    <x v="157"/>
    <x v="157"/>
    <s v="פתוח      "/>
    <s v="חבר"/>
    <s v="013009444"/>
    <s v="08041"/>
    <s v="חורש גד"/>
    <n v="2"/>
    <s v="1     "/>
    <x v="3"/>
    <d v="1981-12-3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4.66"/>
    <n v="0"/>
    <n v="79519.757624999984"/>
  </r>
  <r>
    <s v="08051"/>
    <s v="חורש עופר"/>
    <s v="חורש"/>
    <s v="עופר"/>
    <s v="ז "/>
    <d v="1980-04-10T00:00:00"/>
    <n v="45"/>
    <x v="100"/>
    <x v="100"/>
    <s v="פתוח      "/>
    <s v="חבר"/>
    <s v="037394509"/>
    <s v="08051"/>
    <s v="חורש עופר"/>
    <n v="2"/>
    <s v="1     "/>
    <x v="3"/>
    <d v="2008-05-1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3.73"/>
    <n v="35627.854184999997"/>
    <n v="0"/>
  </r>
  <r>
    <s v="08052"/>
    <s v="חורש לידור רחל"/>
    <s v="חורש"/>
    <s v="לידור רחל"/>
    <s v="נ "/>
    <d v="1981-09-05T00:00:00"/>
    <n v="44"/>
    <x v="100"/>
    <x v="100"/>
    <s v="פתוח      "/>
    <s v="חבר"/>
    <s v="043397595"/>
    <s v="08051"/>
    <s v="חורש עופר"/>
    <n v="2"/>
    <s v="1     "/>
    <x v="3"/>
    <d v="2008-05-1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9.23"/>
    <n v="28871.623934999996"/>
    <n v="0"/>
  </r>
  <r>
    <s v="20206"/>
    <s v="רמון רותם"/>
    <s v="רמון"/>
    <s v="רותם"/>
    <s v="נ "/>
    <d v="2010-11-03T00:00:00"/>
    <n v="15"/>
    <x v="99"/>
    <x v="99"/>
    <s v="פתוח      "/>
    <s v="חבר"/>
    <s v="219632312"/>
    <s v="20201"/>
    <s v="רמון ארנון"/>
    <n v="2"/>
    <s v="4     "/>
    <x v="8"/>
    <d v="2010-11-03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20207"/>
    <s v="רמון ליאור"/>
    <s v="רמון"/>
    <s v="ליאור"/>
    <s v="נ "/>
    <d v="2010-11-03T00:00:00"/>
    <n v="15"/>
    <x v="99"/>
    <x v="99"/>
    <s v="פתוח      "/>
    <s v="חבר"/>
    <s v="219632320"/>
    <s v="20201"/>
    <s v="רמון ארנון"/>
    <n v="2"/>
    <s v="4     "/>
    <x v="8"/>
    <d v="2010-11-03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20304"/>
    <s v="ראבינסאן מעין"/>
    <s v="ראבינסאן"/>
    <s v="מעין"/>
    <s v="נ "/>
    <d v="2010-02-23T00:00:00"/>
    <n v="15"/>
    <x v="130"/>
    <x v="130"/>
    <s v="פתוח      "/>
    <s v="חבר"/>
    <s v="334649506"/>
    <s v="20301"/>
    <s v="ראבינסאן דגן"/>
    <n v="2"/>
    <s v="4     "/>
    <x v="8"/>
    <d v="2010-02-23T00:00:00"/>
    <s v="רווק"/>
    <s v="תיכון"/>
    <n v="18"/>
    <n v="0"/>
    <n v="0"/>
    <n v="0"/>
    <n v="1"/>
    <b v="0"/>
    <n v="0"/>
    <n v="0"/>
    <n v="0"/>
    <n v="0"/>
    <n v="29034.092857142859"/>
    <n v="10814.321428571428"/>
    <n v="2031"/>
    <n v="2100.6391304347826"/>
    <n v="2033"/>
    <n v="35714.285714285717"/>
    <n v="2031"/>
    <n v="0"/>
    <s v=""/>
    <n v="0"/>
    <n v="0"/>
  </r>
  <r>
    <s v="02115"/>
    <s v="ברודי רועי"/>
    <s v="ברודי"/>
    <s v="רועי"/>
    <s v="ז "/>
    <d v="2011-10-16T00:00:00"/>
    <n v="14"/>
    <x v="45"/>
    <x v="45"/>
    <s v="פתוח      "/>
    <s v="חבר במסב"/>
    <s v="219041050"/>
    <s v="02111"/>
    <s v="ברודי נועם"/>
    <n v="2"/>
    <s v="4     "/>
    <x v="8"/>
    <d v="2011-10-16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2524"/>
    <s v="בן אהרון יאיר"/>
    <s v="בן אהרון"/>
    <s v="יאיר"/>
    <s v="ז "/>
    <d v="2011-03-28T00:00:00"/>
    <n v="14"/>
    <x v="72"/>
    <x v="72"/>
    <s v="פתוח      "/>
    <s v="חבר"/>
    <s v="335837811"/>
    <s v="02521"/>
    <s v="בן אהרון ערן"/>
    <n v="2"/>
    <s v="4     "/>
    <x v="8"/>
    <d v="2011-03-28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3064"/>
    <s v="גוזלנד אביב    הדר"/>
    <s v="גוזלנד"/>
    <s v="אביב    הדר"/>
    <s v="נ "/>
    <d v="2011-03-15T00:00:00"/>
    <n v="14"/>
    <x v="84"/>
    <x v="84"/>
    <s v="פתוח      "/>
    <s v="חבר"/>
    <s v="335845798"/>
    <s v="03061"/>
    <s v="גוזלנד שמעון"/>
    <n v="2"/>
    <s v="4     "/>
    <x v="8"/>
    <d v="2011-03-15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8092"/>
    <s v="חורש אחינועם"/>
    <s v="חורש"/>
    <s v="אחינועם"/>
    <s v="נ "/>
    <d v="2004-03-11T00:00:00"/>
    <n v="21"/>
    <x v="100"/>
    <x v="100"/>
    <s v="פתוח      "/>
    <s v="חבר"/>
    <s v="325943850"/>
    <s v="08051"/>
    <s v="חורש עופר"/>
    <n v="2"/>
    <s v="8     "/>
    <x v="11"/>
    <d v="2023-09-01T00:00:00"/>
    <s v="רווק"/>
    <s v="--"/>
    <s v=""/>
    <n v="0"/>
    <n v="0"/>
    <n v="0"/>
    <n v="1"/>
    <b v="0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08131"/>
    <s v="גדסי מיכאל"/>
    <s v="גדסי"/>
    <s v="מיכאל"/>
    <s v="ז "/>
    <d v="1988-04-02T00:00:00"/>
    <n v="37"/>
    <x v="158"/>
    <x v="158"/>
    <s v="פתוח      "/>
    <s v="חבר"/>
    <s v="200035418"/>
    <s v="08131"/>
    <s v="גדסי מיכאל"/>
    <n v="2"/>
    <s v="1     "/>
    <x v="3"/>
    <d v="2022-11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.83"/>
    <n v="7251.6871349999992"/>
    <n v="0"/>
  </r>
  <r>
    <s v="08132"/>
    <s v="גדסי תמר"/>
    <s v="גדסי"/>
    <s v="תמר"/>
    <s v="נ "/>
    <d v="1991-07-17T00:00:00"/>
    <n v="34"/>
    <x v="158"/>
    <x v="158"/>
    <s v="פתוח      "/>
    <s v="חבר"/>
    <s v="305588204"/>
    <s v="08131"/>
    <s v="גדסי מיכאל"/>
    <n v="2"/>
    <s v="1     "/>
    <x v="3"/>
    <d v="2022-11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.83"/>
    <n v="7251.6871349999992"/>
    <n v="0"/>
  </r>
  <r>
    <s v="04085"/>
    <s v="דורון     פולזין ליה      חנה"/>
    <s v="דורון     פולזין"/>
    <s v="ליה      חנה"/>
    <s v="נ "/>
    <d v="2011-04-13T00:00:00"/>
    <n v="14"/>
    <x v="113"/>
    <x v="113"/>
    <s v="פתוח      "/>
    <s v="חבר"/>
    <s v="335378402"/>
    <s v="04082"/>
    <s v="דורון מירב"/>
    <n v="1"/>
    <s v="4     "/>
    <x v="8"/>
    <d v="2017-11-01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6135"/>
    <s v="ויסטוך תמר    דבורה"/>
    <s v="ויסטוך"/>
    <s v="תמר    דבורה"/>
    <s v="נ "/>
    <d v="2011-12-24T00:00:00"/>
    <n v="14"/>
    <x v="106"/>
    <x v="106"/>
    <s v="פתוח      "/>
    <s v="חבר"/>
    <s v="220203905"/>
    <s v="06131"/>
    <s v="ויסטוך משה"/>
    <n v="2"/>
    <s v="4     "/>
    <x v="8"/>
    <d v="2011-12-24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8056"/>
    <s v="חורש קדם    אמונה"/>
    <s v="חורש"/>
    <s v="קדם    אמונה"/>
    <s v="נ "/>
    <d v="2011-04-13T00:00:00"/>
    <n v="14"/>
    <x v="100"/>
    <x v="100"/>
    <s v="פתוח      "/>
    <s v="חבר"/>
    <s v="220378806"/>
    <s v="08051"/>
    <s v="חורש עופר"/>
    <n v="2"/>
    <s v="4     "/>
    <x v="8"/>
    <d v="2011-04-13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8151"/>
    <s v="חסון טל"/>
    <s v="חסון"/>
    <s v="טל"/>
    <s v="ז "/>
    <d v="1988-01-27T00:00:00"/>
    <n v="37"/>
    <x v="133"/>
    <x v="133"/>
    <s v="פתוח      "/>
    <s v="חבר"/>
    <s v="301077376"/>
    <s v="08151"/>
    <s v="חסון טל"/>
    <n v="2"/>
    <s v="1     "/>
    <x v="3"/>
    <d v="2017-05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0.26"/>
    <n v="15404.204969999997"/>
    <n v="0"/>
  </r>
  <r>
    <s v="08152"/>
    <s v="חסון חגית"/>
    <s v="חסון"/>
    <s v="חגית"/>
    <s v="נ "/>
    <d v="1985-06-05T00:00:00"/>
    <n v="40"/>
    <x v="133"/>
    <x v="133"/>
    <s v="פתוח      "/>
    <s v="חבר"/>
    <s v="037073459"/>
    <s v="08151"/>
    <s v="חסון טל"/>
    <n v="2"/>
    <s v="1     "/>
    <x v="3"/>
    <d v="2009-04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100000000000001"/>
    <n v="27175.059450000001"/>
    <n v="0"/>
  </r>
  <r>
    <s v="12243"/>
    <s v="לאופר יהונתן"/>
    <s v="לאופר"/>
    <s v="יהונתן"/>
    <s v="ז "/>
    <d v="2011-07-11T00:00:00"/>
    <n v="14"/>
    <x v="159"/>
    <x v="159"/>
    <s v="פתוח      "/>
    <s v="חבר"/>
    <s v="335204566"/>
    <s v="12241"/>
    <s v="לאופר יובל"/>
    <n v="2"/>
    <s v="4     "/>
    <x v="8"/>
    <d v="2013-03-01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2615"/>
    <s v="לבקוביץ כפיר יצחק"/>
    <s v="לבקוביץ"/>
    <s v="כפיר יצחק"/>
    <s v="ז "/>
    <d v="2011-06-16T00:00:00"/>
    <n v="14"/>
    <x v="104"/>
    <x v="104"/>
    <s v="פתוח      "/>
    <s v="חבר"/>
    <s v="335229217"/>
    <s v="12611"/>
    <s v="לבקוביץ ירון אלעזר"/>
    <n v="2"/>
    <s v="4     "/>
    <x v="8"/>
    <d v="2013-09-01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5038"/>
    <s v="סהר אורי"/>
    <s v="סהר"/>
    <s v="אורי"/>
    <s v="נ "/>
    <d v="2011-05-12T00:00:00"/>
    <n v="14"/>
    <x v="107"/>
    <x v="107"/>
    <s v="פתוח      "/>
    <s v="חבר"/>
    <s v="335208278"/>
    <s v="15031"/>
    <s v="סהר אבשלום"/>
    <n v="2"/>
    <s v="4     "/>
    <x v="8"/>
    <d v="2011-05-12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9148"/>
    <s v="קרליבך תאיר"/>
    <s v="קרליבך"/>
    <s v="תאיר"/>
    <s v="נ "/>
    <d v="2011-11-18T00:00:00"/>
    <n v="14"/>
    <x v="127"/>
    <x v="127"/>
    <s v="פתוח      "/>
    <s v="חבר"/>
    <s v="220294011"/>
    <s v="19141"/>
    <s v="קרליבך יצחק"/>
    <n v="2"/>
    <s v="4     "/>
    <x v="8"/>
    <d v="2011-11-18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9224"/>
    <s v="קרליבך שחר    ליאור"/>
    <s v="קרליבך"/>
    <s v="שחר    ליאור"/>
    <s v="ז "/>
    <d v="2011-11-23T00:00:00"/>
    <n v="14"/>
    <x v="153"/>
    <x v="153"/>
    <s v="פתוח      "/>
    <s v="חבר"/>
    <s v="335532602"/>
    <s v="19221"/>
    <s v="קרליבך ישי"/>
    <n v="2"/>
    <s v="4     "/>
    <x v="8"/>
    <d v="2017-08-15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08161"/>
    <s v="חסין משה"/>
    <s v="חסין"/>
    <s v="משה"/>
    <s v="ז "/>
    <d v="1988-03-07T00:00:00"/>
    <n v="37"/>
    <x v="160"/>
    <x v="160"/>
    <s v="פתוח      "/>
    <s v="תושב לגביה"/>
    <s v="301316691"/>
    <s v="08161"/>
    <s v="חסין משה"/>
    <n v="0"/>
    <s v="61    "/>
    <x v="12"/>
    <d v="2023-08-08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8162"/>
    <s v="חסין שלומית"/>
    <s v="חסין"/>
    <s v="שלומית"/>
    <s v="נ "/>
    <d v="1988-04-11T00:00:00"/>
    <n v="37"/>
    <x v="160"/>
    <x v="160"/>
    <s v="פתוח      "/>
    <s v="תושב לגביה"/>
    <s v="200520369"/>
    <s v="08161"/>
    <s v="חסין משה"/>
    <n v="0"/>
    <s v="61    "/>
    <x v="12"/>
    <d v="2023-08-08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8163"/>
    <s v="חסין שליו"/>
    <s v="חסין"/>
    <s v="שליו"/>
    <s v="ז "/>
    <d v="2013-12-12T00:00:00"/>
    <n v="12"/>
    <x v="160"/>
    <x v="160"/>
    <s v="פתוח      "/>
    <s v="תושב לגביה"/>
    <s v="222243685"/>
    <s v="08161"/>
    <s v="חסין משה"/>
    <n v="0"/>
    <s v="17    "/>
    <x v="2"/>
    <d v="2023-08-08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8164"/>
    <s v="חסין ארבל"/>
    <s v="חסין"/>
    <s v="ארבל"/>
    <s v="ז "/>
    <d v="2017-07-03T00:00:00"/>
    <n v="8"/>
    <x v="160"/>
    <x v="160"/>
    <s v="פתוח      "/>
    <s v="תושב לגביה"/>
    <s v="224938563"/>
    <s v="08161"/>
    <s v="חסין משה"/>
    <n v="0"/>
    <s v="17    "/>
    <x v="2"/>
    <d v="2023-08-08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8165"/>
    <s v="חסין אימרי"/>
    <s v="חסין"/>
    <s v="אימרי"/>
    <s v="ז "/>
    <d v="2021-06-12T00:00:00"/>
    <n v="4"/>
    <x v="160"/>
    <x v="160"/>
    <s v="פתוח      "/>
    <s v="תושב לגביה"/>
    <s v="234733624"/>
    <s v="08161"/>
    <s v="חסין משה"/>
    <n v="0"/>
    <s v="17    "/>
    <x v="2"/>
    <d v="2023-08-08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8166"/>
    <s v="חסין חן ישראל"/>
    <s v="חסין"/>
    <s v="חן ישראל"/>
    <s v="ז "/>
    <d v="2024-12-13T00:00:00"/>
    <n v="1"/>
    <x v="160"/>
    <x v="160"/>
    <s v="פתוח      "/>
    <s v="תושב לגביה"/>
    <s v="240326421"/>
    <s v="08161"/>
    <s v="חסין משה"/>
    <n v="0"/>
    <s v="17    "/>
    <x v="2"/>
    <d v="2024-12-13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9234"/>
    <s v="קליין עלמה"/>
    <s v="קליין"/>
    <s v="עלמה"/>
    <s v="נ "/>
    <d v="2011-07-22T00:00:00"/>
    <n v="14"/>
    <x v="128"/>
    <x v="128"/>
    <s v="פתוח      "/>
    <s v="חבר"/>
    <s v="219838232"/>
    <s v="19231"/>
    <s v="קליין דן-צבי"/>
    <n v="2"/>
    <s v="4     "/>
    <x v="8"/>
    <d v="2012-07-01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0021"/>
    <s v="יקיר גדעון"/>
    <s v="יקיר"/>
    <s v="גדעון"/>
    <s v="ז "/>
    <d v="1945-08-03T00:00:00"/>
    <n v="80"/>
    <x v="161"/>
    <x v="161"/>
    <s v="פתוח      "/>
    <s v="חבר"/>
    <s v="003652146"/>
    <s v="10021"/>
    <s v="יקיר גדעון"/>
    <n v="2"/>
    <s v="1     "/>
    <x v="3"/>
    <d v="1966-12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0022"/>
    <s v="יקיר מרים"/>
    <s v="יקיר"/>
    <s v="מרים"/>
    <s v="נ "/>
    <d v="1947-04-08T00:00:00"/>
    <n v="78"/>
    <x v="161"/>
    <x v="161"/>
    <s v="פתוח      "/>
    <s v="חבר"/>
    <s v="006740500"/>
    <s v="10021"/>
    <s v="יקיר גדעון"/>
    <n v="2"/>
    <s v="1     "/>
    <x v="3"/>
    <d v="196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0031"/>
    <s v="ישורון שמשון"/>
    <s v="ישורון"/>
    <s v="שמשון"/>
    <s v="ז "/>
    <d v="1950-12-04T00:00:00"/>
    <n v="75"/>
    <x v="162"/>
    <x v="162"/>
    <s v="פתוח      "/>
    <s v="חבר"/>
    <s v="050409770"/>
    <s v="10031"/>
    <s v="ישורון שמשון"/>
    <n v="2"/>
    <s v="1     "/>
    <x v="3"/>
    <d v="1968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0032"/>
    <s v="ישורון רות"/>
    <s v="ישורון"/>
    <s v="רות"/>
    <s v="נ "/>
    <d v="1951-05-25T00:00:00"/>
    <n v="74"/>
    <x v="162"/>
    <x v="162"/>
    <s v="פתוח      "/>
    <s v="חבר"/>
    <s v="050651165"/>
    <s v="10031"/>
    <s v="ישורון שמשון"/>
    <n v="2"/>
    <s v="1     "/>
    <x v="3"/>
    <d v="1973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0042"/>
    <s v="יוגב ענת"/>
    <s v="יוגב"/>
    <s v="ענת"/>
    <s v="נ "/>
    <d v="1970-08-03T00:00:00"/>
    <n v="55"/>
    <x v="115"/>
    <x v="115"/>
    <s v="פתוח      "/>
    <s v="חבר"/>
    <s v="024805251"/>
    <s v="10042"/>
    <s v="יוגב ענת"/>
    <n v="1"/>
    <s v="1     "/>
    <x v="3"/>
    <d v="1995-08-15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94"/>
    <n v="0"/>
    <n v="58822.099874999993"/>
  </r>
  <r>
    <s v="19354"/>
    <s v="קליין אחינעם      זיו"/>
    <s v="קליין"/>
    <s v="אחינעם      זיו"/>
    <s v="נ "/>
    <d v="2011-05-08T00:00:00"/>
    <n v="14"/>
    <x v="135"/>
    <x v="135"/>
    <s v="פתוח      "/>
    <s v="חבר"/>
    <s v="334892783"/>
    <s v="19351"/>
    <s v="קליין יוחאי"/>
    <n v="2"/>
    <s v="4     "/>
    <x v="8"/>
    <d v="2015-09-01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20224"/>
    <s v="רייך רעות    שרה"/>
    <s v="רייך"/>
    <s v="רעות    שרה"/>
    <s v="נ "/>
    <d v="2011-12-19T00:00:00"/>
    <n v="14"/>
    <x v="142"/>
    <x v="142"/>
    <s v="פתוח      "/>
    <s v="חבר"/>
    <s v="220997217"/>
    <s v="20222"/>
    <s v="רייך ענת"/>
    <n v="1"/>
    <s v="4     "/>
    <x v="8"/>
    <d v="2011-12-19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0051"/>
    <s v="יקיר הראל"/>
    <s v="יקיר"/>
    <s v="הראל"/>
    <s v="ז "/>
    <d v="1972-02-21T00:00:00"/>
    <n v="53"/>
    <x v="98"/>
    <x v="98"/>
    <s v="פתוח      "/>
    <s v="חבר"/>
    <s v="029353950"/>
    <s v="10051"/>
    <s v="יקיר הראל"/>
    <n v="2"/>
    <s v="1     "/>
    <x v="3"/>
    <d v="2003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0.61"/>
    <n v="0"/>
    <n v="41851.092937499998"/>
  </r>
  <r>
    <s v="10052"/>
    <s v="יקיר אורית"/>
    <s v="יקיר"/>
    <s v="אורית"/>
    <s v="נ "/>
    <d v="1976-05-12T00:00:00"/>
    <n v="49"/>
    <x v="98"/>
    <x v="98"/>
    <s v="פתוח      "/>
    <s v="חבר"/>
    <s v="038566394"/>
    <s v="10051"/>
    <s v="יקיר הראל"/>
    <n v="2"/>
    <s v="1     "/>
    <x v="3"/>
    <d v="2005-08-0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2.02"/>
    <n v="33060.486689999998"/>
    <n v="0"/>
  </r>
  <r>
    <s v="21134"/>
    <s v="שאול יערה"/>
    <s v="שאול"/>
    <s v="יערה"/>
    <s v="נ "/>
    <d v="2011-02-16T00:00:00"/>
    <n v="14"/>
    <x v="143"/>
    <x v="143"/>
    <s v="פתוח      "/>
    <s v="חבר"/>
    <s v="335841292"/>
    <s v="21131"/>
    <s v="שאול איתי בנימין"/>
    <n v="2"/>
    <s v="4     "/>
    <x v="8"/>
    <d v="2020-02-10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0061"/>
    <s v="יקיר עילי"/>
    <s v="יקיר"/>
    <s v="עילי"/>
    <s v="ז "/>
    <d v="2006-11-04T00:00:00"/>
    <n v="19"/>
    <x v="98"/>
    <x v="98"/>
    <s v="פתוח      "/>
    <s v="חבר"/>
    <s v="216468058"/>
    <s v="10051"/>
    <s v="יקיר הראל"/>
    <n v="2"/>
    <s v="31    "/>
    <x v="6"/>
    <d v="2025-07-01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21183"/>
    <s v="שבח יהב"/>
    <s v="שבח"/>
    <s v="יהב"/>
    <s v="ז "/>
    <d v="2011-07-31T00:00:00"/>
    <n v="14"/>
    <x v="163"/>
    <x v="163"/>
    <s v="פתוח      "/>
    <s v="חבר"/>
    <s v="335231163"/>
    <s v="21182"/>
    <s v="דורון )שבח( רותם"/>
    <n v="1"/>
    <s v="4     "/>
    <x v="8"/>
    <d v="2011-07-31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0081"/>
    <s v="יורקביץ בר יוחאי"/>
    <s v="יורקביץ"/>
    <s v="בר יוחאי"/>
    <s v="ז "/>
    <d v="1997-12-05T00:00:00"/>
    <n v="28"/>
    <x v="164"/>
    <x v="164"/>
    <s v="פתוח      "/>
    <s v="תושב לגביה"/>
    <s v="206883761"/>
    <s v="10081"/>
    <s v="יורקביץ בר יוחאי"/>
    <n v="0"/>
    <s v="6     "/>
    <x v="1"/>
    <d v="2021-04-29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0111"/>
    <s v="יוגב מינו"/>
    <s v="יוגב"/>
    <s v="מינו"/>
    <s v="ז "/>
    <d v="1970-02-26T00:00:00"/>
    <n v="55"/>
    <x v="165"/>
    <x v="165"/>
    <s v="פתוח      "/>
    <s v="חבר"/>
    <s v="024813180"/>
    <s v="10111"/>
    <s v="יוגב מינו"/>
    <n v="1"/>
    <s v="1     "/>
    <x v="3"/>
    <d v="2003-04-13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4.9"/>
    <n v="37384.474049999997"/>
    <n v="0"/>
  </r>
  <r>
    <s v="21196"/>
    <s v="שיין שקד שירה"/>
    <s v="שיין"/>
    <s v="שקד שירה"/>
    <s v="נ "/>
    <d v="2011-01-14T00:00:00"/>
    <n v="14"/>
    <x v="145"/>
    <x v="145"/>
    <s v="פתוח      "/>
    <s v="חבר"/>
    <s v="220412084"/>
    <s v="21191"/>
    <s v="שיין נפתלי"/>
    <n v="2"/>
    <s v="4     "/>
    <x v="8"/>
    <d v="2011-01-14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0131"/>
    <s v="יוגב רועי"/>
    <s v="יוגב"/>
    <s v="רועי"/>
    <s v="ז "/>
    <d v="2003-02-25T00:00:00"/>
    <n v="22"/>
    <x v="166"/>
    <x v="166"/>
    <s v="פתוח      "/>
    <s v="חבר"/>
    <s v="325184117"/>
    <s v="10131"/>
    <s v="יוגב רועי"/>
    <n v="0"/>
    <s v="36    "/>
    <x v="0"/>
    <d v="2025-04-15T00:00:00"/>
    <s v="רווק"/>
    <s v="--"/>
    <s v=""/>
    <n v="0"/>
    <n v="0"/>
    <n v="0"/>
    <n v="1"/>
    <b v="1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10141"/>
    <s v="יוגב אור"/>
    <s v="יוגב"/>
    <s v="אור"/>
    <s v="ז "/>
    <d v="2003-02-25T00:00:00"/>
    <n v="22"/>
    <x v="167"/>
    <x v="167"/>
    <s v="פתוח      "/>
    <s v="תושב לגביה"/>
    <s v="325184125"/>
    <s v="10141"/>
    <s v="יוגב אור"/>
    <n v="0"/>
    <s v="36    "/>
    <x v="0"/>
    <d v="2023-09-01T00:00:00"/>
    <s v="רווק"/>
    <s v="--"/>
    <s v=""/>
    <n v="0"/>
    <n v="0"/>
    <n v="0"/>
    <n v="1"/>
    <b v="1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11021"/>
    <s v="כפיר קלי"/>
    <s v="כפיר"/>
    <s v="קלי"/>
    <s v="ז "/>
    <d v="1946-10-04T00:00:00"/>
    <n v="79"/>
    <x v="168"/>
    <x v="168"/>
    <s v="פתוח      "/>
    <s v="חבר"/>
    <s v="075928754"/>
    <s v="11021"/>
    <s v="כפיר קלי"/>
    <n v="2"/>
    <s v="1     "/>
    <x v="3"/>
    <d v="1975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1.78"/>
    <n v="0"/>
    <n v="0"/>
  </r>
  <r>
    <s v="11022"/>
    <s v="כפיר יהודית"/>
    <s v="כפיר"/>
    <s v="יהודית"/>
    <s v="נ "/>
    <d v="1949-03-08T00:00:00"/>
    <n v="76"/>
    <x v="168"/>
    <x v="168"/>
    <s v="פתוח      "/>
    <s v="חבר"/>
    <s v="009366915"/>
    <s v="11021"/>
    <s v="כפיר קלי"/>
    <n v="2"/>
    <s v="1     "/>
    <x v="3"/>
    <d v="1972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4.25"/>
    <n v="0"/>
    <n v="0"/>
  </r>
  <r>
    <s v="11032"/>
    <s v="כלפה רותי"/>
    <s v="כלפה"/>
    <s v="רותי"/>
    <s v="נ "/>
    <d v="1945-12-17T00:00:00"/>
    <n v="80"/>
    <x v="169"/>
    <x v="169"/>
    <s v="פתוח      "/>
    <s v="חבר"/>
    <s v="012257473"/>
    <s v="911031"/>
    <s v="כלפה עמנואל ז&quot;ל )אורי("/>
    <n v="1"/>
    <s v="1     "/>
    <x v="3"/>
    <d v="1977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38.229999999999997"/>
    <n v="0"/>
    <n v="0"/>
  </r>
  <r>
    <s v="11041"/>
    <s v="כהן דוד"/>
    <s v="כהן"/>
    <s v="דוד"/>
    <s v="ז "/>
    <d v="1956-06-30T00:00:00"/>
    <n v="69"/>
    <x v="170"/>
    <x v="170"/>
    <s v="פתוח      "/>
    <s v="חבר"/>
    <s v="012204699"/>
    <s v="11041"/>
    <s v="כהן דוד"/>
    <n v="2"/>
    <s v="1     "/>
    <x v="3"/>
    <d v="1974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1042"/>
    <s v="כהן נחמי"/>
    <s v="כהן"/>
    <s v="נחמי"/>
    <s v="נ "/>
    <d v="1957-02-15T00:00:00"/>
    <n v="68"/>
    <x v="170"/>
    <x v="170"/>
    <s v="פתוח      "/>
    <s v="חבר"/>
    <s v="054719026"/>
    <s v="11041"/>
    <s v="כהן דוד"/>
    <n v="2"/>
    <s v="1     "/>
    <x v="3"/>
    <d v="1978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08"/>
    <n v="0"/>
    <n v="0"/>
  </r>
  <r>
    <s v="21224"/>
    <s v="שרעבי אחינעם טובה"/>
    <s v="שרעבי"/>
    <s v="אחינעם טובה"/>
    <s v="נ "/>
    <d v="2011-04-27T00:00:00"/>
    <n v="14"/>
    <x v="146"/>
    <x v="146"/>
    <s v="פתוח      "/>
    <s v="חבר"/>
    <s v="335215133"/>
    <s v="21221"/>
    <s v="שרעבי אביאל"/>
    <n v="2"/>
    <s v="4     "/>
    <x v="8"/>
    <d v="2012-07-18T00:00:00"/>
    <s v="רווק"/>
    <s v="חטיבה"/>
    <n v="18"/>
    <n v="0"/>
    <n v="0"/>
    <n v="0"/>
    <n v="1"/>
    <b v="0"/>
    <n v="0"/>
    <n v="0"/>
    <n v="0"/>
    <n v="0"/>
    <n v="27098.486666666668"/>
    <n v="10093.366666666665"/>
    <n v="2032"/>
    <n v="1960.5965217391306"/>
    <n v="2034"/>
    <n v="33333.333333333328"/>
    <n v="2032"/>
    <n v="0"/>
    <s v=""/>
    <n v="0"/>
    <n v="0"/>
  </r>
  <r>
    <s v="11071"/>
    <s v="כהן יונתן"/>
    <s v="כהן"/>
    <s v="יונתן"/>
    <s v="ז "/>
    <d v="1976-06-14T00:00:00"/>
    <n v="49"/>
    <x v="134"/>
    <x v="134"/>
    <s v="פתוח      "/>
    <s v="חבר"/>
    <s v="011815164"/>
    <s v="11071"/>
    <s v="כהן יונתן"/>
    <n v="2"/>
    <s v="1     "/>
    <x v="3"/>
    <d v="2020-08-0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73"/>
    <n v="20614.009184999999"/>
    <n v="0"/>
  </r>
  <r>
    <s v="11072"/>
    <s v="כהן טל"/>
    <s v="כהן"/>
    <s v="טל"/>
    <s v="נ "/>
    <d v="1981-12-02T00:00:00"/>
    <n v="44"/>
    <x v="134"/>
    <x v="134"/>
    <s v="פתוח      "/>
    <s v="חבר"/>
    <s v="052712833"/>
    <s v="11071"/>
    <s v="כהן יונתן"/>
    <n v="2"/>
    <s v="1     "/>
    <x v="3"/>
    <d v="2020-08-0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489999999999998"/>
    <n v="27760.599404999994"/>
    <n v="0"/>
  </r>
  <r>
    <s v="01304"/>
    <s v="אריאל עידו"/>
    <s v="אריאל"/>
    <s v="עידו"/>
    <s v="ז "/>
    <d v="2012-06-27T00:00:00"/>
    <n v="13"/>
    <x v="21"/>
    <x v="21"/>
    <s v="פתוח      "/>
    <s v="חבר"/>
    <s v="221030042"/>
    <s v="01301"/>
    <s v="אריאל יאיר"/>
    <n v="2"/>
    <s v="4     "/>
    <x v="8"/>
    <d v="2013-12-01T00:00:00"/>
    <s v="רווק"/>
    <s v="חטיבה"/>
    <n v="18"/>
    <n v="0"/>
    <n v="0"/>
    <n v="0"/>
    <n v="1"/>
    <b v="0"/>
    <n v="7053.99"/>
    <n v="2025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01343"/>
    <s v="אלדד טליה            אידה"/>
    <s v="אלדד"/>
    <s v="טליה            אידה"/>
    <s v="נ "/>
    <d v="2012-04-09T00:00:00"/>
    <n v="13"/>
    <x v="26"/>
    <x v="26"/>
    <s v="פתוח      "/>
    <s v="חבר"/>
    <s v="336845698"/>
    <s v="01341"/>
    <s v="אלדד שלמה פינחס"/>
    <n v="2"/>
    <s v="4     "/>
    <x v="8"/>
    <d v="2018-02-01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02265"/>
    <s v="בר נטף"/>
    <s v="בר"/>
    <s v="נטף"/>
    <s v="נ "/>
    <d v="2012-02-18T00:00:00"/>
    <n v="13"/>
    <x v="57"/>
    <x v="57"/>
    <s v="פתוח      "/>
    <s v="חבר"/>
    <s v="221007834"/>
    <s v="02261"/>
    <s v="בר מאור"/>
    <n v="2"/>
    <s v="4     "/>
    <x v="8"/>
    <d v="2012-02-18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02494"/>
    <s v="ביטון גפן"/>
    <s v="ביטון"/>
    <s v="גפן"/>
    <s v="נ "/>
    <d v="2012-07-13T00:00:00"/>
    <n v="13"/>
    <x v="66"/>
    <x v="66"/>
    <s v="פתוח      "/>
    <s v="חבר"/>
    <s v="221227770"/>
    <s v="02492"/>
    <s v="עבדיה )ביטון( לוטם"/>
    <n v="1"/>
    <s v="4     "/>
    <x v="8"/>
    <d v="2012-07-13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03124"/>
    <s v="כרמל אשחר"/>
    <s v="כרמל"/>
    <s v="אשחר"/>
    <s v="ז "/>
    <d v="2012-09-18T00:00:00"/>
    <n v="13"/>
    <x v="96"/>
    <x v="96"/>
    <s v="פתוח      "/>
    <s v="חבר"/>
    <s v="221065923"/>
    <s v="03121"/>
    <s v="כרמל איתמר"/>
    <n v="2"/>
    <s v="4     "/>
    <x v="8"/>
    <d v="2015-04-01T00:00:00"/>
    <s v="רווק"/>
    <s v="חטיבה"/>
    <n v="18"/>
    <n v="0"/>
    <n v="0"/>
    <n v="0"/>
    <n v="1"/>
    <b v="0"/>
    <n v="7053.99"/>
    <n v="2025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11091"/>
    <s v="כהן אלדד"/>
    <s v="כהן"/>
    <s v="אלדד"/>
    <s v="ז "/>
    <d v="1995-08-15T00:00:00"/>
    <n v="30"/>
    <x v="171"/>
    <x v="171"/>
    <s v="פתוח      "/>
    <s v="תושב לגביה"/>
    <s v="316428556"/>
    <s v="11091"/>
    <s v="כהן אלדד"/>
    <n v="0"/>
    <s v="6     "/>
    <x v="1"/>
    <d v="2023-08-2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1092"/>
    <s v="כהן הודיה"/>
    <s v="כהן"/>
    <s v="הודיה"/>
    <s v="נ "/>
    <d v="1995-04-17T00:00:00"/>
    <n v="30"/>
    <x v="171"/>
    <x v="171"/>
    <s v="פתוח      "/>
    <s v="תושב לגביה"/>
    <s v="316462100"/>
    <s v="11091"/>
    <s v="כהן אלדד"/>
    <n v="0"/>
    <s v="6     "/>
    <x v="1"/>
    <d v="2025-04-17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1093"/>
    <s v="כהן שקד"/>
    <s v="כהן"/>
    <s v="שקד"/>
    <s v="ז "/>
    <d v="2022-01-09T00:00:00"/>
    <n v="3"/>
    <x v="171"/>
    <x v="171"/>
    <s v="פתוח      "/>
    <s v="תושב לגביה"/>
    <s v="236874277"/>
    <s v="11091"/>
    <s v="כהן אלדד"/>
    <n v="0"/>
    <s v="17    "/>
    <x v="2"/>
    <d v="2023-08-21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1094"/>
    <s v="כהן הדר אור"/>
    <s v="כהן"/>
    <s v="הדר אור"/>
    <s v="ז "/>
    <d v="2023-09-27T00:00:00"/>
    <n v="2"/>
    <x v="171"/>
    <x v="171"/>
    <s v="פתוח      "/>
    <s v="תושב לגביה"/>
    <s v="238714042"/>
    <s v="11091"/>
    <s v="כהן אלדד"/>
    <n v="0"/>
    <s v="17    "/>
    <x v="2"/>
    <d v="2023-09-27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173"/>
    <s v="גורי אילה"/>
    <s v="גורי"/>
    <s v="אילה"/>
    <s v="נ "/>
    <d v="2012-10-07T00:00:00"/>
    <n v="13"/>
    <x v="103"/>
    <x v="103"/>
    <s v="פתוח      "/>
    <s v="חבר"/>
    <s v="221164577"/>
    <s v="03171"/>
    <s v="גורי יעקב"/>
    <n v="2"/>
    <s v="4     "/>
    <x v="8"/>
    <d v="2018-11-01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11121"/>
    <s v="כהן בעז עוזר"/>
    <s v="כהן"/>
    <s v="בעז עוזר"/>
    <s v="ז "/>
    <d v="1972-09-21T00:00:00"/>
    <n v="53"/>
    <x v="149"/>
    <x v="149"/>
    <s v="פתוח      "/>
    <s v="חבר"/>
    <s v="029538972"/>
    <s v="11121"/>
    <s v="כהן בעז עוזר"/>
    <n v="2"/>
    <s v="1     "/>
    <x v="3"/>
    <d v="2007-01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1"/>
    <n v="31679.212950000001"/>
    <n v="0"/>
  </r>
  <r>
    <s v="11122"/>
    <s v="כהן תמר"/>
    <s v="כהן"/>
    <s v="תמר"/>
    <s v="נ "/>
    <d v="1974-11-12T00:00:00"/>
    <n v="51"/>
    <x v="149"/>
    <x v="149"/>
    <s v="פתוח      "/>
    <s v="חבר"/>
    <s v="027381722"/>
    <s v="11121"/>
    <s v="כהן בעז עוזר"/>
    <n v="2"/>
    <s v="1     "/>
    <x v="3"/>
    <d v="2007-01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1"/>
    <n v="31679.212950000001"/>
    <n v="0"/>
  </r>
  <r>
    <s v="07053"/>
    <s v="זיו עדי אמונה"/>
    <s v="זיו"/>
    <s v="עדי אמונה"/>
    <s v="נ "/>
    <d v="2012-07-14T00:00:00"/>
    <n v="13"/>
    <x v="151"/>
    <x v="151"/>
    <s v="פתוח      "/>
    <s v="חבר"/>
    <s v="221404932"/>
    <s v="07051"/>
    <s v="זיו עמית"/>
    <n v="2"/>
    <s v="4     "/>
    <x v="8"/>
    <d v="2017-09-01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11131"/>
    <s v="כהן הראל עוזיה"/>
    <s v="כהן"/>
    <s v="הראל עוזיה"/>
    <s v="ז "/>
    <d v="2001-04-26T00:00:00"/>
    <n v="24"/>
    <x v="172"/>
    <x v="172"/>
    <s v="פתוח      "/>
    <s v="תושב לגביה"/>
    <s v="212156244"/>
    <s v="11131"/>
    <s v="כהן הראל עוזיה"/>
    <n v="0"/>
    <s v="36    "/>
    <x v="0"/>
    <d v="2023-11-21T00:00:00"/>
    <s v="רווק"/>
    <s v="--"/>
    <s v=""/>
    <n v="0"/>
    <n v="0"/>
    <n v="0"/>
    <n v="1"/>
    <b v="1"/>
    <n v="0"/>
    <n v="0"/>
    <n v="0"/>
    <n v="0"/>
    <n v="46454.548571428575"/>
    <n v="17302.914285714283"/>
    <n v="2025"/>
    <n v="0"/>
    <n v="0"/>
    <n v="0"/>
    <n v="0"/>
    <n v="0"/>
    <s v=""/>
    <n v="0"/>
    <n v="0"/>
  </r>
  <r>
    <s v="11152"/>
    <s v="פלג רוני"/>
    <s v="פלג"/>
    <s v="רוני"/>
    <s v="נ "/>
    <d v="2002-07-17T00:00:00"/>
    <n v="23"/>
    <x v="173"/>
    <x v="173"/>
    <s v="פתוח      "/>
    <s v="תושב לגביה"/>
    <s v="213111693"/>
    <s v="11151"/>
    <s v="פלג יואב"/>
    <n v="0"/>
    <s v="36    "/>
    <x v="0"/>
    <d v="2024-01-01T00:00:00"/>
    <s v="נשוי"/>
    <s v="--"/>
    <s v=""/>
    <n v="0"/>
    <n v="0"/>
    <n v="0"/>
    <n v="1"/>
    <b v="1"/>
    <n v="0"/>
    <n v="0"/>
    <n v="0"/>
    <n v="0"/>
    <n v="0"/>
    <n v="0"/>
    <n v="0"/>
    <n v="3220.98"/>
    <n v="2025"/>
    <n v="0"/>
    <n v="0"/>
    <n v="0"/>
    <s v=""/>
    <n v="0"/>
    <n v="0"/>
  </r>
  <r>
    <s v="11162"/>
    <s v="כהן חושן"/>
    <s v="כהן"/>
    <s v="חושן"/>
    <s v="נ "/>
    <d v="2007-05-26T00:00:00"/>
    <n v="18"/>
    <x v="150"/>
    <x v="150"/>
    <s v="פתוח      "/>
    <s v="חבר"/>
    <s v="330677279"/>
    <s v="11191"/>
    <s v="כהן שרון"/>
    <n v="2"/>
    <s v="31    "/>
    <x v="6"/>
    <d v="2025-07-01T00:00:00"/>
    <s v="רווק"/>
    <s v="--"/>
    <s v="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11191"/>
    <s v="כהן שרון"/>
    <s v="כהן"/>
    <s v="שרון"/>
    <s v="ז "/>
    <d v="1971-08-15T00:00:00"/>
    <n v="54"/>
    <x v="150"/>
    <x v="150"/>
    <s v="פתוח      "/>
    <s v="חבר"/>
    <s v="028811305"/>
    <s v="11191"/>
    <s v="כהן שרון"/>
    <n v="2"/>
    <s v="1     "/>
    <x v="3"/>
    <d v="2007-08-2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0.010000000000002"/>
    <n v="30042.703845"/>
    <n v="0"/>
  </r>
  <r>
    <s v="11192"/>
    <s v="כהן שמחה"/>
    <s v="כהן"/>
    <s v="שמחה"/>
    <s v="נ "/>
    <d v="1970-03-12T00:00:00"/>
    <n v="55"/>
    <x v="150"/>
    <x v="150"/>
    <s v="פתוח      "/>
    <s v="חבר"/>
    <s v="024177933"/>
    <s v="11191"/>
    <s v="כהן שרון"/>
    <n v="2"/>
    <s v="1     "/>
    <x v="3"/>
    <d v="2001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3.57"/>
    <n v="0"/>
    <n v="49786.982437500003"/>
  </r>
  <r>
    <s v="11075"/>
    <s v="כהן נעם"/>
    <s v="כהן"/>
    <s v="נעם"/>
    <s v="ז "/>
    <d v="2012-09-23T00:00:00"/>
    <n v="13"/>
    <x v="134"/>
    <x v="134"/>
    <s v="פתוח      "/>
    <s v="חבר"/>
    <s v="221159619"/>
    <s v="11071"/>
    <s v="כהן יונתן"/>
    <n v="2"/>
    <s v="4     "/>
    <x v="8"/>
    <d v="2020-08-04T00:00:00"/>
    <s v="רווק"/>
    <s v="חטיבה"/>
    <n v="18"/>
    <n v="0"/>
    <n v="0"/>
    <n v="0"/>
    <n v="1"/>
    <b v="0"/>
    <n v="7053.99"/>
    <n v="2025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11201"/>
    <s v="כהן נהוראי"/>
    <s v="כהן"/>
    <s v="נהוראי"/>
    <s v="ז "/>
    <d v="2006-01-29T00:00:00"/>
    <n v="19"/>
    <x v="150"/>
    <x v="150"/>
    <s v="פתוח      "/>
    <s v="חבר"/>
    <s v="215895095"/>
    <s v="11191"/>
    <s v="כהן שרון"/>
    <n v="2"/>
    <s v="18    "/>
    <x v="13"/>
    <d v="2024-09-04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12022"/>
    <s v="לבבי נטע"/>
    <s v="לבבי"/>
    <s v="נטע"/>
    <s v="נ "/>
    <d v="2004-09-22T00:00:00"/>
    <n v="21"/>
    <x v="174"/>
    <x v="174"/>
    <s v="פתוח      "/>
    <s v="חבר"/>
    <s v="327506119"/>
    <s v="12022"/>
    <s v="לבבי נטע"/>
    <n v="0"/>
    <s v="36    "/>
    <x v="0"/>
    <d v="2024-09-01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12032"/>
    <s v="לבנה מרים"/>
    <s v="לבנה"/>
    <s v="מרים"/>
    <s v="נ "/>
    <d v="1928-01-28T00:00:00"/>
    <n v="97"/>
    <x v="175"/>
    <x v="175"/>
    <s v="פתוח      "/>
    <s v="חבר"/>
    <s v="004594073"/>
    <s v="12032"/>
    <s v="לבנה מרים"/>
    <n v="1"/>
    <s v="1     "/>
    <x v="3"/>
    <d v="1928-01-28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041"/>
    <s v="לבבי הלל"/>
    <s v="לבבי"/>
    <s v="הלל"/>
    <s v="ז "/>
    <d v="2000-04-10T00:00:00"/>
    <n v="25"/>
    <x v="176"/>
    <x v="176"/>
    <s v="פתוח      "/>
    <s v="תושב לגביה"/>
    <s v="208052449"/>
    <s v="12041"/>
    <s v="לבבי הלל"/>
    <n v="0"/>
    <s v="236   "/>
    <x v="7"/>
    <d v="2024-12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2051"/>
    <s v="לבבי אליהו"/>
    <s v="לבבי"/>
    <s v="אליהו"/>
    <s v="ז "/>
    <d v="1950-01-22T00:00:00"/>
    <n v="75"/>
    <x v="177"/>
    <x v="177"/>
    <s v="פתוח      "/>
    <s v="חבר"/>
    <s v="030266514"/>
    <s v="12051"/>
    <s v="לבבי אליהו"/>
    <n v="2"/>
    <s v="1     "/>
    <x v="3"/>
    <d v="1968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052"/>
    <s v="לבבי נעמי"/>
    <s v="לבבי"/>
    <s v="נעמי"/>
    <s v="נ "/>
    <d v="1952-03-10T00:00:00"/>
    <n v="73"/>
    <x v="177"/>
    <x v="177"/>
    <s v="פתוח      "/>
    <s v="חבר"/>
    <s v="051337020"/>
    <s v="12051"/>
    <s v="לבבי אליהו"/>
    <n v="2"/>
    <s v="1     "/>
    <x v="3"/>
    <d v="197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071"/>
    <s v="לבבי צבי"/>
    <s v="לבבי"/>
    <s v="צבי"/>
    <s v="ז "/>
    <d v="1951-05-19T00:00:00"/>
    <n v="74"/>
    <x v="178"/>
    <x v="178"/>
    <s v="פתוח      "/>
    <s v="חבר"/>
    <s v="050745538"/>
    <s v="12071"/>
    <s v="לבבי צבי"/>
    <n v="2"/>
    <s v="1     "/>
    <x v="3"/>
    <d v="1969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072"/>
    <s v="לבבי חנה"/>
    <s v="לבבי"/>
    <s v="חנה"/>
    <s v="נ "/>
    <d v="1954-07-07T00:00:00"/>
    <n v="71"/>
    <x v="178"/>
    <x v="178"/>
    <s v="פתוח      "/>
    <s v="חבר"/>
    <s v="052271863"/>
    <s v="12071"/>
    <s v="לבבי צבי"/>
    <n v="2"/>
    <s v="1     "/>
    <x v="3"/>
    <d v="1972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081"/>
    <s v="לאופר שמעון"/>
    <s v="לאופר"/>
    <s v="שמעון"/>
    <s v="ז "/>
    <d v="1950-06-23T00:00:00"/>
    <n v="75"/>
    <x v="179"/>
    <x v="179"/>
    <s v="פתוח      "/>
    <s v="חבר"/>
    <s v="050146919"/>
    <s v="12081"/>
    <s v="לאופר שמעון"/>
    <n v="2"/>
    <s v="1     "/>
    <x v="3"/>
    <d v="1969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082"/>
    <s v="לאופר תמר"/>
    <s v="לאופר"/>
    <s v="תמר"/>
    <s v="נ "/>
    <d v="1952-05-23T00:00:00"/>
    <n v="73"/>
    <x v="179"/>
    <x v="179"/>
    <s v="פתוח      "/>
    <s v="חבר"/>
    <s v="051536530"/>
    <s v="12081"/>
    <s v="לאופר שמעון"/>
    <n v="2"/>
    <s v="1     "/>
    <x v="3"/>
    <d v="1976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9"/>
    <n v="0"/>
    <n v="0"/>
  </r>
  <r>
    <s v="12091"/>
    <s v="ליבוביץ משה"/>
    <s v="ליבוביץ"/>
    <s v="משה"/>
    <s v="ז "/>
    <d v="1952-01-17T00:00:00"/>
    <n v="73"/>
    <x v="180"/>
    <x v="180"/>
    <s v="פתוח      "/>
    <s v="חבר"/>
    <s v="011198660"/>
    <s v="12091"/>
    <s v="ליבוביץ משה"/>
    <n v="2"/>
    <s v="1     "/>
    <x v="3"/>
    <d v="2002-06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2.82"/>
    <n v="0"/>
    <n v="0"/>
  </r>
  <r>
    <s v="12092"/>
    <s v="ליבוביץ שורי"/>
    <s v="ליבוביץ"/>
    <s v="שורי"/>
    <s v="נ "/>
    <d v="1956-02-25T00:00:00"/>
    <n v="69"/>
    <x v="180"/>
    <x v="180"/>
    <s v="פתוח      "/>
    <s v="חבר"/>
    <s v="011198678"/>
    <s v="12091"/>
    <s v="ליבוביץ משה"/>
    <n v="2"/>
    <s v="1     "/>
    <x v="3"/>
    <d v="1996-09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6.44"/>
    <n v="0"/>
    <n v="0"/>
  </r>
  <r>
    <s v="12101"/>
    <s v="ליקוב חיים"/>
    <s v="ליקוב"/>
    <s v="חיים"/>
    <s v="ז "/>
    <d v="1940-12-24T00:00:00"/>
    <n v="85"/>
    <x v="181"/>
    <x v="181"/>
    <s v="פתוח      "/>
    <s v="חבר"/>
    <s v="067470831"/>
    <s v="12101"/>
    <s v="ליקוב חיים"/>
    <n v="2"/>
    <s v="1     "/>
    <x v="3"/>
    <d v="1965-12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5.5"/>
    <n v="0"/>
    <n v="0"/>
  </r>
  <r>
    <s v="12102"/>
    <s v="ליקוב לאה"/>
    <s v="ליקוב"/>
    <s v="לאה"/>
    <s v="נ "/>
    <d v="1942-12-10T00:00:00"/>
    <n v="83"/>
    <x v="181"/>
    <x v="181"/>
    <s v="פתוח      "/>
    <s v="חבר"/>
    <s v="069520112"/>
    <s v="12101"/>
    <s v="ליקוב חיים"/>
    <n v="2"/>
    <s v="1     "/>
    <x v="3"/>
    <d v="1965-12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7.47"/>
    <n v="0"/>
    <n v="0"/>
  </r>
  <r>
    <s v="12112"/>
    <s v="לזר מרים"/>
    <s v="לזר"/>
    <s v="מרים"/>
    <s v="נ "/>
    <d v="1930-09-08T00:00:00"/>
    <n v="95"/>
    <x v="182"/>
    <x v="182"/>
    <s v="פתוח      "/>
    <s v="חבר"/>
    <s v="064220973"/>
    <s v="12112"/>
    <s v="לזר מרים"/>
    <n v="1"/>
    <s v="1     "/>
    <x v="3"/>
    <d v="1966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34.229999999999997"/>
    <n v="0"/>
    <n v="0"/>
  </r>
  <r>
    <s v="12121"/>
    <s v="לבבי מתנאל"/>
    <s v="לבבי"/>
    <s v="מתנאל"/>
    <s v="ז "/>
    <d v="1999-01-15T00:00:00"/>
    <n v="26"/>
    <x v="183"/>
    <x v="183"/>
    <s v="פתוח      "/>
    <s v="תושב לגביה"/>
    <s v="208259838"/>
    <s v="12121"/>
    <s v="לבבי מתנאל"/>
    <n v="0"/>
    <s v="235   "/>
    <x v="14"/>
    <d v="2025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2131"/>
    <s v="הורן יהודה  שלום"/>
    <s v="הורן"/>
    <s v="יהודה  שלום"/>
    <s v="ז "/>
    <d v="1986-12-22T00:00:00"/>
    <n v="39"/>
    <x v="184"/>
    <x v="184"/>
    <s v="פתוח      "/>
    <s v="חבר"/>
    <s v="300349404"/>
    <s v="12131"/>
    <s v="הורן יהודה  שלום"/>
    <n v="2"/>
    <s v="1     "/>
    <x v="3"/>
    <d v="2018-07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9.17"/>
    <n v="13767.695865"/>
    <n v="0"/>
  </r>
  <r>
    <s v="12132"/>
    <s v="הורן יעל"/>
    <s v="הורן"/>
    <s v="יעל"/>
    <s v="נ "/>
    <d v="1986-06-27T00:00:00"/>
    <n v="39"/>
    <x v="184"/>
    <x v="184"/>
    <s v="פתוח      "/>
    <s v="חבר"/>
    <s v="032507634"/>
    <s v="12131"/>
    <s v="הורן יהודה  שלום"/>
    <n v="2"/>
    <s v="1     "/>
    <x v="3"/>
    <d v="2018-07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9.17"/>
    <n v="13767.695865"/>
    <n v="0"/>
  </r>
  <r>
    <s v="12188"/>
    <s v="לזר עמית"/>
    <s v="לזר"/>
    <s v="עמית"/>
    <s v="נ "/>
    <d v="2012-01-09T00:00:00"/>
    <n v="13"/>
    <x v="152"/>
    <x v="152"/>
    <s v="פתוח      "/>
    <s v="חבר"/>
    <s v="221011901"/>
    <s v="12181"/>
    <s v="לזר מיכאל"/>
    <n v="2"/>
    <s v="4     "/>
    <x v="8"/>
    <d v="2012-01-09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12197"/>
    <s v="לבבי מורן"/>
    <s v="לבבי"/>
    <s v="מורן"/>
    <s v="נ "/>
    <d v="2012-12-06T00:00:00"/>
    <n v="13"/>
    <x v="124"/>
    <x v="124"/>
    <s v="פתוח      "/>
    <s v="חבר"/>
    <s v="221602287"/>
    <s v="12191"/>
    <s v="לבבי נחומי"/>
    <n v="2"/>
    <s v="4     "/>
    <x v="8"/>
    <d v="2012-12-06T00:00:00"/>
    <s v="רווק"/>
    <s v="חטיבה"/>
    <n v="18"/>
    <n v="0"/>
    <n v="0"/>
    <n v="0"/>
    <n v="1"/>
    <b v="0"/>
    <n v="0"/>
    <n v="0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20305"/>
    <s v="ראבינסאן אריאל"/>
    <s v="ראבינסאן"/>
    <s v="אריאל"/>
    <s v="ז "/>
    <d v="2012-03-23T00:00:00"/>
    <n v="13"/>
    <x v="130"/>
    <x v="130"/>
    <s v="פתוח      "/>
    <s v="חבר"/>
    <s v="335429627"/>
    <s v="20301"/>
    <s v="ראבינסאן דגן"/>
    <n v="2"/>
    <s v="4     "/>
    <x v="8"/>
    <d v="2012-03-23T00:00:00"/>
    <s v="רווק"/>
    <s v="חטיבה"/>
    <n v="18"/>
    <n v="0"/>
    <n v="0"/>
    <n v="0"/>
    <n v="1"/>
    <b v="0"/>
    <n v="7053.99"/>
    <n v="2025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21155"/>
    <s v="שוורץ אביב"/>
    <s v="שוורץ"/>
    <s v="אביב"/>
    <s v="ז "/>
    <d v="2012-03-23T00:00:00"/>
    <n v="13"/>
    <x v="144"/>
    <x v="144"/>
    <s v="פתוח      "/>
    <s v="חבר"/>
    <s v="335513461"/>
    <s v="21151"/>
    <s v="שוורץ רוני"/>
    <n v="2"/>
    <s v="4     "/>
    <x v="8"/>
    <d v="2013-01-01T00:00:00"/>
    <s v="רווק"/>
    <s v="חטיבה"/>
    <n v="18"/>
    <n v="0"/>
    <n v="0"/>
    <n v="0"/>
    <n v="1"/>
    <b v="0"/>
    <n v="7053.99"/>
    <n v="2025"/>
    <n v="0"/>
    <n v="0"/>
    <n v="25162.880476190479"/>
    <n v="9372.4119047619042"/>
    <n v="2033"/>
    <n v="1820.5539130434781"/>
    <n v="2035"/>
    <n v="30952.380952380954"/>
    <n v="2033"/>
    <n v="0"/>
    <s v=""/>
    <n v="0"/>
    <n v="0"/>
  </r>
  <r>
    <s v="01233"/>
    <s v="אונגר שילה"/>
    <s v="אונגר"/>
    <s v="שילה"/>
    <s v="ז "/>
    <d v="2013-06-27T00:00:00"/>
    <n v="12"/>
    <x v="40"/>
    <x v="40"/>
    <s v="פתוח      "/>
    <s v="חבר"/>
    <s v="222126013"/>
    <s v="01482"/>
    <s v="המר-שושן אדוה"/>
    <n v="1"/>
    <s v="4     "/>
    <x v="8"/>
    <d v="2013-06-27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12141"/>
    <s v="ליפטשר אבינועם"/>
    <s v="ליפטשר"/>
    <s v="אבינועם"/>
    <s v="ז "/>
    <d v="1955-10-22T00:00:00"/>
    <n v="70"/>
    <x v="123"/>
    <x v="123"/>
    <s v="פתוח      "/>
    <s v="חבר"/>
    <s v="053945812"/>
    <s v="12141"/>
    <s v="ליפטשר אבינועם"/>
    <n v="2"/>
    <s v="1     "/>
    <x v="3"/>
    <d v="1973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142"/>
    <s v="ליפטשר עפרה"/>
    <s v="ליפטשר"/>
    <s v="עפרה"/>
    <s v="נ "/>
    <d v="1962-04-03T00:00:00"/>
    <n v="63"/>
    <x v="123"/>
    <x v="123"/>
    <s v="פתוח      "/>
    <s v="חבר"/>
    <s v="057455545"/>
    <s v="12141"/>
    <s v="ליפטשר אבינועם"/>
    <n v="2"/>
    <s v="1     "/>
    <x v="3"/>
    <d v="1999-10-08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4.78"/>
    <n v="0"/>
    <n v="79841.482875000002"/>
  </r>
  <r>
    <s v="01443"/>
    <s v="אריה הדר"/>
    <s v="אריה"/>
    <s v="הדר"/>
    <s v="נ "/>
    <d v="2013-11-05T00:00:00"/>
    <n v="12"/>
    <x v="33"/>
    <x v="33"/>
    <s v="פתוח      "/>
    <s v="חבר"/>
    <s v="338915960"/>
    <s v="01441"/>
    <s v="אריה צוריאל"/>
    <n v="2"/>
    <s v="4     "/>
    <x v="8"/>
    <d v="2016-11-01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02273"/>
    <s v="ברודי עילאי דוד"/>
    <s v="ברודי"/>
    <s v="עילאי דוד"/>
    <s v="ז "/>
    <d v="2013-10-06T00:00:00"/>
    <n v="12"/>
    <x v="60"/>
    <x v="60"/>
    <s v="פתוח      "/>
    <s v="חבר"/>
    <s v="222128688"/>
    <s v="02271"/>
    <s v="ברודי עודד"/>
    <n v="2"/>
    <s v="4     "/>
    <x v="8"/>
    <d v="2013-10-06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03065"/>
    <s v="גוזלנד כרמל       הודיה"/>
    <s v="גוזלנד"/>
    <s v="כרמל       הודיה"/>
    <s v="נ "/>
    <d v="2013-01-16T00:00:00"/>
    <n v="12"/>
    <x v="84"/>
    <x v="84"/>
    <s v="פתוח      "/>
    <s v="חבר"/>
    <s v="338546641"/>
    <s v="03061"/>
    <s v="גוזלנד שמעון"/>
    <n v="2"/>
    <s v="4     "/>
    <x v="8"/>
    <d v="2013-01-16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151"/>
    <s v="לאונגר משה"/>
    <s v="לאונגר"/>
    <s v="משה"/>
    <s v="ז "/>
    <d v="1952-05-05T00:00:00"/>
    <n v="73"/>
    <x v="185"/>
    <x v="185"/>
    <s v="פתוח      "/>
    <s v="חבר"/>
    <s v="015114440"/>
    <s v="12151"/>
    <s v="לאונגר משה"/>
    <n v="2"/>
    <s v="1     "/>
    <x v="3"/>
    <d v="1974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152"/>
    <s v="לאונגר דבורה"/>
    <s v="לאונגר"/>
    <s v="דבורה"/>
    <s v="נ "/>
    <d v="1952-10-05T00:00:00"/>
    <n v="73"/>
    <x v="185"/>
    <x v="185"/>
    <s v="פתוח      "/>
    <s v="חבר"/>
    <s v="051357317"/>
    <s v="12151"/>
    <s v="לאונגר משה"/>
    <n v="2"/>
    <s v="1     "/>
    <x v="3"/>
    <d v="197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161"/>
    <s v="ליפטשר דוד"/>
    <s v="ליפטשר"/>
    <s v="דוד"/>
    <s v="ז "/>
    <d v="1952-05-22T00:00:00"/>
    <n v="73"/>
    <x v="186"/>
    <x v="186"/>
    <s v="פתוח      "/>
    <s v="חבר"/>
    <s v="051536407"/>
    <s v="12161"/>
    <s v="ליפטשר דוד"/>
    <n v="2"/>
    <s v="1     "/>
    <x v="3"/>
    <d v="197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162"/>
    <s v="ליפטשר אלישבע"/>
    <s v="ליפטשר"/>
    <s v="אלישבע"/>
    <s v="נ "/>
    <d v="1952-01-16T00:00:00"/>
    <n v="73"/>
    <x v="186"/>
    <x v="186"/>
    <s v="פתוח      "/>
    <s v="חבר"/>
    <s v="051330140"/>
    <s v="12161"/>
    <s v="ליפטשר דוד"/>
    <n v="2"/>
    <s v="1     "/>
    <x v="3"/>
    <d v="1970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2181"/>
    <s v="לזר מיכאל"/>
    <s v="לזר"/>
    <s v="מיכאל"/>
    <s v="ז "/>
    <d v="1962-12-30T00:00:00"/>
    <n v="63"/>
    <x v="152"/>
    <x v="152"/>
    <s v="פתוח      "/>
    <s v="חבר"/>
    <s v="057882516"/>
    <s v="12181"/>
    <s v="לזר מיכאל"/>
    <n v="2"/>
    <s v="1     "/>
    <x v="3"/>
    <d v="1997-08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4.61"/>
    <n v="0"/>
    <n v="79385.705437500001"/>
  </r>
  <r>
    <s v="12182"/>
    <s v="רימון לזר רבקה"/>
    <s v="רימון לזר"/>
    <s v="רבקה"/>
    <s v="נ "/>
    <d v="1978-11-14T00:00:00"/>
    <n v="47"/>
    <x v="152"/>
    <x v="152"/>
    <s v="פתוח      "/>
    <s v="חבר"/>
    <s v="034923409"/>
    <s v="12181"/>
    <s v="לזר מיכאל"/>
    <n v="2"/>
    <s v="1     "/>
    <x v="3"/>
    <d v="2007-06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2.06"/>
    <n v="33120.542069999996"/>
    <n v="0"/>
  </r>
  <r>
    <s v="05105"/>
    <s v="הולצר שיר    אביה"/>
    <s v="הולצר"/>
    <s v="שיר    אביה"/>
    <s v="נ "/>
    <d v="2013-01-14T00:00:00"/>
    <n v="12"/>
    <x v="97"/>
    <x v="97"/>
    <s v="פתוח      "/>
    <s v="חבר"/>
    <s v="222145013"/>
    <s v="05101"/>
    <s v="הולצר מרדכי"/>
    <n v="2"/>
    <s v="4     "/>
    <x v="8"/>
    <d v="2013-01-14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05233"/>
    <s v="הבר מיה  מלכה"/>
    <s v="הבר"/>
    <s v="מיה  מלכה"/>
    <s v="נ "/>
    <d v="2013-12-25T00:00:00"/>
    <n v="12"/>
    <x v="131"/>
    <x v="131"/>
    <s v="פתוח      "/>
    <s v="חבר"/>
    <s v="221867401"/>
    <s v="05231"/>
    <s v="הבר נועם  אהרון"/>
    <n v="2"/>
    <s v="4     "/>
    <x v="8"/>
    <d v="2024-09-01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06136"/>
    <s v="ויסטוך רוני    מזל"/>
    <s v="ויסטוך"/>
    <s v="רוני    מזל"/>
    <s v="נ "/>
    <d v="2013-08-02T00:00:00"/>
    <n v="12"/>
    <x v="106"/>
    <x v="106"/>
    <s v="פתוח      "/>
    <s v="חבר"/>
    <s v="338626211"/>
    <s v="06131"/>
    <s v="ויסטוך משה"/>
    <n v="2"/>
    <s v="4     "/>
    <x v="8"/>
    <d v="2013-08-02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191"/>
    <s v="לבבי נחומי"/>
    <s v="לבבי"/>
    <s v="נחומי"/>
    <s v="ז "/>
    <d v="1974-04-13T00:00:00"/>
    <n v="51"/>
    <x v="124"/>
    <x v="124"/>
    <s v="פתוח      "/>
    <s v="חבר"/>
    <s v="027212364"/>
    <s v="12191"/>
    <s v="לבבי נחומי"/>
    <n v="2"/>
    <s v="1     "/>
    <x v="3"/>
    <d v="2006-10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2.94"/>
    <n v="34441.760430000002"/>
    <n v="0"/>
  </r>
  <r>
    <s v="12192"/>
    <s v="לבבי שני"/>
    <s v="לבבי"/>
    <s v="שני"/>
    <s v="נ "/>
    <d v="1978-05-30T00:00:00"/>
    <n v="47"/>
    <x v="124"/>
    <x v="124"/>
    <s v="פתוח      "/>
    <s v="חבר"/>
    <s v="032872160"/>
    <s v="12191"/>
    <s v="לבבי נחומי"/>
    <n v="2"/>
    <s v="1     "/>
    <x v="3"/>
    <d v="2006-10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0.93"/>
    <n v="31423.977584999993"/>
    <n v="0"/>
  </r>
  <r>
    <s v="070110"/>
    <s v="זיסק טוהר"/>
    <s v="זיסק"/>
    <s v="טוהר"/>
    <s v="ז "/>
    <d v="2013-02-04T00:00:00"/>
    <n v="12"/>
    <x v="132"/>
    <x v="132"/>
    <s v="פתוח      "/>
    <s v="חבר"/>
    <s v="338510456"/>
    <s v="07011"/>
    <s v="זיסק ישראל"/>
    <n v="2"/>
    <s v="4     "/>
    <x v="8"/>
    <d v="2013-02-04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08057"/>
    <s v="חורש נוה טוב"/>
    <s v="חורש"/>
    <s v="נוה טוב"/>
    <s v="ז "/>
    <d v="2013-05-09T00:00:00"/>
    <n v="12"/>
    <x v="100"/>
    <x v="100"/>
    <s v="פתוח      "/>
    <s v="חבר"/>
    <s v="221719149"/>
    <s v="08051"/>
    <s v="חורש עופר"/>
    <n v="2"/>
    <s v="4     "/>
    <x v="8"/>
    <d v="2013-05-09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12133"/>
    <s v="הורן מעין"/>
    <s v="הורן"/>
    <s v="מעין"/>
    <s v="נ "/>
    <d v="2013-07-14T00:00:00"/>
    <n v="12"/>
    <x v="184"/>
    <x v="184"/>
    <s v="פתוח      "/>
    <s v="חבר"/>
    <s v="221978331"/>
    <s v="12131"/>
    <s v="הורן יהודה  שלום"/>
    <n v="2"/>
    <s v="4     "/>
    <x v="8"/>
    <d v="2016-07-01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221"/>
    <s v="לזר איתמר"/>
    <s v="לזר"/>
    <s v="איתמר"/>
    <s v="ז "/>
    <d v="1965-10-16T00:00:00"/>
    <n v="60"/>
    <x v="187"/>
    <x v="187"/>
    <s v="פתוח      "/>
    <s v="חבר"/>
    <s v="022116271"/>
    <s v="12221"/>
    <s v="לזר איתמר"/>
    <n v="2"/>
    <s v="1     "/>
    <x v="3"/>
    <d v="2003-08-1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9.909999999999997"/>
    <n v="0"/>
    <n v="66784.799812499987"/>
  </r>
  <r>
    <s v="12222"/>
    <s v="לזר ליאורה"/>
    <s v="לזר"/>
    <s v="ליאורה"/>
    <s v="נ "/>
    <d v="1968-02-07T00:00:00"/>
    <n v="57"/>
    <x v="187"/>
    <x v="187"/>
    <s v="פתוח      "/>
    <s v="חבר"/>
    <s v="059768978"/>
    <s v="12221"/>
    <s v="לזר איתמר"/>
    <n v="2"/>
    <s v="1     "/>
    <x v="3"/>
    <d v="2003-08-1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3.15"/>
    <n v="0"/>
    <n v="48660.944062499999"/>
  </r>
  <r>
    <s v="12231"/>
    <s v="לבבי נחום )אלי("/>
    <s v="לבבי"/>
    <s v="נחום )אלי("/>
    <s v="ז "/>
    <d v="1973-10-05T00:00:00"/>
    <n v="52"/>
    <x v="95"/>
    <x v="95"/>
    <s v="פתוח      "/>
    <s v="חבר"/>
    <s v="025064148"/>
    <s v="12231"/>
    <s v="לבבי נחום )אלי("/>
    <n v="2"/>
    <s v="1     "/>
    <x v="3"/>
    <d v="2001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9.82"/>
    <n v="0"/>
    <n v="39733.068375000003"/>
  </r>
  <r>
    <s v="12232"/>
    <s v="לבבי שלומית"/>
    <s v="לבבי"/>
    <s v="שלומית"/>
    <s v="נ "/>
    <d v="1976-07-15T00:00:00"/>
    <n v="49"/>
    <x v="95"/>
    <x v="95"/>
    <s v="פתוח      "/>
    <s v="חבר"/>
    <s v="033085986"/>
    <s v="12231"/>
    <s v="לבבי נחום )אלי("/>
    <n v="2"/>
    <s v="1     "/>
    <x v="3"/>
    <d v="2003-04-1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4.02"/>
    <n v="36063.255689999998"/>
    <n v="0"/>
  </r>
  <r>
    <s v="12189"/>
    <s v="לזר אלה"/>
    <s v="לזר"/>
    <s v="אלה"/>
    <s v="נ "/>
    <d v="2013-08-11T00:00:00"/>
    <n v="12"/>
    <x v="152"/>
    <x v="152"/>
    <s v="פתוח      "/>
    <s v="חבר"/>
    <s v="339521247"/>
    <s v="12181"/>
    <s v="לזר מיכאל"/>
    <n v="2"/>
    <s v="4     "/>
    <x v="8"/>
    <d v="2013-08-11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241"/>
    <s v="לאופר יובל"/>
    <s v="לאופר"/>
    <s v="יובל"/>
    <s v="ז "/>
    <d v="1981-09-11T00:00:00"/>
    <n v="44"/>
    <x v="159"/>
    <x v="159"/>
    <s v="פתוח      "/>
    <s v="חבר"/>
    <s v="043162650"/>
    <s v="12241"/>
    <s v="לאופר יובל"/>
    <n v="2"/>
    <s v="1     "/>
    <x v="3"/>
    <d v="2015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5.51"/>
    <n v="23286.473594999996"/>
    <n v="0"/>
  </r>
  <r>
    <s v="12242"/>
    <s v="לאופר אורנית       מתוקה"/>
    <s v="לאופר"/>
    <s v="אורנית       מתוקה"/>
    <s v="נ "/>
    <d v="1980-10-14T00:00:00"/>
    <n v="45"/>
    <x v="159"/>
    <x v="159"/>
    <s v="פתוח      "/>
    <s v="חבר"/>
    <s v="040406696"/>
    <s v="12241"/>
    <s v="לאופר יובל"/>
    <n v="2"/>
    <s v="1     "/>
    <x v="3"/>
    <d v="2015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2.51"/>
    <n v="18782.320094999995"/>
    <n v="0"/>
  </r>
  <r>
    <s v="19235"/>
    <s v="קליין אמיתי"/>
    <s v="קליין"/>
    <s v="אמיתי"/>
    <s v="ז "/>
    <d v="2013-06-20T00:00:00"/>
    <n v="12"/>
    <x v="128"/>
    <x v="128"/>
    <s v="פתוח      "/>
    <s v="חבר"/>
    <s v="335768511"/>
    <s v="19231"/>
    <s v="קליין דן-צבי"/>
    <n v="2"/>
    <s v="4     "/>
    <x v="8"/>
    <d v="2013-06-20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19355"/>
    <s v="קליין יהונתן         שחר"/>
    <s v="קליין"/>
    <s v="יהונתן         שחר"/>
    <s v="ז "/>
    <d v="2013-11-25T00:00:00"/>
    <n v="12"/>
    <x v="135"/>
    <x v="135"/>
    <s v="פתוח      "/>
    <s v="חבר"/>
    <s v="336608849"/>
    <s v="19351"/>
    <s v="קליין יוחאי"/>
    <n v="2"/>
    <s v="4     "/>
    <x v="8"/>
    <d v="2015-09-01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20306"/>
    <s v="ראבינסאן הדר"/>
    <s v="ראבינסאן"/>
    <s v="הדר"/>
    <s v="נ "/>
    <d v="2013-10-13T00:00:00"/>
    <n v="12"/>
    <x v="130"/>
    <x v="130"/>
    <s v="פתוח      "/>
    <s v="חבר"/>
    <s v="222141913"/>
    <s v="20301"/>
    <s v="ראבינסאן דגן"/>
    <n v="2"/>
    <s v="4     "/>
    <x v="8"/>
    <d v="2013-10-13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262"/>
    <s v="לבבי טליה )אילת("/>
    <s v="לבבי"/>
    <s v="טליה )אילת("/>
    <s v="נ "/>
    <d v="1975-09-30T00:00:00"/>
    <n v="50"/>
    <x v="188"/>
    <x v="188"/>
    <s v="פתוח      "/>
    <s v="חבר"/>
    <s v="032368482"/>
    <s v="12262"/>
    <s v="לבבי טליה )אילת("/>
    <n v="0"/>
    <s v="64    "/>
    <x v="15"/>
    <d v="2016-01-01T00:00:00"/>
    <s v="גרוש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013"/>
    <s v="דימנט בת-עין תחיה"/>
    <s v="דימנט"/>
    <s v="בת-עין תחיה"/>
    <s v="נ "/>
    <d v="2013-08-11T00:00:00"/>
    <n v="12"/>
    <x v="189"/>
    <x v="189"/>
    <s v="פתוח      "/>
    <s v="חבר"/>
    <s v="222875445"/>
    <s v="21011"/>
    <s v="דימנט דביר"/>
    <n v="2"/>
    <s v="4     "/>
    <x v="8"/>
    <d v="2021-10-02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292"/>
    <s v="לבבי רותם"/>
    <s v="לבבי"/>
    <s v="רותם"/>
    <s v="נ "/>
    <d v="2007-01-09T00:00:00"/>
    <n v="18"/>
    <x v="124"/>
    <x v="124"/>
    <s v="פתוח      "/>
    <s v="חבר"/>
    <s v="216151159"/>
    <s v="12191"/>
    <s v="לבבי נחומי"/>
    <n v="2"/>
    <s v="31    "/>
    <x v="6"/>
    <d v="2025-07-01T00:00:00"/>
    <s v="רווק"/>
    <s v="--"/>
    <s v="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12302"/>
    <s v="לייקוב בתיה"/>
    <s v="לייקוב"/>
    <s v="בתיה"/>
    <s v="נ "/>
    <d v="1977-12-15T00:00:00"/>
    <n v="48"/>
    <x v="190"/>
    <x v="190"/>
    <s v="פתוח      "/>
    <s v="חבר"/>
    <s v="033797796"/>
    <s v="12302"/>
    <s v="לייקוב בתיה"/>
    <n v="1"/>
    <s v="1     "/>
    <x v="3"/>
    <d v="2002-08-20T00:00:00"/>
    <s v="רווק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5.56"/>
    <n v="0"/>
    <n v="28311.822000000007"/>
  </r>
  <r>
    <s v="21135"/>
    <s v="שאול טליה דבורה"/>
    <s v="שאול"/>
    <s v="טליה דבורה"/>
    <s v="נ "/>
    <d v="2013-07-27T00:00:00"/>
    <n v="12"/>
    <x v="143"/>
    <x v="143"/>
    <s v="פתוח      "/>
    <s v="חבר"/>
    <s v="338520703"/>
    <s v="21131"/>
    <s v="שאול איתי בנימין"/>
    <n v="2"/>
    <s v="4     "/>
    <x v="8"/>
    <d v="2020-02-10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12351"/>
    <s v="לאופר שחר"/>
    <s v="לאופר"/>
    <s v="שחר"/>
    <s v="ז "/>
    <d v="1991-03-05T00:00:00"/>
    <n v="34"/>
    <x v="191"/>
    <x v="191"/>
    <s v="פתוח      "/>
    <s v="תושב לגביה"/>
    <s v="305628091"/>
    <s v="12351"/>
    <s v="לאופר שחר"/>
    <n v="0"/>
    <s v="2     "/>
    <x v="10"/>
    <d v="2024-06-10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2352"/>
    <s v="לאופר עדי אסתר"/>
    <s v="לאופר"/>
    <s v="עדי אסתר"/>
    <s v="נ "/>
    <d v="1992-10-20T00:00:00"/>
    <n v="33"/>
    <x v="191"/>
    <x v="191"/>
    <s v="פתוח      "/>
    <s v="תושב לגביה"/>
    <s v="203525332"/>
    <s v="12351"/>
    <s v="לאופר שחר"/>
    <n v="0"/>
    <s v="2     "/>
    <x v="10"/>
    <d v="2024-06-10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184"/>
    <s v="שבח טל"/>
    <s v="שבח"/>
    <s v="טל"/>
    <s v="נ "/>
    <d v="2013-07-29T00:00:00"/>
    <n v="12"/>
    <x v="163"/>
    <x v="163"/>
    <s v="פתוח      "/>
    <s v="חבר"/>
    <s v="337498893"/>
    <s v="21182"/>
    <s v="דורון )שבח( רותם"/>
    <n v="1"/>
    <s v="4     "/>
    <x v="8"/>
    <d v="2013-07-29T00:00:00"/>
    <s v="רווק"/>
    <s v="יסודי"/>
    <n v="18"/>
    <n v="0"/>
    <n v="0"/>
    <n v="0"/>
    <n v="1"/>
    <b v="0"/>
    <n v="0"/>
    <n v="0"/>
    <n v="5502.61"/>
    <n v="2025"/>
    <n v="23227.274285714288"/>
    <n v="8651.4571428571417"/>
    <n v="2034"/>
    <n v="1680.5113043478261"/>
    <n v="2036"/>
    <n v="28571.428571428569"/>
    <n v="2034"/>
    <n v="0"/>
    <s v=""/>
    <n v="0"/>
    <n v="0"/>
  </r>
  <r>
    <s v="21197"/>
    <s v="שיין רועי דוד"/>
    <s v="שיין"/>
    <s v="רועי דוד"/>
    <s v="ז "/>
    <d v="2013-09-18T00:00:00"/>
    <n v="12"/>
    <x v="145"/>
    <x v="145"/>
    <s v="פתוח      "/>
    <s v="חבר"/>
    <s v="222741092"/>
    <s v="21191"/>
    <s v="שיין נפתלי"/>
    <n v="2"/>
    <s v="4     "/>
    <x v="8"/>
    <d v="2013-09-18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12391"/>
    <s v="לבבי יוסף"/>
    <s v="לבבי"/>
    <s v="יוסף"/>
    <s v="ז "/>
    <d v="1990-12-23T00:00:00"/>
    <n v="35"/>
    <x v="192"/>
    <x v="192"/>
    <s v="פתוח      "/>
    <s v="חבר"/>
    <s v="203785563"/>
    <s v="12391"/>
    <s v="לבבי יוסף"/>
    <n v="2"/>
    <s v="1     "/>
    <x v="3"/>
    <d v="2022-02-2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5.5"/>
    <n v="8257.6147499999988"/>
    <n v="0"/>
  </r>
  <r>
    <s v="12392"/>
    <s v="לבבי ליאור צפורה"/>
    <s v="לבבי"/>
    <s v="ליאור צפורה"/>
    <s v="נ "/>
    <d v="1991-04-01T00:00:00"/>
    <n v="34"/>
    <x v="192"/>
    <x v="192"/>
    <s v="פתוח      "/>
    <s v="חבר"/>
    <s v="203294806"/>
    <s v="12391"/>
    <s v="לבבי יוסף"/>
    <n v="2"/>
    <s v="1     "/>
    <x v="3"/>
    <d v="2022-02-23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5.5"/>
    <n v="8257.6147499999988"/>
    <n v="0"/>
  </r>
  <r>
    <s v="21225"/>
    <s v="שרעבי אלון חיים"/>
    <s v="שרעבי"/>
    <s v="אלון חיים"/>
    <s v="ז "/>
    <d v="2013-02-07T00:00:00"/>
    <n v="12"/>
    <x v="146"/>
    <x v="146"/>
    <s v="פתוח      "/>
    <s v="חבר"/>
    <s v="338476518"/>
    <s v="21221"/>
    <s v="שרעבי אביאל"/>
    <n v="2"/>
    <s v="4     "/>
    <x v="8"/>
    <d v="2013-02-07T00:00:00"/>
    <s v="רווק"/>
    <s v="יסודי"/>
    <n v="18"/>
    <n v="0"/>
    <n v="0"/>
    <n v="0"/>
    <n v="1"/>
    <b v="0"/>
    <n v="6511.375384615385"/>
    <n v="2026"/>
    <n v="0"/>
    <n v="0"/>
    <n v="23227.274285714288"/>
    <n v="8651.4571428571417"/>
    <n v="2034"/>
    <n v="1680.5113043478261"/>
    <n v="2036"/>
    <n v="28571.428571428569"/>
    <n v="2034"/>
    <n v="0"/>
    <s v=""/>
    <n v="0"/>
    <n v="0"/>
  </r>
  <r>
    <s v="01195"/>
    <s v="קפלן מאיר מרדכי"/>
    <s v="קפלן"/>
    <s v="מאיר מרדכי"/>
    <s v="ז "/>
    <d v="2014-10-27T00:00:00"/>
    <n v="11"/>
    <x v="13"/>
    <x v="13"/>
    <s v="פתוח      "/>
    <s v="חבר"/>
    <s v="340242551"/>
    <s v="01192"/>
    <s v="קפלן )אבינר( חנה"/>
    <n v="1"/>
    <s v="4     "/>
    <x v="8"/>
    <d v="2014-10-27T00:00:00"/>
    <s v="רווק"/>
    <s v="יסודי"/>
    <n v="18"/>
    <n v="0"/>
    <n v="0"/>
    <n v="0"/>
    <n v="1"/>
    <b v="0"/>
    <n v="5968.7607692307693"/>
    <n v="2027"/>
    <n v="0"/>
    <n v="0"/>
    <n v="21291.668095238099"/>
    <n v="7930.5023809523809"/>
    <n v="2035"/>
    <n v="1540.4686956521739"/>
    <n v="2037"/>
    <n v="26190.476190476191"/>
    <n v="2035"/>
    <n v="0"/>
    <s v=""/>
    <n v="0"/>
    <n v="0"/>
  </r>
  <r>
    <s v="03174"/>
    <s v="גורי יהונתן"/>
    <s v="גורי"/>
    <s v="יהונתן"/>
    <s v="ז "/>
    <d v="2014-05-16T00:00:00"/>
    <n v="11"/>
    <x v="103"/>
    <x v="103"/>
    <s v="פתוח      "/>
    <s v="חבר"/>
    <s v="222701708"/>
    <s v="03171"/>
    <s v="גורי יעקב"/>
    <n v="2"/>
    <s v="4     "/>
    <x v="8"/>
    <d v="2018-11-01T00:00:00"/>
    <s v="רווק"/>
    <s v="יסודי"/>
    <n v="18"/>
    <n v="0"/>
    <n v="0"/>
    <n v="0"/>
    <n v="1"/>
    <b v="0"/>
    <n v="5968.7607692307693"/>
    <n v="2027"/>
    <n v="0"/>
    <n v="0"/>
    <n v="21291.668095238099"/>
    <n v="7930.5023809523809"/>
    <n v="2035"/>
    <n v="1540.4686956521739"/>
    <n v="2037"/>
    <n v="26190.476190476191"/>
    <n v="2035"/>
    <n v="0"/>
    <s v=""/>
    <n v="0"/>
    <n v="0"/>
  </r>
  <r>
    <s v="04053"/>
    <s v="ריינר עלמה"/>
    <s v="ריינר"/>
    <s v="עלמה"/>
    <s v="נ "/>
    <d v="2014-05-27T00:00:00"/>
    <n v="11"/>
    <x v="110"/>
    <x v="110"/>
    <s v="פתוח      "/>
    <s v="חבר"/>
    <s v="222154254"/>
    <s v="04051"/>
    <s v="ריינר הראל"/>
    <n v="2"/>
    <s v="4     "/>
    <x v="8"/>
    <d v="2015-02-01T00:00:00"/>
    <s v="רווק"/>
    <s v="יסודי"/>
    <n v="18"/>
    <n v="0"/>
    <n v="0"/>
    <n v="0"/>
    <n v="1"/>
    <b v="0"/>
    <n v="0"/>
    <n v="0"/>
    <n v="5044.059166666666"/>
    <n v="2026"/>
    <n v="21291.668095238099"/>
    <n v="7930.5023809523809"/>
    <n v="2035"/>
    <n v="1540.4686956521739"/>
    <n v="2037"/>
    <n v="26190.476190476191"/>
    <n v="2035"/>
    <n v="0"/>
    <s v=""/>
    <n v="0"/>
    <n v="0"/>
  </r>
  <r>
    <s v="12611"/>
    <s v="לבקוביץ ירון אלעזר"/>
    <s v="לבקוביץ"/>
    <s v="ירון אלעזר"/>
    <s v="ז "/>
    <d v="1982-03-04T00:00:00"/>
    <n v="43"/>
    <x v="104"/>
    <x v="104"/>
    <s v="פתוח      "/>
    <s v="חבר"/>
    <s v="060172392"/>
    <s v="12611"/>
    <s v="לבקוביץ ירון אלעזר"/>
    <n v="2"/>
    <s v="1     "/>
    <x v="3"/>
    <d v="2015-09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2.01"/>
    <n v="18031.627844999999"/>
    <n v="0"/>
  </r>
  <r>
    <s v="12612"/>
    <s v="לבקוביץ עטרה"/>
    <s v="לבקוביץ"/>
    <s v="עטרה"/>
    <s v="נ "/>
    <d v="1985-09-29T00:00:00"/>
    <n v="40"/>
    <x v="104"/>
    <x v="104"/>
    <s v="פתוח      "/>
    <s v="חבר"/>
    <s v="034703611"/>
    <s v="12611"/>
    <s v="לבקוביץ ירון אלעזר"/>
    <n v="2"/>
    <s v="1     "/>
    <x v="3"/>
    <d v="2015-09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2.01"/>
    <n v="18031.627844999999"/>
    <n v="0"/>
  </r>
  <r>
    <s v="05113"/>
    <s v="הופמן הודיה"/>
    <s v="הופמן"/>
    <s v="הודיה"/>
    <s v="נ "/>
    <d v="2014-06-27T00:00:00"/>
    <n v="11"/>
    <x v="125"/>
    <x v="125"/>
    <s v="פתוח      "/>
    <s v="חבר"/>
    <s v="338248669"/>
    <s v="05111"/>
    <s v="הופמן אלעד"/>
    <n v="2"/>
    <s v="4     "/>
    <x v="8"/>
    <d v="2014-06-27T00:00:00"/>
    <s v="רווק"/>
    <s v="יסודי"/>
    <n v="18"/>
    <n v="0"/>
    <n v="0"/>
    <n v="0"/>
    <n v="1"/>
    <b v="0"/>
    <n v="0"/>
    <n v="0"/>
    <n v="5044.059166666666"/>
    <n v="2026"/>
    <n v="21291.668095238099"/>
    <n v="7930.5023809523809"/>
    <n v="2035"/>
    <n v="1540.4686956521739"/>
    <n v="2037"/>
    <n v="26190.476190476191"/>
    <n v="2035"/>
    <n v="0"/>
    <s v=""/>
    <n v="0"/>
    <n v="0"/>
  </r>
  <r>
    <s v="07054"/>
    <s v="זיו מאיה"/>
    <s v="זיו"/>
    <s v="מאיה"/>
    <s v="נ "/>
    <d v="2014-10-22T00:00:00"/>
    <n v="11"/>
    <x v="151"/>
    <x v="151"/>
    <s v="פתוח      "/>
    <s v="חבר"/>
    <s v="339031494"/>
    <s v="07051"/>
    <s v="זיו עמית"/>
    <n v="2"/>
    <s v="4     "/>
    <x v="8"/>
    <d v="2017-09-01T00:00:00"/>
    <s v="רווק"/>
    <s v="יסודי"/>
    <n v="18"/>
    <n v="0"/>
    <n v="0"/>
    <n v="0"/>
    <n v="1"/>
    <b v="0"/>
    <n v="0"/>
    <n v="0"/>
    <n v="5044.059166666666"/>
    <n v="2026"/>
    <n v="21291.668095238099"/>
    <n v="7930.5023809523809"/>
    <n v="2035"/>
    <n v="1540.4686956521739"/>
    <n v="2037"/>
    <n v="26190.476190476191"/>
    <n v="2035"/>
    <n v="0"/>
    <s v=""/>
    <n v="0"/>
    <n v="0"/>
  </r>
  <r>
    <s v="13017"/>
    <s v="מידב טל    חיה מושקה"/>
    <s v="מידב"/>
    <s v="טל    חיה מושקה"/>
    <s v="נ "/>
    <d v="2014-11-18T00:00:00"/>
    <n v="11"/>
    <x v="126"/>
    <x v="126"/>
    <s v="פתוח      "/>
    <s v="חבר"/>
    <s v="340687136"/>
    <s v="13011"/>
    <s v="מידב כפיר"/>
    <n v="2"/>
    <s v="4     "/>
    <x v="8"/>
    <d v="2014-11-18T00:00:00"/>
    <s v="רווק"/>
    <s v="יסודי"/>
    <n v="18"/>
    <n v="0"/>
    <n v="0"/>
    <n v="0"/>
    <n v="1"/>
    <b v="0"/>
    <n v="0"/>
    <n v="0"/>
    <n v="5044.059166666666"/>
    <n v="2026"/>
    <n v="21291.668095238099"/>
    <n v="7930.5023809523809"/>
    <n v="2035"/>
    <n v="1540.4686956521739"/>
    <n v="2037"/>
    <n v="26190.476190476191"/>
    <n v="2035"/>
    <n v="0"/>
    <s v=""/>
    <n v="0"/>
    <n v="0"/>
  </r>
  <r>
    <s v="19225"/>
    <s v="קרליבך גילעד"/>
    <s v="קרליבך"/>
    <s v="גילעד"/>
    <s v="ז "/>
    <d v="2014-03-05T00:00:00"/>
    <n v="11"/>
    <x v="153"/>
    <x v="153"/>
    <s v="פתוח      "/>
    <s v="חבר"/>
    <s v="338971575"/>
    <s v="19221"/>
    <s v="קרליבך ישי"/>
    <n v="2"/>
    <s v="4     "/>
    <x v="8"/>
    <d v="2017-08-15T00:00:00"/>
    <s v="רווק"/>
    <s v="יסודי"/>
    <n v="18"/>
    <n v="0"/>
    <n v="0"/>
    <n v="0"/>
    <n v="1"/>
    <b v="0"/>
    <n v="5968.7607692307693"/>
    <n v="2027"/>
    <n v="0"/>
    <n v="0"/>
    <n v="21291.668095238099"/>
    <n v="7930.5023809523809"/>
    <n v="2035"/>
    <n v="1540.4686956521739"/>
    <n v="2037"/>
    <n v="26190.476190476191"/>
    <n v="2035"/>
    <n v="0"/>
    <s v=""/>
    <n v="0"/>
    <n v="0"/>
  </r>
  <r>
    <s v="13011"/>
    <s v="מידב כפיר"/>
    <s v="מידב"/>
    <s v="כפיר"/>
    <s v="ז "/>
    <d v="1970-02-02T00:00:00"/>
    <n v="55"/>
    <x v="126"/>
    <x v="126"/>
    <s v="פתוח      "/>
    <s v="חבר"/>
    <s v="024834533"/>
    <s v="13011"/>
    <s v="מידב כפיר"/>
    <n v="2"/>
    <s v="1     "/>
    <x v="3"/>
    <d v="2011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6.18"/>
    <n v="24292.401209999996"/>
    <n v="0"/>
  </r>
  <r>
    <s v="13012"/>
    <s v="מידב רחל"/>
    <s v="מידב"/>
    <s v="רחל"/>
    <s v="נ "/>
    <d v="1973-07-27T00:00:00"/>
    <n v="52"/>
    <x v="126"/>
    <x v="126"/>
    <s v="פתוח      "/>
    <s v="חבר"/>
    <s v="015158488"/>
    <s v="13011"/>
    <s v="מידב כפיר"/>
    <n v="2"/>
    <s v="1     "/>
    <x v="3"/>
    <d v="2011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6.18"/>
    <n v="24292.401209999996"/>
    <n v="0"/>
  </r>
  <r>
    <s v="01305"/>
    <s v="אריאל הילה"/>
    <s v="אריאל"/>
    <s v="הילה"/>
    <s v="נ "/>
    <d v="2015-06-28T00:00:00"/>
    <n v="10"/>
    <x v="21"/>
    <x v="21"/>
    <s v="פתוח      "/>
    <s v="חבר"/>
    <s v="223721457"/>
    <s v="01301"/>
    <s v="אריאל יאיר"/>
    <n v="2"/>
    <s v="4     "/>
    <x v="8"/>
    <d v="2015-06-28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01344"/>
    <s v="אלדד עמיחי  שמואל"/>
    <s v="אלדד"/>
    <s v="עמיחי  שמואל"/>
    <s v="ז "/>
    <d v="2015-04-23T00:00:00"/>
    <n v="10"/>
    <x v="26"/>
    <x v="26"/>
    <s v="פתוח      "/>
    <s v="חבר"/>
    <s v="340296508"/>
    <s v="01341"/>
    <s v="אלדד שלמה פינחס"/>
    <n v="2"/>
    <s v="4     "/>
    <x v="8"/>
    <d v="2018-02-01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03066"/>
    <s v="גוזלנד לשם אביה"/>
    <s v="גוזלנד"/>
    <s v="לשם אביה"/>
    <s v="נ "/>
    <d v="2015-07-09T00:00:00"/>
    <n v="10"/>
    <x v="84"/>
    <x v="84"/>
    <s v="פתוח      "/>
    <s v="חבר"/>
    <s v="223723701"/>
    <s v="03061"/>
    <s v="גוזלנד שמעון"/>
    <n v="2"/>
    <s v="4     "/>
    <x v="8"/>
    <d v="2015-07-09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03076"/>
    <s v="גוטליב מגל"/>
    <s v="גוטליב"/>
    <s v="מגל"/>
    <s v="ז "/>
    <d v="2015-06-02T00:00:00"/>
    <n v="10"/>
    <x v="89"/>
    <x v="89"/>
    <s v="פתוח      "/>
    <s v="חבר"/>
    <s v="339269938"/>
    <s v="03071"/>
    <s v="גוטליב ידידיה"/>
    <n v="2"/>
    <s v="4     "/>
    <x v="8"/>
    <d v="2015-06-02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13032"/>
    <s v="מידב לשם שרה"/>
    <s v="מידב"/>
    <s v="לשם שרה"/>
    <s v="נ "/>
    <d v="2002-01-07T00:00:00"/>
    <n v="23"/>
    <x v="193"/>
    <x v="193"/>
    <s v="פתוח      "/>
    <s v="תושב לגביה"/>
    <s v="209827369"/>
    <s v="13032"/>
    <s v="מידב לשם שרה"/>
    <n v="0"/>
    <s v="36    "/>
    <x v="0"/>
    <d v="2023-09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13041"/>
    <s v="מור יוסף אליה"/>
    <s v="מור יוסף"/>
    <s v="אליה"/>
    <s v="ז "/>
    <d v="1994-07-17T00:00:00"/>
    <n v="31"/>
    <x v="194"/>
    <x v="194"/>
    <s v="פתוח      "/>
    <s v="חבר"/>
    <s v="205419310"/>
    <s v="13041"/>
    <s v="מור יוסף אליה"/>
    <n v="2"/>
    <s v="1     "/>
    <x v="3"/>
    <d v="2022-11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.83"/>
    <n v="7251.6871349999992"/>
    <n v="0"/>
  </r>
  <r>
    <s v="13042"/>
    <s v="מור יוסף שילת"/>
    <s v="מור יוסף"/>
    <s v="שילת"/>
    <s v="נ "/>
    <d v="1994-09-27T00:00:00"/>
    <n v="31"/>
    <x v="194"/>
    <x v="194"/>
    <s v="פתוח      "/>
    <s v="חבר"/>
    <s v="205516354"/>
    <s v="13041"/>
    <s v="מור יוסף אליה"/>
    <n v="2"/>
    <s v="1     "/>
    <x v="3"/>
    <d v="2022-11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.83"/>
    <n v="7251.6871349999992"/>
    <n v="0"/>
  </r>
  <r>
    <s v="03095"/>
    <s v="גלבוע נטע"/>
    <s v="גלבוע"/>
    <s v="נטע"/>
    <s v="ז "/>
    <d v="2015-11-02T00:00:00"/>
    <n v="10"/>
    <x v="93"/>
    <x v="93"/>
    <s v="פתוח      "/>
    <s v="חבר"/>
    <s v="224648949"/>
    <s v="03091"/>
    <s v="גלבוע נעם נפתלי"/>
    <n v="1"/>
    <s v="4     "/>
    <x v="8"/>
    <d v="2015-11-02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05114"/>
    <s v="הופמן יאיר שמואל"/>
    <s v="הופמן"/>
    <s v="יאיר שמואל"/>
    <s v="ז "/>
    <d v="2015-11-18T00:00:00"/>
    <n v="10"/>
    <x v="125"/>
    <x v="125"/>
    <s v="פתוח      "/>
    <s v="חבר"/>
    <s v="341465433"/>
    <s v="05111"/>
    <s v="הופמן אלעד"/>
    <n v="2"/>
    <s v="4     "/>
    <x v="8"/>
    <d v="2015-11-18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06137"/>
    <s v="ויסטוך אורי   שמואל"/>
    <s v="ויסטוך"/>
    <s v="אורי   שמואל"/>
    <s v="ז "/>
    <d v="2015-09-15T00:00:00"/>
    <n v="10"/>
    <x v="106"/>
    <x v="106"/>
    <s v="פתוח      "/>
    <s v="חבר"/>
    <s v="339996472"/>
    <s v="06131"/>
    <s v="ויסטוך משה"/>
    <n v="2"/>
    <s v="4     "/>
    <x v="8"/>
    <d v="2015-09-15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08058"/>
    <s v="חורש הללי   מרים"/>
    <s v="חורש"/>
    <s v="הללי   מרים"/>
    <s v="נ "/>
    <d v="2015-12-19T00:00:00"/>
    <n v="10"/>
    <x v="100"/>
    <x v="100"/>
    <s v="פתוח      "/>
    <s v="חבר"/>
    <s v="340088863"/>
    <s v="08051"/>
    <s v="חורש עופר"/>
    <n v="2"/>
    <s v="4     "/>
    <x v="8"/>
    <d v="2015-12-19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13051"/>
    <s v="מידב לביא    יעקב"/>
    <s v="מידב"/>
    <s v="לביא    יעקב"/>
    <s v="ז "/>
    <d v="2004-01-19T00:00:00"/>
    <n v="21"/>
    <x v="195"/>
    <x v="195"/>
    <s v="פתוח      "/>
    <s v="תושב לגביה"/>
    <s v="329591275"/>
    <s v="13051"/>
    <s v="מידב לביא    יעקב"/>
    <n v="0"/>
    <s v="36    "/>
    <x v="0"/>
    <d v="2024-12-01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13061"/>
    <s v="מנשאוף יאיר"/>
    <s v="מנשאוף"/>
    <s v="יאיר"/>
    <s v="ז "/>
    <d v="1991-12-05T00:00:00"/>
    <n v="34"/>
    <x v="196"/>
    <x v="196"/>
    <s v="פתוח      "/>
    <s v="חבר"/>
    <s v="204071575"/>
    <s v="13061"/>
    <s v="מנשאוף יאיר"/>
    <n v="2"/>
    <s v="1     "/>
    <x v="3"/>
    <d v="2024-09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1"/>
    <n v="4669.3057949999993"/>
    <n v="0"/>
  </r>
  <r>
    <s v="13062"/>
    <s v="מנשאוף שלומית"/>
    <s v="מנשאוף"/>
    <s v="שלומית"/>
    <s v="נ "/>
    <d v="1991-04-06T00:00:00"/>
    <n v="34"/>
    <x v="196"/>
    <x v="196"/>
    <s v="פתוח      "/>
    <s v="חבר"/>
    <s v="203441084"/>
    <s v="13061"/>
    <s v="מנשאוף יאיר"/>
    <n v="2"/>
    <s v="1     "/>
    <x v="3"/>
    <d v="2024-09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1"/>
    <n v="4669.3057949999993"/>
    <n v="0"/>
  </r>
  <r>
    <s v="08154"/>
    <s v="חסון איתן"/>
    <s v="חסון"/>
    <s v="איתן"/>
    <s v="ז "/>
    <d v="2015-04-05T00:00:00"/>
    <n v="10"/>
    <x v="133"/>
    <x v="133"/>
    <s v="פתוח      "/>
    <s v="חבר"/>
    <s v="340294602"/>
    <s v="08151"/>
    <s v="חסון טל"/>
    <n v="2"/>
    <s v="4     "/>
    <x v="8"/>
    <d v="2015-04-05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11076"/>
    <s v="כהן ישי"/>
    <s v="כהן"/>
    <s v="ישי"/>
    <s v="ז "/>
    <d v="2015-07-04T00:00:00"/>
    <n v="10"/>
    <x v="134"/>
    <x v="134"/>
    <s v="פתוח      "/>
    <s v="חבר"/>
    <s v="340115138"/>
    <s v="11071"/>
    <s v="כהן יונתן"/>
    <n v="2"/>
    <s v="4     "/>
    <x v="8"/>
    <d v="2020-08-04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12134"/>
    <s v="הורן מתן"/>
    <s v="הורן"/>
    <s v="מתן"/>
    <s v="ז "/>
    <d v="2015-11-18T00:00:00"/>
    <n v="10"/>
    <x v="184"/>
    <x v="184"/>
    <s v="פתוח      "/>
    <s v="חבר"/>
    <s v="340626258"/>
    <s v="12131"/>
    <s v="הורן יהודה  שלום"/>
    <n v="2"/>
    <s v="4     "/>
    <x v="8"/>
    <d v="2016-07-01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14012"/>
    <s v="נדיבי רבקה"/>
    <s v="נדיבי"/>
    <s v="רבקה"/>
    <s v="נ "/>
    <d v="1926-06-26T00:00:00"/>
    <n v="99"/>
    <x v="197"/>
    <x v="197"/>
    <s v="פתוח      "/>
    <s v="חבר"/>
    <s v="004593984"/>
    <s v="14012"/>
    <s v="נדיבי רבקה"/>
    <n v="1"/>
    <s v="1     "/>
    <x v="3"/>
    <d v="1945-12-31T00:00:00"/>
    <s v="אלמן"/>
    <s v="Z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5012"/>
    <s v="סוקל רחל"/>
    <s v="סוקל"/>
    <s v="רחל"/>
    <s v="נ "/>
    <d v="1929-08-10T00:00:00"/>
    <n v="96"/>
    <x v="198"/>
    <x v="198"/>
    <s v="פתוח      "/>
    <s v="חבר"/>
    <s v="003507613"/>
    <s v="15012"/>
    <s v="סוקל רחל"/>
    <n v="1"/>
    <s v="1     "/>
    <x v="3"/>
    <d v="1956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3.55"/>
    <n v="0"/>
    <n v="0"/>
  </r>
  <r>
    <s v="15021"/>
    <s v="סולומון איזיק"/>
    <s v="סולומון"/>
    <s v="איזיק"/>
    <s v="ז "/>
    <d v="1960-04-30T00:00:00"/>
    <n v="65"/>
    <x v="199"/>
    <x v="199"/>
    <s v="פתוח      "/>
    <s v="חבר"/>
    <s v="015646326"/>
    <s v="15021"/>
    <s v="סולומון איזיק"/>
    <n v="2"/>
    <s v="1     "/>
    <x v="3"/>
    <d v="1987-08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8.11"/>
    <n v="0"/>
    <n v="0"/>
  </r>
  <r>
    <s v="15022"/>
    <s v="סולומון קלייר"/>
    <s v="סולומון"/>
    <s v="קלייר"/>
    <s v="נ "/>
    <d v="1962-01-04T00:00:00"/>
    <n v="63"/>
    <x v="199"/>
    <x v="199"/>
    <s v="פתוח      "/>
    <s v="חבר"/>
    <s v="015719305"/>
    <s v="15021"/>
    <s v="סולומון איזיק"/>
    <n v="2"/>
    <s v="1     "/>
    <x v="3"/>
    <d v="2002-08-07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38.11"/>
    <n v="0"/>
    <n v="61958.921062499998"/>
  </r>
  <r>
    <s v="15031"/>
    <s v="סהר אבשלום"/>
    <s v="סהר"/>
    <s v="אבשלום"/>
    <s v="ז "/>
    <d v="1973-04-16T00:00:00"/>
    <n v="52"/>
    <x v="107"/>
    <x v="107"/>
    <s v="פתוח      "/>
    <s v="חבר"/>
    <s v="025520891"/>
    <s v="15031"/>
    <s v="סהר אבשלום"/>
    <n v="2"/>
    <s v="1     "/>
    <x v="3"/>
    <d v="2007-07-1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8.24"/>
    <n v="0"/>
    <n v="35497.019249999983"/>
  </r>
  <r>
    <s v="15032"/>
    <s v="סהר נעמה"/>
    <s v="סהר"/>
    <s v="נעמה"/>
    <s v="נ "/>
    <d v="1973-09-30T00:00:00"/>
    <n v="52"/>
    <x v="107"/>
    <x v="107"/>
    <s v="פתוח      "/>
    <s v="חבר"/>
    <s v="025592759"/>
    <s v="15031"/>
    <s v="סהר אבשלום"/>
    <n v="2"/>
    <s v="1     "/>
    <x v="3"/>
    <d v="2007-07-1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3.94"/>
    <n v="0"/>
    <n v="50778.968624999994"/>
  </r>
  <r>
    <s v="12616"/>
    <s v="לבקוביץ יהב  מרים"/>
    <s v="לבקוביץ"/>
    <s v="יהב  מרים"/>
    <s v="נ "/>
    <d v="2015-06-02T00:00:00"/>
    <n v="10"/>
    <x v="104"/>
    <x v="104"/>
    <s v="פתוח      "/>
    <s v="חבר"/>
    <s v="339269953"/>
    <s v="12611"/>
    <s v="לבקוביץ ירון אלעזר"/>
    <n v="2"/>
    <s v="4     "/>
    <x v="8"/>
    <d v="2015-06-02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19226"/>
    <s v="קרליבך עלמה"/>
    <s v="קרליבך"/>
    <s v="עלמה"/>
    <s v="נ "/>
    <d v="2015-07-28T00:00:00"/>
    <n v="10"/>
    <x v="153"/>
    <x v="153"/>
    <s v="פתוח      "/>
    <s v="חבר"/>
    <s v="223610742"/>
    <s v="19221"/>
    <s v="קרליבך ישי"/>
    <n v="2"/>
    <s v="4     "/>
    <x v="8"/>
    <d v="2017-08-15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15061"/>
    <s v="קדוש נסאל ניסים"/>
    <s v="קדוש"/>
    <s v="נסאל ניסים"/>
    <s v="ז "/>
    <d v="1989-12-24T00:00:00"/>
    <n v="36"/>
    <x v="200"/>
    <x v="200"/>
    <s v="פתוח      "/>
    <s v="חבר"/>
    <s v="302664552"/>
    <s v="15061"/>
    <s v="קדוש נסאל ניסים"/>
    <n v="2"/>
    <s v="1     "/>
    <x v="3"/>
    <d v="2021-02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6.5"/>
    <n v="9758.9992499999989"/>
    <n v="0"/>
  </r>
  <r>
    <s v="15062"/>
    <s v="קדוש אליענה"/>
    <s v="קדוש"/>
    <s v="אליענה"/>
    <s v="נ "/>
    <d v="1988-09-30T00:00:00"/>
    <n v="37"/>
    <x v="200"/>
    <x v="200"/>
    <s v="פתוח      "/>
    <s v="חבר"/>
    <s v="301769295"/>
    <s v="15061"/>
    <s v="קדוש נסאל ניסים"/>
    <n v="2"/>
    <s v="1     "/>
    <x v="3"/>
    <d v="2021-02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6.5"/>
    <n v="9758.9992499999989"/>
    <n v="0"/>
  </r>
  <r>
    <s v="20313"/>
    <s v="לוי אסיף"/>
    <s v="לוי"/>
    <s v="אסיף"/>
    <s v="נ "/>
    <d v="2015-09-25T00:00:00"/>
    <n v="10"/>
    <x v="201"/>
    <x v="201"/>
    <s v="פתוח      "/>
    <s v="חבר"/>
    <s v="340631290"/>
    <s v="20311"/>
    <s v="לוי נדב"/>
    <n v="2"/>
    <s v="4     "/>
    <x v="8"/>
    <d v="2022-07-01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21014"/>
    <s v="דימנט נהר שלום"/>
    <s v="דימנט"/>
    <s v="נהר שלום"/>
    <s v="ז "/>
    <d v="2015-11-29T00:00:00"/>
    <n v="10"/>
    <x v="189"/>
    <x v="189"/>
    <s v="פתוח      "/>
    <s v="חבר"/>
    <s v="224659375"/>
    <s v="21011"/>
    <s v="דימנט דביר"/>
    <n v="2"/>
    <s v="4     "/>
    <x v="8"/>
    <d v="2021-10-02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21156"/>
    <s v="שוורץ ירדן"/>
    <s v="שוורץ"/>
    <s v="ירדן"/>
    <s v="נ "/>
    <d v="2015-07-22T00:00:00"/>
    <n v="10"/>
    <x v="144"/>
    <x v="144"/>
    <s v="פתוח      "/>
    <s v="חבר"/>
    <s v="223880212"/>
    <s v="21151"/>
    <s v="שוורץ רוני"/>
    <n v="2"/>
    <s v="4     "/>
    <x v="8"/>
    <d v="2015-07-22T00:00:00"/>
    <s v="רווק"/>
    <s v="יסודי"/>
    <n v="18"/>
    <n v="0"/>
    <n v="0"/>
    <n v="0"/>
    <n v="1"/>
    <b v="0"/>
    <n v="0"/>
    <n v="0"/>
    <n v="4585.5083333333332"/>
    <n v="2027"/>
    <n v="19356.061904761904"/>
    <n v="7209.5476190476184"/>
    <n v="2036"/>
    <n v="1400.4260869565217"/>
    <n v="2038"/>
    <n v="23809.523809523809"/>
    <n v="2036"/>
    <n v="0"/>
    <s v=""/>
    <n v="0"/>
    <n v="0"/>
  </r>
  <r>
    <s v="21226"/>
    <s v="שרעבי יונתן יוסף"/>
    <s v="שרעבי"/>
    <s v="יונתן יוסף"/>
    <s v="ז "/>
    <d v="2015-09-18T00:00:00"/>
    <n v="10"/>
    <x v="146"/>
    <x v="146"/>
    <s v="פתוח      "/>
    <s v="חבר"/>
    <s v="339977902"/>
    <s v="21221"/>
    <s v="שרעבי אביאל"/>
    <n v="2"/>
    <s v="4     "/>
    <x v="8"/>
    <d v="2015-09-18T00:00:00"/>
    <s v="רווק"/>
    <s v="יסודי"/>
    <n v="18"/>
    <n v="0"/>
    <n v="0"/>
    <n v="0"/>
    <n v="1"/>
    <b v="0"/>
    <n v="5426.1461538461535"/>
    <n v="2028"/>
    <n v="0"/>
    <n v="0"/>
    <n v="19356.061904761904"/>
    <n v="7209.5476190476184"/>
    <n v="2036"/>
    <n v="1400.4260869565217"/>
    <n v="2038"/>
    <n v="23809.523809523809"/>
    <n v="2036"/>
    <n v="0"/>
    <s v=""/>
    <n v="0"/>
    <n v="0"/>
  </r>
  <r>
    <s v="02274"/>
    <s v="ברודי כרם       גרטל"/>
    <s v="ברודי"/>
    <s v="כרם       גרטל"/>
    <s v="נ "/>
    <d v="2016-01-18T00:00:00"/>
    <n v="9"/>
    <x v="60"/>
    <x v="60"/>
    <s v="פתוח      "/>
    <s v="חבר"/>
    <s v="224662486"/>
    <s v="02271"/>
    <s v="ברודי עודד"/>
    <n v="2"/>
    <s v="4     "/>
    <x v="8"/>
    <d v="2016-01-18T00:00:00"/>
    <s v="רווק"/>
    <s v="יסודי"/>
    <n v="18"/>
    <n v="0"/>
    <n v="0"/>
    <n v="0"/>
    <n v="1"/>
    <b v="0"/>
    <n v="0"/>
    <n v="0"/>
    <n v="4126.9574999999995"/>
    <n v="2028"/>
    <n v="17420.455714285716"/>
    <n v="6488.5928571428567"/>
    <n v="2037"/>
    <n v="1260.3834782608697"/>
    <n v="2039"/>
    <n v="21428.571428571428"/>
    <n v="2037"/>
    <n v="0"/>
    <s v=""/>
    <n v="0"/>
    <n v="0"/>
  </r>
  <r>
    <s v="15102"/>
    <s v="סהר תהל"/>
    <s v="סהר"/>
    <s v="תהל"/>
    <s v="נ "/>
    <d v="2005-02-14T00:00:00"/>
    <n v="20"/>
    <x v="202"/>
    <x v="202"/>
    <s v="פתוח      "/>
    <s v="חבר"/>
    <s v="215164377"/>
    <s v="15102"/>
    <s v="סהר תהל"/>
    <n v="0"/>
    <s v="36    "/>
    <x v="0"/>
    <d v="2025-01-01T00:00:00"/>
    <s v="רווק"/>
    <s v="--"/>
    <s v=""/>
    <n v="0"/>
    <n v="0"/>
    <n v="0"/>
    <n v="1"/>
    <b v="1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02525"/>
    <s v="בן אהרון אילה"/>
    <s v="בן אהרון"/>
    <s v="אילה"/>
    <s v="נ "/>
    <d v="2016-09-15T00:00:00"/>
    <n v="9"/>
    <x v="72"/>
    <x v="72"/>
    <s v="פתוח      "/>
    <s v="חבר"/>
    <s v="341581189"/>
    <s v="02521"/>
    <s v="בן אהרון ערן"/>
    <n v="2"/>
    <s v="4     "/>
    <x v="8"/>
    <d v="2016-09-15T00:00:00"/>
    <s v="רווק"/>
    <s v="יסודי"/>
    <n v="18"/>
    <n v="0"/>
    <n v="0"/>
    <n v="0"/>
    <n v="1"/>
    <b v="0"/>
    <n v="0"/>
    <n v="0"/>
    <n v="4126.9574999999995"/>
    <n v="2028"/>
    <n v="17420.455714285716"/>
    <n v="6488.5928571428567"/>
    <n v="2037"/>
    <n v="1260.3834782608697"/>
    <n v="2039"/>
    <n v="21428.571428571428"/>
    <n v="2037"/>
    <n v="0"/>
    <s v=""/>
    <n v="0"/>
    <n v="0"/>
  </r>
  <r>
    <s v="15121"/>
    <s v="סהר דולב"/>
    <s v="סהר"/>
    <s v="דולב"/>
    <s v="ז "/>
    <d v="2000-07-05T00:00:00"/>
    <n v="25"/>
    <x v="203"/>
    <x v="203"/>
    <s v="פתוח      "/>
    <s v="תושב לגביה"/>
    <s v="322573999"/>
    <s v="15121"/>
    <s v="סהר דולב"/>
    <n v="0"/>
    <s v="36    "/>
    <x v="0"/>
    <d v="2022-08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5132"/>
    <s v="סולומון אנאבל סופי"/>
    <s v="סולומון"/>
    <s v="אנאבל סופי"/>
    <s v="נ "/>
    <d v="2005-06-04T00:00:00"/>
    <n v="20"/>
    <x v="199"/>
    <x v="199"/>
    <s v="פתוח      "/>
    <s v="חבר"/>
    <s v="328275789"/>
    <s v="15021"/>
    <s v="סולומון איזיק"/>
    <n v="2"/>
    <s v="8     "/>
    <x v="11"/>
    <d v="2024-10-29T00:00:00"/>
    <s v="רווק"/>
    <s v="--"/>
    <s v=""/>
    <n v="0"/>
    <n v="0"/>
    <n v="0"/>
    <n v="1"/>
    <b v="0"/>
    <n v="0"/>
    <n v="0"/>
    <n v="0"/>
    <n v="0"/>
    <n v="38712.123809523808"/>
    <n v="14419.095238095237"/>
    <n v="2026"/>
    <n v="2800.8521739130433"/>
    <n v="2028"/>
    <n v="47619.047619047618"/>
    <n v="2026"/>
    <n v="0"/>
    <s v=""/>
    <n v="0"/>
    <n v="0"/>
  </r>
  <r>
    <s v="16021"/>
    <s v="עובדיה ישראל"/>
    <s v="עובדיה"/>
    <s v="ישראל"/>
    <s v="ז "/>
    <d v="1952-08-02T00:00:00"/>
    <n v="73"/>
    <x v="204"/>
    <x v="204"/>
    <s v="פתוח      "/>
    <s v="חבר"/>
    <s v="051214922"/>
    <s v="16021"/>
    <s v="עובדיה ישראל"/>
    <n v="2"/>
    <s v="1     "/>
    <x v="3"/>
    <d v="198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2.69"/>
    <n v="0"/>
    <n v="0"/>
  </r>
  <r>
    <s v="16022"/>
    <s v="עובדיה וונדי"/>
    <s v="עובדיה"/>
    <s v="וונדי"/>
    <s v="נ "/>
    <d v="1955-02-19T00:00:00"/>
    <n v="70"/>
    <x v="204"/>
    <x v="204"/>
    <s v="פתוח      "/>
    <s v="חבר"/>
    <s v="013515572"/>
    <s v="16021"/>
    <s v="עובדיה ישראל"/>
    <n v="2"/>
    <s v="1     "/>
    <x v="3"/>
    <d v="1980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24"/>
    <n v="0"/>
    <n v="0"/>
  </r>
  <r>
    <s v="16071"/>
    <s v="גרוס אלעד"/>
    <s v="גרוס"/>
    <s v="אלעד"/>
    <s v="ז "/>
    <d v="1992-05-17T00:00:00"/>
    <n v="33"/>
    <x v="205"/>
    <x v="205"/>
    <s v="פתוח      "/>
    <s v="חבר"/>
    <s v="203529540"/>
    <s v="16071"/>
    <s v="גרוס אלעד"/>
    <n v="2"/>
    <s v="1     "/>
    <x v="3"/>
    <d v="2024-04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43"/>
    <n v="5149.7488350000003"/>
    <n v="0"/>
  </r>
  <r>
    <s v="16072"/>
    <s v="גרוס אביב"/>
    <s v="גרוס"/>
    <s v="אביב"/>
    <s v="נ "/>
    <d v="1993-10-27T00:00:00"/>
    <n v="32"/>
    <x v="205"/>
    <x v="205"/>
    <s v="פתוח      "/>
    <s v="חבר"/>
    <s v="311225445"/>
    <s v="16071"/>
    <s v="גרוס אלעד"/>
    <n v="2"/>
    <s v="1     "/>
    <x v="3"/>
    <d v="2024-04-09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43"/>
    <n v="5149.7488350000003"/>
    <n v="0"/>
  </r>
  <r>
    <s v="03125"/>
    <s v="כרמל הדר"/>
    <s v="כרמל"/>
    <s v="הדר"/>
    <s v="ז "/>
    <d v="2016-06-14T00:00:00"/>
    <n v="9"/>
    <x v="96"/>
    <x v="96"/>
    <s v="פתוח      "/>
    <s v="חבר"/>
    <s v="224852517"/>
    <s v="03121"/>
    <s v="כרמל איתמר"/>
    <n v="2"/>
    <s v="4     "/>
    <x v="8"/>
    <d v="2016-06-14T00:00:00"/>
    <s v="רווק"/>
    <s v="יסודי"/>
    <n v="18"/>
    <n v="0"/>
    <n v="0"/>
    <n v="0"/>
    <n v="1"/>
    <b v="0"/>
    <n v="4883.5315384615378"/>
    <n v="2029"/>
    <n v="0"/>
    <n v="0"/>
    <n v="17420.455714285716"/>
    <n v="6488.5928571428567"/>
    <n v="2037"/>
    <n v="1260.3834782608697"/>
    <n v="2039"/>
    <n v="21428.571428571428"/>
    <n v="2037"/>
    <n v="0"/>
    <s v=""/>
    <n v="0"/>
    <n v="0"/>
  </r>
  <r>
    <s v="05106"/>
    <s v="הולצר רז"/>
    <s v="הולצר"/>
    <s v="רז"/>
    <s v="נ "/>
    <d v="2016-12-28T00:00:00"/>
    <n v="9"/>
    <x v="97"/>
    <x v="97"/>
    <s v="פתוח      "/>
    <s v="חבר"/>
    <s v="343192308"/>
    <s v="05101"/>
    <s v="הולצר מרדכי"/>
    <n v="2"/>
    <s v="4     "/>
    <x v="8"/>
    <d v="2016-12-28T00:00:00"/>
    <s v="רווק"/>
    <s v="יסודי"/>
    <n v="18"/>
    <n v="0"/>
    <n v="0"/>
    <n v="0"/>
    <n v="1"/>
    <b v="0"/>
    <n v="0"/>
    <n v="0"/>
    <n v="4126.9574999999995"/>
    <n v="2028"/>
    <n v="17420.455714285716"/>
    <n v="6488.5928571428567"/>
    <n v="2037"/>
    <n v="1260.3834782608697"/>
    <n v="2039"/>
    <n v="21428.571428571428"/>
    <n v="2037"/>
    <n v="0"/>
    <s v=""/>
    <n v="0"/>
    <n v="0"/>
  </r>
  <r>
    <s v="05234"/>
    <s v="הבר מתן  בניה"/>
    <s v="הבר"/>
    <s v="מתן  בניה"/>
    <s v="ז "/>
    <d v="2016-08-03T00:00:00"/>
    <n v="9"/>
    <x v="131"/>
    <x v="131"/>
    <s v="פתוח      "/>
    <s v="חבר"/>
    <s v="341884617"/>
    <s v="05231"/>
    <s v="הבר נועם  אהרון"/>
    <n v="2"/>
    <s v="4     "/>
    <x v="8"/>
    <d v="2024-09-01T00:00:00"/>
    <s v="רווק"/>
    <s v="יסודי"/>
    <n v="18"/>
    <n v="0"/>
    <n v="0"/>
    <n v="0"/>
    <n v="1"/>
    <b v="0"/>
    <n v="4883.5315384615378"/>
    <n v="2029"/>
    <n v="0"/>
    <n v="0"/>
    <n v="17420.455714285716"/>
    <n v="6488.5928571428567"/>
    <n v="2037"/>
    <n v="1260.3834782608697"/>
    <n v="2039"/>
    <n v="21428.571428571428"/>
    <n v="2037"/>
    <n v="0"/>
    <s v=""/>
    <n v="0"/>
    <n v="0"/>
  </r>
  <r>
    <s v="17032"/>
    <s v="פורת אסתר"/>
    <s v="פורת"/>
    <s v="אסתר"/>
    <s v="נ "/>
    <d v="1932-11-09T00:00:00"/>
    <n v="93"/>
    <x v="206"/>
    <x v="206"/>
    <s v="פתוח      "/>
    <s v="חבר"/>
    <s v="000032300"/>
    <s v="17032"/>
    <s v="פורת אסתר"/>
    <n v="1"/>
    <s v="1     "/>
    <x v="3"/>
    <d v="1966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36.25"/>
    <n v="0"/>
    <n v="0"/>
  </r>
  <r>
    <s v="17061"/>
    <s v="פטרסון אליהו"/>
    <s v="פטרסון"/>
    <s v="אליהו"/>
    <s v="ז "/>
    <d v="1947-04-04T00:00:00"/>
    <n v="78"/>
    <x v="207"/>
    <x v="207"/>
    <s v="פתוח      "/>
    <s v="חבר"/>
    <s v="015158462"/>
    <s v="17061"/>
    <s v="פטרסון אליהו"/>
    <n v="1"/>
    <s v="1     "/>
    <x v="3"/>
    <d v="1979-12-31T00:00:00"/>
    <s v="נשוי"/>
    <s v="--"/>
    <s v=""/>
    <n v="1564"/>
    <n v="7500"/>
    <n v="0"/>
    <n v="0"/>
    <b v="0"/>
    <n v="0"/>
    <n v="0"/>
    <n v="0"/>
    <n v="0"/>
    <n v="0"/>
    <n v="0"/>
    <n v="0"/>
    <n v="0"/>
    <n v="0"/>
    <n v="0"/>
    <n v="0"/>
    <n v="0"/>
    <n v="38.479999999999997"/>
    <n v="0"/>
    <n v="0"/>
  </r>
  <r>
    <s v="17071"/>
    <s v="פלישמן ברוך"/>
    <s v="פלישמן"/>
    <s v="ברוך"/>
    <s v="ז "/>
    <d v="1957-09-19T00:00:00"/>
    <n v="68"/>
    <x v="208"/>
    <x v="208"/>
    <s v="פתוח      "/>
    <s v="חבר"/>
    <s v="054782966"/>
    <s v="17071"/>
    <s v="פלישמן ברוך"/>
    <n v="2"/>
    <s v="1     "/>
    <x v="3"/>
    <d v="1981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4.53"/>
    <n v="0"/>
    <n v="0"/>
  </r>
  <r>
    <s v="17072"/>
    <s v="פלישמן אסנת"/>
    <s v="פלישמן"/>
    <s v="אסנת"/>
    <s v="נ "/>
    <d v="1958-03-18T00:00:00"/>
    <n v="67"/>
    <x v="208"/>
    <x v="208"/>
    <s v="פתוח      "/>
    <s v="חבר"/>
    <s v="055132922"/>
    <s v="17071"/>
    <s v="פלישמן ברוך"/>
    <n v="2"/>
    <s v="1     "/>
    <x v="3"/>
    <d v="1976-12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7082"/>
    <s v="פז תמר"/>
    <s v="פז"/>
    <s v="תמר"/>
    <s v="נ "/>
    <d v="1964-04-16T00:00:00"/>
    <n v="61"/>
    <x v="209"/>
    <x v="209"/>
    <s v="פתוח      "/>
    <s v="חבר"/>
    <s v="058726142"/>
    <s v="17082"/>
    <s v="פז תמר"/>
    <n v="1"/>
    <s v="1     "/>
    <x v="3"/>
    <d v="1997-09-01T00:00:00"/>
    <s v="אלמן"/>
    <s v="--"/>
    <s v=""/>
    <n v="0"/>
    <n v="0"/>
    <n v="4900"/>
    <n v="0"/>
    <b v="0"/>
    <n v="0"/>
    <n v="0"/>
    <n v="0"/>
    <n v="0"/>
    <n v="0"/>
    <n v="0"/>
    <n v="0"/>
    <n v="0"/>
    <n v="0"/>
    <n v="0"/>
    <n v="0"/>
    <n v="0"/>
    <n v="30.02"/>
    <n v="0"/>
    <n v="40269.277124999986"/>
  </r>
  <r>
    <s v="17101"/>
    <s v="פרג`ון מרדכי"/>
    <s v="פרג`ון"/>
    <s v="מרדכי"/>
    <s v="ז "/>
    <d v="1960-11-24T00:00:00"/>
    <n v="65"/>
    <x v="210"/>
    <x v="210"/>
    <s v="פתוח      "/>
    <s v="חבר"/>
    <s v="056584758"/>
    <s v="17101"/>
    <s v="פרג`ון מרדכי"/>
    <n v="2"/>
    <s v="1     "/>
    <x v="3"/>
    <d v="1989-07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130000000000003"/>
    <n v="0"/>
    <n v="0"/>
  </r>
  <r>
    <s v="17102"/>
    <s v="פרג`ון אורית"/>
    <s v="פרג`ון"/>
    <s v="אורית"/>
    <s v="נ "/>
    <d v="1965-07-11T00:00:00"/>
    <n v="60"/>
    <x v="210"/>
    <x v="210"/>
    <s v="פתוח      "/>
    <s v="חבר"/>
    <s v="059692061"/>
    <s v="17101"/>
    <s v="פרג`ון מרדכי"/>
    <n v="2"/>
    <s v="1     "/>
    <x v="3"/>
    <d v="1989-07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6.130000000000003"/>
    <n v="0"/>
    <n v="56650.454437500004"/>
  </r>
  <r>
    <s v="17121"/>
    <s v="פליישמן דורי-אביגדור"/>
    <s v="פליישמן"/>
    <s v="דורי-אביגדור"/>
    <s v="ז "/>
    <d v="1983-02-26T00:00:00"/>
    <n v="42"/>
    <x v="211"/>
    <x v="211"/>
    <s v="פתוח      "/>
    <s v="חבר"/>
    <s v="039907795"/>
    <s v="17121"/>
    <s v="פליישמן דורי-אביגדור"/>
    <n v="2"/>
    <s v="1     "/>
    <x v="3"/>
    <d v="2020-06-0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2100000000000009"/>
    <n v="12326.366744999999"/>
    <n v="0"/>
  </r>
  <r>
    <s v="17122"/>
    <s v="פליישמן דינה"/>
    <s v="פליישמן"/>
    <s v="דינה"/>
    <s v="נ "/>
    <d v="1986-08-11T00:00:00"/>
    <n v="39"/>
    <x v="211"/>
    <x v="211"/>
    <s v="פתוח      "/>
    <s v="חבר"/>
    <s v="300005386"/>
    <s v="17121"/>
    <s v="פליישמן דורי-אביגדור"/>
    <n v="2"/>
    <s v="1     "/>
    <x v="3"/>
    <d v="2020-06-0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7.25"/>
    <n v="10885.037624999997"/>
    <n v="0"/>
  </r>
  <r>
    <s v="07055"/>
    <s v="זיו נווה"/>
    <s v="זיו"/>
    <s v="נווה"/>
    <s v="ז "/>
    <d v="2016-06-23T00:00:00"/>
    <n v="9"/>
    <x v="151"/>
    <x v="151"/>
    <s v="פתוח      "/>
    <s v="חבר"/>
    <s v="224120758"/>
    <s v="07051"/>
    <s v="זיו עמית"/>
    <n v="2"/>
    <s v="4     "/>
    <x v="8"/>
    <d v="2017-09-01T00:00:00"/>
    <s v="רווק"/>
    <s v="יסודי"/>
    <n v="18"/>
    <n v="0"/>
    <n v="0"/>
    <n v="0"/>
    <n v="1"/>
    <b v="0"/>
    <n v="4883.5315384615378"/>
    <n v="2029"/>
    <n v="0"/>
    <n v="0"/>
    <n v="17420.455714285716"/>
    <n v="6488.5928571428567"/>
    <n v="2037"/>
    <n v="1260.3834782608697"/>
    <n v="2039"/>
    <n v="21428.571428571428"/>
    <n v="2037"/>
    <n v="0"/>
    <s v=""/>
    <n v="0"/>
    <n v="0"/>
  </r>
  <r>
    <s v="08155"/>
    <s v="חסון נועם שמואל"/>
    <s v="חסון"/>
    <s v="נועם שמואל"/>
    <s v="ז "/>
    <d v="2016-08-01T00:00:00"/>
    <n v="9"/>
    <x v="133"/>
    <x v="133"/>
    <s v="פתוח      "/>
    <s v="חבר"/>
    <s v="341669711"/>
    <s v="08151"/>
    <s v="חסון טל"/>
    <n v="2"/>
    <s v="4     "/>
    <x v="8"/>
    <d v="2016-08-01T00:00:00"/>
    <s v="רווק"/>
    <s v="יסודי"/>
    <n v="18"/>
    <n v="0"/>
    <n v="0"/>
    <n v="0"/>
    <n v="1"/>
    <b v="0"/>
    <n v="4883.5315384615378"/>
    <n v="2029"/>
    <n v="0"/>
    <n v="0"/>
    <n v="17420.455714285716"/>
    <n v="6488.5928571428567"/>
    <n v="2037"/>
    <n v="1260.3834782608697"/>
    <n v="2039"/>
    <n v="21428.571428571428"/>
    <n v="2037"/>
    <n v="0"/>
    <s v=""/>
    <n v="0"/>
    <n v="0"/>
  </r>
  <r>
    <s v="17141"/>
    <s v="גוב ארי מרדכי"/>
    <s v="גוב ארי"/>
    <s v="מרדכי"/>
    <s v="ז "/>
    <d v="1981-12-16T00:00:00"/>
    <n v="44"/>
    <x v="212"/>
    <x v="212"/>
    <s v="פתוח      "/>
    <s v="חבר"/>
    <s v="043542612"/>
    <s v="17141"/>
    <s v="גוב ארי מרדכי"/>
    <n v="2"/>
    <s v="1     "/>
    <x v="3"/>
    <d v="2019-01-3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59"/>
    <n v="12896.892854999998"/>
    <n v="0"/>
  </r>
  <r>
    <s v="17142"/>
    <s v="גוב ארי אורטל"/>
    <s v="גוב ארי"/>
    <s v="אורטל"/>
    <s v="נ "/>
    <d v="1985-04-10T00:00:00"/>
    <n v="40"/>
    <x v="212"/>
    <x v="212"/>
    <s v="פתוח      "/>
    <s v="חבר"/>
    <s v="036905719"/>
    <s v="17141"/>
    <s v="גוב ארי מרדכי"/>
    <n v="2"/>
    <s v="1     "/>
    <x v="3"/>
    <d v="2011-12-3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5.93"/>
    <n v="23917.055084999996"/>
    <n v="0"/>
  </r>
  <r>
    <s v="12244"/>
    <s v="לאופר נופר"/>
    <s v="לאופר"/>
    <s v="נופר"/>
    <s v="נ "/>
    <d v="2016-05-24T00:00:00"/>
    <n v="9"/>
    <x v="159"/>
    <x v="159"/>
    <s v="פתוח      "/>
    <s v="חבר"/>
    <s v="224854471"/>
    <s v="12241"/>
    <s v="לאופר יובל"/>
    <n v="2"/>
    <s v="4     "/>
    <x v="8"/>
    <d v="2016-05-24T00:00:00"/>
    <s v="רווק"/>
    <s v="יסודי"/>
    <n v="18"/>
    <n v="0"/>
    <n v="0"/>
    <n v="0"/>
    <n v="1"/>
    <b v="0"/>
    <n v="0"/>
    <n v="0"/>
    <n v="4126.9574999999995"/>
    <n v="2028"/>
    <n v="17420.455714285716"/>
    <n v="6488.5928571428567"/>
    <n v="2037"/>
    <n v="1260.3834782608697"/>
    <n v="2039"/>
    <n v="21428.571428571428"/>
    <n v="2037"/>
    <n v="0"/>
    <s v=""/>
    <n v="0"/>
    <n v="0"/>
  </r>
  <r>
    <s v="13043"/>
    <s v="מור יוסף עברי שלום"/>
    <s v="מור יוסף"/>
    <s v="עברי שלום"/>
    <s v="ז "/>
    <d v="2016-11-01T00:00:00"/>
    <n v="9"/>
    <x v="194"/>
    <x v="194"/>
    <s v="פתוח      "/>
    <s v="חבר"/>
    <s v="340660331"/>
    <s v="13041"/>
    <s v="מור יוסף אליה"/>
    <n v="2"/>
    <s v="4     "/>
    <x v="8"/>
    <d v="2020-11-01T00:00:00"/>
    <s v="רווק"/>
    <s v="יסודי"/>
    <n v="18"/>
    <n v="0"/>
    <n v="0"/>
    <n v="0"/>
    <n v="1"/>
    <b v="0"/>
    <n v="4883.5315384615378"/>
    <n v="2029"/>
    <n v="0"/>
    <n v="0"/>
    <n v="17420.455714285716"/>
    <n v="6488.5928571428567"/>
    <n v="2037"/>
    <n v="1260.3834782608697"/>
    <n v="2039"/>
    <n v="21428.571428571428"/>
    <n v="2037"/>
    <n v="0"/>
    <s v=""/>
    <n v="0"/>
    <n v="0"/>
  </r>
  <r>
    <s v="19236"/>
    <s v="קליין סיני     דוד"/>
    <s v="קליין"/>
    <s v="סיני     דוד"/>
    <s v="ז "/>
    <d v="2016-04-21T00:00:00"/>
    <n v="9"/>
    <x v="128"/>
    <x v="128"/>
    <s v="פתוח      "/>
    <s v="חבר"/>
    <s v="342049772"/>
    <s v="19231"/>
    <s v="קליין דן-צבי"/>
    <n v="2"/>
    <s v="4     "/>
    <x v="8"/>
    <d v="2016-04-21T00:00:00"/>
    <s v="רווק"/>
    <s v="יסודי"/>
    <n v="18"/>
    <n v="0"/>
    <n v="0"/>
    <n v="0"/>
    <n v="1"/>
    <b v="0"/>
    <n v="4883.5315384615378"/>
    <n v="2029"/>
    <n v="0"/>
    <n v="0"/>
    <n v="17420.455714285716"/>
    <n v="6488.5928571428567"/>
    <n v="2037"/>
    <n v="1260.3834782608697"/>
    <n v="2039"/>
    <n v="21428.571428571428"/>
    <n v="2037"/>
    <n v="0"/>
    <s v=""/>
    <n v="0"/>
    <n v="0"/>
  </r>
  <r>
    <s v="01444"/>
    <s v="אריה גלי"/>
    <s v="אריה"/>
    <s v="גלי"/>
    <s v="נ "/>
    <d v="2017-08-16T00:00:00"/>
    <n v="8"/>
    <x v="33"/>
    <x v="33"/>
    <s v="פתוח      "/>
    <s v="חבר"/>
    <s v="343344008"/>
    <s v="01441"/>
    <s v="אריה צוריאל"/>
    <n v="2"/>
    <s v="4     "/>
    <x v="8"/>
    <d v="2017-08-16T00:00:00"/>
    <s v="רווק"/>
    <s v="יסודי"/>
    <n v="18"/>
    <n v="0"/>
    <n v="0"/>
    <n v="0"/>
    <n v="1"/>
    <b v="0"/>
    <n v="0"/>
    <n v="0"/>
    <n v="3668.4066666666663"/>
    <n v="2029"/>
    <n v="15484.849523809524"/>
    <n v="5767.638095238095"/>
    <n v="2038"/>
    <n v="1120.3408695652174"/>
    <n v="2040"/>
    <n v="19047.619047619046"/>
    <n v="2038"/>
    <n v="0"/>
    <s v=""/>
    <n v="0"/>
    <n v="0"/>
  </r>
  <r>
    <s v="17221"/>
    <s v="פרג`ון נוה"/>
    <s v="פרג`ון"/>
    <s v="נוה"/>
    <s v="ז "/>
    <d v="1994-02-12T00:00:00"/>
    <n v="31"/>
    <x v="213"/>
    <x v="213"/>
    <s v="פתוח      "/>
    <s v="תושב לגביה"/>
    <s v="312494206"/>
    <s v="17221"/>
    <s v="פרג`ון נוה"/>
    <n v="0"/>
    <s v="2     "/>
    <x v="10"/>
    <d v="2025-06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7222"/>
    <s v="פרג`ון שקד"/>
    <s v="פרג`ון"/>
    <s v="שקד"/>
    <s v="נ "/>
    <d v="1996-05-23T00:00:00"/>
    <n v="29"/>
    <x v="213"/>
    <x v="213"/>
    <s v="פתוח      "/>
    <s v="תושב לגביה"/>
    <s v="316096270"/>
    <s v="17221"/>
    <s v="פרג`ון נוה"/>
    <n v="0"/>
    <s v="2     "/>
    <x v="10"/>
    <d v="2025-06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3175"/>
    <s v="גורי יהודה"/>
    <s v="גורי"/>
    <s v="יהודה"/>
    <s v="ז "/>
    <d v="2017-08-25T00:00:00"/>
    <n v="8"/>
    <x v="103"/>
    <x v="103"/>
    <s v="פתוח      "/>
    <s v="חבר"/>
    <s v="224963330"/>
    <s v="03171"/>
    <s v="גורי יעקב"/>
    <n v="2"/>
    <s v="4     "/>
    <x v="8"/>
    <d v="2018-11-01T00:00:00"/>
    <s v="רווק"/>
    <s v="יסודי"/>
    <n v="18"/>
    <n v="0"/>
    <n v="0"/>
    <n v="0"/>
    <n v="1"/>
    <b v="0"/>
    <n v="4340.916923076923"/>
    <n v="2030"/>
    <n v="0"/>
    <n v="0"/>
    <n v="15484.849523809524"/>
    <n v="5767.638095238095"/>
    <n v="2038"/>
    <n v="1120.3408695652174"/>
    <n v="2040"/>
    <n v="19047.619047619046"/>
    <n v="2038"/>
    <n v="0"/>
    <s v=""/>
    <n v="0"/>
    <n v="0"/>
  </r>
  <r>
    <s v="06143"/>
    <s v="וילק אמרי"/>
    <s v="וילק"/>
    <s v="אמרי"/>
    <s v="ז "/>
    <d v="2017-12-03T00:00:00"/>
    <n v="8"/>
    <x v="147"/>
    <x v="147"/>
    <s v="פתוח      "/>
    <s v="חבר"/>
    <s v="344152996"/>
    <s v="06141"/>
    <s v="וילק נדב"/>
    <n v="2"/>
    <s v="4     "/>
    <x v="8"/>
    <d v="2019-12-01T00:00:00"/>
    <s v="רווק"/>
    <s v="יסודי"/>
    <n v="18"/>
    <n v="0"/>
    <n v="0"/>
    <n v="0"/>
    <n v="1"/>
    <b v="0"/>
    <n v="4340.916923076923"/>
    <n v="2030"/>
    <n v="0"/>
    <n v="0"/>
    <n v="15484.849523809524"/>
    <n v="5767.638095238095"/>
    <n v="2038"/>
    <n v="1120.3408695652174"/>
    <n v="2040"/>
    <n v="19047.619047619046"/>
    <n v="2038"/>
    <n v="0"/>
    <s v=""/>
    <n v="0"/>
    <n v="0"/>
  </r>
  <r>
    <s v="12135"/>
    <s v="הורן כרמל"/>
    <s v="הורן"/>
    <s v="כרמל"/>
    <s v="נ "/>
    <d v="2017-11-28T00:00:00"/>
    <n v="8"/>
    <x v="184"/>
    <x v="184"/>
    <s v="פתוח      "/>
    <s v="חבר"/>
    <s v="226019503"/>
    <s v="12131"/>
    <s v="הורן יהודה  שלום"/>
    <n v="2"/>
    <s v="4     "/>
    <x v="8"/>
    <d v="2017-11-28T00:00:00"/>
    <s v="רווק"/>
    <s v="יסודי"/>
    <n v="18"/>
    <n v="0"/>
    <n v="0"/>
    <n v="0"/>
    <n v="1"/>
    <b v="0"/>
    <n v="0"/>
    <n v="0"/>
    <n v="3668.4066666666663"/>
    <n v="2029"/>
    <n v="15484.849523809524"/>
    <n v="5767.638095238095"/>
    <n v="2038"/>
    <n v="1120.3408695652174"/>
    <n v="2040"/>
    <n v="19047.619047619046"/>
    <n v="2038"/>
    <n v="0"/>
    <s v=""/>
    <n v="0"/>
    <n v="0"/>
  </r>
  <r>
    <s v="17261"/>
    <s v="רוזנברג נעם"/>
    <s v="רוזנברג"/>
    <s v="נעם"/>
    <s v="ז "/>
    <d v="1999-06-24T00:00:00"/>
    <n v="26"/>
    <x v="65"/>
    <x v="65"/>
    <s v="פתוח      "/>
    <s v="תושב לגביה"/>
    <s v="206432189"/>
    <s v="17261"/>
    <s v="רוזנברג נעם"/>
    <n v="0"/>
    <s v="6     "/>
    <x v="1"/>
    <d v="2025-08-05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3018"/>
    <s v="מידב ענג   דבורה לאה"/>
    <s v="מידב"/>
    <s v="ענג   דבורה לאה"/>
    <s v="נ "/>
    <d v="2017-01-14T00:00:00"/>
    <n v="8"/>
    <x v="126"/>
    <x v="126"/>
    <s v="פתוח      "/>
    <s v="חבר"/>
    <s v="224969667"/>
    <s v="13011"/>
    <s v="מידב כפיר"/>
    <n v="2"/>
    <s v="4     "/>
    <x v="8"/>
    <d v="2017-01-14T00:00:00"/>
    <s v="רווק"/>
    <s v="יסודי"/>
    <n v="18"/>
    <n v="0"/>
    <n v="0"/>
    <n v="0"/>
    <n v="1"/>
    <b v="0"/>
    <n v="0"/>
    <n v="0"/>
    <n v="3668.4066666666663"/>
    <n v="2029"/>
    <n v="15484.849523809524"/>
    <n v="5767.638095238095"/>
    <n v="2038"/>
    <n v="1120.3408695652174"/>
    <n v="2040"/>
    <n v="19047.619047619046"/>
    <n v="2038"/>
    <n v="0"/>
    <s v=""/>
    <n v="0"/>
    <n v="0"/>
  </r>
  <r>
    <s v="17263"/>
    <s v="רוזנברג נריה ברוך"/>
    <s v="רוזנברג"/>
    <s v="נריה ברוך"/>
    <s v="ז "/>
    <d v="2024-08-10T00:00:00"/>
    <n v="1"/>
    <x v="65"/>
    <x v="65"/>
    <s v="פתוח      "/>
    <s v="תושב לגביה"/>
    <s v="241310796"/>
    <s v="17261"/>
    <s v="רוזנברג נעם"/>
    <n v="0"/>
    <s v="17    "/>
    <x v="2"/>
    <d v="2025-08-05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3063"/>
    <s v="מנשאוף דרור דוד"/>
    <s v="מנשאוף"/>
    <s v="דרור דוד"/>
    <s v="ז "/>
    <d v="2017-01-13T00:00:00"/>
    <n v="8"/>
    <x v="196"/>
    <x v="196"/>
    <s v="פתוח      "/>
    <s v="חבר"/>
    <s v="225231943"/>
    <s v="13061"/>
    <s v="מנשאוף יאיר"/>
    <n v="2"/>
    <s v="4     "/>
    <x v="8"/>
    <d v="2022-08-01T00:00:00"/>
    <s v="רווק"/>
    <s v="יסודי"/>
    <n v="18"/>
    <n v="0"/>
    <n v="0"/>
    <n v="0"/>
    <n v="1"/>
    <b v="0"/>
    <n v="4340.916923076923"/>
    <n v="2030"/>
    <n v="0"/>
    <n v="0"/>
    <n v="15484.849523809524"/>
    <n v="5767.638095238095"/>
    <n v="2038"/>
    <n v="1120.3408695652174"/>
    <n v="2040"/>
    <n v="19047.619047619046"/>
    <n v="2038"/>
    <n v="0"/>
    <s v=""/>
    <n v="0"/>
    <n v="0"/>
  </r>
  <r>
    <s v="19041"/>
    <s v="קרליבך יובל"/>
    <s v="קרליבך"/>
    <s v="יובל"/>
    <s v="ז "/>
    <d v="1999-02-28T00:00:00"/>
    <n v="26"/>
    <x v="214"/>
    <x v="214"/>
    <s v="פתוח      "/>
    <s v="תושב לגביה"/>
    <s v="318850971"/>
    <s v="19041"/>
    <s v="קרליבך יובל"/>
    <n v="0"/>
    <s v="235   "/>
    <x v="14"/>
    <d v="2025-03-26T00:00:00"/>
    <s v="רווק"/>
    <s v="--"/>
    <s v=""/>
    <n v="0"/>
    <n v="0"/>
    <n v="0"/>
    <n v="1"/>
    <b v="1"/>
    <n v="0"/>
    <n v="0"/>
    <n v="0"/>
    <n v="0"/>
    <n v="50325.760952380959"/>
    <n v="18744.823809523808"/>
    <n v="2025"/>
    <n v="0"/>
    <n v="0"/>
    <n v="0"/>
    <n v="0"/>
    <n v="0"/>
    <s v=""/>
    <n v="0"/>
    <n v="0"/>
  </r>
  <r>
    <s v="19052"/>
    <s v="קרן אסתר"/>
    <s v="קרן"/>
    <s v="אסתר"/>
    <s v="נ "/>
    <d v="1931-02-28T00:00:00"/>
    <n v="94"/>
    <x v="215"/>
    <x v="215"/>
    <s v="פתוח      "/>
    <s v="חבר"/>
    <s v="041633397"/>
    <s v="19052"/>
    <s v="קרן אסתר"/>
    <n v="1"/>
    <s v="1     "/>
    <x v="3"/>
    <d v="1961-12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0.22"/>
    <n v="0"/>
    <n v="0"/>
  </r>
  <r>
    <s v="19061"/>
    <s v="קלוש אריה"/>
    <s v="קלוש"/>
    <s v="אריה"/>
    <s v="ז "/>
    <d v="1945-07-25T00:00:00"/>
    <n v="80"/>
    <x v="216"/>
    <x v="216"/>
    <s v="פתוח      "/>
    <s v="חבר"/>
    <s v="009882804"/>
    <s v="19061"/>
    <s v="קלוש אריה"/>
    <n v="2"/>
    <s v="1     "/>
    <x v="3"/>
    <d v="1972-12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2.19"/>
    <n v="0"/>
    <n v="0"/>
  </r>
  <r>
    <s v="19062"/>
    <s v="קלוש שלומית"/>
    <s v="קלוש"/>
    <s v="שלומית"/>
    <s v="נ "/>
    <d v="1956-04-10T00:00:00"/>
    <n v="69"/>
    <x v="216"/>
    <x v="216"/>
    <s v="פתוח      "/>
    <s v="חבר"/>
    <s v="054078878"/>
    <s v="19061"/>
    <s v="קלוש אריה"/>
    <n v="2"/>
    <s v="1     "/>
    <x v="3"/>
    <d v="1990-10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5.19"/>
    <n v="0"/>
    <n v="0"/>
  </r>
  <r>
    <s v="19071"/>
    <s v="קליין משה"/>
    <s v="קליין"/>
    <s v="משה"/>
    <s v="ז "/>
    <d v="1950-12-08T00:00:00"/>
    <n v="75"/>
    <x v="217"/>
    <x v="217"/>
    <s v="פתוח      "/>
    <s v="חבר"/>
    <s v="050389261"/>
    <s v="19071"/>
    <s v="קליין משה"/>
    <n v="2"/>
    <s v="1     "/>
    <x v="3"/>
    <d v="1996-06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9072"/>
    <s v="קליין נאוה"/>
    <s v="קליין"/>
    <s v="נאוה"/>
    <s v="נ "/>
    <d v="1957-04-20T00:00:00"/>
    <n v="68"/>
    <x v="217"/>
    <x v="217"/>
    <s v="פתוח      "/>
    <s v="חבר"/>
    <s v="054196035"/>
    <s v="19071"/>
    <s v="קליין משה"/>
    <n v="2"/>
    <s v="1     "/>
    <x v="3"/>
    <d v="1980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5.08"/>
    <n v="0"/>
    <n v="0"/>
  </r>
  <r>
    <s v="19081"/>
    <s v="קראוס נחמיה"/>
    <s v="קראוס"/>
    <s v="נחמיה"/>
    <s v="ז "/>
    <d v="1951-11-25T00:00:00"/>
    <n v="74"/>
    <x v="218"/>
    <x v="218"/>
    <s v="פתוח      "/>
    <s v="חבר"/>
    <s v="050770452"/>
    <s v="19081"/>
    <s v="קראוס נחמיה"/>
    <n v="2"/>
    <s v="1     "/>
    <x v="3"/>
    <d v="1969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19082"/>
    <s v="קראוס שלומית"/>
    <s v="קראוס"/>
    <s v="שלומית"/>
    <s v="נ "/>
    <d v="1957-12-26T00:00:00"/>
    <n v="68"/>
    <x v="218"/>
    <x v="218"/>
    <s v="פתוח      "/>
    <s v="חבר"/>
    <s v="054172010"/>
    <s v="19081"/>
    <s v="קראוס נחמיה"/>
    <n v="2"/>
    <s v="1     "/>
    <x v="3"/>
    <d v="1979-06-05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6.27"/>
    <n v="0"/>
    <n v="0"/>
  </r>
  <r>
    <s v="19101"/>
    <s v="קרליבך רועי"/>
    <s v="קרליבך"/>
    <s v="רועי"/>
    <s v="ז "/>
    <d v="1992-09-07T00:00:00"/>
    <n v="33"/>
    <x v="219"/>
    <x v="219"/>
    <s v="פתוח      "/>
    <s v="חבר"/>
    <s v="203737424"/>
    <s v="19101"/>
    <s v="קרליבך רועי"/>
    <n v="2"/>
    <s v="1     "/>
    <x v="3"/>
    <d v="2024-11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.99"/>
    <n v="4489.1396549999999"/>
    <n v="0"/>
  </r>
  <r>
    <s v="19102"/>
    <s v="קרליבך עינב"/>
    <s v="קרליבך"/>
    <s v="עינב"/>
    <s v="נ "/>
    <d v="1992-09-02T00:00:00"/>
    <n v="33"/>
    <x v="219"/>
    <x v="219"/>
    <s v="פתוח      "/>
    <s v="חבר"/>
    <s v="302283759"/>
    <s v="19101"/>
    <s v="קרליבך רועי"/>
    <n v="2"/>
    <s v="1     "/>
    <x v="3"/>
    <d v="2024-11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.99"/>
    <n v="4489.1396549999999"/>
    <n v="0"/>
  </r>
  <r>
    <s v="17143"/>
    <s v="גוב ארי אביגיל"/>
    <s v="גוב ארי"/>
    <s v="אביגיל"/>
    <s v="נ "/>
    <d v="2017-09-14T00:00:00"/>
    <n v="8"/>
    <x v="212"/>
    <x v="212"/>
    <s v="פתוח      "/>
    <s v="חבר"/>
    <s v="343213880"/>
    <s v="17141"/>
    <s v="גוב ארי מרדכי"/>
    <n v="2"/>
    <s v="4     "/>
    <x v="8"/>
    <d v="2017-09-14T00:00:00"/>
    <s v="רווק"/>
    <s v="יסודי"/>
    <n v="18"/>
    <n v="0"/>
    <n v="0"/>
    <n v="0"/>
    <n v="1"/>
    <b v="0"/>
    <n v="0"/>
    <n v="0"/>
    <n v="3668.4066666666663"/>
    <n v="2029"/>
    <n v="15484.849523809524"/>
    <n v="5767.638095238095"/>
    <n v="2038"/>
    <n v="1120.3408695652174"/>
    <n v="2040"/>
    <n v="19047.619047619046"/>
    <n v="2038"/>
    <n v="0"/>
    <s v=""/>
    <n v="0"/>
    <n v="0"/>
  </r>
  <r>
    <s v="19356"/>
    <s v="קליין הדס    יעקב"/>
    <s v="קליין"/>
    <s v="הדס    יעקב"/>
    <s v="ז "/>
    <d v="2017-08-07T00:00:00"/>
    <n v="8"/>
    <x v="135"/>
    <x v="135"/>
    <s v="פתוח      "/>
    <s v="חבר"/>
    <s v="343185500"/>
    <s v="19351"/>
    <s v="קליין יוחאי"/>
    <n v="2"/>
    <s v="4     "/>
    <x v="8"/>
    <d v="2017-08-07T00:00:00"/>
    <s v="רווק"/>
    <s v="יסודי"/>
    <n v="18"/>
    <n v="0"/>
    <n v="0"/>
    <n v="0"/>
    <n v="1"/>
    <b v="0"/>
    <n v="4340.916923076923"/>
    <n v="2030"/>
    <n v="0"/>
    <n v="0"/>
    <n v="15484.849523809524"/>
    <n v="5767.638095238095"/>
    <n v="2038"/>
    <n v="1120.3408695652174"/>
    <n v="2040"/>
    <n v="19047.619047619046"/>
    <n v="2038"/>
    <n v="0"/>
    <s v=""/>
    <n v="0"/>
    <n v="0"/>
  </r>
  <r>
    <s v="19111"/>
    <s v="קרליבך דוד"/>
    <s v="קרליבך"/>
    <s v="דוד"/>
    <s v="ז "/>
    <d v="1952-10-25T00:00:00"/>
    <n v="73"/>
    <x v="220"/>
    <x v="220"/>
    <s v="פתוח      "/>
    <s v="חבר"/>
    <s v="051532950"/>
    <s v="19111"/>
    <s v="קרליבך דוד"/>
    <n v="2"/>
    <s v="1     "/>
    <x v="3"/>
    <d v="1985-08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7.25"/>
    <n v="0"/>
    <n v="0"/>
  </r>
  <r>
    <s v="19112"/>
    <s v="קרליבך מיכל"/>
    <s v="קרליבך"/>
    <s v="מיכל"/>
    <s v="נ "/>
    <d v="1955-05-30T00:00:00"/>
    <n v="70"/>
    <x v="220"/>
    <x v="220"/>
    <s v="פתוח      "/>
    <s v="חבר"/>
    <s v="076878230"/>
    <s v="19111"/>
    <s v="קרליבך דוד"/>
    <n v="2"/>
    <s v="1     "/>
    <x v="3"/>
    <d v="1985-08-0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9.840000000000003"/>
    <n v="0"/>
    <n v="0"/>
  </r>
  <r>
    <s v="20307"/>
    <s v="ראבינסאן שירה"/>
    <s v="ראבינסאן"/>
    <s v="שירה"/>
    <s v="נ "/>
    <d v="2017-09-03T00:00:00"/>
    <n v="8"/>
    <x v="130"/>
    <x v="130"/>
    <s v="פתוח      "/>
    <s v="חבר"/>
    <s v="343608394"/>
    <s v="20301"/>
    <s v="ראבינסאן דגן"/>
    <n v="2"/>
    <s v="4     "/>
    <x v="8"/>
    <d v="2017-09-03T00:00:00"/>
    <s v="רווק"/>
    <s v="יסודי"/>
    <n v="18"/>
    <n v="0"/>
    <n v="0"/>
    <n v="0"/>
    <n v="1"/>
    <b v="0"/>
    <n v="0"/>
    <n v="0"/>
    <n v="3668.4066666666663"/>
    <n v="2029"/>
    <n v="15484.849523809524"/>
    <n v="5767.638095238095"/>
    <n v="2038"/>
    <n v="1120.3408695652174"/>
    <n v="2040"/>
    <n v="19047.619047619046"/>
    <n v="2038"/>
    <n v="0"/>
    <s v=""/>
    <n v="0"/>
    <n v="0"/>
  </r>
  <r>
    <s v="19131"/>
    <s v="קרן בני"/>
    <s v="קרן"/>
    <s v="בני"/>
    <s v="ז "/>
    <d v="1965-08-24T00:00:00"/>
    <n v="60"/>
    <x v="108"/>
    <x v="108"/>
    <s v="פתוח      "/>
    <s v="חבר"/>
    <s v="059667501"/>
    <s v="19131"/>
    <s v="קרן בני"/>
    <n v="2"/>
    <s v="1     "/>
    <x v="3"/>
    <d v="2000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0.950000000000003"/>
    <n v="0"/>
    <n v="69573.085312500014"/>
  </r>
  <r>
    <s v="19132"/>
    <s v="קרן רחל"/>
    <s v="קרן"/>
    <s v="רחל"/>
    <s v="נ "/>
    <d v="1969-12-23T00:00:00"/>
    <n v="56"/>
    <x v="108"/>
    <x v="108"/>
    <s v="פתוח      "/>
    <s v="חבר"/>
    <s v="024660094"/>
    <s v="19131"/>
    <s v="קרן בני"/>
    <n v="2"/>
    <s v="1     "/>
    <x v="3"/>
    <d v="2000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8.94"/>
    <n v="0"/>
    <n v="37373.749874999994"/>
  </r>
  <r>
    <s v="21198"/>
    <s v="שיין אביב יצחק"/>
    <s v="שיין"/>
    <s v="אביב יצחק"/>
    <s v="ז "/>
    <d v="2017-04-09T00:00:00"/>
    <n v="8"/>
    <x v="145"/>
    <x v="145"/>
    <s v="פתוח      "/>
    <s v="חבר"/>
    <s v="343334553"/>
    <s v="21191"/>
    <s v="שיין נפתלי"/>
    <n v="2"/>
    <s v="4     "/>
    <x v="8"/>
    <d v="2017-04-09T00:00:00"/>
    <s v="רווק"/>
    <s v="יסודי"/>
    <n v="18"/>
    <n v="0"/>
    <n v="0"/>
    <n v="0"/>
    <n v="1"/>
    <b v="0"/>
    <n v="4340.916923076923"/>
    <n v="2030"/>
    <n v="0"/>
    <n v="0"/>
    <n v="15484.849523809524"/>
    <n v="5767.638095238095"/>
    <n v="2038"/>
    <n v="1120.3408695652174"/>
    <n v="2040"/>
    <n v="19047.619047619046"/>
    <n v="2038"/>
    <n v="0"/>
    <s v=""/>
    <n v="0"/>
    <n v="0"/>
  </r>
  <r>
    <s v="19141"/>
    <s v="קרליבך יצחק"/>
    <s v="קרליבך"/>
    <s v="יצחק"/>
    <s v="ז "/>
    <d v="1970-09-04T00:00:00"/>
    <n v="55"/>
    <x v="127"/>
    <x v="127"/>
    <s v="פתוח      "/>
    <s v="חבר"/>
    <s v="027777135"/>
    <s v="19141"/>
    <s v="קרליבך יצחק"/>
    <n v="2"/>
    <s v="1     "/>
    <x v="3"/>
    <d v="2003-08-24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3.65"/>
    <n v="0"/>
    <n v="50001.46593749999"/>
  </r>
  <r>
    <s v="19142"/>
    <s v="קרליבך ורד"/>
    <s v="קרליבך"/>
    <s v="ורד"/>
    <s v="נ "/>
    <d v="1971-03-15T00:00:00"/>
    <n v="54"/>
    <x v="127"/>
    <x v="127"/>
    <s v="פתוח      "/>
    <s v="חבר"/>
    <s v="027948215"/>
    <s v="19141"/>
    <s v="קרליבך יצחק"/>
    <n v="2"/>
    <s v="1     "/>
    <x v="3"/>
    <d v="2002-09-1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4.98"/>
    <n v="37504.584809999993"/>
    <n v="0"/>
  </r>
  <r>
    <s v="01345"/>
    <s v="אלדד הראל"/>
    <s v="אלדד"/>
    <s v="הראל"/>
    <s v="ז "/>
    <d v="2018-07-14T00:00:00"/>
    <n v="7"/>
    <x v="26"/>
    <x v="26"/>
    <s v="פתוח      "/>
    <s v="חבר"/>
    <s v="226798312"/>
    <s v="01341"/>
    <s v="אלדד שלמה פינחס"/>
    <n v="2"/>
    <s v="4     "/>
    <x v="8"/>
    <d v="2018-07-14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03126"/>
    <s v="כרמל שקד"/>
    <s v="כרמל"/>
    <s v="שקד"/>
    <s v="ז "/>
    <d v="2018-03-09T00:00:00"/>
    <n v="7"/>
    <x v="96"/>
    <x v="96"/>
    <s v="פתוח      "/>
    <s v="חבר"/>
    <s v="227348869"/>
    <s v="03121"/>
    <s v="כרמל איתמר"/>
    <n v="2"/>
    <s v="4     "/>
    <x v="8"/>
    <d v="2018-03-09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05115"/>
    <s v="הופמן שירה"/>
    <s v="הופמן"/>
    <s v="שירה"/>
    <s v="נ "/>
    <d v="2018-01-24T00:00:00"/>
    <n v="7"/>
    <x v="125"/>
    <x v="125"/>
    <s v="פתוח      "/>
    <s v="חבר"/>
    <s v="225170224"/>
    <s v="05111"/>
    <s v="הופמן אלעד"/>
    <n v="2"/>
    <s v="4     "/>
    <x v="8"/>
    <d v="2018-01-24T00:00:00"/>
    <s v="רווק"/>
    <s v="יסודי"/>
    <n v="18"/>
    <n v="0"/>
    <n v="0"/>
    <n v="0"/>
    <n v="1"/>
    <b v="0"/>
    <n v="0"/>
    <n v="0"/>
    <n v="3209.8558333333335"/>
    <n v="2030"/>
    <n v="13549.243333333334"/>
    <n v="5046.6833333333325"/>
    <n v="2039"/>
    <n v="980.2982608695653"/>
    <n v="2041"/>
    <n v="16666.666666666664"/>
    <n v="2039"/>
    <n v="0"/>
    <s v=""/>
    <n v="0"/>
    <n v="0"/>
  </r>
  <r>
    <s v="19172"/>
    <s v="קרן נויה"/>
    <s v="קרן"/>
    <s v="נויה"/>
    <s v="נ "/>
    <d v="2001-05-15T00:00:00"/>
    <n v="24"/>
    <x v="221"/>
    <x v="221"/>
    <s v="פתוח      "/>
    <s v="תושב לגביה"/>
    <s v="322379496"/>
    <s v="19172"/>
    <s v="קרן נויה"/>
    <n v="0"/>
    <s v="236   "/>
    <x v="7"/>
    <d v="2024-09-01T00:00:00"/>
    <s v="רווק"/>
    <s v="--"/>
    <s v=""/>
    <n v="0"/>
    <n v="0"/>
    <n v="0"/>
    <n v="1"/>
    <b v="1"/>
    <n v="0"/>
    <n v="0"/>
    <n v="0"/>
    <n v="0"/>
    <n v="46454.548571428575"/>
    <n v="17302.914285714283"/>
    <n v="2025"/>
    <n v="0"/>
    <n v="0"/>
    <n v="0"/>
    <n v="0"/>
    <n v="0"/>
    <s v=""/>
    <n v="0"/>
    <n v="0"/>
  </r>
  <r>
    <s v="19182"/>
    <s v="קרן מוריה"/>
    <s v="קרן"/>
    <s v="מוריה"/>
    <s v="נ "/>
    <d v="2002-05-22T00:00:00"/>
    <n v="23"/>
    <x v="222"/>
    <x v="222"/>
    <s v="פתוח      "/>
    <s v="תושב לגביה"/>
    <s v="212940605"/>
    <s v="19182"/>
    <s v="קרן מוריה"/>
    <n v="0"/>
    <s v="236   "/>
    <x v="7"/>
    <d v="2024-11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19221"/>
    <s v="קרליבך ישי"/>
    <s v="קרליבך"/>
    <s v="ישי"/>
    <s v="ז "/>
    <d v="1982-01-04T00:00:00"/>
    <n v="43"/>
    <x v="153"/>
    <x v="153"/>
    <s v="פתוח      "/>
    <s v="חבר"/>
    <s v="052680881"/>
    <s v="19221"/>
    <s v="קרליבך ישי"/>
    <n v="2"/>
    <s v="1     "/>
    <x v="3"/>
    <d v="2020-06-0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0500000000000007"/>
    <n v="12086.145224999998"/>
    <n v="0"/>
  </r>
  <r>
    <s v="19222"/>
    <s v="קרליבך נועה    אסתר"/>
    <s v="קרליבך"/>
    <s v="נועה    אסתר"/>
    <s v="נ "/>
    <d v="1984-12-22T00:00:00"/>
    <n v="41"/>
    <x v="153"/>
    <x v="153"/>
    <s v="פתוח      "/>
    <s v="חבר"/>
    <s v="039763420"/>
    <s v="19221"/>
    <s v="קרליבך ישי"/>
    <n v="2"/>
    <s v="1     "/>
    <x v="3"/>
    <d v="2020-06-0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0500000000000007"/>
    <n v="12086.145224999998"/>
    <n v="0"/>
  </r>
  <r>
    <s v="05235"/>
    <s v="הבר שוהם  שרה"/>
    <s v="הבר"/>
    <s v="שוהם  שרה"/>
    <s v="נ "/>
    <d v="2018-08-21T00:00:00"/>
    <n v="7"/>
    <x v="131"/>
    <x v="131"/>
    <s v="פתוח      "/>
    <s v="חבר"/>
    <s v="226306785"/>
    <s v="05231"/>
    <s v="הבר נועם  אהרון"/>
    <n v="2"/>
    <s v="4     "/>
    <x v="8"/>
    <d v="2024-09-01T00:00:00"/>
    <s v="רווק"/>
    <s v="יסודי"/>
    <n v="18"/>
    <n v="0"/>
    <n v="0"/>
    <n v="0"/>
    <n v="1"/>
    <b v="0"/>
    <n v="0"/>
    <n v="0"/>
    <n v="3209.8558333333335"/>
    <n v="2030"/>
    <n v="13549.243333333334"/>
    <n v="5046.6833333333325"/>
    <n v="2039"/>
    <n v="980.2982608695653"/>
    <n v="2041"/>
    <n v="16666.666666666664"/>
    <n v="2039"/>
    <n v="0"/>
    <s v=""/>
    <n v="0"/>
    <n v="0"/>
  </r>
  <r>
    <s v="11077"/>
    <s v="כהן מעיין"/>
    <s v="כהן"/>
    <s v="מעיין"/>
    <s v="נ "/>
    <d v="2018-03-14T00:00:00"/>
    <n v="7"/>
    <x v="134"/>
    <x v="134"/>
    <s v="פתוח      "/>
    <s v="חבר"/>
    <s v="330021262"/>
    <s v="11071"/>
    <s v="כהן יונתן"/>
    <n v="2"/>
    <s v="4     "/>
    <x v="8"/>
    <d v="2020-08-03T00:00:00"/>
    <s v="רווק"/>
    <s v="יסודי"/>
    <n v="18"/>
    <n v="0"/>
    <n v="0"/>
    <n v="0"/>
    <n v="1"/>
    <b v="0"/>
    <n v="0"/>
    <n v="0"/>
    <n v="3209.8558333333335"/>
    <n v="2030"/>
    <n v="13549.243333333334"/>
    <n v="5046.6833333333325"/>
    <n v="2039"/>
    <n v="980.2982608695653"/>
    <n v="2041"/>
    <n v="16666.666666666664"/>
    <n v="2039"/>
    <n v="0"/>
    <s v=""/>
    <n v="0"/>
    <n v="0"/>
  </r>
  <r>
    <s v="12393"/>
    <s v="לבבי עמנואל שלום"/>
    <s v="לבבי"/>
    <s v="עמנואל שלום"/>
    <s v="ז "/>
    <d v="2018-04-22T00:00:00"/>
    <n v="7"/>
    <x v="192"/>
    <x v="192"/>
    <s v="פתוח      "/>
    <s v="חבר"/>
    <s v="225994342"/>
    <s v="12391"/>
    <s v="לבבי יוסף"/>
    <n v="2"/>
    <s v="4     "/>
    <x v="8"/>
    <d v="2020-03-01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15063"/>
    <s v="קדוש אסיף תמר"/>
    <s v="קדוש"/>
    <s v="אסיף תמר"/>
    <s v="נ "/>
    <d v="2018-09-22T00:00:00"/>
    <n v="7"/>
    <x v="200"/>
    <x v="200"/>
    <s v="פתוח      "/>
    <s v="חבר"/>
    <s v="225972769"/>
    <s v="15061"/>
    <s v="קדוש נסאל ניסים"/>
    <n v="2"/>
    <s v="4     "/>
    <x v="8"/>
    <d v="2019-02-01T00:00:00"/>
    <s v="רווק"/>
    <s v="יסודי"/>
    <n v="18"/>
    <n v="0"/>
    <n v="0"/>
    <n v="0"/>
    <n v="1"/>
    <b v="0"/>
    <n v="0"/>
    <n v="0"/>
    <n v="3209.8558333333335"/>
    <n v="2030"/>
    <n v="13549.243333333334"/>
    <n v="5046.6833333333325"/>
    <n v="2039"/>
    <n v="980.2982608695653"/>
    <n v="2041"/>
    <n v="16666.666666666664"/>
    <n v="2039"/>
    <n v="0"/>
    <s v=""/>
    <n v="0"/>
    <n v="0"/>
  </r>
  <r>
    <s v="17123"/>
    <s v="פליישמן איתן שי"/>
    <s v="פליישמן"/>
    <s v="איתן שי"/>
    <s v="ז "/>
    <d v="2018-08-10T00:00:00"/>
    <n v="7"/>
    <x v="211"/>
    <x v="211"/>
    <s v="פתוח      "/>
    <s v="חבר"/>
    <s v="226036507"/>
    <s v="17121"/>
    <s v="פליישמן דורי-אביגדור"/>
    <n v="2"/>
    <s v="4     "/>
    <x v="8"/>
    <d v="2018-08-10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19231"/>
    <s v="קליין דן-צבי"/>
    <s v="קליין"/>
    <s v="דן-צבי"/>
    <s v="ז "/>
    <d v="1983-10-19T00:00:00"/>
    <n v="42"/>
    <x v="128"/>
    <x v="128"/>
    <s v="פתוח      "/>
    <s v="חבר"/>
    <s v="041252222"/>
    <s v="19231"/>
    <s v="קליין דן-צבי"/>
    <n v="2"/>
    <s v="1     "/>
    <x v="3"/>
    <d v="2014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18"/>
    <n v="19788.247709999996"/>
    <n v="0"/>
  </r>
  <r>
    <s v="19232"/>
    <s v="קליין חדוה"/>
    <s v="קליין"/>
    <s v="חדוה"/>
    <s v="נ "/>
    <d v="1987-07-22T00:00:00"/>
    <n v="38"/>
    <x v="128"/>
    <x v="128"/>
    <s v="פתוח      "/>
    <s v="חבר"/>
    <s v="300902509"/>
    <s v="19231"/>
    <s v="קליין דן-צבי"/>
    <n v="2"/>
    <s v="1     "/>
    <x v="3"/>
    <d v="2014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18"/>
    <n v="19788.247709999996"/>
    <n v="0"/>
  </r>
  <r>
    <s v="19227"/>
    <s v="קרליבך צור"/>
    <s v="קרליבך"/>
    <s v="צור"/>
    <s v="ז "/>
    <d v="2018-12-25T00:00:00"/>
    <n v="7"/>
    <x v="153"/>
    <x v="153"/>
    <s v="פתוח      "/>
    <s v="חבר"/>
    <s v="223296914"/>
    <s v="19221"/>
    <s v="קרליבך ישי"/>
    <n v="2"/>
    <s v="4     "/>
    <x v="8"/>
    <d v="2018-12-25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19237"/>
    <s v="קליין יותם"/>
    <s v="קליין"/>
    <s v="יותם"/>
    <s v="ז "/>
    <d v="2018-07-04T00:00:00"/>
    <n v="7"/>
    <x v="128"/>
    <x v="128"/>
    <s v="פתוח      "/>
    <s v="חבר"/>
    <s v="227204849"/>
    <s v="19231"/>
    <s v="קליין דן-צבי"/>
    <n v="2"/>
    <s v="4     "/>
    <x v="8"/>
    <d v="2018-07-04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20314"/>
    <s v="לוי כרם"/>
    <s v="לוי"/>
    <s v="כרם"/>
    <s v="ז "/>
    <d v="2018-03-08T00:00:00"/>
    <n v="7"/>
    <x v="201"/>
    <x v="201"/>
    <s v="פתוח      "/>
    <s v="חבר"/>
    <s v="227348828"/>
    <s v="20311"/>
    <s v="לוי נדב"/>
    <n v="2"/>
    <s v="4     "/>
    <x v="8"/>
    <d v="2022-07-01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21015"/>
    <s v="דימנט נעמה רחל"/>
    <s v="דימנט"/>
    <s v="נעמה רחל"/>
    <s v="נ "/>
    <d v="2018-04-03T00:00:00"/>
    <n v="7"/>
    <x v="189"/>
    <x v="189"/>
    <s v="פתוח      "/>
    <s v="חבר"/>
    <s v="343637807"/>
    <s v="21011"/>
    <s v="דימנט דביר"/>
    <n v="2"/>
    <s v="4     "/>
    <x v="8"/>
    <d v="2021-10-02T00:00:00"/>
    <s v="רווק"/>
    <s v="יסודי"/>
    <n v="18"/>
    <n v="0"/>
    <n v="0"/>
    <n v="0"/>
    <n v="1"/>
    <b v="0"/>
    <n v="0"/>
    <n v="0"/>
    <n v="3209.8558333333335"/>
    <n v="2030"/>
    <n v="13549.243333333334"/>
    <n v="5046.6833333333325"/>
    <n v="2039"/>
    <n v="980.2982608695653"/>
    <n v="2041"/>
    <n v="16666.666666666664"/>
    <n v="2039"/>
    <n v="0"/>
    <s v=""/>
    <n v="0"/>
    <n v="0"/>
  </r>
  <r>
    <s v="21157"/>
    <s v="שוורץ יערי"/>
    <s v="שוורץ"/>
    <s v="יערי"/>
    <s v="ז "/>
    <d v="2018-12-26T00:00:00"/>
    <n v="7"/>
    <x v="144"/>
    <x v="144"/>
    <s v="פתוח      "/>
    <s v="חבר"/>
    <s v="226510402"/>
    <s v="21151"/>
    <s v="שוורץ רוני"/>
    <n v="2"/>
    <s v="4     "/>
    <x v="8"/>
    <d v="2018-12-26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19242"/>
    <s v="קרליבך הילה שרה"/>
    <s v="קרליבך"/>
    <s v="הילה שרה"/>
    <s v="נ "/>
    <d v="2002-12-04T00:00:00"/>
    <n v="23"/>
    <x v="223"/>
    <x v="223"/>
    <s v="פתוח      "/>
    <s v="תושב לגביה"/>
    <s v="212935043"/>
    <s v="19242"/>
    <s v="קרליבך הילה שרה"/>
    <n v="0"/>
    <s v="36    "/>
    <x v="0"/>
    <d v="2025-03-28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19262"/>
    <s v="קרן הדר"/>
    <s v="קרן"/>
    <s v="הדר"/>
    <s v="נ "/>
    <d v="2004-10-26T00:00:00"/>
    <n v="21"/>
    <x v="224"/>
    <x v="224"/>
    <s v="פתוח      "/>
    <s v="חבר"/>
    <s v="327508222"/>
    <s v="19262"/>
    <s v="קרן הדר"/>
    <n v="0"/>
    <s v="36    "/>
    <x v="0"/>
    <d v="2024-11-08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19311"/>
    <s v="ספיר תומר       סאלי"/>
    <s v="ספיר"/>
    <s v="תומר       סאלי"/>
    <s v="ז "/>
    <d v="1988-06-12T00:00:00"/>
    <n v="37"/>
    <x v="225"/>
    <x v="225"/>
    <s v="פתוח      "/>
    <s v="חבר"/>
    <s v="200279198"/>
    <s v="19311"/>
    <s v="ספיר תומר       סאלי"/>
    <n v="2"/>
    <s v="1     "/>
    <x v="3"/>
    <d v="2023-05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.34"/>
    <n v="6516.0087299999996"/>
    <n v="0"/>
  </r>
  <r>
    <s v="19312"/>
    <s v="ספיר נעמה"/>
    <s v="ספיר"/>
    <s v="נעמה"/>
    <s v="נ "/>
    <d v="1990-09-29T00:00:00"/>
    <n v="35"/>
    <x v="225"/>
    <x v="225"/>
    <s v="פתוח      "/>
    <s v="חבר"/>
    <s v="203463997"/>
    <s v="19311"/>
    <s v="ספיר תומר       סאלי"/>
    <n v="2"/>
    <s v="1     "/>
    <x v="3"/>
    <d v="2023-05-16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.34"/>
    <n v="6516.0087299999996"/>
    <n v="0"/>
  </r>
  <r>
    <s v="21213"/>
    <s v="אלבז דבש תמר"/>
    <s v="אלבז"/>
    <s v="דבש תמר"/>
    <s v="נ "/>
    <d v="2018-05-24T00:00:00"/>
    <n v="7"/>
    <x v="226"/>
    <x v="226"/>
    <s v="פתוח      "/>
    <s v="חבר במסב"/>
    <s v="344456173"/>
    <s v="21211"/>
    <s v="אלבז שריה"/>
    <n v="2"/>
    <s v="4     "/>
    <x v="8"/>
    <d v="2019-09-01T00:00:00"/>
    <s v="רווק"/>
    <s v="יסודי"/>
    <n v="18"/>
    <n v="0"/>
    <n v="0"/>
    <n v="0"/>
    <n v="1"/>
    <b v="0"/>
    <n v="0"/>
    <n v="0"/>
    <n v="3209.8558333333335"/>
    <n v="2030"/>
    <n v="13549.243333333334"/>
    <n v="5046.6833333333325"/>
    <n v="2039"/>
    <n v="980.2982608695653"/>
    <n v="2041"/>
    <n v="16666.666666666664"/>
    <n v="2039"/>
    <n v="0"/>
    <s v=""/>
    <n v="0"/>
    <n v="0"/>
  </r>
  <r>
    <s v="21227"/>
    <s v="שרעבי אסף דוד"/>
    <s v="שרעבי"/>
    <s v="אסף דוד"/>
    <s v="ז "/>
    <d v="2018-12-31T00:00:00"/>
    <n v="7"/>
    <x v="146"/>
    <x v="146"/>
    <s v="פתוח      "/>
    <s v="חבר"/>
    <s v="226344430"/>
    <s v="21221"/>
    <s v="שרעבי אביאל"/>
    <n v="2"/>
    <s v="4     "/>
    <x v="8"/>
    <d v="2018-12-31T00:00:00"/>
    <s v="רווק"/>
    <s v="יסודי"/>
    <n v="18"/>
    <n v="0"/>
    <n v="0"/>
    <n v="0"/>
    <n v="1"/>
    <b v="0"/>
    <n v="3798.3023076923073"/>
    <n v="2031"/>
    <n v="0"/>
    <n v="0"/>
    <n v="13549.243333333334"/>
    <n v="5046.6833333333325"/>
    <n v="2039"/>
    <n v="980.2982608695653"/>
    <n v="2041"/>
    <n v="16666.666666666664"/>
    <n v="2039"/>
    <n v="0"/>
    <s v=""/>
    <n v="0"/>
    <n v="0"/>
  </r>
  <r>
    <s v="19332"/>
    <s v="קרליבך נעמה"/>
    <s v="קרליבך"/>
    <s v="נעמה"/>
    <s v="נ "/>
    <d v="2006-12-07T00:00:00"/>
    <n v="19"/>
    <x v="127"/>
    <x v="127"/>
    <s v="פתוח      "/>
    <s v="חבר"/>
    <s v="330573023"/>
    <s v="19141"/>
    <s v="קרליבך יצחק"/>
    <n v="2"/>
    <s v="31    "/>
    <x v="6"/>
    <d v="2025-07-01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19351"/>
    <s v="קליין יוחאי"/>
    <s v="קליין"/>
    <s v="יוחאי"/>
    <s v="ז "/>
    <d v="1982-05-12T00:00:00"/>
    <n v="43"/>
    <x v="135"/>
    <x v="135"/>
    <s v="פתוח      "/>
    <s v="חבר"/>
    <s v="060468279"/>
    <s v="19351"/>
    <s v="קליין יוחאי"/>
    <n v="2"/>
    <s v="1     "/>
    <x v="3"/>
    <d v="2017-08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0.01"/>
    <n v="15028.858844999997"/>
    <n v="0"/>
  </r>
  <r>
    <s v="19352"/>
    <s v="קליין שלומית"/>
    <s v="קליין"/>
    <s v="שלומית"/>
    <s v="נ "/>
    <d v="1985-06-11T00:00:00"/>
    <n v="40"/>
    <x v="135"/>
    <x v="135"/>
    <s v="פתוח      "/>
    <s v="חבר"/>
    <s v="036792489"/>
    <s v="19351"/>
    <s v="קליין יוחאי"/>
    <n v="2"/>
    <s v="1     "/>
    <x v="3"/>
    <d v="2017-08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0.01"/>
    <n v="15028.858844999997"/>
    <n v="0"/>
  </r>
  <r>
    <s v="01306"/>
    <s v="אריאל נוגה"/>
    <s v="אריאל"/>
    <s v="נוגה"/>
    <s v="נ "/>
    <d v="2019-04-16T00:00:00"/>
    <n v="6"/>
    <x v="21"/>
    <x v="21"/>
    <s v="פתוח      "/>
    <s v="חבר"/>
    <s v="228146551"/>
    <s v="01301"/>
    <s v="אריאל יאיר"/>
    <n v="2"/>
    <s v="4     "/>
    <x v="8"/>
    <d v="2019-04-16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01445"/>
    <s v="אריה יובל"/>
    <s v="אריה"/>
    <s v="יובל"/>
    <s v="נ "/>
    <d v="2019-09-29T00:00:00"/>
    <n v="6"/>
    <x v="33"/>
    <x v="33"/>
    <s v="פתוח      "/>
    <s v="חבר"/>
    <s v="229004775"/>
    <s v="01441"/>
    <s v="אריה צוריאל"/>
    <n v="2"/>
    <s v="4     "/>
    <x v="8"/>
    <d v="2019-09-29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02275"/>
    <s v="ברודי עלמא   פנינה"/>
    <s v="ברודי"/>
    <s v="עלמא   פנינה"/>
    <s v="נ "/>
    <d v="2019-03-14T00:00:00"/>
    <n v="6"/>
    <x v="60"/>
    <x v="60"/>
    <s v="פתוח      "/>
    <s v="חבר"/>
    <s v="228159562"/>
    <s v="02271"/>
    <s v="ברודי עודד"/>
    <n v="2"/>
    <s v="4     "/>
    <x v="8"/>
    <d v="2019-03-14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02526"/>
    <s v="בן אהרון הילל"/>
    <s v="בן אהרון"/>
    <s v="הילל"/>
    <s v="ז "/>
    <d v="2019-02-13T00:00:00"/>
    <n v="6"/>
    <x v="72"/>
    <x v="72"/>
    <s v="פתוח      "/>
    <s v="חבר"/>
    <s v="226405181"/>
    <s v="02521"/>
    <s v="בן אהרון ערן"/>
    <n v="2"/>
    <s v="4     "/>
    <x v="8"/>
    <d v="2019-02-13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06138"/>
    <s v="ויסטוך שחר"/>
    <s v="ויסטוך"/>
    <s v="שחר"/>
    <s v="ז "/>
    <d v="2019-04-03T00:00:00"/>
    <n v="6"/>
    <x v="106"/>
    <x v="106"/>
    <s v="פתוח      "/>
    <s v="חבר"/>
    <s v="228172557"/>
    <s v="06131"/>
    <s v="ויסטוך משה"/>
    <n v="2"/>
    <s v="4     "/>
    <x v="8"/>
    <d v="2019-04-03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07056"/>
    <s v="זיו נועם"/>
    <s v="זיו"/>
    <s v="נועם"/>
    <s v="ז "/>
    <d v="2019-11-30T00:00:00"/>
    <n v="6"/>
    <x v="151"/>
    <x v="151"/>
    <s v="פתוח      "/>
    <s v="חבר"/>
    <s v="228199295"/>
    <s v="07051"/>
    <s v="זיו עמית"/>
    <n v="2"/>
    <s v="4     "/>
    <x v="8"/>
    <d v="2019-11-30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20012"/>
    <s v="רוט שירה"/>
    <s v="רוט"/>
    <s v="שירה"/>
    <s v="נ "/>
    <d v="2004-03-14T00:00:00"/>
    <n v="21"/>
    <x v="227"/>
    <x v="227"/>
    <s v="פתוח      "/>
    <s v="תושב לגביה"/>
    <s v="213240930"/>
    <s v="20012"/>
    <s v="רוט שירה"/>
    <n v="0"/>
    <s v="36    "/>
    <x v="0"/>
    <d v="2025-01-01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20032"/>
    <s v="רון אירית"/>
    <s v="רון"/>
    <s v="אירית"/>
    <s v="נ "/>
    <d v="1952-06-17T00:00:00"/>
    <n v="73"/>
    <x v="228"/>
    <x v="228"/>
    <s v="פתוח      "/>
    <s v="חבר"/>
    <s v="051370476"/>
    <s v="20032"/>
    <s v="רון אירית"/>
    <n v="0"/>
    <s v="64    "/>
    <x v="15"/>
    <d v="2015-01-01T00:00:00"/>
    <s v="רווק"/>
    <s v="--"/>
    <s v=""/>
    <n v="0"/>
    <n v="750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0041"/>
    <s v="דומב יצחק אלישיב"/>
    <s v="דומב"/>
    <s v="יצחק אלישיב"/>
    <s v="ז "/>
    <d v="1995-06-15T00:00:00"/>
    <n v="30"/>
    <x v="67"/>
    <x v="67"/>
    <s v="פתוח      "/>
    <s v="תושב לגביה"/>
    <s v="314679697"/>
    <s v="20041"/>
    <s v="דומב יצחק אלישיב"/>
    <n v="0"/>
    <s v="6     "/>
    <x v="1"/>
    <d v="2024-08-20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8133"/>
    <s v="גדסי שקד"/>
    <s v="גדסי"/>
    <s v="שקד"/>
    <s v="נ "/>
    <d v="2019-03-11T00:00:00"/>
    <n v="6"/>
    <x v="158"/>
    <x v="158"/>
    <s v="פתוח      "/>
    <s v="חבר"/>
    <s v="228118741"/>
    <s v="08131"/>
    <s v="גדסי מיכאל"/>
    <n v="2"/>
    <s v="4     "/>
    <x v="8"/>
    <d v="2020-11-01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20052"/>
    <s v="רביב דבורה"/>
    <s v="רביב"/>
    <s v="דבורה"/>
    <s v="נ "/>
    <d v="1936-01-02T00:00:00"/>
    <n v="89"/>
    <x v="229"/>
    <x v="229"/>
    <s v="פתוח      "/>
    <s v="חבר"/>
    <s v="042639492"/>
    <s v="92051"/>
    <s v="רביב יעקב"/>
    <n v="1"/>
    <s v="1     "/>
    <x v="3"/>
    <d v="1957-10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20061"/>
    <s v="רוזנברג יעקב"/>
    <s v="רוזנברג"/>
    <s v="יעקב"/>
    <s v="ז "/>
    <d v="1945-06-14T00:00:00"/>
    <n v="80"/>
    <x v="230"/>
    <x v="230"/>
    <s v="פתוח      "/>
    <s v="חבר"/>
    <s v="000919662"/>
    <s v="20061"/>
    <s v="רוזנברג יעקב"/>
    <n v="2"/>
    <s v="1     "/>
    <x v="3"/>
    <d v="1968-10-31T00:00:00"/>
    <s v="נשוי"/>
    <s v="--"/>
    <s v=""/>
    <n v="2567"/>
    <n v="7500"/>
    <n v="0"/>
    <n v="0"/>
    <b v="0"/>
    <n v="0"/>
    <n v="0"/>
    <n v="0"/>
    <n v="0"/>
    <n v="0"/>
    <n v="0"/>
    <n v="0"/>
    <n v="0"/>
    <n v="0"/>
    <n v="0"/>
    <n v="0"/>
    <n v="0"/>
    <n v="46.77"/>
    <n v="0"/>
    <n v="0"/>
  </r>
  <r>
    <s v="20062"/>
    <s v="רוזנברג עפרה"/>
    <s v="רוזנברג"/>
    <s v="עפרה"/>
    <s v="נ "/>
    <d v="1948-01-22T00:00:00"/>
    <n v="77"/>
    <x v="230"/>
    <x v="230"/>
    <s v="פתוח      "/>
    <s v="חבר"/>
    <s v="004593646"/>
    <s v="20061"/>
    <s v="רוזנברג יעקב"/>
    <n v="2"/>
    <s v="1     "/>
    <x v="3"/>
    <d v="1965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20071"/>
    <s v="רייך גלעד"/>
    <s v="רייך"/>
    <s v="גלעד"/>
    <s v="ז "/>
    <d v="1969-07-22T00:00:00"/>
    <n v="56"/>
    <x v="231"/>
    <x v="231"/>
    <s v="פתוח      "/>
    <s v="חבר"/>
    <s v="024142945"/>
    <s v="20071"/>
    <s v="רייך גלעד"/>
    <n v="2"/>
    <s v="1     "/>
    <x v="3"/>
    <d v="1992-12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7.94"/>
    <n v="0"/>
    <n v="61503.14362499999"/>
  </r>
  <r>
    <s v="20072"/>
    <s v="רייך יפעת"/>
    <s v="רייך"/>
    <s v="יפעת"/>
    <s v="נ "/>
    <d v="1970-02-15T00:00:00"/>
    <n v="55"/>
    <x v="231"/>
    <x v="231"/>
    <s v="פתוח      "/>
    <s v="חבר"/>
    <s v="024930927"/>
    <s v="20071"/>
    <s v="רייך גלעד"/>
    <n v="2"/>
    <s v="1     "/>
    <x v="3"/>
    <d v="1995-07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3.06"/>
    <n v="0"/>
    <n v="48419.650125"/>
  </r>
  <r>
    <s v="20081"/>
    <s v="רמון שלמה"/>
    <s v="רמון"/>
    <s v="שלמה"/>
    <s v="ז "/>
    <d v="1948-01-22T00:00:00"/>
    <n v="77"/>
    <x v="232"/>
    <x v="232"/>
    <s v="פתוח      "/>
    <s v="חבר"/>
    <s v="009435348"/>
    <s v="20081"/>
    <s v="רמון שלמה"/>
    <n v="2"/>
    <s v="1     "/>
    <x v="3"/>
    <d v="1971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7.08"/>
    <n v="0"/>
    <n v="0"/>
  </r>
  <r>
    <s v="20082"/>
    <s v="רמון סלבי"/>
    <s v="רמון"/>
    <s v="סלבי"/>
    <s v="נ "/>
    <d v="1950-09-21T00:00:00"/>
    <n v="75"/>
    <x v="232"/>
    <x v="232"/>
    <s v="פתוח      "/>
    <s v="חבר"/>
    <s v="076276245"/>
    <s v="20081"/>
    <s v="רמון שלמה"/>
    <n v="2"/>
    <s v="1     "/>
    <x v="3"/>
    <d v="1968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20091"/>
    <s v="רון יואב"/>
    <s v="רון"/>
    <s v="יואב"/>
    <s v="ז "/>
    <d v="1950-04-13T00:00:00"/>
    <n v="75"/>
    <x v="233"/>
    <x v="233"/>
    <s v="פתוח      "/>
    <s v="חבר"/>
    <s v="030275424"/>
    <s v="20091"/>
    <s v="רון יואב"/>
    <n v="2"/>
    <s v="1     "/>
    <x v="3"/>
    <d v="1971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20092"/>
    <s v="רון מרים"/>
    <s v="רון"/>
    <s v="מרים"/>
    <s v="נ "/>
    <d v="1951-01-14T00:00:00"/>
    <n v="74"/>
    <x v="233"/>
    <x v="233"/>
    <s v="פתוח      "/>
    <s v="חבר"/>
    <s v="050504752"/>
    <s v="20091"/>
    <s v="רון יואב"/>
    <n v="2"/>
    <s v="1     "/>
    <x v="3"/>
    <d v="1972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7.01"/>
    <n v="0"/>
    <n v="0"/>
  </r>
  <r>
    <s v="20101"/>
    <s v="רייך מיכאל"/>
    <s v="רייך"/>
    <s v="מיכאל"/>
    <s v="ז "/>
    <d v="1947-06-03T00:00:00"/>
    <n v="78"/>
    <x v="234"/>
    <x v="234"/>
    <s v="פתוח      "/>
    <s v="חבר"/>
    <s v="000689174"/>
    <s v="20102"/>
    <s v="רייך בלה"/>
    <n v="2"/>
    <s v="1     "/>
    <x v="3"/>
    <d v="1979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7.880000000000003"/>
    <n v="0"/>
    <n v="0"/>
  </r>
  <r>
    <s v="20102"/>
    <s v="רייך בלה"/>
    <s v="רייך"/>
    <s v="בלה"/>
    <s v="נ "/>
    <d v="1947-09-04T00:00:00"/>
    <n v="78"/>
    <x v="234"/>
    <x v="234"/>
    <s v="פתוח      "/>
    <s v="חבר"/>
    <s v="007218787"/>
    <s v="20102"/>
    <s v="רייך בלה"/>
    <n v="2"/>
    <s v="1     "/>
    <x v="3"/>
    <d v="1979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38.130000000000003"/>
    <n v="0"/>
    <n v="0"/>
  </r>
  <r>
    <s v="20111"/>
    <s v="רביב יצחק"/>
    <s v="רביב"/>
    <s v="יצחק"/>
    <s v="ז "/>
    <d v="1958-03-07T00:00:00"/>
    <n v="67"/>
    <x v="235"/>
    <x v="235"/>
    <s v="פתוח      "/>
    <s v="חבר"/>
    <s v="055076616"/>
    <s v="20111"/>
    <s v="רביב יצחק"/>
    <n v="2"/>
    <s v="1     "/>
    <x v="3"/>
    <d v="2007-07-15T00:00:00"/>
    <s v="נשוי"/>
    <s v="--"/>
    <s v=""/>
    <n v="2365"/>
    <n v="0"/>
    <n v="0"/>
    <n v="0"/>
    <b v="0"/>
    <n v="0"/>
    <n v="0"/>
    <n v="0"/>
    <n v="0"/>
    <n v="0"/>
    <n v="0"/>
    <n v="0"/>
    <n v="0"/>
    <n v="0"/>
    <n v="0"/>
    <n v="0"/>
    <n v="0"/>
    <n v="46.74"/>
    <n v="0"/>
    <n v="0"/>
  </r>
  <r>
    <s v="20112"/>
    <s v="רביב יעל"/>
    <s v="רביב"/>
    <s v="יעל"/>
    <s v="נ "/>
    <d v="1962-05-27T00:00:00"/>
    <n v="63"/>
    <x v="235"/>
    <x v="235"/>
    <s v="פתוח      "/>
    <s v="חבר"/>
    <s v="057695363"/>
    <s v="20111"/>
    <s v="רביב יצחק"/>
    <n v="2"/>
    <s v="1     "/>
    <x v="3"/>
    <d v="2007-07-15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32.44"/>
    <n v="0"/>
    <n v="46757.402999999991"/>
  </r>
  <r>
    <s v="20121"/>
    <s v="רגב שמואל"/>
    <s v="רגב"/>
    <s v="שמואל"/>
    <s v="ז "/>
    <d v="1967-01-19T00:00:00"/>
    <n v="58"/>
    <x v="236"/>
    <x v="236"/>
    <s v="פתוח      "/>
    <s v="חבר"/>
    <s v="022671838"/>
    <s v="20121"/>
    <s v="רגב שמואל"/>
    <n v="2"/>
    <s v="1     "/>
    <x v="3"/>
    <d v="1999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0.05"/>
    <n v="0"/>
    <n v="40349.70843749999"/>
  </r>
  <r>
    <s v="20122"/>
    <s v="רגב דפי"/>
    <s v="רגב"/>
    <s v="דפי"/>
    <s v="נ "/>
    <d v="1969-07-12T00:00:00"/>
    <n v="56"/>
    <x v="236"/>
    <x v="236"/>
    <s v="פתוח      "/>
    <s v="חבר"/>
    <s v="024490856"/>
    <s v="20121"/>
    <s v="רגב שמואל"/>
    <n v="2"/>
    <s v="1     "/>
    <x v="3"/>
    <d v="1996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0.05"/>
    <n v="0"/>
    <n v="40349.70843749999"/>
  </r>
  <r>
    <s v="20141"/>
    <s v="רחמים יהושע"/>
    <s v="רחמים"/>
    <s v="יהושע"/>
    <s v="ז "/>
    <d v="1956-03-11T00:00:00"/>
    <n v="69"/>
    <x v="237"/>
    <x v="237"/>
    <s v="פתוח      "/>
    <s v="חבר"/>
    <s v="053207577"/>
    <s v="20142"/>
    <s v="רחמים-איצקוביץ שרה"/>
    <n v="1"/>
    <s v="6     "/>
    <x v="1"/>
    <d v="1999-10-06T00:00:00"/>
    <s v="נשוי"/>
    <s v="--"/>
    <s v=""/>
    <n v="1564"/>
    <n v="750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20142"/>
    <s v="רחמים-איצקוביץ שרה"/>
    <s v="רחמים-איצקוביץ"/>
    <s v="שרה"/>
    <s v="נ "/>
    <d v="1960-03-08T00:00:00"/>
    <n v="65"/>
    <x v="237"/>
    <x v="237"/>
    <s v="פתוח      "/>
    <s v="חבר"/>
    <s v="056358666"/>
    <s v="20142"/>
    <s v="רחמים-איצקוביץ שרה"/>
    <n v="1"/>
    <s v="1     "/>
    <x v="3"/>
    <d v="1980-08-18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6.95"/>
    <n v="0"/>
    <n v="0"/>
  </r>
  <r>
    <s v="20161"/>
    <s v="רביב יגאל"/>
    <s v="רביב"/>
    <s v="יגאל"/>
    <s v="ז "/>
    <d v="1962-07-16T00:00:00"/>
    <n v="63"/>
    <x v="238"/>
    <x v="238"/>
    <s v="פתוח      "/>
    <s v="חבר"/>
    <s v="057735037"/>
    <s v="20161"/>
    <s v="רביב יגאל"/>
    <n v="2"/>
    <s v="1     "/>
    <x v="3"/>
    <d v="1980-10-3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4.95"/>
    <n v="0"/>
    <n v="80297.260312500002"/>
  </r>
  <r>
    <s v="20162"/>
    <s v="רביב מירב"/>
    <s v="רביב"/>
    <s v="מירב"/>
    <s v="נ "/>
    <d v="1962-04-13T00:00:00"/>
    <n v="63"/>
    <x v="238"/>
    <x v="238"/>
    <s v="פתוח      "/>
    <s v="חבר"/>
    <s v="057706830"/>
    <s v="20161"/>
    <s v="רביב יגאל"/>
    <n v="2"/>
    <s v="1     "/>
    <x v="3"/>
    <d v="1984-10-3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1.19"/>
    <n v="0"/>
    <n v="70216.535812499991"/>
  </r>
  <r>
    <s v="20171"/>
    <s v="רוט צבי"/>
    <s v="רוט"/>
    <s v="צבי"/>
    <s v="ז "/>
    <d v="1965-11-07T00:00:00"/>
    <n v="60"/>
    <x v="90"/>
    <x v="90"/>
    <s v="פתוח      "/>
    <s v="חבר"/>
    <s v="022117493"/>
    <s v="20171"/>
    <s v="רוט צבי"/>
    <n v="1"/>
    <s v="1     "/>
    <x v="3"/>
    <d v="1999-10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1.2"/>
    <n v="0"/>
    <n v="70243.346250000002"/>
  </r>
  <r>
    <s v="20172"/>
    <s v="רוט נורית"/>
    <s v="רוט"/>
    <s v="נורית"/>
    <s v="נ "/>
    <d v="1971-07-17T00:00:00"/>
    <n v="54"/>
    <x v="90"/>
    <x v="90"/>
    <s v="פתוח      "/>
    <s v="חבר"/>
    <s v="028559763"/>
    <s v="20171"/>
    <s v="רוט צבי"/>
    <n v="1"/>
    <s v="6     "/>
    <x v="1"/>
    <d v="2003-12-3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08156"/>
    <s v="חסון מעין תמר"/>
    <s v="חסון"/>
    <s v="מעין תמר"/>
    <s v="נ "/>
    <d v="2019-01-30T00:00:00"/>
    <n v="6"/>
    <x v="133"/>
    <x v="133"/>
    <s v="פתוח      "/>
    <s v="חבר"/>
    <s v="228120341"/>
    <s v="08151"/>
    <s v="חסון טל"/>
    <n v="2"/>
    <s v="4     "/>
    <x v="8"/>
    <d v="2019-01-30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20201"/>
    <s v="רמון ארנון"/>
    <s v="רמון"/>
    <s v="ארנון"/>
    <s v="ז "/>
    <d v="1972-08-14T00:00:00"/>
    <n v="53"/>
    <x v="99"/>
    <x v="99"/>
    <s v="פתוח      "/>
    <s v="חבר"/>
    <s v="029716453"/>
    <s v="20201"/>
    <s v="רמון ארנון"/>
    <n v="2"/>
    <s v="1     "/>
    <x v="3"/>
    <d v="2002-05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8.9"/>
    <n v="0"/>
    <n v="37266.508124999993"/>
  </r>
  <r>
    <s v="20202"/>
    <s v="רמון סימי"/>
    <s v="רמון"/>
    <s v="סימי"/>
    <s v="נ "/>
    <d v="1972-10-06T00:00:00"/>
    <n v="53"/>
    <x v="99"/>
    <x v="99"/>
    <s v="פתוח      "/>
    <s v="חבר"/>
    <s v="029542289"/>
    <s v="20201"/>
    <s v="רמון ארנון"/>
    <n v="2"/>
    <s v="1     "/>
    <x v="3"/>
    <d v="2002-05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5.48"/>
    <n v="0"/>
    <n v="28097.338500000009"/>
  </r>
  <r>
    <s v="13044"/>
    <s v="מור יוסף עומר"/>
    <s v="מור יוסף"/>
    <s v="עומר"/>
    <s v="נ "/>
    <d v="2019-08-11T00:00:00"/>
    <n v="6"/>
    <x v="194"/>
    <x v="194"/>
    <s v="פתוח      "/>
    <s v="חבר"/>
    <s v="229088968"/>
    <s v="13041"/>
    <s v="מור יוסף אליה"/>
    <n v="2"/>
    <s v="4     "/>
    <x v="8"/>
    <d v="2020-11-01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13064"/>
    <s v="מנשאוף שקד בניה"/>
    <s v="מנשאוף"/>
    <s v="שקד בניה"/>
    <s v="ז "/>
    <d v="2019-07-12T00:00:00"/>
    <n v="6"/>
    <x v="196"/>
    <x v="196"/>
    <s v="פתוח      "/>
    <s v="חבר"/>
    <s v="228327169"/>
    <s v="13061"/>
    <s v="מנשאוף יאיר"/>
    <n v="2"/>
    <s v="4     "/>
    <x v="8"/>
    <d v="2022-08-01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20222"/>
    <s v="רייך ענת"/>
    <s v="רייך"/>
    <s v="ענת"/>
    <s v="נ "/>
    <d v="1971-06-17T00:00:00"/>
    <n v="54"/>
    <x v="142"/>
    <x v="142"/>
    <s v="פתוח      "/>
    <s v="חבר"/>
    <s v="028725315"/>
    <s v="20222"/>
    <s v="רייך ענת"/>
    <n v="1"/>
    <s v="1     "/>
    <x v="3"/>
    <d v="1999-09-01T00:00:00"/>
    <s v="רווק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2.94"/>
    <n v="0"/>
    <n v="48097.924874999997"/>
  </r>
  <r>
    <s v="15064"/>
    <s v="קדוש ארבל"/>
    <s v="קדוש"/>
    <s v="ארבל"/>
    <s v="נ "/>
    <d v="2019-10-16T00:00:00"/>
    <n v="6"/>
    <x v="200"/>
    <x v="200"/>
    <s v="פתוח      "/>
    <s v="חבר"/>
    <s v="228997417"/>
    <s v="15061"/>
    <s v="קדוש נסאל ניסים"/>
    <n v="2"/>
    <s v="4     "/>
    <x v="8"/>
    <d v="2019-10-16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17144"/>
    <s v="גוב ארי אביתר"/>
    <s v="גוב ארי"/>
    <s v="אביתר"/>
    <s v="ז "/>
    <d v="2019-06-20T00:00:00"/>
    <n v="6"/>
    <x v="212"/>
    <x v="212"/>
    <s v="פתוח      "/>
    <s v="חבר"/>
    <s v="228133708"/>
    <s v="17141"/>
    <s v="גוב ארי מרדכי"/>
    <n v="2"/>
    <s v="4     "/>
    <x v="8"/>
    <d v="2019-06-20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19357"/>
    <s v="קליין עברי  בינימין"/>
    <s v="קליין"/>
    <s v="עברי  בינימין"/>
    <s v="ז "/>
    <d v="2019-10-03T00:00:00"/>
    <n v="6"/>
    <x v="135"/>
    <x v="135"/>
    <s v="פתוח      "/>
    <s v="חבר"/>
    <s v="228147880"/>
    <s v="19351"/>
    <s v="קליין יוחאי"/>
    <n v="2"/>
    <s v="4     "/>
    <x v="8"/>
    <d v="2019-10-03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20333"/>
    <s v="סיידנר באר אהבה"/>
    <s v="סיידנר"/>
    <s v="באר אהבה"/>
    <s v="נ "/>
    <d v="2019-06-23T00:00:00"/>
    <n v="6"/>
    <x v="239"/>
    <x v="239"/>
    <s v="פתוח      "/>
    <s v="חבר במסב"/>
    <s v="228155479"/>
    <s v="20331"/>
    <s v="סיידנר יהודה אהרון"/>
    <n v="2"/>
    <s v="4     "/>
    <x v="8"/>
    <d v="2022-07-01T00:00:00"/>
    <s v="רווק"/>
    <s v="יסודי"/>
    <n v="18"/>
    <n v="0"/>
    <n v="0"/>
    <n v="0"/>
    <n v="1"/>
    <b v="0"/>
    <n v="0"/>
    <n v="0"/>
    <n v="2751.3049999999998"/>
    <n v="2031"/>
    <n v="11613.637142857144"/>
    <n v="4325.7285714285708"/>
    <n v="2040"/>
    <n v="840.25565217391306"/>
    <n v="2042"/>
    <n v="14285.714285714284"/>
    <n v="2040"/>
    <n v="0"/>
    <s v=""/>
    <n v="0"/>
    <n v="0"/>
  </r>
  <r>
    <s v="21136"/>
    <s v="שאול אורי יוסף"/>
    <s v="שאול"/>
    <s v="אורי יוסף"/>
    <s v="ז "/>
    <d v="2019-05-13T00:00:00"/>
    <n v="6"/>
    <x v="143"/>
    <x v="143"/>
    <s v="פתוח      "/>
    <s v="חבר"/>
    <s v="229640099"/>
    <s v="21131"/>
    <s v="שאול איתי בנימין"/>
    <n v="2"/>
    <s v="4     "/>
    <x v="8"/>
    <d v="2020-02-10T00:00:00"/>
    <s v="רווק"/>
    <s v="יסודי"/>
    <n v="18"/>
    <n v="0"/>
    <n v="0"/>
    <n v="0"/>
    <n v="1"/>
    <b v="0"/>
    <n v="3255.6876923076925"/>
    <n v="2032"/>
    <n v="0"/>
    <n v="0"/>
    <n v="11613.637142857144"/>
    <n v="4325.7285714285708"/>
    <n v="2040"/>
    <n v="840.25565217391306"/>
    <n v="2042"/>
    <n v="14285.714285714284"/>
    <n v="2040"/>
    <n v="0"/>
    <s v=""/>
    <n v="0"/>
    <n v="0"/>
  </r>
  <r>
    <s v="20272"/>
    <s v="רגב נועה"/>
    <s v="רגב"/>
    <s v="נועה"/>
    <s v="נ "/>
    <d v="1999-03-03T00:00:00"/>
    <n v="26"/>
    <x v="76"/>
    <x v="76"/>
    <s v="פתוח      "/>
    <s v="תושב לגביה"/>
    <s v="206967960"/>
    <s v="20271"/>
    <s v="רגב רביד"/>
    <n v="0"/>
    <s v="6     "/>
    <x v="1"/>
    <d v="2024-08-25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0273"/>
    <s v="רגב תכלת"/>
    <s v="רגב"/>
    <s v="תכלת"/>
    <s v="נ "/>
    <d v="2022-11-17T00:00:00"/>
    <n v="3"/>
    <x v="76"/>
    <x v="76"/>
    <s v="פתוח      "/>
    <s v="תושב לגביה"/>
    <s v="237227962"/>
    <s v="20271"/>
    <s v="רגב רביד"/>
    <n v="0"/>
    <s v="17    "/>
    <x v="2"/>
    <d v="2024-08-25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0274"/>
    <s v="רגב עמנואל משה"/>
    <s v="רגב"/>
    <s v="עמנואל משה"/>
    <s v="ז "/>
    <d v="2025-07-23T00:00:00"/>
    <n v="0"/>
    <x v="76"/>
    <x v="76"/>
    <s v="פתוח      "/>
    <s v="תושב לגביה"/>
    <s v="242113066"/>
    <s v="20271"/>
    <s v="רגב רביד"/>
    <n v="0"/>
    <s v="17    "/>
    <x v="2"/>
    <d v="2025-07-23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0281"/>
    <s v="רביב כתריאל ניסים"/>
    <s v="רביב"/>
    <s v="כתריאל ניסים"/>
    <s v="ז "/>
    <d v="1967-08-03T00:00:00"/>
    <n v="58"/>
    <x v="105"/>
    <x v="105"/>
    <s v="פתוח      "/>
    <s v="חבר"/>
    <s v="022782155"/>
    <s v="20281"/>
    <s v="רביב כתריאל ניסים"/>
    <n v="2"/>
    <s v="1     "/>
    <x v="3"/>
    <d v="2006-08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01"/>
    <n v="31544.088344999996"/>
    <n v="0"/>
  </r>
  <r>
    <s v="20282"/>
    <s v="רביב לאה"/>
    <s v="רביב"/>
    <s v="לאה"/>
    <s v="נ "/>
    <d v="1967-07-12T00:00:00"/>
    <n v="58"/>
    <x v="105"/>
    <x v="105"/>
    <s v="פתוח      "/>
    <s v="חבר"/>
    <s v="022983126"/>
    <s v="20281"/>
    <s v="רביב כתריאל ניסים"/>
    <n v="2"/>
    <s v="1     "/>
    <x v="3"/>
    <d v="2006-08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01"/>
    <n v="31544.088344999996"/>
    <n v="0"/>
  </r>
  <r>
    <s v="20301"/>
    <s v="ראבינסאן דגן"/>
    <s v="ראבינסאן"/>
    <s v="דגן"/>
    <s v="ז "/>
    <d v="1982-02-13T00:00:00"/>
    <n v="43"/>
    <x v="130"/>
    <x v="130"/>
    <s v="פתוח      "/>
    <s v="חבר"/>
    <s v="052975893"/>
    <s v="20301"/>
    <s v="ראבינסאן דגן"/>
    <n v="2"/>
    <s v="1     "/>
    <x v="3"/>
    <d v="2010-11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6.760000000000002"/>
    <n v="25163.20422"/>
    <n v="0"/>
  </r>
  <r>
    <s v="20302"/>
    <s v="ראבינסאן מירית"/>
    <s v="ראבינסאן"/>
    <s v="מירית"/>
    <s v="נ "/>
    <d v="1982-03-19T00:00:00"/>
    <n v="43"/>
    <x v="130"/>
    <x v="130"/>
    <s v="פתוח      "/>
    <s v="חבר"/>
    <s v="052696069"/>
    <s v="20301"/>
    <s v="ראבינסאן דגן"/>
    <n v="2"/>
    <s v="1     "/>
    <x v="3"/>
    <d v="2010-11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8.079999999999998"/>
    <n v="27145.031759999994"/>
    <n v="0"/>
  </r>
  <r>
    <s v="03176"/>
    <s v="גורי נדב"/>
    <s v="גורי"/>
    <s v="נדב"/>
    <s v="ז "/>
    <d v="2020-05-12T00:00:00"/>
    <n v="5"/>
    <x v="103"/>
    <x v="103"/>
    <s v="פתוח      "/>
    <s v="חבר"/>
    <s v="228955241"/>
    <s v="03171"/>
    <s v="גורי יעקב"/>
    <n v="2"/>
    <s v="4     "/>
    <x v="8"/>
    <d v="2020-05-12T00:00:00"/>
    <s v="רווק"/>
    <s v="גנים"/>
    <n v="5"/>
    <n v="0"/>
    <n v="0"/>
    <n v="0"/>
    <n v="1"/>
    <b v="0"/>
    <n v="2713.0730769230768"/>
    <n v="2033"/>
    <n v="0"/>
    <n v="0"/>
    <n v="9678.0309523809519"/>
    <n v="3604.7738095238092"/>
    <n v="2041"/>
    <n v="700.21304347826083"/>
    <n v="2043"/>
    <n v="11904.761904761905"/>
    <n v="2041"/>
    <n v="0"/>
    <s v=""/>
    <n v="0"/>
    <n v="0"/>
  </r>
  <r>
    <s v="04054"/>
    <s v="ריינר עידו"/>
    <s v="ריינר"/>
    <s v="עידו"/>
    <s v="ז "/>
    <d v="2020-07-25T00:00:00"/>
    <n v="5"/>
    <x v="110"/>
    <x v="110"/>
    <s v="פתוח      "/>
    <s v="חבר"/>
    <s v="229495411"/>
    <s v="04051"/>
    <s v="ריינר הראל"/>
    <n v="2"/>
    <s v="4     "/>
    <x v="8"/>
    <d v="2020-07-25T00:00:00"/>
    <s v="רווק"/>
    <s v="גנים"/>
    <n v="5"/>
    <n v="0"/>
    <n v="0"/>
    <n v="0"/>
    <n v="1"/>
    <b v="0"/>
    <n v="2713.0730769230768"/>
    <n v="2033"/>
    <n v="0"/>
    <n v="0"/>
    <n v="9678.0309523809519"/>
    <n v="3604.7738095238092"/>
    <n v="2041"/>
    <n v="700.21304347826083"/>
    <n v="2043"/>
    <n v="11904.761904761905"/>
    <n v="2041"/>
    <n v="0"/>
    <s v=""/>
    <n v="0"/>
    <n v="0"/>
  </r>
  <r>
    <s v="05116"/>
    <s v="הופמן אייל"/>
    <s v="הופמן"/>
    <s v="אייל"/>
    <s v="ז "/>
    <d v="2020-06-12T00:00:00"/>
    <n v="5"/>
    <x v="125"/>
    <x v="125"/>
    <s v="פתוח      "/>
    <s v="חבר"/>
    <s v="228205530"/>
    <s v="05111"/>
    <s v="הופמן אלעד"/>
    <n v="2"/>
    <s v="4     "/>
    <x v="8"/>
    <d v="2020-06-12T00:00:00"/>
    <s v="רווק"/>
    <s v="גנים"/>
    <n v="5"/>
    <n v="0"/>
    <n v="0"/>
    <n v="0"/>
    <n v="1"/>
    <b v="0"/>
    <n v="2713.0730769230768"/>
    <n v="2033"/>
    <n v="0"/>
    <n v="0"/>
    <n v="9678.0309523809519"/>
    <n v="3604.7738095238092"/>
    <n v="2041"/>
    <n v="700.21304347826083"/>
    <n v="2043"/>
    <n v="11904.761904761905"/>
    <n v="2041"/>
    <n v="0"/>
    <s v=""/>
    <n v="0"/>
    <n v="0"/>
  </r>
  <r>
    <s v="08059"/>
    <s v="חורש אורי  אהבה"/>
    <s v="חורש"/>
    <s v="אורי  אהבה"/>
    <s v="נ "/>
    <d v="2020-07-03T00:00:00"/>
    <n v="5"/>
    <x v="100"/>
    <x v="100"/>
    <s v="פתוח      "/>
    <s v="חבר"/>
    <s v="229964663"/>
    <s v="08051"/>
    <s v="חורש עופר"/>
    <n v="2"/>
    <s v="4     "/>
    <x v="8"/>
    <d v="2020-07-03T00:00:00"/>
    <s v="רווק"/>
    <s v="גנים"/>
    <n v="5"/>
    <n v="0"/>
    <n v="0"/>
    <n v="0"/>
    <n v="1"/>
    <b v="0"/>
    <n v="0"/>
    <n v="0"/>
    <n v="2292.7541666666666"/>
    <n v="2032"/>
    <n v="9678.0309523809519"/>
    <n v="3604.7738095238092"/>
    <n v="2041"/>
    <n v="700.21304347826083"/>
    <n v="2043"/>
    <n v="11904.761904761905"/>
    <n v="2041"/>
    <n v="0"/>
    <s v=""/>
    <n v="0"/>
    <n v="0"/>
  </r>
  <r>
    <s v="12136"/>
    <s v="הורן טל"/>
    <s v="הורן"/>
    <s v="טל"/>
    <s v="נ "/>
    <d v="2020-07-04T00:00:00"/>
    <n v="5"/>
    <x v="184"/>
    <x v="184"/>
    <s v="פתוח      "/>
    <s v="חבר"/>
    <s v="228972766"/>
    <s v="12131"/>
    <s v="הורן יהודה  שלום"/>
    <n v="2"/>
    <s v="4     "/>
    <x v="8"/>
    <d v="2020-07-04T00:00:00"/>
    <s v="רווק"/>
    <s v="גנים"/>
    <n v="5"/>
    <n v="0"/>
    <n v="0"/>
    <n v="0"/>
    <n v="1"/>
    <b v="0"/>
    <n v="0"/>
    <n v="0"/>
    <n v="2292.7541666666666"/>
    <n v="2032"/>
    <n v="9678.0309523809519"/>
    <n v="3604.7738095238092"/>
    <n v="2041"/>
    <n v="700.21304347826083"/>
    <n v="2043"/>
    <n v="11904.761904761905"/>
    <n v="2041"/>
    <n v="0"/>
    <s v=""/>
    <n v="0"/>
    <n v="0"/>
  </r>
  <r>
    <s v="20311"/>
    <s v="לוי נדב"/>
    <s v="לוי"/>
    <s v="נדב"/>
    <s v="ז "/>
    <d v="1992-12-30T00:00:00"/>
    <n v="33"/>
    <x v="201"/>
    <x v="201"/>
    <s v="פתוח      "/>
    <s v="חבר"/>
    <s v="203382510"/>
    <s v="20311"/>
    <s v="לוי נדב"/>
    <n v="2"/>
    <s v="1     "/>
    <x v="3"/>
    <d v="2024-07-2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9"/>
    <n v="4789.4165549999989"/>
    <n v="0"/>
  </r>
  <r>
    <s v="20312"/>
    <s v="לוי אביב"/>
    <s v="לוי"/>
    <s v="אביב"/>
    <s v="נ "/>
    <d v="1993-06-21T00:00:00"/>
    <n v="32"/>
    <x v="201"/>
    <x v="201"/>
    <s v="פתוח      "/>
    <s v="חבר"/>
    <s v="204566251"/>
    <s v="20311"/>
    <s v="לוי נדב"/>
    <n v="2"/>
    <s v="1     "/>
    <x v="3"/>
    <d v="2024-07-2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9"/>
    <n v="4789.4165549999989"/>
    <n v="0"/>
  </r>
  <r>
    <s v="12394"/>
    <s v="לבבי דרור"/>
    <s v="לבבי"/>
    <s v="דרור"/>
    <s v="ז "/>
    <d v="2020-05-13T00:00:00"/>
    <n v="5"/>
    <x v="192"/>
    <x v="192"/>
    <s v="פתוח      "/>
    <s v="חבר"/>
    <s v="228956090"/>
    <s v="12391"/>
    <s v="לבבי יוסף"/>
    <n v="2"/>
    <s v="4     "/>
    <x v="8"/>
    <d v="2020-05-19T00:00:00"/>
    <s v="רווק"/>
    <s v="גנים"/>
    <n v="5"/>
    <n v="0"/>
    <n v="0"/>
    <n v="0"/>
    <n v="1"/>
    <b v="0"/>
    <n v="2713.0730769230768"/>
    <n v="2033"/>
    <n v="0"/>
    <n v="0"/>
    <n v="9678.0309523809519"/>
    <n v="3604.7738095238092"/>
    <n v="2041"/>
    <n v="700.21304347826083"/>
    <n v="2043"/>
    <n v="11904.761904761905"/>
    <n v="2041"/>
    <n v="0"/>
    <s v=""/>
    <n v="0"/>
    <n v="0"/>
  </r>
  <r>
    <s v="16073"/>
    <s v="גרוס אופיר  חנה"/>
    <s v="גרוס"/>
    <s v="אופיר  חנה"/>
    <s v="נ "/>
    <d v="2020-10-30T00:00:00"/>
    <n v="5"/>
    <x v="205"/>
    <x v="205"/>
    <s v="פתוח      "/>
    <s v="חבר"/>
    <s v="234936466"/>
    <s v="16071"/>
    <s v="גרוס אלעד"/>
    <n v="2"/>
    <s v="4     "/>
    <x v="8"/>
    <d v="2022-04-01T00:00:00"/>
    <s v="רווק"/>
    <s v="גנים"/>
    <n v="5"/>
    <n v="0"/>
    <n v="0"/>
    <n v="0"/>
    <n v="1"/>
    <b v="0"/>
    <n v="0"/>
    <n v="0"/>
    <n v="2292.7541666666666"/>
    <n v="2032"/>
    <n v="9678.0309523809519"/>
    <n v="3604.7738095238092"/>
    <n v="2041"/>
    <n v="700.21304347826083"/>
    <n v="2043"/>
    <n v="11904.761904761905"/>
    <n v="2041"/>
    <n v="0"/>
    <s v=""/>
    <n v="0"/>
    <n v="0"/>
  </r>
  <r>
    <s v="20315"/>
    <s v="לוי יובל"/>
    <s v="לוי"/>
    <s v="יובל"/>
    <s v="נ "/>
    <d v="2020-03-06T00:00:00"/>
    <n v="5"/>
    <x v="201"/>
    <x v="201"/>
    <s v="פתוח      "/>
    <s v="חבר"/>
    <s v="229532940"/>
    <s v="20311"/>
    <s v="לוי נדב"/>
    <n v="2"/>
    <s v="4     "/>
    <x v="8"/>
    <d v="2022-07-01T00:00:00"/>
    <s v="רווק"/>
    <s v="גנים"/>
    <n v="5"/>
    <n v="0"/>
    <n v="0"/>
    <n v="0"/>
    <n v="1"/>
    <b v="0"/>
    <n v="0"/>
    <n v="0"/>
    <n v="2292.7541666666666"/>
    <n v="2032"/>
    <n v="9678.0309523809519"/>
    <n v="3604.7738095238092"/>
    <n v="2041"/>
    <n v="700.21304347826083"/>
    <n v="2043"/>
    <n v="11904.761904761905"/>
    <n v="2041"/>
    <n v="0"/>
    <s v=""/>
    <n v="0"/>
    <n v="0"/>
  </r>
  <r>
    <s v="21016"/>
    <s v="דימנט צור יוסף"/>
    <s v="דימנט"/>
    <s v="צור יוסף"/>
    <s v="ז "/>
    <d v="2020-11-25T00:00:00"/>
    <n v="5"/>
    <x v="189"/>
    <x v="189"/>
    <s v="פתוח      "/>
    <s v="חבר"/>
    <s v="234922441"/>
    <s v="21011"/>
    <s v="דימנט דביר"/>
    <n v="2"/>
    <s v="4     "/>
    <x v="8"/>
    <d v="2021-10-02T00:00:00"/>
    <s v="רווק"/>
    <s v="גנים"/>
    <n v="5"/>
    <n v="0"/>
    <n v="0"/>
    <n v="0"/>
    <n v="1"/>
    <b v="0"/>
    <n v="2713.0730769230768"/>
    <n v="2033"/>
    <n v="0"/>
    <n v="0"/>
    <n v="9678.0309523809519"/>
    <n v="3604.7738095238092"/>
    <n v="2041"/>
    <n v="700.21304347826083"/>
    <n v="2043"/>
    <n v="11904.761904761905"/>
    <n v="2041"/>
    <n v="0"/>
    <s v=""/>
    <n v="0"/>
    <n v="0"/>
  </r>
  <r>
    <s v="21214"/>
    <s v="אלבז אורי"/>
    <s v="אלבז"/>
    <s v="אורי"/>
    <s v="ז "/>
    <d v="2020-11-04T00:00:00"/>
    <n v="5"/>
    <x v="226"/>
    <x v="226"/>
    <s v="פתוח      "/>
    <s v="חבר במסב"/>
    <s v="234906980"/>
    <s v="21211"/>
    <s v="אלבז שריה"/>
    <n v="2"/>
    <s v="4     "/>
    <x v="8"/>
    <d v="2020-11-04T00:00:00"/>
    <s v="רווק"/>
    <s v="גנים"/>
    <n v="5"/>
    <n v="0"/>
    <n v="0"/>
    <n v="0"/>
    <n v="1"/>
    <b v="0"/>
    <n v="2713.0730769230768"/>
    <n v="2033"/>
    <n v="0"/>
    <n v="0"/>
    <n v="9678.0309523809519"/>
    <n v="3604.7738095238092"/>
    <n v="2041"/>
    <n v="700.21304347826083"/>
    <n v="2043"/>
    <n v="11904.761904761905"/>
    <n v="2041"/>
    <n v="0"/>
    <s v=""/>
    <n v="0"/>
    <n v="0"/>
  </r>
  <r>
    <s v="20331"/>
    <s v="סיידנר יהודה אהרון"/>
    <s v="סיידנר"/>
    <s v="יהודה אהרון"/>
    <s v="ז "/>
    <d v="1997-10-25T00:00:00"/>
    <n v="28"/>
    <x v="239"/>
    <x v="239"/>
    <s v="פתוח      "/>
    <s v="חבר במסב"/>
    <s v="208554436"/>
    <s v="20331"/>
    <s v="סיידנר יהודה אהרון"/>
    <n v="2"/>
    <s v="1     "/>
    <x v="3"/>
    <d v="2024-07-2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9"/>
    <n v="4789.4165549999989"/>
    <n v="0"/>
  </r>
  <r>
    <s v="20332"/>
    <s v="סיידנר עמר"/>
    <s v="סיידנר"/>
    <s v="עמר"/>
    <s v="נ "/>
    <d v="1996-01-04T00:00:00"/>
    <n v="29"/>
    <x v="239"/>
    <x v="239"/>
    <s v="פתוח      "/>
    <s v="חבר במסב"/>
    <s v="207229287"/>
    <s v="20331"/>
    <s v="סיידנר יהודה אהרון"/>
    <n v="2"/>
    <s v="1     "/>
    <x v="3"/>
    <d v="2024-07-2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19"/>
    <n v="4789.4165549999989"/>
    <n v="0"/>
  </r>
  <r>
    <s v="01346"/>
    <s v="אלדד איתי יוסף"/>
    <s v="אלדד"/>
    <s v="איתי יוסף"/>
    <s v="ז "/>
    <d v="2021-10-08T00:00:00"/>
    <n v="4"/>
    <x v="26"/>
    <x v="26"/>
    <s v="פתוח      "/>
    <s v="חבר"/>
    <s v="234426773"/>
    <s v="01341"/>
    <s v="אלדד שלמה פינחס"/>
    <n v="2"/>
    <s v="4     "/>
    <x v="8"/>
    <d v="2021-10-08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02503"/>
    <s v="בן עמי מעיין"/>
    <s v="בן עמי"/>
    <s v="מעיין"/>
    <s v="ז "/>
    <d v="2021-04-29T00:00:00"/>
    <n v="4"/>
    <x v="69"/>
    <x v="69"/>
    <s v="פתוח      "/>
    <s v="חבר במסב"/>
    <s v="233645746"/>
    <s v="02501"/>
    <s v="בן עמי ירדן חיים"/>
    <n v="2"/>
    <s v="4     "/>
    <x v="8"/>
    <d v="2022-09-01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06144"/>
    <s v="וילק מעיין"/>
    <s v="וילק"/>
    <s v="מעיין"/>
    <s v="ז "/>
    <d v="2021-06-25T00:00:00"/>
    <n v="4"/>
    <x v="147"/>
    <x v="147"/>
    <s v="פתוח      "/>
    <s v="חבר"/>
    <s v="235127222"/>
    <s v="06141"/>
    <s v="וילק נדב"/>
    <n v="2"/>
    <s v="4     "/>
    <x v="8"/>
    <d v="2021-06-25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07057"/>
    <s v="זיו ראם זאב"/>
    <s v="זיו"/>
    <s v="ראם זאב"/>
    <s v="ז "/>
    <d v="2021-10-21T00:00:00"/>
    <n v="4"/>
    <x v="151"/>
    <x v="151"/>
    <s v="פתוח      "/>
    <s v="חבר"/>
    <s v="233952738"/>
    <s v="07051"/>
    <s v="זיו עמית"/>
    <n v="2"/>
    <s v="4     "/>
    <x v="8"/>
    <d v="2021-10-21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08134"/>
    <s v="גדסי רוני"/>
    <s v="גדסי"/>
    <s v="רוני"/>
    <s v="נ "/>
    <d v="2021-01-21T00:00:00"/>
    <n v="4"/>
    <x v="158"/>
    <x v="158"/>
    <s v="פתוח      "/>
    <s v="חבר"/>
    <s v="234903102"/>
    <s v="08131"/>
    <s v="גדסי מיכאל"/>
    <n v="2"/>
    <s v="4     "/>
    <x v="8"/>
    <d v="2021-01-21T00:00:00"/>
    <s v="רווק"/>
    <s v="גנים"/>
    <n v="5"/>
    <n v="0"/>
    <n v="0"/>
    <n v="0"/>
    <n v="1"/>
    <b v="0"/>
    <n v="0"/>
    <n v="0"/>
    <n v="1834.2033333333331"/>
    <n v="2033"/>
    <n v="7742.4247619047619"/>
    <n v="2883.8190476190475"/>
    <n v="2042"/>
    <n v="560.17043478260871"/>
    <n v="2044"/>
    <n v="9523.8095238095229"/>
    <n v="2042"/>
    <n v="0"/>
    <s v=""/>
    <n v="0"/>
    <n v="0"/>
  </r>
  <r>
    <s v="20361"/>
    <s v="רביב אוהד"/>
    <s v="רביב"/>
    <s v="אוהד"/>
    <s v="ז "/>
    <d v="2000-01-31T00:00:00"/>
    <n v="25"/>
    <x v="240"/>
    <x v="240"/>
    <s v="פתוח      "/>
    <s v="תושב לגביה"/>
    <s v="208321992"/>
    <s v="20361"/>
    <s v="רביב אוהד"/>
    <n v="0"/>
    <s v="36    "/>
    <x v="0"/>
    <d v="2022-04-07T00:00:00"/>
    <s v="רווק"/>
    <s v="--"/>
    <s v=""/>
    <n v="0"/>
    <n v="0"/>
    <n v="0"/>
    <n v="1"/>
    <b v="1"/>
    <n v="0"/>
    <n v="0"/>
    <n v="0"/>
    <n v="0"/>
    <n v="48390.154761904763"/>
    <n v="18023.869047619046"/>
    <n v="2025"/>
    <n v="0"/>
    <n v="0"/>
    <n v="0"/>
    <n v="0"/>
    <n v="0"/>
    <s v=""/>
    <n v="0"/>
    <n v="0"/>
  </r>
  <r>
    <s v="08157"/>
    <s v="חסון זיו"/>
    <s v="חסון"/>
    <s v="זיו"/>
    <s v="ז "/>
    <d v="2021-04-20T00:00:00"/>
    <n v="4"/>
    <x v="133"/>
    <x v="133"/>
    <s v="פתוח      "/>
    <s v="חבר"/>
    <s v="235042678"/>
    <s v="08151"/>
    <s v="חסון טל"/>
    <n v="2"/>
    <s v="4     "/>
    <x v="8"/>
    <d v="2021-04-22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20381"/>
    <s v="רייך שיאל יעקב"/>
    <s v="רייך"/>
    <s v="שיאל יעקב"/>
    <s v="ז "/>
    <d v="1999-12-29T00:00:00"/>
    <n v="26"/>
    <x v="241"/>
    <x v="241"/>
    <s v="פתוח      "/>
    <s v="תושב לגביה"/>
    <s v="208297499"/>
    <s v="20381"/>
    <s v="רייך שיאל יעקב"/>
    <n v="0"/>
    <s v="36    "/>
    <x v="0"/>
    <d v="2024-04-01T00:00:00"/>
    <s v="רווק"/>
    <s v="--"/>
    <s v=""/>
    <n v="0"/>
    <n v="0"/>
    <n v="0"/>
    <n v="1"/>
    <b v="1"/>
    <n v="0"/>
    <n v="0"/>
    <n v="0"/>
    <n v="0"/>
    <n v="50325.760952380959"/>
    <n v="18744.823809523808"/>
    <n v="2025"/>
    <n v="0"/>
    <n v="0"/>
    <n v="0"/>
    <n v="0"/>
    <n v="0"/>
    <s v=""/>
    <n v="0"/>
    <n v="0"/>
  </r>
  <r>
    <s v="20392"/>
    <s v="רביב שי"/>
    <s v="רביב"/>
    <s v="שי"/>
    <s v="נ "/>
    <d v="2000-03-06T00:00:00"/>
    <n v="25"/>
    <x v="242"/>
    <x v="242"/>
    <s v="פתוח      "/>
    <s v="תושב לגביה"/>
    <s v="211721758"/>
    <s v="20392"/>
    <s v="רביב שי"/>
    <n v="0"/>
    <s v="36    "/>
    <x v="0"/>
    <d v="2023-01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15065"/>
    <s v="קדוש סיני מזל"/>
    <s v="קדוש"/>
    <s v="סיני מזל"/>
    <s v="נ "/>
    <d v="2021-04-22T00:00:00"/>
    <n v="4"/>
    <x v="200"/>
    <x v="200"/>
    <s v="פתוח      "/>
    <s v="חבר"/>
    <s v="234615177"/>
    <s v="15061"/>
    <s v="קדוש נסאל ניסים"/>
    <n v="2"/>
    <s v="4     "/>
    <x v="8"/>
    <d v="2021-04-22T00:00:00"/>
    <s v="רווק"/>
    <s v="גנים"/>
    <n v="5"/>
    <n v="0"/>
    <n v="0"/>
    <n v="0"/>
    <n v="1"/>
    <b v="0"/>
    <n v="0"/>
    <n v="0"/>
    <n v="1834.2033333333331"/>
    <n v="2033"/>
    <n v="7742.4247619047619"/>
    <n v="2883.8190476190475"/>
    <n v="2042"/>
    <n v="560.17043478260871"/>
    <n v="2044"/>
    <n v="9523.8095238095229"/>
    <n v="2042"/>
    <n v="0"/>
    <s v=""/>
    <n v="0"/>
    <n v="0"/>
  </r>
  <r>
    <s v="20412"/>
    <s v="וולווביק רגב מטר"/>
    <s v="וולווביק רגב"/>
    <s v="מטר"/>
    <s v="נ "/>
    <d v="2001-02-22T00:00:00"/>
    <n v="24"/>
    <x v="243"/>
    <x v="243"/>
    <s v="פתוח      "/>
    <s v="תושב לגביה"/>
    <s v="322227497"/>
    <s v="20411"/>
    <s v="וולווביק עידו"/>
    <n v="0"/>
    <s v="36    "/>
    <x v="0"/>
    <d v="2022-09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20421"/>
    <s v="עמיאל בראל יעקב"/>
    <s v="עמיאל"/>
    <s v="בראל יעקב"/>
    <s v="ז "/>
    <d v="2001-11-18T00:00:00"/>
    <n v="24"/>
    <x v="92"/>
    <x v="92"/>
    <s v="פתוח      "/>
    <s v="תושב לגביה"/>
    <s v="212402036"/>
    <m/>
    <m/>
    <n v="0"/>
    <s v="6     "/>
    <x v="1"/>
    <d v="2022-05-19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7145"/>
    <s v="גוב ארי אוריה"/>
    <s v="גוב ארי"/>
    <s v="אוריה"/>
    <s v="נ "/>
    <d v="2021-08-01T00:00:00"/>
    <n v="4"/>
    <x v="212"/>
    <x v="212"/>
    <s v="פתוח      "/>
    <s v="חבר"/>
    <s v="235176898"/>
    <s v="17141"/>
    <s v="גוב ארי מרדכי"/>
    <n v="2"/>
    <s v="4     "/>
    <x v="8"/>
    <d v="2021-08-01T00:00:00"/>
    <s v="רווק"/>
    <s v="גנים"/>
    <n v="5"/>
    <n v="0"/>
    <n v="0"/>
    <n v="0"/>
    <n v="1"/>
    <b v="0"/>
    <n v="0"/>
    <n v="0"/>
    <n v="1834.2033333333331"/>
    <n v="2033"/>
    <n v="7742.4247619047619"/>
    <n v="2883.8190476190475"/>
    <n v="2042"/>
    <n v="560.17043478260871"/>
    <n v="2044"/>
    <n v="9523.8095238095229"/>
    <n v="2042"/>
    <n v="0"/>
    <s v=""/>
    <n v="0"/>
    <n v="0"/>
  </r>
  <r>
    <s v="20432"/>
    <s v="רוט אפרת"/>
    <s v="רוט"/>
    <s v="אפרת"/>
    <s v="נ "/>
    <d v="2002-08-08T00:00:00"/>
    <n v="23"/>
    <x v="244"/>
    <x v="244"/>
    <s v="פתוח      "/>
    <s v="תושב לגביה"/>
    <s v="213114820"/>
    <s v="20432"/>
    <s v="רוט אפרת"/>
    <n v="0"/>
    <s v="236   "/>
    <x v="7"/>
    <d v="2024-09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20442"/>
    <s v="רביב גילי"/>
    <s v="רביב"/>
    <s v="גילי"/>
    <s v="נ "/>
    <d v="2002-06-10T00:00:00"/>
    <n v="23"/>
    <x v="245"/>
    <x v="245"/>
    <s v="פתוח      "/>
    <s v="תושב לגביה"/>
    <s v="212853758"/>
    <s v="20442"/>
    <s v="רביב גילי"/>
    <n v="0"/>
    <s v="36    "/>
    <x v="0"/>
    <d v="2023-09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20452"/>
    <s v="רחמים תהילה"/>
    <s v="רחמים"/>
    <s v="תהילה"/>
    <s v="נ "/>
    <d v="2002-05-24T00:00:00"/>
    <n v="23"/>
    <x v="246"/>
    <x v="246"/>
    <s v="פתוח      "/>
    <s v="תושב לגביה"/>
    <s v="322464439"/>
    <s v="20452"/>
    <s v="רחמים תהילה"/>
    <n v="0"/>
    <s v="36    "/>
    <x v="0"/>
    <d v="2022-09-01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20461"/>
    <s v="רייך שגיא"/>
    <s v="רייך"/>
    <s v="שגיא"/>
    <s v="ז "/>
    <d v="2003-03-21T00:00:00"/>
    <n v="22"/>
    <x v="247"/>
    <x v="247"/>
    <s v="פתוח      "/>
    <s v="חבר"/>
    <s v="213827793"/>
    <s v="20461"/>
    <s v="רייך שגיא"/>
    <n v="0"/>
    <s v="36    "/>
    <x v="0"/>
    <d v="2025-08-13T00:00:00"/>
    <s v="רווק"/>
    <s v="--"/>
    <s v=""/>
    <n v="0"/>
    <n v="0"/>
    <n v="0"/>
    <n v="1"/>
    <b v="1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20472"/>
    <s v="רחמים הודיה"/>
    <s v="רחמים"/>
    <s v="הודיה"/>
    <s v="נ "/>
    <d v="2004-04-11T00:00:00"/>
    <n v="21"/>
    <x v="248"/>
    <x v="248"/>
    <s v="פתוח      "/>
    <s v="חבר"/>
    <s v="325832608"/>
    <s v="20472"/>
    <s v="רחמים הודיה"/>
    <n v="0"/>
    <s v="36    "/>
    <x v="0"/>
    <d v="2025-08-27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19313"/>
    <s v="ספיר עדי רינה"/>
    <s v="ספיר"/>
    <s v="עדי רינה"/>
    <s v="נ "/>
    <d v="2021-05-08T00:00:00"/>
    <n v="4"/>
    <x v="225"/>
    <x v="225"/>
    <s v="פתוח      "/>
    <s v="חבר"/>
    <s v="235286168"/>
    <s v="19311"/>
    <s v="ספיר תומר       סאלי"/>
    <n v="2"/>
    <s v="4     "/>
    <x v="8"/>
    <d v="2021-05-08T00:00:00"/>
    <s v="רווק"/>
    <s v="גנים"/>
    <n v="5"/>
    <n v="0"/>
    <n v="0"/>
    <n v="0"/>
    <n v="1"/>
    <b v="0"/>
    <n v="0"/>
    <n v="0"/>
    <n v="1834.2033333333331"/>
    <n v="2033"/>
    <n v="7742.4247619047619"/>
    <n v="2883.8190476190475"/>
    <n v="2042"/>
    <n v="560.17043478260871"/>
    <n v="2044"/>
    <n v="9523.8095238095229"/>
    <n v="2042"/>
    <n v="0"/>
    <s v=""/>
    <n v="0"/>
    <n v="0"/>
  </r>
  <r>
    <s v="20503"/>
    <s v="ריינר אסיף"/>
    <s v="ריינר"/>
    <s v="אסיף"/>
    <s v="נ "/>
    <d v="2021-02-10T00:00:00"/>
    <n v="4"/>
    <x v="249"/>
    <x v="249"/>
    <s v="פתוח      "/>
    <s v="חבר"/>
    <s v="234890713"/>
    <s v="20501"/>
    <s v="ריינר אריאל שלמה"/>
    <n v="2"/>
    <s v="4     "/>
    <x v="8"/>
    <d v="2022-08-15T00:00:00"/>
    <s v="רווק"/>
    <s v="גנים"/>
    <n v="5"/>
    <n v="0"/>
    <n v="0"/>
    <n v="0"/>
    <n v="1"/>
    <b v="0"/>
    <n v="0"/>
    <n v="0"/>
    <n v="1834.2033333333331"/>
    <n v="2033"/>
    <n v="7742.4247619047619"/>
    <n v="2883.8190476190475"/>
    <n v="2042"/>
    <n v="560.17043478260871"/>
    <n v="2044"/>
    <n v="9523.8095238095229"/>
    <n v="2042"/>
    <n v="0"/>
    <s v=""/>
    <n v="0"/>
    <n v="0"/>
  </r>
  <r>
    <s v="20501"/>
    <s v="ריינר אריאל שלמה"/>
    <s v="ריינר"/>
    <s v="אריאל שלמה"/>
    <s v="ז "/>
    <d v="1991-04-03T00:00:00"/>
    <n v="34"/>
    <x v="249"/>
    <x v="249"/>
    <s v="פתוח      "/>
    <s v="חבר"/>
    <s v="305127250"/>
    <s v="20501"/>
    <s v="ריינר אריאל שלמה"/>
    <n v="2"/>
    <s v="1     "/>
    <x v="3"/>
    <d v="2024-11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03"/>
    <n v="4549.1950349999988"/>
    <n v="0"/>
  </r>
  <r>
    <s v="20502"/>
    <s v="ריינר שירה"/>
    <s v="ריינר"/>
    <s v="שירה"/>
    <s v="נ "/>
    <d v="1990-08-28T00:00:00"/>
    <n v="35"/>
    <x v="249"/>
    <x v="249"/>
    <s v="פתוח      "/>
    <s v="חבר"/>
    <s v="305358277"/>
    <s v="20501"/>
    <s v="ריינר אריאל שלמה"/>
    <n v="2"/>
    <s v="1     "/>
    <x v="3"/>
    <d v="2024-11-25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.03"/>
    <n v="4549.1950349999988"/>
    <n v="0"/>
  </r>
  <r>
    <s v="20504"/>
    <s v="ריינר אור    משה"/>
    <s v="ריינר"/>
    <s v="אור    משה"/>
    <s v="ז "/>
    <d v="2021-02-10T00:00:00"/>
    <n v="4"/>
    <x v="249"/>
    <x v="249"/>
    <s v="פתוח      "/>
    <s v="חבר"/>
    <s v="234890721"/>
    <s v="20501"/>
    <s v="ריינר אריאל שלמה"/>
    <n v="2"/>
    <s v="4     "/>
    <x v="8"/>
    <d v="2022-08-15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21137"/>
    <s v="שאול לביא ישראל"/>
    <s v="שאול"/>
    <s v="לביא ישראל"/>
    <s v="ז "/>
    <d v="2021-09-18T00:00:00"/>
    <n v="4"/>
    <x v="143"/>
    <x v="143"/>
    <s v="פתוח      "/>
    <s v="חבר"/>
    <s v="234423580"/>
    <s v="21131"/>
    <s v="שאול איתי בנימין"/>
    <n v="2"/>
    <s v="4     "/>
    <x v="8"/>
    <d v="2021-09-18T00:00:00"/>
    <s v="רווק"/>
    <s v="גנים"/>
    <n v="5"/>
    <n v="0"/>
    <n v="0"/>
    <n v="0"/>
    <n v="1"/>
    <b v="0"/>
    <n v="2170.4584615384615"/>
    <n v="2034"/>
    <n v="0"/>
    <n v="0"/>
    <n v="7742.4247619047619"/>
    <n v="2883.8190476190475"/>
    <n v="2042"/>
    <n v="560.17043478260871"/>
    <n v="2044"/>
    <n v="9523.8095238095229"/>
    <n v="2042"/>
    <n v="0"/>
    <s v=""/>
    <n v="0"/>
    <n v="0"/>
  </r>
  <r>
    <s v="03127"/>
    <s v="כרמל גלי אביה"/>
    <s v="כרמל"/>
    <s v="גלי אביה"/>
    <s v="נ "/>
    <d v="2022-04-11T00:00:00"/>
    <n v="3"/>
    <x v="96"/>
    <x v="96"/>
    <s v="פתוח      "/>
    <s v="חבר"/>
    <s v="236079851"/>
    <s v="03121"/>
    <s v="כרמל איתמר"/>
    <n v="2"/>
    <s v="4     "/>
    <x v="8"/>
    <d v="2022-04-11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21011"/>
    <s v="דימנט דביר"/>
    <s v="דימנט"/>
    <s v="דביר"/>
    <s v="ז "/>
    <d v="1984-11-30T00:00:00"/>
    <n v="41"/>
    <x v="189"/>
    <x v="189"/>
    <s v="פתוח      "/>
    <s v="חבר"/>
    <s v="039556881"/>
    <s v="21011"/>
    <s v="דימנט דביר"/>
    <n v="2"/>
    <s v="1     "/>
    <x v="3"/>
    <d v="2021-10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7.06"/>
    <n v="10599.774569999998"/>
    <n v="0"/>
  </r>
  <r>
    <s v="21012"/>
    <s v="דימנט רננה"/>
    <s v="דימנט"/>
    <s v="רננה"/>
    <s v="נ "/>
    <d v="1986-04-10T00:00:00"/>
    <n v="39"/>
    <x v="189"/>
    <x v="189"/>
    <s v="פתוח      "/>
    <s v="חבר"/>
    <s v="026539460"/>
    <s v="21011"/>
    <s v="דימנט דביר"/>
    <n v="2"/>
    <s v="1     "/>
    <x v="3"/>
    <d v="2021-10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69"/>
    <n v="13047.031304999997"/>
    <n v="0"/>
  </r>
  <r>
    <s v="03177"/>
    <s v="גורי דוד מנחם"/>
    <s v="גורי"/>
    <s v="דוד מנחם"/>
    <s v="ז "/>
    <d v="2022-04-26T00:00:00"/>
    <n v="3"/>
    <x v="103"/>
    <x v="103"/>
    <s v="פתוח      "/>
    <s v="חבר"/>
    <s v="236113684"/>
    <s v="03171"/>
    <s v="גורי יעקב"/>
    <n v="2"/>
    <s v="4     "/>
    <x v="8"/>
    <d v="2022-04-26T00:00:00"/>
    <s v="רווק"/>
    <s v="גנים"/>
    <n v="5"/>
    <n v="0"/>
    <n v="0"/>
    <n v="0"/>
    <n v="1"/>
    <b v="0"/>
    <n v="1627.8438461538462"/>
    <n v="2035"/>
    <n v="0"/>
    <n v="0"/>
    <n v="5806.8185714285719"/>
    <n v="2162.8642857142854"/>
    <n v="2043"/>
    <n v="420.12782608695653"/>
    <n v="2045"/>
    <n v="7142.8571428571422"/>
    <n v="2043"/>
    <n v="0"/>
    <s v=""/>
    <n v="0"/>
    <n v="0"/>
  </r>
  <r>
    <s v="04113"/>
    <s v="דבורקין ענבר"/>
    <s v="דבורקין"/>
    <s v="ענבר"/>
    <s v="נ "/>
    <d v="2022-08-25T00:00:00"/>
    <n v="3"/>
    <x v="114"/>
    <x v="114"/>
    <s v="פתוח      "/>
    <s v="חבר"/>
    <s v="236079331"/>
    <s v="04111"/>
    <s v="דבורקין דגן"/>
    <n v="2"/>
    <s v="4     "/>
    <x v="8"/>
    <d v="2022-08-25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05236"/>
    <s v="הבר זוהר הודיה"/>
    <s v="הבר"/>
    <s v="זוהר הודיה"/>
    <s v="נ "/>
    <d v="2022-05-04T00:00:00"/>
    <n v="3"/>
    <x v="131"/>
    <x v="131"/>
    <s v="פתוח      "/>
    <s v="חבר"/>
    <s v="235225091"/>
    <s v="05231"/>
    <s v="הבר נועם  אהרון"/>
    <n v="2"/>
    <s v="4     "/>
    <x v="8"/>
    <d v="2024-09-01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12395"/>
    <s v="לבבי אורי   ציון"/>
    <s v="לבבי"/>
    <s v="אורי   ציון"/>
    <s v="נ "/>
    <d v="2022-05-23T00:00:00"/>
    <n v="3"/>
    <x v="192"/>
    <x v="192"/>
    <s v="פתוח      "/>
    <s v="חבר"/>
    <s v="236804670"/>
    <s v="12391"/>
    <s v="לבבי יוסף"/>
    <n v="2"/>
    <s v="4     "/>
    <x v="8"/>
    <d v="2022-05-23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13045"/>
    <s v="מור יוסף רוני"/>
    <s v="מור יוסף"/>
    <s v="רוני"/>
    <s v="נ "/>
    <d v="2022-07-21T00:00:00"/>
    <n v="3"/>
    <x v="194"/>
    <x v="194"/>
    <s v="פתוח      "/>
    <s v="חבר"/>
    <s v="236089637"/>
    <s v="13041"/>
    <s v="מור יוסף אליה"/>
    <n v="2"/>
    <s v="4     "/>
    <x v="8"/>
    <d v="2022-04-21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21022"/>
    <s v="שיין טליה חיה"/>
    <s v="שיין"/>
    <s v="טליה חיה"/>
    <s v="נ "/>
    <d v="2004-04-26T00:00:00"/>
    <n v="21"/>
    <x v="250"/>
    <x v="250"/>
    <s v="פתוח      "/>
    <s v="חבר"/>
    <s v="326661436"/>
    <s v="21022"/>
    <s v="שיין טליה חיה"/>
    <n v="0"/>
    <s v="36    "/>
    <x v="0"/>
    <d v="2025-08-20T00:00:00"/>
    <s v="רווק"/>
    <s v="--"/>
    <s v=""/>
    <n v="0"/>
    <n v="0"/>
    <n v="0"/>
    <n v="1"/>
    <b v="1"/>
    <n v="0"/>
    <n v="0"/>
    <n v="0"/>
    <n v="0"/>
    <n v="40647.730000000003"/>
    <n v="15140.05"/>
    <n v="2025"/>
    <n v="2940.8947826086956"/>
    <n v="2027"/>
    <n v="50000"/>
    <n v="2025"/>
    <n v="0"/>
    <s v=""/>
    <n v="0"/>
    <n v="0"/>
  </r>
  <r>
    <s v="21092"/>
    <s v="שיין ורדה"/>
    <s v="שיין"/>
    <s v="ורדה"/>
    <s v="נ "/>
    <d v="1942-02-12T00:00:00"/>
    <n v="83"/>
    <x v="251"/>
    <x v="251"/>
    <s v="פתוח      "/>
    <s v="חבר"/>
    <s v="049337348"/>
    <s v="21092"/>
    <s v="שיין ורדה"/>
    <n v="1"/>
    <s v="1     "/>
    <x v="3"/>
    <d v="1963-10-31T00:00:00"/>
    <s v="אלמן"/>
    <s v="--"/>
    <s v=""/>
    <n v="1665"/>
    <n v="7500"/>
    <n v="490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21101"/>
    <s v="שאול אריה"/>
    <s v="שאול"/>
    <s v="אריה"/>
    <s v="ז "/>
    <d v="1952-08-10T00:00:00"/>
    <n v="73"/>
    <x v="252"/>
    <x v="252"/>
    <s v="פתוח      "/>
    <s v="חבר"/>
    <s v="051497733"/>
    <s v="21101"/>
    <s v="שאול אריה"/>
    <n v="2"/>
    <s v="1     "/>
    <x v="3"/>
    <d v="1970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8"/>
    <n v="0"/>
    <n v="0"/>
  </r>
  <r>
    <s v="21102"/>
    <s v="שאול אמירה"/>
    <s v="שאול"/>
    <s v="אמירה"/>
    <s v="נ "/>
    <d v="1956-05-29T00:00:00"/>
    <n v="69"/>
    <x v="252"/>
    <x v="252"/>
    <s v="פתוח      "/>
    <s v="חבר"/>
    <s v="054043344"/>
    <s v="21101"/>
    <s v="שאול אריה"/>
    <n v="2"/>
    <s v="1     "/>
    <x v="3"/>
    <d v="1982-10-31T00:00:00"/>
    <s v="נשוי"/>
    <s v="--"/>
    <s v=""/>
    <n v="2365"/>
    <n v="7500"/>
    <n v="0"/>
    <n v="0"/>
    <b v="0"/>
    <n v="0"/>
    <n v="0"/>
    <n v="0"/>
    <n v="0"/>
    <n v="0"/>
    <n v="0"/>
    <n v="0"/>
    <n v="0"/>
    <n v="0"/>
    <n v="0"/>
    <n v="0"/>
    <n v="0"/>
    <n v="43.21"/>
    <n v="0"/>
    <n v="0"/>
  </r>
  <r>
    <s v="21111"/>
    <s v="שי ישראל"/>
    <s v="שי"/>
    <s v="ישראל"/>
    <s v="ז "/>
    <d v="1961-12-02T00:00:00"/>
    <n v="64"/>
    <x v="253"/>
    <x v="253"/>
    <s v="פתוח      "/>
    <s v="חבר"/>
    <s v="057203481"/>
    <s v="21111"/>
    <s v="שי ישראל"/>
    <n v="2"/>
    <s v="1     "/>
    <x v="3"/>
    <d v="1995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43.95"/>
    <n v="0"/>
    <n v="77616.216562500005"/>
  </r>
  <r>
    <s v="21112"/>
    <s v="שי רחל"/>
    <s v="שי"/>
    <s v="רחל"/>
    <s v="נ "/>
    <d v="1961-03-12T00:00:00"/>
    <n v="64"/>
    <x v="253"/>
    <x v="253"/>
    <s v="פתוח      "/>
    <s v="חבר"/>
    <s v="056821861"/>
    <s v="21111"/>
    <s v="שי ישראל"/>
    <n v="2"/>
    <s v="1     "/>
    <x v="3"/>
    <d v="1991-10-01T00:00:00"/>
    <s v="נשוי"/>
    <s v="--"/>
    <s v=""/>
    <n v="0"/>
    <n v="7500"/>
    <n v="0"/>
    <n v="0"/>
    <b v="0"/>
    <n v="0"/>
    <n v="0"/>
    <n v="0"/>
    <n v="0"/>
    <n v="0"/>
    <n v="0"/>
    <n v="0"/>
    <n v="0"/>
    <n v="0"/>
    <n v="0"/>
    <n v="0"/>
    <n v="0"/>
    <n v="40.11"/>
    <n v="0"/>
    <n v="67321.008562500007"/>
  </r>
  <r>
    <s v="21121"/>
    <s v="שוורץ כרמל"/>
    <s v="שוורץ"/>
    <s v="כרמל"/>
    <s v="ז "/>
    <d v="2006-07-07T00:00:00"/>
    <n v="19"/>
    <x v="144"/>
    <x v="144"/>
    <s v="פתוח      "/>
    <s v="חבר"/>
    <s v="329463848"/>
    <s v="21151"/>
    <s v="שוורץ רוני"/>
    <n v="2"/>
    <s v="18    "/>
    <x v="13"/>
    <d v="2024-09-04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21131"/>
    <s v="שאול איתי בנימין"/>
    <s v="שאול"/>
    <s v="איתי בנימין"/>
    <s v="ז "/>
    <d v="1985-09-07T00:00:00"/>
    <n v="40"/>
    <x v="143"/>
    <x v="143"/>
    <s v="פתוח      "/>
    <s v="חבר"/>
    <s v="037966173"/>
    <s v="21131"/>
    <s v="שאול איתי בנימין"/>
    <n v="2"/>
    <s v="1     "/>
    <x v="3"/>
    <d v="2020-02-1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56"/>
    <n v="12851.85132"/>
    <n v="0"/>
  </r>
  <r>
    <s v="21132"/>
    <s v="שאול יעל"/>
    <s v="שאול"/>
    <s v="יעל"/>
    <s v="נ "/>
    <d v="1985-12-22T00:00:00"/>
    <n v="40"/>
    <x v="143"/>
    <x v="143"/>
    <s v="פתוח      "/>
    <s v="חבר"/>
    <s v="032517690"/>
    <s v="21131"/>
    <s v="שאול איתי בנימין"/>
    <n v="2"/>
    <s v="1     "/>
    <x v="3"/>
    <d v="2020-02-1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8.56"/>
    <n v="12851.85132"/>
    <n v="0"/>
  </r>
  <r>
    <s v="17124"/>
    <s v="פליישמן מאור"/>
    <s v="פליישמן"/>
    <s v="מאור"/>
    <s v="נ "/>
    <d v="2022-05-20T00:00:00"/>
    <n v="3"/>
    <x v="211"/>
    <x v="211"/>
    <s v="פתוח      "/>
    <s v="חבר"/>
    <s v="236114864"/>
    <s v="17121"/>
    <s v="פליישמן דורי-אביגדור"/>
    <n v="2"/>
    <s v="4     "/>
    <x v="8"/>
    <d v="2022-05-20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19103"/>
    <s v="קרליבך יהל"/>
    <s v="קרליבך"/>
    <s v="יהל"/>
    <s v="ז "/>
    <d v="2022-05-14T00:00:00"/>
    <n v="3"/>
    <x v="219"/>
    <x v="219"/>
    <s v="פתוח      "/>
    <s v="חבר"/>
    <s v="235225596"/>
    <s v="19101"/>
    <s v="קרליבך רועי"/>
    <n v="2"/>
    <s v="4     "/>
    <x v="8"/>
    <d v="2022-09-01T00:00:00"/>
    <s v="רווק"/>
    <s v="גנים"/>
    <n v="5"/>
    <n v="0"/>
    <n v="0"/>
    <n v="0"/>
    <n v="1"/>
    <b v="0"/>
    <n v="1627.8438461538462"/>
    <n v="2035"/>
    <n v="0"/>
    <n v="0"/>
    <n v="5806.8185714285719"/>
    <n v="2162.8642857142854"/>
    <n v="2043"/>
    <n v="420.12782608695653"/>
    <n v="2045"/>
    <n v="7142.8571428571422"/>
    <n v="2043"/>
    <n v="0"/>
    <s v=""/>
    <n v="0"/>
    <n v="0"/>
  </r>
  <r>
    <s v="20334"/>
    <s v="סיידנר יער"/>
    <s v="סיידנר"/>
    <s v="יער"/>
    <s v="נ "/>
    <d v="2022-02-14T00:00:00"/>
    <n v="3"/>
    <x v="239"/>
    <x v="239"/>
    <s v="פתוח      "/>
    <s v="חבר במסב"/>
    <s v="236075206"/>
    <s v="20331"/>
    <s v="סיידנר יהודה אהרון"/>
    <n v="2"/>
    <s v="4     "/>
    <x v="8"/>
    <d v="2022-07-01T00:00:00"/>
    <s v="רווק"/>
    <s v="גנים"/>
    <n v="5"/>
    <n v="0"/>
    <n v="0"/>
    <n v="0"/>
    <n v="1"/>
    <b v="0"/>
    <n v="0"/>
    <n v="0"/>
    <n v="1375.6524999999999"/>
    <n v="2034"/>
    <n v="5806.8185714285719"/>
    <n v="2162.8642857142854"/>
    <n v="2043"/>
    <n v="420.12782608695653"/>
    <n v="2045"/>
    <n v="7142.8571428571422"/>
    <n v="2043"/>
    <n v="0"/>
    <s v=""/>
    <n v="0"/>
    <n v="0"/>
  </r>
  <r>
    <s v="02504"/>
    <s v="בן עמי נטע אלי"/>
    <s v="בן עמי"/>
    <s v="נטע אלי"/>
    <s v="ז "/>
    <d v="2023-06-16T00:00:00"/>
    <n v="2"/>
    <x v="69"/>
    <x v="69"/>
    <s v="פתוח      "/>
    <s v="חבר במסב"/>
    <s v="238807374"/>
    <s v="02501"/>
    <s v="בן עמי ירדן חיים"/>
    <n v="2"/>
    <s v="4     "/>
    <x v="8"/>
    <d v="2023-06-16T00:00:00"/>
    <s v="רווק"/>
    <s v="פעוט"/>
    <n v="5"/>
    <n v="0"/>
    <n v="0"/>
    <n v="0"/>
    <n v="1"/>
    <b v="0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06145"/>
    <s v="וילק עפרי"/>
    <s v="וילק"/>
    <s v="עפרי"/>
    <s v="נ "/>
    <d v="2023-05-03T00:00:00"/>
    <n v="2"/>
    <x v="147"/>
    <x v="147"/>
    <s v="פתוח      "/>
    <s v="חבר"/>
    <s v="238725642"/>
    <s v="06141"/>
    <s v="וילק נדב"/>
    <n v="2"/>
    <s v="4     "/>
    <x v="8"/>
    <d v="2023-05-03T00:00:00"/>
    <s v="רווק"/>
    <s v="פעוט"/>
    <n v="5"/>
    <n v="0"/>
    <n v="0"/>
    <n v="0"/>
    <n v="1"/>
    <b v="0"/>
    <n v="0"/>
    <n v="0"/>
    <n v="917.10166666666657"/>
    <n v="2035"/>
    <n v="3871.212380952381"/>
    <n v="1441.9095238095238"/>
    <n v="2044"/>
    <n v="280.08521739130435"/>
    <n v="2046"/>
    <n v="4761.9047619047615"/>
    <n v="2044"/>
    <n v="0"/>
    <s v=""/>
    <n v="0"/>
    <n v="0"/>
  </r>
  <r>
    <s v="21151"/>
    <s v="שוורץ רוני"/>
    <s v="שוורץ"/>
    <s v="רוני"/>
    <s v="ז "/>
    <d v="1978-08-19T00:00:00"/>
    <n v="47"/>
    <x v="144"/>
    <x v="144"/>
    <s v="פתוח      "/>
    <s v="חבר"/>
    <s v="031400492"/>
    <s v="21151"/>
    <s v="שוורץ רוני"/>
    <n v="2"/>
    <s v="1     "/>
    <x v="3"/>
    <d v="2013-01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4.76"/>
    <n v="22160.435219999999"/>
    <n v="0"/>
  </r>
  <r>
    <s v="21152"/>
    <s v="שוורץ שיראל"/>
    <s v="שוורץ"/>
    <s v="שיראל"/>
    <s v="נ "/>
    <d v="1978-03-02T00:00:00"/>
    <n v="47"/>
    <x v="144"/>
    <x v="144"/>
    <s v="פתוח      "/>
    <s v="חבר"/>
    <s v="034284240"/>
    <s v="21151"/>
    <s v="שוורץ רוני"/>
    <n v="2"/>
    <s v="1     "/>
    <x v="3"/>
    <d v="2013-01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9.03"/>
    <n v="28571.347034999999"/>
    <n v="0"/>
  </r>
  <r>
    <s v="12137"/>
    <s v="הורן רועי"/>
    <s v="הורן"/>
    <s v="רועי"/>
    <s v="ז "/>
    <d v="2023-11-30T00:00:00"/>
    <n v="2"/>
    <x v="184"/>
    <x v="184"/>
    <s v="פתוח      "/>
    <s v="חבר"/>
    <s v="238820856"/>
    <s v="12131"/>
    <s v="הורן יהודה  שלום"/>
    <n v="2"/>
    <s v="4     "/>
    <x v="8"/>
    <d v="2023-11-30T00:00:00"/>
    <s v="רווק"/>
    <s v="פעוט"/>
    <n v="5"/>
    <n v="0"/>
    <n v="0"/>
    <n v="0"/>
    <n v="1"/>
    <b v="0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12353"/>
    <s v="לאופר יער אהרון"/>
    <s v="לאופר"/>
    <s v="יער אהרון"/>
    <s v="ז "/>
    <d v="2023-04-27T00:00:00"/>
    <n v="2"/>
    <x v="191"/>
    <x v="191"/>
    <s v="פתוח      "/>
    <s v="תושב לגביה"/>
    <s v="238250278"/>
    <s v="12351"/>
    <s v="לאופר שחר"/>
    <n v="0"/>
    <s v="4     "/>
    <x v="8"/>
    <d v="2024-06-10T00:00:00"/>
    <s v="רווק"/>
    <s v="פעוט"/>
    <n v="5"/>
    <n v="0"/>
    <n v="0"/>
    <n v="0"/>
    <n v="1"/>
    <b v="1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16074"/>
    <s v="גרוס ליבי אור"/>
    <s v="גרוס"/>
    <s v="ליבי אור"/>
    <s v="נ "/>
    <d v="2023-05-03T00:00:00"/>
    <n v="2"/>
    <x v="205"/>
    <x v="205"/>
    <s v="פתוח      "/>
    <s v="חבר"/>
    <s v="238725618"/>
    <s v="16071"/>
    <s v="גרוס אלעד"/>
    <n v="2"/>
    <s v="4     "/>
    <x v="8"/>
    <d v="2023-05-03T00:00:00"/>
    <s v="רווק"/>
    <s v="פעוט"/>
    <n v="5"/>
    <n v="0"/>
    <n v="0"/>
    <n v="0"/>
    <n v="1"/>
    <b v="0"/>
    <n v="0"/>
    <n v="0"/>
    <n v="917.10166666666657"/>
    <n v="2035"/>
    <n v="3871.212380952381"/>
    <n v="1441.9095238095238"/>
    <n v="2044"/>
    <n v="280.08521739130435"/>
    <n v="2046"/>
    <n v="4761.9047619047615"/>
    <n v="2044"/>
    <n v="0"/>
    <s v=""/>
    <n v="0"/>
    <n v="0"/>
  </r>
  <r>
    <s v="17146"/>
    <s v="גוב ארי אפרת"/>
    <s v="גוב ארי"/>
    <s v="אפרת"/>
    <s v="נ "/>
    <d v="2023-07-14T00:00:00"/>
    <n v="2"/>
    <x v="212"/>
    <x v="212"/>
    <s v="פתוח      "/>
    <s v="חבר"/>
    <s v="238732481"/>
    <s v="17141"/>
    <s v="גוב ארי מרדכי"/>
    <n v="2"/>
    <s v="4     "/>
    <x v="8"/>
    <d v="2023-07-14T00:00:00"/>
    <s v="רווק"/>
    <s v="פעוט"/>
    <n v="5"/>
    <n v="0"/>
    <n v="0"/>
    <n v="0"/>
    <n v="1"/>
    <b v="0"/>
    <n v="0"/>
    <n v="0"/>
    <n v="917.10166666666657"/>
    <n v="2035"/>
    <n v="3871.212380952381"/>
    <n v="1441.9095238095238"/>
    <n v="2044"/>
    <n v="280.08521739130435"/>
    <n v="2046"/>
    <n v="4761.9047619047615"/>
    <n v="2044"/>
    <n v="0"/>
    <s v=""/>
    <n v="0"/>
    <n v="0"/>
  </r>
  <r>
    <s v="21171"/>
    <s v="שי רועי מרדכי"/>
    <s v="שי"/>
    <s v="רועי מרדכי"/>
    <s v="ז "/>
    <d v="2003-09-03T00:00:00"/>
    <n v="22"/>
    <x v="254"/>
    <x v="254"/>
    <s v="פתוח      "/>
    <s v="חבר"/>
    <s v="213439565"/>
    <s v="21171"/>
    <s v="שי רועי מרדכי"/>
    <n v="0"/>
    <s v="36    "/>
    <x v="0"/>
    <d v="2025-08-09T00:00:00"/>
    <s v="רווק"/>
    <s v="--"/>
    <s v=""/>
    <n v="0"/>
    <n v="0"/>
    <n v="0"/>
    <n v="1"/>
    <b v="1"/>
    <n v="0"/>
    <n v="0"/>
    <n v="0"/>
    <n v="0"/>
    <n v="42583.336190476199"/>
    <n v="15861.004761904762"/>
    <n v="2025"/>
    <n v="3080.9373913043478"/>
    <n v="2026"/>
    <n v="0"/>
    <n v="0"/>
    <n v="0"/>
    <s v=""/>
    <n v="0"/>
    <n v="0"/>
  </r>
  <r>
    <s v="21182"/>
    <s v="דורון )שבח( רותם"/>
    <s v="דורון )שבח("/>
    <s v="רותם"/>
    <s v="נ "/>
    <d v="1986-12-04T00:00:00"/>
    <n v="39"/>
    <x v="163"/>
    <x v="163"/>
    <s v="פתוח      "/>
    <s v="חבר"/>
    <s v="300740602"/>
    <s v="21182"/>
    <s v="דורון )שבח( רותם"/>
    <n v="1"/>
    <s v="1     "/>
    <x v="3"/>
    <d v="2010-06-01T00:00:00"/>
    <s v="גרוש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6.739999999999998"/>
    <n v="25133.176529999997"/>
    <n v="0"/>
  </r>
  <r>
    <s v="17223"/>
    <s v="פרג`ון בארי רות"/>
    <s v="פרג`ון"/>
    <s v="בארי רות"/>
    <s v="נ "/>
    <d v="2023-04-03T00:00:00"/>
    <n v="2"/>
    <x v="213"/>
    <x v="213"/>
    <s v="פתוח      "/>
    <s v="תושב לגביה"/>
    <s v="237662002"/>
    <s v="17221"/>
    <s v="פרג`ון נוה"/>
    <n v="0"/>
    <s v="4     "/>
    <x v="8"/>
    <d v="2025-01-01T00:00:00"/>
    <m/>
    <s v="פעוט"/>
    <n v="5"/>
    <n v="0"/>
    <n v="0"/>
    <n v="0"/>
    <n v="1"/>
    <b v="1"/>
    <n v="0"/>
    <n v="0"/>
    <n v="917.10166666666657"/>
    <n v="2035"/>
    <n v="0"/>
    <n v="0"/>
    <n v="0"/>
    <n v="280.08521739130435"/>
    <n v="2046"/>
    <n v="4761.9047619047615"/>
    <n v="2044"/>
    <n v="0"/>
    <s v=""/>
    <n v="0"/>
    <n v="0"/>
  </r>
  <r>
    <s v="19104"/>
    <s v="קרליבך עמית"/>
    <s v="קרליבך"/>
    <s v="עמית"/>
    <s v="ז "/>
    <d v="2023-11-16T00:00:00"/>
    <n v="2"/>
    <x v="219"/>
    <x v="219"/>
    <s v="פתוח      "/>
    <s v="חבר"/>
    <s v="236564670"/>
    <s v="19101"/>
    <s v="קרליבך רועי"/>
    <n v="2"/>
    <s v="4     "/>
    <x v="8"/>
    <d v="2023-11-16T00:00:00"/>
    <s v="רווק"/>
    <s v="פעוט"/>
    <n v="5"/>
    <n v="0"/>
    <n v="0"/>
    <n v="0"/>
    <n v="1"/>
    <b v="0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21191"/>
    <s v="שיין נפתלי"/>
    <s v="שיין"/>
    <s v="נפתלי"/>
    <s v="ז "/>
    <d v="1974-10-18T00:00:00"/>
    <n v="51"/>
    <x v="145"/>
    <x v="145"/>
    <s v="פתוח      "/>
    <s v="חבר"/>
    <s v="031942857"/>
    <s v="21191"/>
    <s v="שיין נפתלי"/>
    <n v="2"/>
    <s v="1     "/>
    <x v="3"/>
    <d v="2004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6.56"/>
    <n v="0"/>
    <n v="30992.865750000004"/>
  </r>
  <r>
    <s v="21192"/>
    <s v="שיין גילה ויטה"/>
    <s v="שיין"/>
    <s v="גילה ויטה"/>
    <s v="נ "/>
    <d v="1976-01-26T00:00:00"/>
    <n v="49"/>
    <x v="145"/>
    <x v="145"/>
    <s v="פתוח      "/>
    <s v="חבר"/>
    <s v="038554762"/>
    <s v="21191"/>
    <s v="שיין נפתלי"/>
    <n v="2"/>
    <s v="1     "/>
    <x v="3"/>
    <d v="2006-08-28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01"/>
    <n v="31544.088344999996"/>
    <n v="0"/>
  </r>
  <r>
    <s v="19314"/>
    <s v="ספיר הללי"/>
    <s v="ספיר"/>
    <s v="הללי"/>
    <s v="נ "/>
    <d v="2023-07-16T00:00:00"/>
    <n v="2"/>
    <x v="225"/>
    <x v="225"/>
    <s v="פתוח      "/>
    <s v="חבר"/>
    <s v="238996540"/>
    <s v="19311"/>
    <s v="ספיר תומר       סאלי"/>
    <n v="2"/>
    <s v="4     "/>
    <x v="8"/>
    <d v="2023-07-16T00:00:00"/>
    <s v="רווק"/>
    <s v="פעוט"/>
    <n v="5"/>
    <n v="0"/>
    <n v="0"/>
    <n v="0"/>
    <n v="1"/>
    <b v="0"/>
    <n v="0"/>
    <n v="0"/>
    <n v="917.10166666666657"/>
    <n v="2035"/>
    <n v="3871.212380952381"/>
    <n v="1441.9095238095238"/>
    <n v="2044"/>
    <n v="280.08521739130435"/>
    <n v="2046"/>
    <n v="4761.9047619047615"/>
    <n v="2044"/>
    <n v="0"/>
    <s v=""/>
    <n v="0"/>
    <n v="0"/>
  </r>
  <r>
    <s v="19358"/>
    <s v="קליין מור דרור"/>
    <s v="קליין"/>
    <s v="מור דרור"/>
    <s v="ז "/>
    <d v="2023-08-21T00:00:00"/>
    <n v="2"/>
    <x v="135"/>
    <x v="135"/>
    <s v="פתוח      "/>
    <s v="חבר"/>
    <s v="238708630"/>
    <s v="19351"/>
    <s v="קליין יוחאי"/>
    <n v="2"/>
    <s v="4     "/>
    <x v="8"/>
    <d v="2023-08-21T00:00:00"/>
    <s v="רווק"/>
    <s v="פעוט"/>
    <n v="5"/>
    <n v="0"/>
    <n v="0"/>
    <n v="0"/>
    <n v="1"/>
    <b v="0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20335"/>
    <s v="סיידנר רעי"/>
    <s v="סיידנר"/>
    <s v="רעי"/>
    <s v="ז "/>
    <d v="2023-04-15T00:00:00"/>
    <n v="2"/>
    <x v="239"/>
    <x v="239"/>
    <s v="פתוח      "/>
    <s v="חבר במסב"/>
    <s v="238703193"/>
    <s v="20331"/>
    <s v="סיידנר יהודה אהרון"/>
    <n v="2"/>
    <s v="4     "/>
    <x v="8"/>
    <d v="2023-04-15T00:00:00"/>
    <s v="רווק"/>
    <s v="פעוט"/>
    <n v="5"/>
    <n v="0"/>
    <n v="0"/>
    <n v="0"/>
    <n v="1"/>
    <b v="0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21017"/>
    <s v="דימנט זיו אברהם"/>
    <s v="דימנט"/>
    <s v="זיו אברהם"/>
    <s v="ז "/>
    <d v="2023-02-08T00:00:00"/>
    <n v="2"/>
    <x v="189"/>
    <x v="189"/>
    <s v="פתוח      "/>
    <s v="חבר"/>
    <s v="238235394"/>
    <s v="21011"/>
    <s v="דימנט דביר"/>
    <n v="2"/>
    <s v="4     "/>
    <x v="8"/>
    <d v="2023-02-08T00:00:00"/>
    <s v="רווק"/>
    <s v="פעוט"/>
    <n v="5"/>
    <n v="0"/>
    <n v="0"/>
    <n v="0"/>
    <n v="1"/>
    <b v="0"/>
    <n v="1085.2292307692308"/>
    <n v="2036"/>
    <n v="0"/>
    <n v="0"/>
    <n v="3871.212380952381"/>
    <n v="1441.9095238095238"/>
    <n v="2044"/>
    <n v="280.08521739130435"/>
    <n v="2046"/>
    <n v="4761.9047619047615"/>
    <n v="2044"/>
    <n v="0"/>
    <s v=""/>
    <n v="0"/>
    <n v="0"/>
  </r>
  <r>
    <s v="21201"/>
    <s v="שילה נתנאל"/>
    <s v="שילה"/>
    <s v="נתנאל"/>
    <s v="ז "/>
    <d v="1985-05-11T00:00:00"/>
    <n v="40"/>
    <x v="255"/>
    <x v="255"/>
    <s v="פתוח      "/>
    <s v="חבר"/>
    <s v="036992741"/>
    <s v="21201"/>
    <s v="שילה נתנאל"/>
    <n v="0"/>
    <s v="30    "/>
    <x v="16"/>
    <d v="2020-10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02"/>
    <s v="שילה סיון רעות"/>
    <s v="שילה"/>
    <s v="סיון רעות"/>
    <s v="נ "/>
    <d v="1985-01-05T00:00:00"/>
    <n v="40"/>
    <x v="255"/>
    <x v="255"/>
    <s v="פתוח      "/>
    <s v="חבר"/>
    <s v="036550481"/>
    <s v="21201"/>
    <s v="שילה נתנאל"/>
    <n v="0"/>
    <s v="30    "/>
    <x v="16"/>
    <d v="2020-10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03"/>
    <s v="שילה נועה אמונה"/>
    <s v="שילה"/>
    <s v="נועה אמונה"/>
    <s v="נ "/>
    <d v="2009-09-25T00:00:00"/>
    <n v="16"/>
    <x v="255"/>
    <x v="255"/>
    <s v="פתוח      "/>
    <s v="חבר"/>
    <s v="218884245"/>
    <s v="21201"/>
    <s v="שילה נתנאל"/>
    <n v="0"/>
    <s v="16    "/>
    <x v="17"/>
    <d v="2020-10-01T00:00:00"/>
    <s v="רווק"/>
    <s v="תיכון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04"/>
    <s v="שילה איתן צוריה"/>
    <s v="שילה"/>
    <s v="איתן צוריה"/>
    <s v="ז "/>
    <d v="2011-06-03T00:00:00"/>
    <n v="14"/>
    <x v="255"/>
    <x v="255"/>
    <s v="פתוח      "/>
    <s v="חבר"/>
    <s v="335298618"/>
    <s v="21201"/>
    <s v="שילה נתנאל"/>
    <n v="0"/>
    <s v="16    "/>
    <x v="17"/>
    <d v="2020-10-01T00:00:00"/>
    <s v="רווק"/>
    <s v="חטיבה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05"/>
    <s v="שילה שקד בניה"/>
    <s v="שילה"/>
    <s v="שקד בניה"/>
    <s v="ז "/>
    <d v="2013-01-28T00:00:00"/>
    <n v="12"/>
    <x v="255"/>
    <x v="255"/>
    <s v="פתוח      "/>
    <s v="חבר"/>
    <s v="338430945"/>
    <s v="21201"/>
    <s v="שילה נתנאל"/>
    <n v="0"/>
    <s v="16    "/>
    <x v="17"/>
    <d v="2020-10-01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06"/>
    <s v="שילה דור לביא"/>
    <s v="שילה"/>
    <s v="דור לביא"/>
    <s v="ז "/>
    <d v="2015-10-22T00:00:00"/>
    <n v="10"/>
    <x v="255"/>
    <x v="255"/>
    <s v="פתוח      "/>
    <s v="חבר"/>
    <s v="340600873"/>
    <s v="21201"/>
    <s v="שילה נתנאל"/>
    <n v="0"/>
    <s v="16    "/>
    <x v="17"/>
    <d v="2020-10-01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07"/>
    <s v="שילה יעלה רוני"/>
    <s v="שילה"/>
    <s v="יעלה רוני"/>
    <s v="נ "/>
    <d v="2019-05-10T00:00:00"/>
    <n v="6"/>
    <x v="255"/>
    <x v="255"/>
    <s v="פתוח      "/>
    <s v="חבר"/>
    <s v="228145108"/>
    <s v="21201"/>
    <s v="שילה נתנאל"/>
    <n v="0"/>
    <s v="16    "/>
    <x v="17"/>
    <d v="2020-10-01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11"/>
    <s v="אלבז שריה"/>
    <s v="אלבז"/>
    <s v="שריה"/>
    <s v="ז "/>
    <d v="1990-09-05T00:00:00"/>
    <n v="35"/>
    <x v="226"/>
    <x v="226"/>
    <s v="פתוח      "/>
    <s v="חבר במסב"/>
    <s v="305049892"/>
    <s v="21211"/>
    <s v="אלבז שריה"/>
    <n v="2"/>
    <s v="1     "/>
    <x v="3"/>
    <d v="2021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6"/>
    <n v="9008.3069999999989"/>
    <n v="0"/>
  </r>
  <r>
    <s v="21212"/>
    <s v="אלבז מוריה"/>
    <s v="אלבז"/>
    <s v="מוריה"/>
    <s v="נ "/>
    <d v="1989-08-21T00:00:00"/>
    <n v="36"/>
    <x v="226"/>
    <x v="226"/>
    <s v="פתוח      "/>
    <s v="חבר במסב"/>
    <s v="303024723"/>
    <s v="21211"/>
    <s v="אלבז שריה"/>
    <n v="2"/>
    <s v="1     "/>
    <x v="3"/>
    <d v="2021-09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6"/>
    <n v="9008.3069999999989"/>
    <n v="0"/>
  </r>
  <r>
    <s v="04055"/>
    <s v="ריינר גיא משה"/>
    <s v="ריינר"/>
    <s v="גיא משה"/>
    <s v="ז "/>
    <d v="2024-05-19T00:00:00"/>
    <n v="1"/>
    <x v="110"/>
    <x v="110"/>
    <s v="פתוח      "/>
    <s v="חבר"/>
    <s v="240654517"/>
    <s v="04051"/>
    <s v="ריינר הראל"/>
    <n v="2"/>
    <s v="4     "/>
    <x v="8"/>
    <d v="2024-05-19T00:00:00"/>
    <s v="רווק"/>
    <s v="פעוט"/>
    <n v="1"/>
    <n v="0"/>
    <n v="0"/>
    <n v="0"/>
    <n v="1"/>
    <b v="0"/>
    <n v="542.61461538461538"/>
    <n v="2037"/>
    <n v="0"/>
    <n v="0"/>
    <n v="1935.6061904761905"/>
    <n v="720.95476190476188"/>
    <n v="2045"/>
    <n v="140.04260869565218"/>
    <n v="2047"/>
    <n v="2380.9523809523807"/>
    <n v="2045"/>
    <n v="0"/>
    <s v=""/>
    <n v="0"/>
    <n v="0"/>
  </r>
  <r>
    <s v="04114"/>
    <s v="דבורקין עומר"/>
    <s v="דבורקין"/>
    <s v="עומר"/>
    <s v="ז "/>
    <d v="2024-04-14T00:00:00"/>
    <n v="1"/>
    <x v="114"/>
    <x v="114"/>
    <s v="פתוח      "/>
    <s v="חבר"/>
    <s v="240069716"/>
    <s v="04111"/>
    <s v="דבורקין דגן"/>
    <n v="2"/>
    <s v="4     "/>
    <x v="8"/>
    <d v="2024-04-14T00:00:00"/>
    <s v="רווק"/>
    <s v="פעוט"/>
    <n v="1"/>
    <n v="0"/>
    <n v="0"/>
    <n v="0"/>
    <n v="1"/>
    <b v="0"/>
    <n v="542.61461538461538"/>
    <n v="2037"/>
    <n v="0"/>
    <n v="0"/>
    <n v="1935.6061904761905"/>
    <n v="720.95476190476188"/>
    <n v="2045"/>
    <n v="140.04260869565218"/>
    <n v="2047"/>
    <n v="2380.9523809523807"/>
    <n v="2045"/>
    <n v="0"/>
    <s v=""/>
    <n v="0"/>
    <n v="0"/>
  </r>
  <r>
    <s v="05143"/>
    <s v="הופמן אריאל מאיר"/>
    <s v="הופמן"/>
    <s v="אריאל מאיר"/>
    <s v="ז "/>
    <d v="2024-04-03T00:00:00"/>
    <n v="1"/>
    <x v="129"/>
    <x v="129"/>
    <s v="פתוח      "/>
    <s v="תושב לגביה"/>
    <s v="238706477"/>
    <s v="05141"/>
    <s v="הופמן אוריה מנחם"/>
    <n v="0"/>
    <s v="4     "/>
    <x v="8"/>
    <d v="2024-07-01T00:00:00"/>
    <s v="רווק"/>
    <s v="פעוט"/>
    <n v="1"/>
    <n v="0"/>
    <n v="0"/>
    <n v="0"/>
    <n v="1"/>
    <b v="1"/>
    <n v="542.61461538461538"/>
    <n v="2037"/>
    <n v="0"/>
    <n v="0"/>
    <n v="1935.6061904761905"/>
    <n v="720.95476190476188"/>
    <n v="2045"/>
    <n v="140.04260869565218"/>
    <n v="2047"/>
    <n v="2380.9523809523807"/>
    <n v="2045"/>
    <n v="0"/>
    <s v=""/>
    <n v="0"/>
    <n v="0"/>
  </r>
  <r>
    <s v="21221"/>
    <s v="שרעבי אביאל"/>
    <s v="שרעבי"/>
    <s v="אביאל"/>
    <s v="ז "/>
    <d v="1981-05-04T00:00:00"/>
    <n v="44"/>
    <x v="146"/>
    <x v="146"/>
    <s v="פתוח      "/>
    <s v="חבר"/>
    <s v="040923765"/>
    <s v="21221"/>
    <s v="שרעבי אביאל"/>
    <n v="2"/>
    <s v="1     "/>
    <x v="3"/>
    <d v="2014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13"/>
    <n v="19713.178484999997"/>
    <n v="0"/>
  </r>
  <r>
    <s v="21222"/>
    <s v="שרעבי אסנת"/>
    <s v="שרעבי"/>
    <s v="אסנת"/>
    <s v="נ "/>
    <d v="1981-07-31T00:00:00"/>
    <n v="44"/>
    <x v="146"/>
    <x v="146"/>
    <s v="פתוח      "/>
    <s v="חבר"/>
    <s v="043139039"/>
    <s v="21221"/>
    <s v="שרעבי אביאל"/>
    <n v="2"/>
    <s v="1     "/>
    <x v="3"/>
    <d v="2014-08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13.13"/>
    <n v="19713.178484999997"/>
    <n v="0"/>
  </r>
  <r>
    <s v="08135"/>
    <s v="גדסי הילי אור"/>
    <s v="גדסי"/>
    <s v="הילי אור"/>
    <s v="נ "/>
    <d v="2024-07-21T00:00:00"/>
    <n v="1"/>
    <x v="158"/>
    <x v="158"/>
    <s v="פתוח      "/>
    <s v="חבר"/>
    <s v="241301167"/>
    <s v="08131"/>
    <s v="גדסי מיכאל"/>
    <n v="2"/>
    <s v="4     "/>
    <x v="8"/>
    <d v="2024-07-21T00:00:00"/>
    <s v="רווק"/>
    <s v="פעוט"/>
    <n v="1"/>
    <n v="0"/>
    <n v="0"/>
    <n v="0"/>
    <n v="1"/>
    <b v="0"/>
    <n v="0"/>
    <n v="0"/>
    <n v="458.55083333333329"/>
    <n v="2036"/>
    <n v="1935.6061904761905"/>
    <n v="720.95476190476188"/>
    <n v="2045"/>
    <n v="140.04260869565218"/>
    <n v="2047"/>
    <n v="2380.9523809523807"/>
    <n v="2045"/>
    <n v="0"/>
    <s v=""/>
    <n v="0"/>
    <n v="0"/>
  </r>
  <r>
    <s v="12354"/>
    <s v="לאופר כליל"/>
    <s v="לאופר"/>
    <s v="כליל"/>
    <s v="ז "/>
    <d v="2024-12-11T00:00:00"/>
    <n v="1"/>
    <x v="191"/>
    <x v="191"/>
    <s v="פתוח      "/>
    <s v="תושב לגביה"/>
    <s v="240326249"/>
    <s v="12351"/>
    <s v="לאופר שחר"/>
    <n v="0"/>
    <s v="4     "/>
    <x v="8"/>
    <d v="2024-12-11T00:00:00"/>
    <s v="רווק"/>
    <s v="פעוט"/>
    <n v="1"/>
    <n v="0"/>
    <n v="0"/>
    <n v="0"/>
    <n v="1"/>
    <b v="1"/>
    <n v="542.61461538461538"/>
    <n v="2037"/>
    <n v="0"/>
    <n v="0"/>
    <n v="1935.6061904761905"/>
    <n v="720.95476190476188"/>
    <n v="2045"/>
    <n v="140.04260869565218"/>
    <n v="2047"/>
    <n v="2380.9523809523807"/>
    <n v="2045"/>
    <n v="0"/>
    <s v=""/>
    <n v="0"/>
    <n v="0"/>
  </r>
  <r>
    <s v="13065"/>
    <s v="מנשאוף רותם תמר"/>
    <s v="מנשאוף"/>
    <s v="רותם תמר"/>
    <s v="נ "/>
    <d v="2024-10-27T00:00:00"/>
    <n v="1"/>
    <x v="196"/>
    <x v="196"/>
    <s v="פתוח      "/>
    <s v="חבר"/>
    <s v="241320449"/>
    <s v="13061"/>
    <s v="מנשאוף יאיר"/>
    <n v="2"/>
    <s v="4     "/>
    <x v="8"/>
    <d v="2024-10-27T00:00:00"/>
    <s v="רווק"/>
    <s v="פעוט"/>
    <n v="1"/>
    <n v="0"/>
    <n v="0"/>
    <n v="0"/>
    <n v="1"/>
    <b v="0"/>
    <n v="0"/>
    <n v="0"/>
    <n v="458.55083333333329"/>
    <n v="2036"/>
    <n v="1935.6061904761905"/>
    <n v="720.95476190476188"/>
    <n v="2045"/>
    <n v="140.04260869565218"/>
    <n v="2047"/>
    <n v="2380.9523809523807"/>
    <n v="2045"/>
    <n v="0"/>
    <s v=""/>
    <n v="0"/>
    <n v="0"/>
  </r>
  <r>
    <s v="20316"/>
    <s v="לוי נבו"/>
    <s v="לוי"/>
    <s v="נבו"/>
    <s v="ז "/>
    <d v="2024-01-30T00:00:00"/>
    <n v="1"/>
    <x v="201"/>
    <x v="201"/>
    <s v="פתוח      "/>
    <s v="חבר"/>
    <s v="237467618"/>
    <s v="20311"/>
    <s v="לוי נדב"/>
    <n v="2"/>
    <s v="4     "/>
    <x v="8"/>
    <d v="2024-01-30T00:00:00"/>
    <s v="רווק"/>
    <s v="פעוט"/>
    <n v="1"/>
    <n v="0"/>
    <n v="0"/>
    <n v="0"/>
    <n v="1"/>
    <b v="0"/>
    <n v="542.61461538461538"/>
    <n v="2037"/>
    <n v="0"/>
    <n v="0"/>
    <n v="1935.6061904761905"/>
    <n v="720.95476190476188"/>
    <n v="2045"/>
    <n v="140.04260869565218"/>
    <n v="2047"/>
    <n v="2380.9523809523807"/>
    <n v="2045"/>
    <n v="0"/>
    <s v=""/>
    <n v="0"/>
    <n v="0"/>
  </r>
  <r>
    <s v="20505"/>
    <s v="ריינר שחר"/>
    <s v="ריינר"/>
    <s v="שחר"/>
    <s v="נ "/>
    <d v="2024-11-25T00:00:00"/>
    <n v="1"/>
    <x v="249"/>
    <x v="249"/>
    <s v="פתוח      "/>
    <s v="חבר"/>
    <s v="241345289"/>
    <s v="20501"/>
    <s v="ריינר אריאל שלמה"/>
    <n v="2"/>
    <s v="4     "/>
    <x v="8"/>
    <d v="2024-11-25T00:00:00"/>
    <s v="רווק"/>
    <s v="פעוט"/>
    <n v="1"/>
    <n v="0"/>
    <n v="0"/>
    <n v="0"/>
    <n v="1"/>
    <b v="0"/>
    <n v="0"/>
    <n v="0"/>
    <n v="458.55083333333329"/>
    <n v="2036"/>
    <n v="1935.6061904761905"/>
    <n v="720.95476190476188"/>
    <n v="2045"/>
    <n v="140.04260869565218"/>
    <n v="2047"/>
    <n v="2380.9523809523807"/>
    <n v="2045"/>
    <n v="0"/>
    <s v=""/>
    <n v="0"/>
    <n v="0"/>
  </r>
  <r>
    <s v="21231"/>
    <s v="שלום ששון"/>
    <s v="שלום"/>
    <s v="ששון"/>
    <s v="ז "/>
    <d v="1968-10-06T00:00:00"/>
    <n v="57"/>
    <x v="256"/>
    <x v="256"/>
    <s v="פתוח      "/>
    <s v="חבר"/>
    <s v="023662711"/>
    <s v="21231"/>
    <s v="שלום ששון"/>
    <n v="1"/>
    <s v="6     "/>
    <x v="1"/>
    <d v="2013-05-02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s v=""/>
    <n v="0"/>
    <n v="0"/>
  </r>
  <r>
    <s v="21232"/>
    <s v="שלום תמר"/>
    <s v="שלום"/>
    <s v="תמר"/>
    <s v="נ "/>
    <d v="1975-02-20T00:00:00"/>
    <n v="50"/>
    <x v="256"/>
    <x v="256"/>
    <s v="פתוח      "/>
    <s v="חבר"/>
    <s v="032265381"/>
    <s v="21231"/>
    <s v="שלום ששון"/>
    <n v="1"/>
    <s v="1     "/>
    <x v="3"/>
    <d v="1996-05-01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31.94"/>
    <n v="0"/>
    <n v="45416.881124999993"/>
  </r>
  <r>
    <s v="21251"/>
    <s v="בוהרון אלירם"/>
    <s v="בוהרון"/>
    <s v="אלירם"/>
    <s v="ז "/>
    <d v="1997-07-24T00:00:00"/>
    <n v="28"/>
    <x v="71"/>
    <x v="71"/>
    <s v="פתוח      "/>
    <s v="תושב לגביה"/>
    <s v="208629790"/>
    <s v="21251"/>
    <s v="בוהרון אלירם"/>
    <n v="0"/>
    <s v="6     "/>
    <x v="1"/>
    <d v="2018-10-08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15"/>
    <s v="אלבז נטע"/>
    <s v="אלבז"/>
    <s v="נטע"/>
    <s v="נ "/>
    <d v="2024-01-21T00:00:00"/>
    <n v="1"/>
    <x v="226"/>
    <x v="226"/>
    <s v="פתוח      "/>
    <s v="חבר במסב"/>
    <s v="237466933"/>
    <s v="21211"/>
    <s v="אלבז שריה"/>
    <n v="2"/>
    <s v="4     "/>
    <x v="8"/>
    <d v="2024-01-21T00:00:00"/>
    <s v="רווק"/>
    <s v="פעוט"/>
    <n v="1"/>
    <n v="0"/>
    <n v="0"/>
    <n v="0"/>
    <n v="1"/>
    <b v="0"/>
    <n v="0"/>
    <n v="0"/>
    <n v="458.55083333333329"/>
    <n v="2036"/>
    <n v="1935.6061904761905"/>
    <n v="720.95476190476188"/>
    <n v="2045"/>
    <n v="140.04260869565218"/>
    <n v="2047"/>
    <n v="2380.9523809523807"/>
    <n v="2045"/>
    <n v="0"/>
    <s v=""/>
    <n v="0"/>
    <n v="0"/>
  </r>
  <r>
    <s v="21253"/>
    <s v="בוהרון אורנה תמה"/>
    <s v="בוהרון"/>
    <s v="אורנה תמה"/>
    <s v="נ "/>
    <d v="2019-10-31T00:00:00"/>
    <n v="6"/>
    <x v="71"/>
    <x v="71"/>
    <s v="פתוח      "/>
    <s v="תושב לגביה"/>
    <s v="228999215"/>
    <s v="21251"/>
    <s v="בוהרון אלירם"/>
    <n v="0"/>
    <s v="17    "/>
    <x v="2"/>
    <d v="2019-10-31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54"/>
    <s v="בוהרון ציפורה חמדה"/>
    <s v="בוהרון"/>
    <s v="ציפורה חמדה"/>
    <s v="נ "/>
    <d v="2021-01-15T00:00:00"/>
    <n v="4"/>
    <x v="71"/>
    <x v="71"/>
    <s v="פתוח      "/>
    <s v="תושב לגביה"/>
    <s v="234902989"/>
    <s v="21251"/>
    <s v="בוהרון אלירם"/>
    <n v="0"/>
    <s v="17    "/>
    <x v="2"/>
    <d v="2021-01-15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55"/>
    <s v="בוהרון איילה חן"/>
    <s v="בוהרון"/>
    <s v="איילה חן"/>
    <s v="נ "/>
    <d v="2023-07-01T00:00:00"/>
    <n v="2"/>
    <x v="71"/>
    <x v="71"/>
    <s v="פתוח      "/>
    <s v="תושב לגביה"/>
    <s v="238735708"/>
    <s v="21251"/>
    <s v="בוהרון אלירם"/>
    <n v="0"/>
    <s v="17    "/>
    <x v="2"/>
    <d v="2023-07-01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1292"/>
    <s v="שיין המיה"/>
    <s v="שיין"/>
    <s v="המיה"/>
    <s v="נ "/>
    <d v="2007-01-03T00:00:00"/>
    <n v="18"/>
    <x v="145"/>
    <x v="145"/>
    <s v="פתוח      "/>
    <s v="חבר"/>
    <s v="330909383"/>
    <s v="21191"/>
    <s v="שיין נפתלי"/>
    <n v="2"/>
    <s v="31    "/>
    <x v="6"/>
    <d v="2025-07-01T00:00:00"/>
    <s v="רווק"/>
    <s v="--"/>
    <s v=""/>
    <n v="0"/>
    <n v="0"/>
    <n v="0"/>
    <n v="1"/>
    <b v="0"/>
    <n v="0"/>
    <n v="0"/>
    <n v="0"/>
    <n v="0"/>
    <n v="34840.911428571431"/>
    <n v="12977.185714285713"/>
    <n v="2028"/>
    <n v="2520.7669565217393"/>
    <n v="2030"/>
    <n v="42857.142857142855"/>
    <n v="2028"/>
    <n v="0"/>
    <s v=""/>
    <n v="0"/>
    <n v="0"/>
  </r>
  <r>
    <s v="22011"/>
    <s v="תורג`מן מיכאל"/>
    <s v="תורג`מן"/>
    <s v="מיכאל"/>
    <s v="ז "/>
    <d v="1965-08-09T00:00:00"/>
    <n v="60"/>
    <x v="257"/>
    <x v="257"/>
    <s v="פתוח      "/>
    <s v="חבר"/>
    <s v="317033454"/>
    <s v="22011"/>
    <s v="תורג`מן מיכאל"/>
    <n v="2"/>
    <s v="1     "/>
    <x v="3"/>
    <d v="2005-06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77"/>
    <n v="32685.140564999998"/>
    <n v="0"/>
  </r>
  <r>
    <s v="22012"/>
    <s v="תורג`מן מוניק"/>
    <s v="תורג`מן"/>
    <s v="מוניק"/>
    <s v="נ "/>
    <d v="1966-05-22T00:00:00"/>
    <n v="59"/>
    <x v="257"/>
    <x v="257"/>
    <s v="פתוח      "/>
    <s v="חבר"/>
    <s v="317033504"/>
    <s v="22011"/>
    <s v="תורג`מן מיכאל"/>
    <n v="2"/>
    <s v="1     "/>
    <x v="3"/>
    <d v="2005-06-20T00:00:00"/>
    <s v="נשוי"/>
    <s v="--"/>
    <s v=""/>
    <n v="0"/>
    <n v="0"/>
    <n v="0"/>
    <n v="0"/>
    <b v="0"/>
    <n v="0"/>
    <n v="0"/>
    <n v="0"/>
    <n v="0"/>
    <n v="0"/>
    <n v="0"/>
    <n v="0"/>
    <n v="0"/>
    <n v="0"/>
    <n v="0"/>
    <n v="0"/>
    <n v="0"/>
    <n v="21.77"/>
    <n v="32685.140564999998"/>
    <n v="0"/>
  </r>
  <r>
    <s v="22022"/>
    <s v="תורג`מן תהל עדן"/>
    <s v="תורג`מן"/>
    <s v="תהל עדן"/>
    <s v="נ "/>
    <d v="2006-10-20T00:00:00"/>
    <n v="19"/>
    <x v="257"/>
    <x v="257"/>
    <s v="פתוח      "/>
    <s v="חבר"/>
    <s v="216473033"/>
    <s v="22011"/>
    <s v="תורג`מן מיכאל"/>
    <n v="2"/>
    <s v="8     "/>
    <x v="11"/>
    <d v="2024-09-01T00:00:00"/>
    <s v="רווק"/>
    <s v="--"/>
    <s v=""/>
    <n v="0"/>
    <n v="0"/>
    <n v="0"/>
    <n v="1"/>
    <b v="0"/>
    <n v="0"/>
    <n v="0"/>
    <n v="0"/>
    <n v="0"/>
    <n v="36776.51761904762"/>
    <n v="13698.140476190476"/>
    <n v="2027"/>
    <n v="2660.8095652173915"/>
    <n v="2029"/>
    <n v="45238.095238095237"/>
    <n v="2027"/>
    <n v="0"/>
    <s v=""/>
    <n v="0"/>
    <n v="0"/>
  </r>
  <r>
    <s v="22031"/>
    <s v="תורג`מן דורון"/>
    <s v="תורג`מן"/>
    <s v="דורון"/>
    <s v="ז "/>
    <d v="1991-09-01T00:00:00"/>
    <n v="34"/>
    <x v="258"/>
    <x v="258"/>
    <s v="פתוח      "/>
    <s v="חבר"/>
    <s v="317033546"/>
    <s v="22031"/>
    <s v="תורג`מן דורון"/>
    <n v="2"/>
    <s v="30    "/>
    <x v="16"/>
    <d v="2025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2032"/>
    <s v="תורג`מן כרמל"/>
    <s v="תורג`מן"/>
    <s v="כרמל"/>
    <s v="נ "/>
    <d v="1993-07-26T00:00:00"/>
    <n v="32"/>
    <x v="258"/>
    <x v="258"/>
    <s v="פתוח      "/>
    <s v="חבר"/>
    <s v="307889782"/>
    <s v="22031"/>
    <s v="תורג`מן דורון"/>
    <n v="2"/>
    <s v="30    "/>
    <x v="16"/>
    <d v="2025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2033"/>
    <s v="תורג`מן גפן סימי"/>
    <s v="תורג`מן"/>
    <s v="גפן סימי"/>
    <s v="נ "/>
    <d v="2018-05-06T00:00:00"/>
    <n v="7"/>
    <x v="258"/>
    <x v="258"/>
    <s v="פתוח      "/>
    <s v="חבר"/>
    <s v="227363801"/>
    <s v="22031"/>
    <s v="תורג`מן דורון"/>
    <n v="2"/>
    <s v="16    "/>
    <x v="17"/>
    <d v="2025-09-01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22034"/>
    <s v="תורג`מן טנא שלום"/>
    <s v="תורג`מן"/>
    <s v="טנא שלום"/>
    <s v="ז "/>
    <d v="2021-05-12T00:00:00"/>
    <n v="4"/>
    <x v="258"/>
    <x v="258"/>
    <s v="פתוח      "/>
    <s v="חבר"/>
    <s v="235077450"/>
    <s v="22031"/>
    <s v="תורג`מן דורון"/>
    <n v="2"/>
    <s v="16    "/>
    <x v="17"/>
    <d v="2025-09-01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1347"/>
    <s v="אלדד עומר"/>
    <s v="אלדד"/>
    <s v="עומר"/>
    <s v="ז "/>
    <d v="2025-05-20T00:00:00"/>
    <n v="0"/>
    <x v="26"/>
    <x v="26"/>
    <s v="פתוח      "/>
    <s v="חבר"/>
    <s v="242967123"/>
    <s v="01341"/>
    <s v="אלדד שלמה פינחס"/>
    <n v="2"/>
    <s v="4     "/>
    <x v="8"/>
    <d v="2025-05-20T00:00:00"/>
    <s v="רווק"/>
    <s v="פעוט"/>
    <n v="5"/>
    <n v="0"/>
    <n v="0"/>
    <n v="0"/>
    <n v="1"/>
    <b v="0"/>
    <n v="0"/>
    <n v="0"/>
    <n v="0"/>
    <n v="0"/>
    <n v="0"/>
    <n v="0"/>
    <n v="0"/>
    <n v="0"/>
    <n v="0"/>
    <n v="0"/>
    <n v="0"/>
    <n v="0"/>
    <s v=""/>
    <n v="0"/>
    <n v="0"/>
  </r>
  <r>
    <s v="22091"/>
    <s v="תורג`מן עמיאור"/>
    <s v="תורג`מן"/>
    <s v="עמיאור"/>
    <s v="ז "/>
    <d v="2002-03-16T00:00:00"/>
    <n v="23"/>
    <x v="259"/>
    <x v="259"/>
    <s v="פתוח      "/>
    <s v="תושב לגביה"/>
    <s v="212915094"/>
    <s v="22091"/>
    <s v="תורג`מן עמיאור"/>
    <n v="0"/>
    <s v="36    "/>
    <x v="0"/>
    <d v="2024-04-04T00:00:00"/>
    <s v="רווק"/>
    <s v="--"/>
    <s v=""/>
    <n v="0"/>
    <n v="0"/>
    <n v="0"/>
    <n v="1"/>
    <b v="1"/>
    <n v="0"/>
    <n v="0"/>
    <n v="0"/>
    <n v="0"/>
    <n v="44518.942380952387"/>
    <n v="16581.959523809524"/>
    <n v="2025"/>
    <n v="3220.98"/>
    <n v="2025"/>
    <n v="0"/>
    <n v="0"/>
    <n v="0"/>
    <s v=""/>
    <n v="0"/>
    <n v="0"/>
  </r>
  <r>
    <s v="61032"/>
    <s v="רוטשילד נעמה חיה"/>
    <s v="רוטשילד"/>
    <s v="נעמה חיה"/>
    <s v="נ "/>
    <d v="1984-08-11T00:00:00"/>
    <n v="41"/>
    <x v="260"/>
    <x v="260"/>
    <s v="פתוח      "/>
    <s v="בית בקהילה"/>
    <s v="066469404"/>
    <m/>
    <m/>
    <n v="0"/>
    <s v="62    "/>
    <x v="18"/>
    <d v="2023-03-01T00:00:00"/>
    <m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042"/>
    <s v="ראצבי מירב"/>
    <s v="ראצבי"/>
    <s v="מירב"/>
    <s v="נ "/>
    <d v="1994-06-10T00:00:00"/>
    <n v="31"/>
    <x v="261"/>
    <x v="261"/>
    <s v="פתוח      "/>
    <s v="בית בקהילה"/>
    <s v="206307324"/>
    <m/>
    <m/>
    <n v="0"/>
    <s v="62    "/>
    <x v="18"/>
    <d v="2022-04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052"/>
    <s v="אדם תהילה"/>
    <s v="אדם"/>
    <s v="תהילה"/>
    <s v="נ "/>
    <d v="1992-11-26T00:00:00"/>
    <n v="33"/>
    <x v="262"/>
    <x v="262"/>
    <s v="פתוח      "/>
    <s v="בית בקהילה"/>
    <s v="203617527"/>
    <m/>
    <m/>
    <n v="0"/>
    <s v="62    "/>
    <x v="18"/>
    <d v="2022-04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092"/>
    <s v="בן דור הדס"/>
    <s v="בן דור"/>
    <s v="הדס"/>
    <s v="נ "/>
    <d v="1991-07-11T00:00:00"/>
    <n v="34"/>
    <x v="263"/>
    <x v="263"/>
    <s v="פתוח      "/>
    <s v="בית בקהילה"/>
    <s v="203128343"/>
    <m/>
    <m/>
    <n v="0"/>
    <s v="62    "/>
    <x v="18"/>
    <d v="2022-04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112"/>
    <s v="עמיחי מורשה"/>
    <s v="עמיחי"/>
    <s v="מורשה"/>
    <s v="נ "/>
    <d v="2000-09-06T00:00:00"/>
    <n v="25"/>
    <x v="264"/>
    <x v="264"/>
    <s v="פתוח      "/>
    <s v="בית בקהילה"/>
    <s v="322650524"/>
    <m/>
    <m/>
    <n v="0"/>
    <s v="62    "/>
    <x v="18"/>
    <d v="2022-05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122"/>
    <s v="שניג תמר"/>
    <s v="שניג"/>
    <s v="תמר"/>
    <s v="נ "/>
    <d v="1995-06-27T00:00:00"/>
    <n v="30"/>
    <x v="265"/>
    <x v="265"/>
    <s v="פתוח      "/>
    <s v="בית בקהילה"/>
    <s v="205890593"/>
    <m/>
    <m/>
    <n v="0"/>
    <s v="62    "/>
    <x v="18"/>
    <d v="2022-04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221"/>
    <s v="נהוראי מאיר"/>
    <s v="נהוראי"/>
    <s v="מאיר"/>
    <s v="ז "/>
    <d v="1965-04-20T00:00:00"/>
    <n v="60"/>
    <x v="266"/>
    <x v="266"/>
    <s v="פתוח      "/>
    <s v="תושב"/>
    <s v="059680611"/>
    <s v="61221"/>
    <s v="נהוראי מאיר"/>
    <n v="0"/>
    <s v="6     "/>
    <x v="1"/>
    <d v="2000-08-27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222"/>
    <s v="נהוראי עידית"/>
    <s v="נהוראי"/>
    <s v="עידית"/>
    <s v="נ "/>
    <d v="1966-10-13T00:00:00"/>
    <n v="59"/>
    <x v="266"/>
    <x v="266"/>
    <s v="פתוח      "/>
    <s v="תושב"/>
    <s v="022641799"/>
    <s v="61221"/>
    <s v="נהוראי מאיר"/>
    <n v="0"/>
    <s v="6     "/>
    <x v="1"/>
    <d v="2000-08-27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228"/>
    <s v="נהוראי אבישי    דוד"/>
    <s v="נהוראי"/>
    <s v="אבישי    דוד"/>
    <s v="ז "/>
    <d v="2007-09-16T00:00:00"/>
    <n v="18"/>
    <x v="266"/>
    <x v="266"/>
    <s v="פתוח      "/>
    <s v="תושב"/>
    <s v="331748087"/>
    <s v="61221"/>
    <s v="נהוראי מאיר"/>
    <n v="0"/>
    <s v="17    "/>
    <x v="2"/>
    <d v="2007-09-16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262"/>
    <s v="אזולאי חן"/>
    <s v="אזולאי"/>
    <s v="חן"/>
    <s v="נ "/>
    <d v="1994-04-27T00:00:00"/>
    <n v="31"/>
    <x v="267"/>
    <x v="267"/>
    <s v="פתוח      "/>
    <s v="בית בקהילה"/>
    <s v="205612336"/>
    <m/>
    <m/>
    <n v="0"/>
    <s v="62    "/>
    <x v="18"/>
    <d v="2022-04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21"/>
    <s v="גופר משיי"/>
    <s v="גופר"/>
    <s v="משיי"/>
    <s v="ז "/>
    <d v="1997-12-30T00:00:00"/>
    <n v="28"/>
    <x v="268"/>
    <x v="268"/>
    <s v="פתוח      "/>
    <s v="תושב לגביה"/>
    <s v="207521741"/>
    <s v="61321"/>
    <s v="גופר משיי"/>
    <n v="0"/>
    <s v="6     "/>
    <x v="1"/>
    <d v="2023-08-02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22"/>
    <s v="גופר אפרת הודיה"/>
    <s v="גופר"/>
    <s v="אפרת הודיה"/>
    <s v="נ "/>
    <d v="2000-06-05T00:00:00"/>
    <n v="25"/>
    <x v="268"/>
    <x v="268"/>
    <s v="פתוח      "/>
    <s v="תושב לגביה"/>
    <s v="209794890"/>
    <s v="61321"/>
    <s v="גופר משיי"/>
    <n v="0"/>
    <s v="235   "/>
    <x v="14"/>
    <d v="2023-12-01T00:00:00"/>
    <s v="נשוי"/>
    <s v="--"/>
    <s v=""/>
    <n v="0"/>
    <n v="0"/>
    <n v="0"/>
    <n v="1"/>
    <b v="1"/>
    <n v="0"/>
    <n v="0"/>
    <n v="0"/>
    <n v="0"/>
    <n v="0"/>
    <n v="0"/>
    <n v="0"/>
    <n v="0"/>
    <n v="0"/>
    <n v="0"/>
    <n v="0"/>
    <n v="0"/>
    <s v=""/>
    <n v="0"/>
    <n v="0"/>
  </r>
  <r>
    <s v="61331"/>
    <s v="נהוראי אוריה"/>
    <s v="נהוראי"/>
    <s v="אוריה"/>
    <s v="ז "/>
    <d v="2002-12-12T00:00:00"/>
    <n v="23"/>
    <x v="266"/>
    <x v="266"/>
    <s v="פתוח      "/>
    <s v="תושב"/>
    <s v="325260461"/>
    <s v="61221"/>
    <s v="נהוראי מאיר"/>
    <n v="0"/>
    <s v="6     "/>
    <x v="1"/>
    <d v="2021-09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41"/>
    <s v="הדר שי"/>
    <s v="הדר"/>
    <s v="שי"/>
    <s v="ז "/>
    <d v="1996-09-13T00:00:00"/>
    <n v="29"/>
    <x v="269"/>
    <x v="269"/>
    <s v="פתוח      "/>
    <s v="תושב לגביה"/>
    <s v="316485200"/>
    <s v="61341"/>
    <s v="הדר שי"/>
    <n v="0"/>
    <s v="61    "/>
    <x v="12"/>
    <d v="2024-08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42"/>
    <s v="הדר רחל"/>
    <s v="הדר"/>
    <s v="רחל"/>
    <s v="נ "/>
    <d v="1999-06-15T00:00:00"/>
    <n v="26"/>
    <x v="269"/>
    <x v="269"/>
    <s v="פתוח      "/>
    <s v="תושב לגביה"/>
    <s v="332272772"/>
    <s v="61341"/>
    <s v="הדר שי"/>
    <n v="0"/>
    <s v="61    "/>
    <x v="12"/>
    <d v="2024-08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43"/>
    <s v="הדר אליה"/>
    <s v="הדר"/>
    <s v="אליה"/>
    <s v="ז "/>
    <d v="2025-05-01T00:00:00"/>
    <n v="0"/>
    <x v="269"/>
    <x v="269"/>
    <s v="פתוח      "/>
    <s v="תושב לגביה"/>
    <s v="243112307"/>
    <s v="61341"/>
    <s v="הדר שי"/>
    <n v="0"/>
    <s v="17    "/>
    <x v="2"/>
    <d v="2025-05-01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51"/>
    <s v="פרוכטר דורון"/>
    <s v="פרוכטר"/>
    <s v="דורון"/>
    <s v="ז "/>
    <d v="1999-07-08T00:00:00"/>
    <n v="26"/>
    <x v="270"/>
    <x v="270"/>
    <s v="פתוח      "/>
    <s v="תושב לגביה"/>
    <s v="208016808"/>
    <s v="61351"/>
    <s v="פרוכטר דורון"/>
    <n v="0"/>
    <s v="61    "/>
    <x v="12"/>
    <d v="2024-11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52"/>
    <s v="פרוכטר עומר"/>
    <s v="פרוכטר"/>
    <s v="עומר"/>
    <s v="נ "/>
    <d v="2002-04-11T00:00:00"/>
    <n v="23"/>
    <x v="270"/>
    <x v="270"/>
    <s v="פתוח      "/>
    <s v="תושב לגביה"/>
    <s v="324862333"/>
    <s v="61351"/>
    <s v="פרוכטר דורון"/>
    <n v="0"/>
    <s v="61    "/>
    <x v="12"/>
    <d v="2024-11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71"/>
    <s v="סאלאמא יהודה"/>
    <s v="סאלאמא"/>
    <s v="יהודה"/>
    <s v="ז "/>
    <d v="1989-10-10T00:00:00"/>
    <n v="36"/>
    <x v="271"/>
    <x v="271"/>
    <s v="פתוח      "/>
    <s v="תושב לגביה"/>
    <s v="303911309"/>
    <s v="61371"/>
    <s v="סאלאמא יהודה"/>
    <n v="0"/>
    <s v="61    "/>
    <x v="12"/>
    <d v="2023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72"/>
    <s v="סאלאמא שרון"/>
    <s v="סאלאמא"/>
    <s v="שרון"/>
    <s v="נ "/>
    <d v="1991-10-14T00:00:00"/>
    <n v="34"/>
    <x v="271"/>
    <x v="271"/>
    <s v="פתוח      "/>
    <s v="תושב לגביה"/>
    <s v="302277702"/>
    <s v="61371"/>
    <s v="סאלאמא יהודה"/>
    <n v="0"/>
    <s v="61    "/>
    <x v="12"/>
    <d v="2023-09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73"/>
    <s v="סאלאמא לביא"/>
    <s v="סאלאמא"/>
    <s v="לביא"/>
    <s v="ז "/>
    <d v="2019-06-25T00:00:00"/>
    <n v="6"/>
    <x v="271"/>
    <x v="271"/>
    <s v="פתוח      "/>
    <s v="תושב לגביה"/>
    <s v="302277702"/>
    <s v="61371"/>
    <s v="סאלאמא יהודה"/>
    <n v="0"/>
    <s v="17    "/>
    <x v="2"/>
    <d v="2023-09-01T00:00:00"/>
    <s v="רווק"/>
    <s v="יסודי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74"/>
    <s v="סאלאמא איתיה"/>
    <s v="סאלאמא"/>
    <s v="איתיה"/>
    <s v="נ "/>
    <d v="2020-07-07T00:00:00"/>
    <n v="5"/>
    <x v="271"/>
    <x v="271"/>
    <s v="פתוח      "/>
    <s v="תושב לגביה"/>
    <s v="229960075"/>
    <s v="61371"/>
    <s v="סאלאמא יהודה"/>
    <n v="0"/>
    <s v="17    "/>
    <x v="2"/>
    <d v="2023-09-01T00:00:00"/>
    <s v="רווק"/>
    <s v="גנים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75"/>
    <s v="סאלאמא שחרי"/>
    <s v="סאלאמא"/>
    <s v="שחרי"/>
    <s v="נ "/>
    <d v="2024-04-27T00:00:00"/>
    <n v="1"/>
    <x v="271"/>
    <x v="271"/>
    <s v="פתוח      "/>
    <s v="תושב לגביה"/>
    <s v="240652859"/>
    <s v="61371"/>
    <s v="סאלאמא יהודה"/>
    <n v="0"/>
    <s v="17    "/>
    <x v="2"/>
    <d v="2024-04-27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81"/>
    <s v="שטרמר אפק"/>
    <s v="שטרמר"/>
    <s v="אפק"/>
    <s v="ז "/>
    <d v="1996-09-20T00:00:00"/>
    <n v="29"/>
    <x v="272"/>
    <x v="272"/>
    <s v="פתוח      "/>
    <s v="תושב לגביה"/>
    <s v="316454438"/>
    <s v="61381"/>
    <s v="שטרמר אפק"/>
    <n v="0"/>
    <s v="61    "/>
    <x v="12"/>
    <d v="2023-07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82"/>
    <s v="שטרמר מיכל"/>
    <s v="שטרמר"/>
    <s v="מיכל"/>
    <s v="נ "/>
    <d v="1997-11-15T00:00:00"/>
    <n v="28"/>
    <x v="272"/>
    <x v="272"/>
    <s v="פתוח      "/>
    <s v="תושב לגביה"/>
    <s v="318287471"/>
    <s v="61381"/>
    <s v="שטרמר אפק"/>
    <n v="0"/>
    <s v="61    "/>
    <x v="12"/>
    <d v="2023-07-01T00:00:00"/>
    <s v="נשוי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83"/>
    <s v="שטרמר בארי אשחר"/>
    <s v="שטרמר"/>
    <s v="בארי אשחר"/>
    <s v="נ "/>
    <d v="2023-08-27T00:00:00"/>
    <n v="2"/>
    <x v="272"/>
    <x v="272"/>
    <s v="פתוח      "/>
    <s v="תושב לגביה"/>
    <s v="239040348"/>
    <s v="61381"/>
    <s v="שטרמר אפק"/>
    <n v="0"/>
    <s v="17    "/>
    <x v="2"/>
    <d v="2023-08-27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84"/>
    <s v="שטרמר עלמא דורון"/>
    <s v="שטרמר"/>
    <s v="עלמא דורון"/>
    <s v="נ "/>
    <d v="2024-12-28T00:00:00"/>
    <n v="1"/>
    <x v="272"/>
    <x v="272"/>
    <s v="פתוח      "/>
    <s v="תושב לגביה"/>
    <s v="239059181"/>
    <s v="61381"/>
    <s v="שטרמר אפק"/>
    <n v="0"/>
    <s v="17    "/>
    <x v="2"/>
    <d v="2024-12-28T00:00:00"/>
    <s v="רווק"/>
    <s v="פעוט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61392"/>
    <s v="חורב נועה"/>
    <s v="חורב"/>
    <s v="נועה"/>
    <s v="נ "/>
    <d v="1996-07-02T00:00:00"/>
    <n v="29"/>
    <x v="273"/>
    <x v="273"/>
    <s v="פתוח      "/>
    <s v="בית בקהילה"/>
    <s v="316079763"/>
    <m/>
    <m/>
    <n v="0"/>
    <s v="62    "/>
    <x v="18"/>
    <d v="2024-06-01T00:00:00"/>
    <s v="רווק"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07058"/>
    <s v="זיו בניה"/>
    <s v="זיו"/>
    <s v="בניה"/>
    <s v="ז "/>
    <d v="2025-01-29T00:00:00"/>
    <n v="0"/>
    <x v="151"/>
    <x v="151"/>
    <s v="פתוח      "/>
    <s v="חבר"/>
    <s v="238776751"/>
    <s v="07051"/>
    <s v="זיו עמית"/>
    <n v="2"/>
    <s v="4     "/>
    <x v="8"/>
    <d v="2025-01-29T00:00:00"/>
    <s v="רווק"/>
    <s v="פעוט"/>
    <n v="5"/>
    <n v="0"/>
    <n v="0"/>
    <n v="0"/>
    <n v="1"/>
    <b v="0"/>
    <n v="0"/>
    <n v="0"/>
    <n v="0"/>
    <n v="0"/>
    <n v="0"/>
    <n v="0"/>
    <n v="0"/>
    <n v="0"/>
    <n v="0"/>
    <n v="0"/>
    <n v="0"/>
    <n v="0"/>
    <s v=""/>
    <n v="0"/>
    <n v="0"/>
  </r>
  <r>
    <s v="61472"/>
    <s v="נשיא טל"/>
    <s v="נשיא"/>
    <s v="טל"/>
    <s v="נ "/>
    <d v="2006-01-06T00:00:00"/>
    <n v="19"/>
    <x v="274"/>
    <x v="274"/>
    <m/>
    <m/>
    <s v="215892001"/>
    <m/>
    <m/>
    <n v="0"/>
    <s v="61    "/>
    <x v="12"/>
    <d v="2024-09-01T00:00:00"/>
    <m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13046"/>
    <s v="מור יוסף אלה"/>
    <s v="מור יוסף"/>
    <s v="אלה"/>
    <s v="נ "/>
    <d v="2025-07-20T00:00:00"/>
    <n v="0"/>
    <x v="194"/>
    <x v="194"/>
    <s v="פתוח      "/>
    <s v="חבר"/>
    <s v="241305838"/>
    <s v="13041"/>
    <s v="מור יוסף אליה"/>
    <n v="2"/>
    <s v="4     "/>
    <x v="8"/>
    <d v="2025-07-20T00:00:00"/>
    <s v="רווק"/>
    <s v="פעוט"/>
    <n v="5"/>
    <n v="0"/>
    <n v="0"/>
    <n v="0"/>
    <n v="1"/>
    <b v="0"/>
    <n v="0"/>
    <n v="0"/>
    <n v="0"/>
    <n v="0"/>
    <n v="0"/>
    <n v="0"/>
    <n v="0"/>
    <n v="0"/>
    <n v="0"/>
    <n v="0"/>
    <n v="0"/>
    <n v="0"/>
    <s v=""/>
    <n v="0"/>
    <n v="0"/>
  </r>
  <r>
    <s v="961382"/>
    <s v="גולדברגר נועה"/>
    <s v="גולדברגר"/>
    <s v="נועה"/>
    <s v="נ "/>
    <d v="1998-12-28T00:00:00"/>
    <n v="27"/>
    <x v="274"/>
    <x v="274"/>
    <m/>
    <m/>
    <s v="209376243"/>
    <m/>
    <m/>
    <n v="0"/>
    <s v="61    "/>
    <x v="12"/>
    <d v="2021-09-01T00:00:00"/>
    <m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  <r>
    <s v="9961372"/>
    <s v="מלכה ליאל"/>
    <s v="מלכה"/>
    <s v="ליאל"/>
    <s v="נ "/>
    <d v="2000-10-18T00:00:00"/>
    <n v="25"/>
    <x v="274"/>
    <x v="274"/>
    <m/>
    <m/>
    <s v="322895343"/>
    <m/>
    <m/>
    <n v="0"/>
    <s v="61    "/>
    <x v="12"/>
    <d v="2021-09-01T00:00:00"/>
    <m/>
    <s v="--"/>
    <s v=""/>
    <n v="0"/>
    <n v="0"/>
    <n v="0"/>
    <n v="0"/>
    <b v="1"/>
    <n v="0"/>
    <n v="0"/>
    <n v="0"/>
    <n v="0"/>
    <n v="0"/>
    <n v="0"/>
    <n v="0"/>
    <n v="0"/>
    <n v="0"/>
    <n v="0"/>
    <n v="0"/>
    <n v="0"/>
    <s v="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85FE2-EC30-4A6C-BC7A-DA04D5D243E8}" name="PivotTable3" cacheId="3" applyNumberFormats="0" applyBorderFormats="0" applyFontFormats="0" applyPatternFormats="0" applyAlignmentFormats="0" applyWidthHeightFormats="1" dataCaption="ערכים" updatedVersion="8" minRefreshableVersion="3" useAutoFormatting="1" rowGrandTotals="0" colGrandTotals="0" itemPrintTitles="1" createdVersion="8" indent="0" compact="0" compactData="0" multipleFieldFilters="0">
  <location ref="A6:C166" firstHeaderRow="1" firstDataRow="1" firstDataCol="2" rowPageCount="1" colPageCount="1"/>
  <pivotFields count="4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axis="axisRow" compact="0" outline="0" showAll="0" sortType="ascending" defaultSubtotal="0">
      <items count="275">
        <item x="1"/>
        <item x="2"/>
        <item x="3"/>
        <item x="55"/>
        <item x="5"/>
        <item x="6"/>
        <item x="7"/>
        <item x="8"/>
        <item x="78"/>
        <item x="10"/>
        <item x="0"/>
        <item x="12"/>
        <item x="13"/>
        <item x="15"/>
        <item x="16"/>
        <item x="17"/>
        <item x="18"/>
        <item x="19"/>
        <item x="85"/>
        <item x="21"/>
        <item x="26"/>
        <item x="32"/>
        <item x="33"/>
        <item x="9"/>
        <item x="38"/>
        <item x="20"/>
        <item x="40"/>
        <item x="34"/>
        <item x="35"/>
        <item x="43"/>
        <item x="44"/>
        <item x="45"/>
        <item x="47"/>
        <item x="48"/>
        <item x="49"/>
        <item x="50"/>
        <item x="51"/>
        <item x="52"/>
        <item x="53"/>
        <item x="56"/>
        <item x="57"/>
        <item x="60"/>
        <item x="64"/>
        <item x="66"/>
        <item x="69"/>
        <item x="72"/>
        <item x="77"/>
        <item x="58"/>
        <item x="79"/>
        <item x="80"/>
        <item x="81"/>
        <item x="82"/>
        <item x="83"/>
        <item x="84"/>
        <item x="89"/>
        <item x="22"/>
        <item x="93"/>
        <item x="36"/>
        <item x="59"/>
        <item x="96"/>
        <item x="101"/>
        <item x="102"/>
        <item x="103"/>
        <item x="94"/>
        <item x="109"/>
        <item x="23"/>
        <item x="110"/>
        <item x="111"/>
        <item x="112"/>
        <item x="113"/>
        <item x="114"/>
        <item x="116"/>
        <item x="117"/>
        <item x="118"/>
        <item x="119"/>
        <item x="120"/>
        <item x="121"/>
        <item x="122"/>
        <item x="97"/>
        <item x="125"/>
        <item x="129"/>
        <item x="24"/>
        <item x="131"/>
        <item x="11"/>
        <item x="136"/>
        <item x="137"/>
        <item x="138"/>
        <item x="139"/>
        <item x="140"/>
        <item x="141"/>
        <item x="106"/>
        <item x="147"/>
        <item x="148"/>
        <item x="132"/>
        <item x="25"/>
        <item x="37"/>
        <item x="151"/>
        <item x="154"/>
        <item x="155"/>
        <item x="156"/>
        <item x="157"/>
        <item x="100"/>
        <item x="158"/>
        <item x="133"/>
        <item x="160"/>
        <item x="86"/>
        <item x="161"/>
        <item x="162"/>
        <item x="115"/>
        <item x="98"/>
        <item x="87"/>
        <item x="164"/>
        <item x="165"/>
        <item x="166"/>
        <item x="167"/>
        <item x="168"/>
        <item x="169"/>
        <item x="170"/>
        <item x="134"/>
        <item x="171"/>
        <item x="74"/>
        <item x="149"/>
        <item x="172"/>
        <item x="173"/>
        <item x="150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23"/>
        <item x="185"/>
        <item x="186"/>
        <item x="152"/>
        <item x="124"/>
        <item x="187"/>
        <item x="95"/>
        <item x="159"/>
        <item x="188"/>
        <item x="190"/>
        <item x="28"/>
        <item x="191"/>
        <item x="192"/>
        <item x="39"/>
        <item x="104"/>
        <item x="126"/>
        <item x="193"/>
        <item x="194"/>
        <item x="195"/>
        <item x="196"/>
        <item x="197"/>
        <item x="198"/>
        <item x="199"/>
        <item x="107"/>
        <item x="200"/>
        <item x="202"/>
        <item x="61"/>
        <item x="203"/>
        <item x="204"/>
        <item x="205"/>
        <item x="62"/>
        <item x="206"/>
        <item x="207"/>
        <item x="208"/>
        <item x="209"/>
        <item x="210"/>
        <item x="211"/>
        <item x="212"/>
        <item x="213"/>
        <item x="30"/>
        <item x="63"/>
        <item x="65"/>
        <item x="42"/>
        <item x="214"/>
        <item x="215"/>
        <item x="216"/>
        <item x="217"/>
        <item x="218"/>
        <item x="219"/>
        <item x="220"/>
        <item x="75"/>
        <item x="108"/>
        <item x="127"/>
        <item x="88"/>
        <item x="221"/>
        <item x="222"/>
        <item x="153"/>
        <item x="128"/>
        <item x="223"/>
        <item x="224"/>
        <item x="225"/>
        <item x="135"/>
        <item x="227"/>
        <item x="228"/>
        <item x="67"/>
        <item x="229"/>
        <item x="230"/>
        <item x="231"/>
        <item x="232"/>
        <item x="233"/>
        <item x="234"/>
        <item x="235"/>
        <item x="236"/>
        <item x="237"/>
        <item x="238"/>
        <item x="90"/>
        <item x="99"/>
        <item x="142"/>
        <item x="68"/>
        <item x="70"/>
        <item x="76"/>
        <item x="105"/>
        <item x="130"/>
        <item x="201"/>
        <item x="14"/>
        <item x="239"/>
        <item x="46"/>
        <item x="54"/>
        <item x="240"/>
        <item x="241"/>
        <item x="242"/>
        <item x="91"/>
        <item x="243"/>
        <item x="92"/>
        <item x="244"/>
        <item x="245"/>
        <item x="246"/>
        <item x="247"/>
        <item x="248"/>
        <item x="249"/>
        <item x="189"/>
        <item x="250"/>
        <item x="251"/>
        <item x="252"/>
        <item x="253"/>
        <item x="143"/>
        <item x="144"/>
        <item x="254"/>
        <item x="163"/>
        <item x="145"/>
        <item x="255"/>
        <item x="226"/>
        <item x="146"/>
        <item x="256"/>
        <item x="71"/>
        <item x="257"/>
        <item x="258"/>
        <item x="73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31"/>
        <item x="29"/>
        <item x="41"/>
        <item x="27"/>
        <item x="4"/>
        <item x="270"/>
        <item x="274"/>
      </items>
    </pivotField>
    <pivotField axis="axisRow" compact="0" outline="0" showAll="0" defaultSubtotal="0">
      <items count="275">
        <item x="19"/>
        <item x="9"/>
        <item x="10"/>
        <item x="18"/>
        <item x="6"/>
        <item x="262"/>
        <item x="17"/>
        <item x="3"/>
        <item x="267"/>
        <item x="226"/>
        <item x="20"/>
        <item x="16"/>
        <item x="38"/>
        <item x="0"/>
        <item x="1"/>
        <item x="55"/>
        <item x="26"/>
        <item x="8"/>
        <item x="35"/>
        <item x="34"/>
        <item x="7"/>
        <item x="5"/>
        <item x="12"/>
        <item x="2"/>
        <item x="21"/>
        <item x="15"/>
        <item x="33"/>
        <item x="71"/>
        <item x="77"/>
        <item x="47"/>
        <item x="72"/>
        <item x="78"/>
        <item x="263"/>
        <item x="48"/>
        <item x="51"/>
        <item x="44"/>
        <item x="69"/>
        <item x="53"/>
        <item x="31"/>
        <item x="57"/>
        <item x="49"/>
        <item x="64"/>
        <item x="58"/>
        <item x="56"/>
        <item x="50"/>
        <item x="43"/>
        <item x="45"/>
        <item x="60"/>
        <item x="52"/>
        <item x="102"/>
        <item x="59"/>
        <item x="36"/>
        <item x="22"/>
        <item x="82"/>
        <item x="158"/>
        <item x="212"/>
        <item x="84"/>
        <item x="79"/>
        <item x="89"/>
        <item x="101"/>
        <item x="268"/>
        <item x="103"/>
        <item x="80"/>
        <item x="94"/>
        <item x="93"/>
        <item x="205"/>
        <item x="83"/>
        <item x="81"/>
        <item x="114"/>
        <item x="112"/>
        <item x="116"/>
        <item x="109"/>
        <item x="111"/>
        <item x="23"/>
        <item x="113"/>
        <item x="163"/>
        <item x="189"/>
        <item x="131"/>
        <item x="269"/>
        <item x="97"/>
        <item x="121"/>
        <item x="129"/>
        <item x="125"/>
        <item x="184"/>
        <item x="24"/>
        <item x="118"/>
        <item x="119"/>
        <item x="122"/>
        <item x="266"/>
        <item x="120"/>
        <item x="117"/>
        <item x="136"/>
        <item x="243"/>
        <item x="141"/>
        <item x="137"/>
        <item x="148"/>
        <item x="139"/>
        <item x="138"/>
        <item x="147"/>
        <item x="140"/>
        <item x="106"/>
        <item x="151"/>
        <item x="25"/>
        <item x="132"/>
        <item x="154"/>
        <item x="155"/>
        <item x="273"/>
        <item x="156"/>
        <item x="157"/>
        <item x="100"/>
        <item x="133"/>
        <item x="160"/>
        <item x="167"/>
        <item x="165"/>
        <item x="87"/>
        <item x="115"/>
        <item x="166"/>
        <item x="164"/>
        <item x="161"/>
        <item x="98"/>
        <item x="86"/>
        <item x="162"/>
        <item x="171"/>
        <item x="149"/>
        <item x="170"/>
        <item x="172"/>
        <item x="27"/>
        <item x="134"/>
        <item x="74"/>
        <item x="150"/>
        <item x="169"/>
        <item x="168"/>
        <item x="96"/>
        <item x="185"/>
        <item x="159"/>
        <item x="191"/>
        <item x="179"/>
        <item x="177"/>
        <item x="176"/>
        <item x="188"/>
        <item x="192"/>
        <item x="183"/>
        <item x="95"/>
        <item x="124"/>
        <item x="174"/>
        <item x="178"/>
        <item x="175"/>
        <item x="104"/>
        <item x="201"/>
        <item x="187"/>
        <item x="152"/>
        <item x="182"/>
        <item x="28"/>
        <item x="39"/>
        <item x="180"/>
        <item x="190"/>
        <item x="181"/>
        <item x="123"/>
        <item x="186"/>
        <item x="194"/>
        <item x="126"/>
        <item x="195"/>
        <item x="193"/>
        <item x="196"/>
        <item x="197"/>
        <item x="271"/>
        <item x="107"/>
        <item x="29"/>
        <item x="203"/>
        <item x="41"/>
        <item x="202"/>
        <item x="199"/>
        <item x="61"/>
        <item x="198"/>
        <item x="239"/>
        <item x="225"/>
        <item x="204"/>
        <item x="66"/>
        <item x="92"/>
        <item x="264"/>
        <item x="206"/>
        <item x="30"/>
        <item x="62"/>
        <item x="209"/>
        <item x="207"/>
        <item x="173"/>
        <item x="208"/>
        <item x="211"/>
        <item x="63"/>
        <item x="210"/>
        <item x="213"/>
        <item x="270"/>
        <item x="11"/>
        <item x="4"/>
        <item x="200"/>
        <item x="85"/>
        <item x="216"/>
        <item x="128"/>
        <item x="135"/>
        <item x="217"/>
        <item x="13"/>
        <item x="218"/>
        <item x="220"/>
        <item x="223"/>
        <item x="214"/>
        <item x="127"/>
        <item x="153"/>
        <item x="88"/>
        <item x="219"/>
        <item x="215"/>
        <item x="108"/>
        <item x="224"/>
        <item x="75"/>
        <item x="42"/>
        <item x="222"/>
        <item x="221"/>
        <item x="130"/>
        <item x="261"/>
        <item x="240"/>
        <item x="245"/>
        <item x="229"/>
        <item x="14"/>
        <item x="238"/>
        <item x="46"/>
        <item x="235"/>
        <item x="105"/>
        <item x="68"/>
        <item x="242"/>
        <item x="76"/>
        <item x="236"/>
        <item x="37"/>
        <item x="230"/>
        <item x="65"/>
        <item x="244"/>
        <item x="90"/>
        <item x="67"/>
        <item x="227"/>
        <item x="260"/>
        <item x="228"/>
        <item x="233"/>
        <item x="248"/>
        <item x="237"/>
        <item x="91"/>
        <item x="246"/>
        <item x="231"/>
        <item x="234"/>
        <item x="142"/>
        <item x="247"/>
        <item x="241"/>
        <item x="54"/>
        <item x="110"/>
        <item x="249"/>
        <item x="70"/>
        <item x="99"/>
        <item x="232"/>
        <item x="73"/>
        <item x="143"/>
        <item x="252"/>
        <item x="144"/>
        <item x="40"/>
        <item x="272"/>
        <item x="253"/>
        <item x="254"/>
        <item x="250"/>
        <item x="251"/>
        <item x="145"/>
        <item x="255"/>
        <item x="256"/>
        <item x="265"/>
        <item x="32"/>
        <item x="146"/>
        <item x="258"/>
        <item x="257"/>
        <item x="259"/>
        <item x="27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19">
        <item x="13"/>
        <item x="18"/>
        <item x="3"/>
        <item x="16"/>
        <item x="4"/>
        <item x="9"/>
        <item x="8"/>
        <item x="17"/>
        <item x="6"/>
        <item x="2"/>
        <item x="10"/>
        <item x="7"/>
        <item x="14"/>
        <item x="0"/>
        <item x="5"/>
        <item x="11"/>
        <item x="1"/>
        <item x="15"/>
        <item x="12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" outline="0" showAll="0" defaultSubtotal="0"/>
    <pivotField compact="0" numFmtId="164" outline="0" showAll="0" defaultSubtotal="0"/>
    <pivotField compact="0" numFmtId="1" outline="0" showAll="0" defaultSubtotal="0"/>
    <pivotField compact="0" numFmtId="164" outline="0" showAll="0" defaultSubtotal="0"/>
    <pivotField compact="0" numFmtId="164" outline="0" showAll="0" defaultSubtotal="0"/>
    <pivotField compact="0" numFmtId="1" outline="0" showAll="0" defaultSubtotal="0"/>
    <pivotField compact="0" numFmtId="164" outline="0" showAll="0" defaultSubtotal="0"/>
    <pivotField compact="0" numFmtId="1" outline="0" showAll="0" defaultSubtotal="0"/>
    <pivotField compact="0" numFmtId="164" outline="0" showAll="0" defaultSubtotal="0"/>
    <pivotField compact="0" numFmtId="1" outline="0" showAll="0" defaultSubtotal="0"/>
    <pivotField compact="0" outline="0" showAll="0" defaultSubtotal="0"/>
    <pivotField dataField="1" compact="0" outline="0" showAll="0" defaultSubtotal="0"/>
    <pivotField compact="0" numFmtId="164" outline="0" showAll="0" defaultSubtotal="0"/>
    <pivotField compact="0" numFmtId="164" outline="0" showAll="0" defaultSubtotal="0"/>
  </pivotFields>
  <rowFields count="2">
    <field x="7"/>
    <field x="8"/>
  </rowFields>
  <rowItems count="160">
    <i>
      <x v="1"/>
      <x v="23"/>
    </i>
    <i>
      <x v="2"/>
      <x v="7"/>
    </i>
    <i>
      <x v="4"/>
      <x v="21"/>
    </i>
    <i>
      <x v="5"/>
      <x v="4"/>
    </i>
    <i>
      <x v="6"/>
      <x v="20"/>
    </i>
    <i>
      <x v="7"/>
      <x v="17"/>
    </i>
    <i>
      <x v="9"/>
      <x v="2"/>
    </i>
    <i>
      <x v="10"/>
      <x v="13"/>
    </i>
    <i>
      <x v="12"/>
      <x v="200"/>
    </i>
    <i>
      <x v="14"/>
      <x v="11"/>
    </i>
    <i>
      <x v="15"/>
      <x v="6"/>
    </i>
    <i>
      <x v="16"/>
      <x v="3"/>
    </i>
    <i>
      <x v="19"/>
      <x v="24"/>
    </i>
    <i>
      <x v="20"/>
      <x v="16"/>
    </i>
    <i>
      <x v="22"/>
      <x v="26"/>
    </i>
    <i>
      <x v="26"/>
      <x v="259"/>
    </i>
    <i>
      <x v="29"/>
      <x v="45"/>
    </i>
    <i>
      <x v="30"/>
      <x v="35"/>
    </i>
    <i>
      <x v="31"/>
      <x v="46"/>
    </i>
    <i>
      <x v="32"/>
      <x v="29"/>
    </i>
    <i>
      <x v="33"/>
      <x v="33"/>
    </i>
    <i>
      <x v="34"/>
      <x v="40"/>
    </i>
    <i>
      <x v="35"/>
      <x v="44"/>
    </i>
    <i>
      <x v="36"/>
      <x v="34"/>
    </i>
    <i>
      <x v="37"/>
      <x v="48"/>
    </i>
    <i>
      <x v="38"/>
      <x v="37"/>
    </i>
    <i>
      <x v="40"/>
      <x v="39"/>
    </i>
    <i>
      <x v="41"/>
      <x v="47"/>
    </i>
    <i>
      <x v="42"/>
      <x v="41"/>
    </i>
    <i>
      <x v="43"/>
      <x v="177"/>
    </i>
    <i>
      <x v="44"/>
      <x v="36"/>
    </i>
    <i>
      <x v="45"/>
      <x v="30"/>
    </i>
    <i>
      <x v="48"/>
      <x v="57"/>
    </i>
    <i>
      <x v="49"/>
      <x v="62"/>
    </i>
    <i>
      <x v="50"/>
      <x v="67"/>
    </i>
    <i>
      <x v="51"/>
      <x v="53"/>
    </i>
    <i>
      <x v="52"/>
      <x v="66"/>
    </i>
    <i>
      <x v="53"/>
      <x v="56"/>
    </i>
    <i>
      <x v="54"/>
      <x v="58"/>
    </i>
    <i>
      <x v="56"/>
      <x v="64"/>
    </i>
    <i>
      <x v="59"/>
      <x v="132"/>
    </i>
    <i>
      <x v="62"/>
      <x v="61"/>
    </i>
    <i>
      <x v="63"/>
      <x v="63"/>
    </i>
    <i>
      <x v="64"/>
      <x v="71"/>
    </i>
    <i>
      <x v="66"/>
      <x v="250"/>
    </i>
    <i>
      <x v="67"/>
      <x v="72"/>
    </i>
    <i>
      <x v="68"/>
      <x v="69"/>
    </i>
    <i>
      <x v="69"/>
      <x v="74"/>
    </i>
    <i>
      <x v="70"/>
      <x v="68"/>
    </i>
    <i>
      <x v="71"/>
      <x v="70"/>
    </i>
    <i>
      <x v="72"/>
      <x v="90"/>
    </i>
    <i>
      <x v="73"/>
      <x v="85"/>
    </i>
    <i>
      <x v="74"/>
      <x v="86"/>
    </i>
    <i>
      <x v="75"/>
      <x v="89"/>
    </i>
    <i>
      <x v="76"/>
      <x v="80"/>
    </i>
    <i>
      <x v="78"/>
      <x v="79"/>
    </i>
    <i>
      <x v="79"/>
      <x v="82"/>
    </i>
    <i>
      <x v="82"/>
      <x v="77"/>
    </i>
    <i>
      <x v="84"/>
      <x v="91"/>
    </i>
    <i>
      <x v="86"/>
      <x v="97"/>
    </i>
    <i>
      <x v="87"/>
      <x v="96"/>
    </i>
    <i>
      <x v="88"/>
      <x v="99"/>
    </i>
    <i>
      <x v="90"/>
      <x v="100"/>
    </i>
    <i>
      <x v="91"/>
      <x v="98"/>
    </i>
    <i>
      <x v="93"/>
      <x v="103"/>
    </i>
    <i>
      <x v="96"/>
      <x v="101"/>
    </i>
    <i>
      <x v="99"/>
      <x v="107"/>
    </i>
    <i>
      <x v="100"/>
      <x v="108"/>
    </i>
    <i>
      <x v="101"/>
      <x v="109"/>
    </i>
    <i>
      <x v="102"/>
      <x v="54"/>
    </i>
    <i>
      <x v="103"/>
      <x v="110"/>
    </i>
    <i>
      <x v="106"/>
      <x v="118"/>
    </i>
    <i>
      <x v="107"/>
      <x v="121"/>
    </i>
    <i>
      <x v="108"/>
      <x v="115"/>
    </i>
    <i>
      <x v="109"/>
      <x v="119"/>
    </i>
    <i>
      <x v="112"/>
      <x v="113"/>
    </i>
    <i>
      <x v="115"/>
      <x v="131"/>
    </i>
    <i>
      <x v="116"/>
      <x v="130"/>
    </i>
    <i>
      <x v="117"/>
      <x v="124"/>
    </i>
    <i>
      <x v="118"/>
      <x v="127"/>
    </i>
    <i>
      <x v="121"/>
      <x v="123"/>
    </i>
    <i>
      <x v="124"/>
      <x v="129"/>
    </i>
    <i>
      <x v="126"/>
      <x v="146"/>
    </i>
    <i>
      <x v="128"/>
      <x v="137"/>
    </i>
    <i>
      <x v="129"/>
      <x v="145"/>
    </i>
    <i>
      <x v="130"/>
      <x v="136"/>
    </i>
    <i>
      <x v="131"/>
      <x v="154"/>
    </i>
    <i>
      <x v="132"/>
      <x v="156"/>
    </i>
    <i>
      <x v="133"/>
      <x v="151"/>
    </i>
    <i>
      <x v="135"/>
      <x v="83"/>
    </i>
    <i>
      <x v="136"/>
      <x v="157"/>
    </i>
    <i>
      <x v="137"/>
      <x v="133"/>
    </i>
    <i>
      <x v="138"/>
      <x v="158"/>
    </i>
    <i>
      <x v="139"/>
      <x v="150"/>
    </i>
    <i>
      <x v="140"/>
      <x v="143"/>
    </i>
    <i>
      <x v="141"/>
      <x v="149"/>
    </i>
    <i>
      <x v="142"/>
      <x v="142"/>
    </i>
    <i>
      <x v="143"/>
      <x v="134"/>
    </i>
    <i>
      <x v="145"/>
      <x v="155"/>
    </i>
    <i>
      <x v="148"/>
      <x v="140"/>
    </i>
    <i>
      <x v="150"/>
      <x v="147"/>
    </i>
    <i>
      <x v="151"/>
      <x v="160"/>
    </i>
    <i>
      <x v="153"/>
      <x v="159"/>
    </i>
    <i>
      <x v="155"/>
      <x v="163"/>
    </i>
    <i>
      <x v="156"/>
      <x v="164"/>
    </i>
    <i>
      <x v="157"/>
      <x v="173"/>
    </i>
    <i>
      <x v="158"/>
      <x v="171"/>
    </i>
    <i>
      <x v="159"/>
      <x v="166"/>
    </i>
    <i>
      <x v="160"/>
      <x v="194"/>
    </i>
    <i>
      <x v="164"/>
      <x v="176"/>
    </i>
    <i>
      <x v="165"/>
      <x v="65"/>
    </i>
    <i>
      <x v="167"/>
      <x v="180"/>
    </i>
    <i>
      <x v="168"/>
      <x v="184"/>
    </i>
    <i>
      <x v="169"/>
      <x v="186"/>
    </i>
    <i>
      <x v="170"/>
      <x v="183"/>
    </i>
    <i>
      <x v="171"/>
      <x v="189"/>
    </i>
    <i>
      <x v="172"/>
      <x v="187"/>
    </i>
    <i>
      <x v="173"/>
      <x v="55"/>
    </i>
    <i>
      <x v="180"/>
      <x v="209"/>
    </i>
    <i>
      <x v="181"/>
      <x v="196"/>
    </i>
    <i>
      <x v="182"/>
      <x v="199"/>
    </i>
    <i>
      <x v="183"/>
      <x v="201"/>
    </i>
    <i>
      <x v="184"/>
      <x v="208"/>
    </i>
    <i>
      <x v="185"/>
      <x v="202"/>
    </i>
    <i>
      <x v="187"/>
      <x v="210"/>
    </i>
    <i>
      <x v="188"/>
      <x v="205"/>
    </i>
    <i>
      <x v="192"/>
      <x v="206"/>
    </i>
    <i>
      <x v="193"/>
      <x v="197"/>
    </i>
    <i>
      <x v="196"/>
      <x v="175"/>
    </i>
    <i>
      <x v="197"/>
      <x v="198"/>
    </i>
    <i>
      <x v="201"/>
      <x v="220"/>
    </i>
    <i>
      <x v="202"/>
      <x v="231"/>
    </i>
    <i>
      <x v="203"/>
      <x v="244"/>
    </i>
    <i>
      <x v="204"/>
      <x v="254"/>
    </i>
    <i>
      <x v="205"/>
      <x v="239"/>
    </i>
    <i>
      <x v="206"/>
      <x v="245"/>
    </i>
    <i>
      <x v="207"/>
      <x v="224"/>
    </i>
    <i>
      <x v="208"/>
      <x v="229"/>
    </i>
    <i>
      <x v="209"/>
      <x v="241"/>
    </i>
    <i>
      <x v="210"/>
      <x v="222"/>
    </i>
    <i>
      <x v="211"/>
      <x v="234"/>
    </i>
    <i>
      <x v="212"/>
      <x v="253"/>
    </i>
    <i>
      <x v="213"/>
      <x v="246"/>
    </i>
    <i>
      <x v="217"/>
      <x v="225"/>
    </i>
    <i>
      <x v="218"/>
      <x v="216"/>
    </i>
    <i>
      <x v="219"/>
      <x v="148"/>
    </i>
    <i>
      <x v="221"/>
      <x v="174"/>
    </i>
    <i>
      <x v="235"/>
      <x v="251"/>
    </i>
    <i>
      <x v="236"/>
      <x v="76"/>
    </i>
    <i>
      <x v="238"/>
      <x v="264"/>
    </i>
    <i>
      <x v="239"/>
      <x v="257"/>
    </i>
    <i>
      <x v="240"/>
      <x v="261"/>
    </i>
    <i>
      <x v="241"/>
      <x v="256"/>
    </i>
    <i>
      <x v="242"/>
      <x v="258"/>
    </i>
    <i>
      <x v="244"/>
      <x v="75"/>
    </i>
    <i>
      <x v="245"/>
      <x v="265"/>
    </i>
    <i>
      <x v="247"/>
      <x v="9"/>
    </i>
    <i>
      <x v="248"/>
      <x v="270"/>
    </i>
    <i>
      <x v="249"/>
      <x v="267"/>
    </i>
    <i>
      <x v="251"/>
      <x v="272"/>
    </i>
  </rowItems>
  <colItems count="1">
    <i/>
  </colItems>
  <pageFields count="1">
    <pageField fld="16" item="2" hier="-1"/>
  </pageFields>
  <dataFields count="1">
    <dataField name="סכום של ותק מחברה 40" fld="38" baseField="0" baseItem="0" numFmtId="2"/>
  </dataFields>
  <formats count="17">
    <format dxfId="16">
      <pivotArea outline="0" fieldPosition="0">
        <references count="2">
          <reference field="7" count="1" selected="0">
            <x v="72"/>
          </reference>
          <reference field="8" count="1" selected="0">
            <x v="90"/>
          </reference>
        </references>
      </pivotArea>
    </format>
    <format dxfId="15">
      <pivotArea dataOnly="0" labelOnly="1" outline="0" fieldPosition="0">
        <references count="2">
          <reference field="7" count="1" selected="0">
            <x v="72"/>
          </reference>
          <reference field="8" count="1">
            <x v="90"/>
          </reference>
        </references>
      </pivotArea>
    </format>
    <format dxfId="14">
      <pivotArea field="7" type="button" dataOnly="0" labelOnly="1" outline="0" axis="axisRow" fieldPosition="0"/>
    </format>
    <format dxfId="13">
      <pivotArea field="8" type="button" dataOnly="0" labelOnly="1" outline="0" axis="axisRow" fieldPosition="1"/>
    </format>
    <format dxfId="12">
      <pivotArea dataOnly="0" labelOnly="1" outline="0" axis="axisValues" fieldPosition="0"/>
    </format>
    <format dxfId="11">
      <pivotArea field="8" type="button" dataOnly="0" labelOnly="1" outline="0" axis="axisRow" fieldPosition="1"/>
    </format>
    <format dxfId="10">
      <pivotArea dataOnly="0" labelOnly="1" outline="0" axis="axisValues" fieldPosition="0"/>
    </format>
    <format dxfId="9">
      <pivotArea field="7" type="button" dataOnly="0" labelOnly="1" outline="0" axis="axisRow" fieldPosition="0"/>
    </format>
    <format dxfId="8">
      <pivotArea field="8" type="button" dataOnly="0" labelOnly="1" outline="0" axis="axisRow" fieldPosition="1"/>
    </format>
    <format dxfId="7">
      <pivotArea dataOnly="0" labelOnly="1" outline="0" axis="axisValues" fieldPosition="0"/>
    </format>
    <format dxfId="6">
      <pivotArea field="16" type="button" dataOnly="0" labelOnly="1" outline="0" axis="axisPage" fieldPosition="0"/>
    </format>
    <format dxfId="5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7"/>
            <x v="9"/>
            <x v="10"/>
            <x v="12"/>
            <x v="14"/>
            <x v="15"/>
            <x v="16"/>
            <x v="19"/>
            <x v="20"/>
            <x v="22"/>
            <x v="26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1"/>
            <x v="42"/>
            <x v="43"/>
            <x v="44"/>
            <x v="45"/>
            <x v="48"/>
            <x v="49"/>
            <x v="50"/>
            <x v="51"/>
            <x v="52"/>
            <x v="53"/>
            <x v="54"/>
            <x v="56"/>
            <x v="59"/>
            <x v="62"/>
            <x v="63"/>
            <x v="64"/>
            <x v="66"/>
            <x v="67"/>
            <x v="68"/>
            <x v="69"/>
            <x v="70"/>
            <x v="71"/>
          </reference>
        </references>
      </pivotArea>
    </format>
    <format dxfId="4">
      <pivotArea dataOnly="0" labelOnly="1" outline="0" fieldPosition="0">
        <references count="1">
          <reference field="7" count="50">
            <x v="72"/>
            <x v="73"/>
            <x v="74"/>
            <x v="75"/>
            <x v="76"/>
            <x v="78"/>
            <x v="79"/>
            <x v="82"/>
            <x v="84"/>
            <x v="86"/>
            <x v="87"/>
            <x v="88"/>
            <x v="90"/>
            <x v="91"/>
            <x v="93"/>
            <x v="96"/>
            <x v="99"/>
            <x v="100"/>
            <x v="101"/>
            <x v="102"/>
            <x v="103"/>
            <x v="106"/>
            <x v="107"/>
            <x v="108"/>
            <x v="109"/>
            <x v="112"/>
            <x v="115"/>
            <x v="116"/>
            <x v="117"/>
            <x v="118"/>
            <x v="121"/>
            <x v="124"/>
            <x v="126"/>
            <x v="128"/>
            <x v="129"/>
            <x v="130"/>
            <x v="131"/>
            <x v="132"/>
            <x v="133"/>
            <x v="135"/>
            <x v="136"/>
            <x v="137"/>
            <x v="138"/>
            <x v="139"/>
            <x v="140"/>
            <x v="141"/>
            <x v="142"/>
            <x v="143"/>
            <x v="145"/>
            <x v="148"/>
          </reference>
        </references>
      </pivotArea>
    </format>
    <format dxfId="3">
      <pivotArea dataOnly="0" labelOnly="1" outline="0" fieldPosition="0">
        <references count="1">
          <reference field="7" count="50">
            <x v="150"/>
            <x v="151"/>
            <x v="153"/>
            <x v="155"/>
            <x v="156"/>
            <x v="157"/>
            <x v="158"/>
            <x v="159"/>
            <x v="160"/>
            <x v="164"/>
            <x v="165"/>
            <x v="167"/>
            <x v="168"/>
            <x v="169"/>
            <x v="170"/>
            <x v="171"/>
            <x v="172"/>
            <x v="173"/>
            <x v="180"/>
            <x v="181"/>
            <x v="182"/>
            <x v="183"/>
            <x v="184"/>
            <x v="185"/>
            <x v="187"/>
            <x v="188"/>
            <x v="192"/>
            <x v="193"/>
            <x v="196"/>
            <x v="197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7"/>
            <x v="218"/>
            <x v="219"/>
            <x v="221"/>
            <x v="235"/>
            <x v="236"/>
            <x v="238"/>
          </reference>
        </references>
      </pivotArea>
    </format>
    <format dxfId="2">
      <pivotArea dataOnly="0" labelOnly="1" outline="0" fieldPosition="0">
        <references count="1">
          <reference field="7" count="10">
            <x v="239"/>
            <x v="240"/>
            <x v="241"/>
            <x v="242"/>
            <x v="244"/>
            <x v="245"/>
            <x v="247"/>
            <x v="248"/>
            <x v="249"/>
            <x v="251"/>
          </reference>
        </references>
      </pivotArea>
    </format>
    <format dxfId="1">
      <pivotArea field="7" type="button" dataOnly="0" labelOnly="1" outline="0" axis="axisRow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IPRI_ESHBEL_PRIORITY Tvunot_Eshkol" connectionId="1" xr16:uid="{4311AAFB-8F7D-4D4D-9039-09200F561260}" autoFormatId="16" applyNumberFormats="0" applyBorderFormats="0" applyFontFormats="0" applyPatternFormats="0" applyAlignmentFormats="0" applyWidthHeightFormats="0">
  <queryTableRefresh nextId="55" unboundColumnsRight="25">
    <queryTableFields count="45">
      <queryTableField id="1" name="קוד חבר" tableColumnId="1"/>
      <queryTableField id="2" name="שם" tableColumnId="2"/>
      <queryTableField id="3" name="שם משפחה" tableColumnId="3"/>
      <queryTableField id="4" name="פרטי" tableColumnId="4"/>
      <queryTableField id="5" name="מין" tableColumnId="5"/>
      <queryTableField id="6" name="תאריך לידה" tableColumnId="6"/>
      <queryTableField id="7" name="גיל" tableColumnId="7"/>
      <queryTableField id="8" name="קוד תקציב" tableColumnId="8"/>
      <queryTableField id="9" name="תאור תקציב" tableColumnId="9"/>
      <queryTableField id="17" name="מצב תקציב" tableColumnId="17"/>
      <queryTableField id="18" name="קבוצת תקציב" tableColumnId="18"/>
      <queryTableField id="10" name="תעודת זהות" tableColumnId="10"/>
      <queryTableField id="11" name="מספר משפחה" tableColumnId="11"/>
      <queryTableField id="12" name="משפחה" tableColumnId="12"/>
      <queryTableField id="23" dataBound="0" tableColumnId="21"/>
      <queryTableField id="13" name="קוד מעמד" tableColumnId="13"/>
      <queryTableField id="14" name="מעמד" tableColumnId="14"/>
      <queryTableField id="15" name="תאריך מעמד" tableColumnId="15"/>
      <queryTableField id="25" name="מצב משפחתי" tableColumnId="23"/>
      <queryTableField id="52" name="קוד תקציב משפחה מקורי" tableColumnId="48"/>
      <queryTableField id="16" dataBound="0" tableColumnId="16"/>
      <queryTableField id="21" dataBound="0" tableColumnId="19"/>
      <queryTableField id="22" dataBound="0" tableColumnId="20"/>
      <queryTableField id="24" dataBound="0" tableColumnId="22"/>
      <queryTableField id="26" dataBound="0" tableColumnId="24"/>
      <queryTableField id="27" dataBound="0" tableColumnId="25"/>
      <queryTableField id="28" dataBound="0" tableColumnId="26"/>
      <queryTableField id="29" dataBound="0" tableColumnId="27"/>
      <queryTableField id="39" dataBound="0" tableColumnId="37"/>
      <queryTableField id="30" dataBound="0" tableColumnId="28"/>
      <queryTableField id="40" dataBound="0" tableColumnId="38"/>
      <queryTableField id="31" dataBound="0" tableColumnId="29"/>
      <queryTableField id="41" dataBound="0" tableColumnId="39"/>
      <queryTableField id="34" dataBound="0" tableColumnId="32"/>
      <queryTableField id="43" dataBound="0" tableColumnId="41"/>
      <queryTableField id="35" dataBound="0" tableColumnId="33"/>
      <queryTableField id="36" dataBound="0" tableColumnId="34"/>
      <queryTableField id="37" dataBound="0" tableColumnId="35"/>
      <queryTableField id="46" dataBound="0" tableColumnId="42"/>
      <queryTableField id="38" dataBound="0" tableColumnId="36"/>
      <queryTableField id="47" dataBound="0" tableColumnId="43"/>
      <queryTableField id="48" dataBound="0" tableColumnId="44"/>
      <queryTableField id="49" dataBound="0" tableColumnId="45"/>
      <queryTableField id="53" dataBound="0" tableColumnId="30"/>
      <queryTableField id="54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AA7EE-D070-4483-84B3-77730B32215A}" name="HEVARIM" displayName="HEVARIM" ref="A5:AS710" tableType="queryTable" totalsRowShown="0">
  <autoFilter ref="A5:AS710" xr:uid="{1A940136-41AB-480E-A14D-2728B97884C7}"/>
  <tableColumns count="45">
    <tableColumn id="1" xr3:uid="{A62920B0-917A-447E-A1B0-9643EB414CFC}" uniqueName="1" name="קוד חבר" queryTableFieldId="1"/>
    <tableColumn id="2" xr3:uid="{1EC243C3-9C87-43F4-8D7D-8B61054C683C}" uniqueName="2" name="שם" queryTableFieldId="2"/>
    <tableColumn id="3" xr3:uid="{4E0B6F61-6281-40DA-9C51-440660AC3380}" uniqueName="3" name="שם משפחה" queryTableFieldId="3"/>
    <tableColumn id="4" xr3:uid="{360E54B7-90CC-405D-8F0F-4B754072C641}" uniqueName="4" name="פרטי" queryTableFieldId="4"/>
    <tableColumn id="5" xr3:uid="{D7EC4248-51A5-4D38-B181-B4AE346A7329}" uniqueName="5" name="מין" queryTableFieldId="5"/>
    <tableColumn id="6" xr3:uid="{1201B091-8E61-40D4-A1CA-10E2BE7E6C20}" uniqueName="6" name="תאריך לידה" queryTableFieldId="6" dataDxfId="49"/>
    <tableColumn id="7" xr3:uid="{533704C8-3F75-4CDC-A18E-839B3FC7077C}" uniqueName="7" name="גיל" queryTableFieldId="7"/>
    <tableColumn id="8" xr3:uid="{F962F7F9-8950-4BA9-B6EF-9BC77808CD17}" uniqueName="8" name="קוד תקציב" queryTableFieldId="8"/>
    <tableColumn id="9" xr3:uid="{92A904F0-B56F-418F-B683-246BB596FAB3}" uniqueName="9" name="תאור תקציב" queryTableFieldId="9"/>
    <tableColumn id="17" xr3:uid="{A317A37D-0BB9-4786-89BD-976BE56B68FE}" uniqueName="17" name="מצב תקציב" queryTableFieldId="17" dataDxfId="48"/>
    <tableColumn id="18" xr3:uid="{F3C2F8AF-2A0A-4B70-A0ED-4117DC63E58F}" uniqueName="18" name="קבוצת תקציב" queryTableFieldId="18" dataDxfId="47"/>
    <tableColumn id="10" xr3:uid="{2C6D9150-A13A-4F20-BA25-F71030B10D9B}" uniqueName="10" name="תעודת זהות" queryTableFieldId="10"/>
    <tableColumn id="11" xr3:uid="{666A727B-8D81-44E8-9C18-28BEE5316723}" uniqueName="11" name="מספר משפחה" queryTableFieldId="11"/>
    <tableColumn id="12" xr3:uid="{09D46E81-5FD7-4279-A1B0-A137AB47FEA8}" uniqueName="12" name="משפחה" queryTableFieldId="12"/>
    <tableColumn id="21" xr3:uid="{B1498498-8D98-4526-A54F-C8B20A6812AC}" uniqueName="21" name="מצב משפחתי" queryTableFieldId="23" dataDxfId="46">
      <calculatedColumnFormula>IFERROR(VLOOKUP(HEVARIM[[#This Row],[קוד תקציב]],[2]תקציבים!A:L,6,0),0)</calculatedColumnFormula>
    </tableColumn>
    <tableColumn id="13" xr3:uid="{58DEF05B-A67B-4074-A8E6-32BFC84DBDC7}" uniqueName="13" name="קוד מעמד" queryTableFieldId="13" dataDxfId="45"/>
    <tableColumn id="14" xr3:uid="{4D43B84F-1C52-403F-A5CB-F489E4904446}" uniqueName="14" name="מעמד" queryTableFieldId="14"/>
    <tableColumn id="15" xr3:uid="{3C0A6EF5-47CC-481F-A881-C306882C71B6}" uniqueName="15" name="תאריך מעמד" queryTableFieldId="15" dataDxfId="44"/>
    <tableColumn id="23" xr3:uid="{81192370-D019-4F1C-BDEA-D96C2DA350B5}" uniqueName="23" name="מצב משפחתי2" queryTableFieldId="25" dataDxfId="43"/>
    <tableColumn id="48" xr3:uid="{8E36C35D-1B0C-494A-A319-6990D6C2CA8D}" uniqueName="48" name="קוד תקציב משפחה מקורי" queryTableFieldId="52" dataDxfId="42"/>
    <tableColumn id="16" xr3:uid="{79CC110C-66AA-404E-8DDF-697848920537}" uniqueName="16" name="קבוצת חינוך" queryTableFieldId="16" dataDxfId="41">
      <calculatedColumnFormula>VLOOKUP(HEVARIM[[#This Row],[גיל]],GIL,2,1)</calculatedColumnFormula>
    </tableColumn>
    <tableColumn id="19" xr3:uid="{5831637B-B880-4672-B384-C617D8B360D5}" uniqueName="19" name="סיווג לנקודת זיכוי" queryTableFieldId="21" dataDxfId="40">
      <calculatedColumnFormula>IF(HEVARIM[[#This Row],[קוד מעמד]]="4     ",IF(HEVARIM[[#This Row],[גיל]]=1,1,IF(HEVARIM[[#This Row],[גיל]]&lt;=5,5,18)),"")</calculatedColumnFormula>
    </tableColumn>
    <tableColumn id="20" xr3:uid="{3C130BB0-F8BF-4EBB-87DF-73E333C352C5}" uniqueName="20" name="קצבת זיקנה בניכוי בריאות" queryTableFieldId="22" dataDxfId="39">
      <calculatedColumnFormula>IF(G6&lt;67,0,
 IF(O6=1,
   IF(G6&gt;=80,1896-231,1795-231),
 IF(O6=2,
   IF(G6&gt;=80,2899-332,2697-332),
 0))
)</calculatedColumnFormula>
    </tableColumn>
    <tableColumn id="22" xr3:uid="{BE655D65-E662-430E-93F1-1ECAA11217C4}" uniqueName="22" name="פנסיה" queryTableFieldId="24" dataDxfId="38">
      <calculatedColumnFormula>IF(AND(HEVARIM[[#This Row],[מין]]="ז ",HEVARIM[[#This Row],[גיל]]&gt;67),'[2]ריכוז נתונים'!$AB$2,IF(AND(HEVARIM[[#This Row],[מין]]="נ ",HEVARIM[[#This Row],[גיל]]&gt;62),'[2]ריכוז נתונים'!$AB$2,0))</calculatedColumnFormula>
    </tableColumn>
    <tableColumn id="24" xr3:uid="{7CA43E04-7398-4291-8572-6000709E39F4}" uniqueName="24" name="שארים" queryTableFieldId="26" dataDxfId="37">
      <calculatedColumnFormula>IF(HEVARIM[[#This Row],[מצב משפחתי2]]="אלמן",'[2]ריכוז נתונים'!$AC$2,0)</calculatedColumnFormula>
    </tableColumn>
    <tableColumn id="25" xr3:uid="{8EB3C111-487D-4180-B65D-BB579D567795}" uniqueName="25" name="לספירה לתקציבים מיוחדים" queryTableFieldId="27" dataDxfId="36">
      <calculatedColumnFormula>VLOOKUP(VALUE(HEVARIM[[#This Row],[קוד מעמד]]),הנחות!$I$2:$K$21,3,0)</calculatedColumnFormula>
    </tableColumn>
    <tableColumn id="26" xr3:uid="{BD7452F8-48DF-4CA3-9281-22E97C12A3FD}" uniqueName="26" name="בקרה לריכוז" queryTableFieldId="28" dataDxfId="35">
      <calculatedColumnFormula>ISERROR(VLOOKUP(HEVARIM[[#This Row],[קוד תקציב]],'[2]ריכוז נתונים'!A:A,1,0))</calculatedColumnFormula>
    </tableColumn>
    <tableColumn id="27" xr3:uid="{19DA1EB4-FA9D-4CF2-9461-B3ED42233A8F}" uniqueName="27" name="בר מצוה" queryTableFieldId="29" dataDxfId="34" dataCellStyle="Comma">
      <calculatedColumnFormula>IF(AND($G6&gt;=AC$2,$G6&lt;=AC$3,$E6="ז ",$Z6=1),AC$4*(($G6-AC$2)/(AC$3-AC$2)),0)</calculatedColumnFormula>
    </tableColumn>
    <tableColumn id="37" xr3:uid="{58047ED5-E9C1-4285-A0BE-DE430E914AC4}" uniqueName="37" name="בר מצווה שנה" queryTableFieldId="39" dataDxfId="33" dataCellStyle="Comma">
      <calculatedColumnFormula>IF(HEVARIM[[#This Row],[בר מצוה]]&gt;0,YEAR(TODAY())+'תקציבים מיוחדים'!$F$5-HEVARIM[[#This Row],[גיל]],0)</calculatedColumnFormula>
    </tableColumn>
    <tableColumn id="28" xr3:uid="{0AA63235-CB6D-49C6-8305-6D4C8D725252}" uniqueName="28" name="בת מצוה" queryTableFieldId="30" dataDxfId="32" dataCellStyle="Comma">
      <calculatedColumnFormula>IF(AND($G6&gt;=AE$2,$G6&lt;=AE$3,$E6="נ ",$Z6=1),AE$4*(($G6-AE$2)/(AE$3-AE$2)),0)</calculatedColumnFormula>
    </tableColumn>
    <tableColumn id="38" xr3:uid="{46ECD937-950D-4B91-AD96-C014C949AF9A}" uniqueName="38" name="בת מצווה שנה" queryTableFieldId="40" dataDxfId="31" dataCellStyle="Comma">
      <calculatedColumnFormula>IF(HEVARIM[[#This Row],[בת מצוה]]&gt;0,YEAR(TODAY())+'תקציבים מיוחדים'!$F$5-HEVARIM[[#This Row],[גיל]],0)</calculatedColumnFormula>
    </tableColumn>
    <tableColumn id="29" xr3:uid="{E15981FB-8661-45F3-B745-69E3EF1CD6A6}" uniqueName="29" name="מענק חתונה" queryTableFieldId="31" dataDxfId="30" dataCellStyle="Comma">
      <calculatedColumnFormula>IF(AND($S6&gt;="רווק",$Z6=1),AF$4*IF(HEVARIM[[#This Row],[גיל]]&gt;$AF$3,1,(($G6-AF$2)/(AF$3-AF$2))),0)</calculatedColumnFormula>
    </tableColumn>
    <tableColumn id="39" xr3:uid="{B469B5D8-ECDA-4F6A-9C58-72D73ACAC5E3}" uniqueName="39" name="חתונה שנה" queryTableFieldId="41" dataDxfId="29" dataCellStyle="Comma">
      <calculatedColumnFormula>IF(HEVARIM[[#This Row],[מענק חתונה]]&gt;0,IF(HEVARIM[[#This Row],[גיל]]&gt;'תקציבים מיוחדים'!$F$6,2025,YEAR(TODAY())+'תקציבים מיוחדים'!$F$6-HEVARIM[[#This Row],[גיל]]),0)</calculatedColumnFormula>
    </tableColumn>
    <tableColumn id="32" xr3:uid="{3925ED89-60F7-43C5-A097-0913A78D0FE2}" uniqueName="32" name="מענק לימודים" queryTableFieldId="34" dataDxfId="28" dataCellStyle="Comma">
      <calculatedColumnFormula>IF(AND($G6&gt;=AI$2,$G6&lt;=AI$3,$Z6=1),AI$4*(($G6-AI$2)/(AI$3-AI$2)),0)</calculatedColumnFormula>
    </tableColumn>
    <tableColumn id="41" xr3:uid="{B1973B83-B4C3-45F5-BA3F-3338AC9BFA52}" uniqueName="41" name="לימוד שנה" queryTableFieldId="43" dataDxfId="27" dataCellStyle="Comma">
      <calculatedColumnFormula>IF(AH6&gt;0,YEAR(TODAY())+'תקציבים מיוחדים'!$F$7-HEVARIM[[#This Row],[גיל]],0)</calculatedColumnFormula>
    </tableColumn>
    <tableColumn id="33" xr3:uid="{B3B9CD8D-3372-4FAC-8A3C-1FF48CFFC2B6}" uniqueName="33" name="בקרה" queryTableFieldId="35" dataDxfId="26" dataCellStyle="Comma">
      <calculatedColumnFormula>IF(AND(ISERROR(VLOOKUP(H6,'[2]ריכוז נתונים'!A:L,1,0)),P6="1     "),1,0)</calculatedColumnFormula>
    </tableColumn>
    <tableColumn id="34" xr3:uid="{B29AC3AC-6C42-40FE-89DF-70E2EE6E6EBE}" uniqueName="34" name="ותק מחברה 40" queryTableFieldId="36" dataDxfId="25" dataCellStyle="Comma">
      <calculatedColumnFormula>IF(VALUE(HEVARIM[[#This Row],[קוד מעמד]])=1,VLOOKUP((IF(LEFT(HEVARIM[[#This Row],[קוד חבר]],1)="0",HEVARIM[[#This Row],[קוד חבר]],VALUE(HEVARIM[[#This Row],[קוד חבר]]))),'ותק חברה 40'!AQ:AW,7,0),"")</calculatedColumnFormula>
    </tableColumn>
    <tableColumn id="35" xr3:uid="{6112CE9A-6D2B-40E5-A5C5-CE98245CE1E7}" uniqueName="35" name="דמי עזיבה 25 שנות ותק" queryTableFieldId="37" dataDxfId="24" dataCellStyle="Comma">
      <calculatedColumnFormula>IF(AND(VALUE(HEVARIM[[#This Row],[קוד מעמד]])=1,HEVARIM[[#This Row],[ותק מחברה 40]]&lt;25),HEVARIM[[#This Row],[ותק מחברה 40]]/25*הנחות!$C$4,0)</calculatedColumnFormula>
    </tableColumn>
    <tableColumn id="42" xr3:uid="{E99FE20F-A3D8-4712-B4A0-C9F805ED1857}" uniqueName="42" name="דמי עזיבה 25 שנה" queryTableFieldId="46" dataDxfId="23" dataCellStyle="Comma">
      <calculatedColumnFormula>IF(HEVARIM[[#This Row],[דמי עזיבה 25 שנות ותק]]&gt;0,YEAR(TODAY())+25-ROUNDDOWN(HEVARIM[[#This Row],[ותק מחברה 40]],0),"")</calculatedColumnFormula>
    </tableColumn>
    <tableColumn id="36" xr3:uid="{120B7D6A-563B-422D-AD21-6D979FB74429}" uniqueName="36" name="דמי עזיבה לגיל 65" queryTableFieldId="38" dataDxfId="22" dataCellStyle="Comma">
      <calculatedColumnFormula>IF(AND(VALUE(HEVARIM[[#This Row],[קוד מעמד]])=1,HEVARIM[[#This Row],[ותק מחברה 40]]&gt;25,HEVARIM[[#This Row],[גיל]]&lt;65),הנחות!$C$14+(HEVARIM[[#This Row],[ותק מחברה 40]]-25)*הנחות!$C$10*0.25,0)</calculatedColumnFormula>
    </tableColumn>
    <tableColumn id="43" xr3:uid="{3C4E544B-097A-435E-A99B-C794E193F033}" uniqueName="43" name="דמי עזיבה 65 שנה" queryTableFieldId="47" dataDxfId="21" dataCellStyle="Comma">
      <calculatedColumnFormula>IF(HEVARIM[[#This Row],[דמי עזיבה לגיל 65]]&gt;0,YEAR(TODAY())+64-ROUNDDOWN(HEVARIM[[#This Row],[גיל]],0),"")</calculatedColumnFormula>
    </tableColumn>
    <tableColumn id="44" xr3:uid="{10C0CBDA-0D96-4B3E-8106-0AD9A3B88F1C}" uniqueName="44" name="ותק הורים" queryTableFieldId="48" dataDxfId="20" dataCellStyle="Comma">
      <calculatedColumnFormula>SUMIF(HEVARIM[קוד תקציב],#REF!,HEVARIM[ותק מחברה 40])</calculatedColumnFormula>
    </tableColumn>
    <tableColumn id="45" xr3:uid="{DCAE4A44-C18B-4E8F-9617-FB29174A4FFF}" uniqueName="45" name="בקרת ותק הורים מול גיל ילד" queryTableFieldId="49" dataDxfId="19" dataCellStyle="Comma">
      <calculatedColumnFormula>IF(AND(HEVARIM[[#This Row],[גיל]]&gt;HEVARIM[[#This Row],[ותק הורים]],OR(HEVARIM[[#This Row],[בר מצוה]]&gt;0,HEVARIM[[#This Row],[בת מצוה]]&gt;0,HEVARIM[[#This Row],[מענק חתונה]]&gt;0,HEVARIM[[#This Row],[מענק לימודים]]&gt;0)),1,0)</calculatedColumnFormula>
    </tableColumn>
    <tableColumn id="30" xr3:uid="{9E367916-2E5B-4A9A-839D-5C6115397825}" uniqueName="30" name="צביעה" queryTableFieldId="53" dataDxfId="18" dataCellStyle="Comma">
      <calculatedColumnFormula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calculatedColumnFormula>
    </tableColumn>
    <tableColumn id="31" xr3:uid="{03AC57A1-90A4-4FD5-A251-64F91B43E1CF}" uniqueName="31" name="צביעה שנה" queryTableFieldId="54" dataDxfId="17" dataCellStyle="Comma">
      <calculatedColumnFormula>IF(HEVARIM[[#This Row],[קוד מעמד]]="1     ",IFERROR(VLOOKUP(HEVARIM[[#This Row],[קוד תקציב]],'תקציב צביעה - לקראת השינוי'!A:F,4,0),0),0)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1D24-5730-4D41-A02B-094304B87758}">
  <sheetPr codeName="Sheet1">
    <tabColor theme="9" tint="-0.249977111117893"/>
  </sheetPr>
  <dimension ref="A1:AV710"/>
  <sheetViews>
    <sheetView rightToLeft="1" zoomScale="85" zoomScaleNormal="85" workbookViewId="0">
      <pane ySplit="5" topLeftCell="A6" activePane="bottomLeft" state="frozen"/>
      <selection pane="bottomLeft" activeCell="H9" sqref="H9"/>
    </sheetView>
  </sheetViews>
  <sheetFormatPr defaultRowHeight="14.4" outlineLevelCol="1"/>
  <cols>
    <col min="1" max="1" width="12.44140625" bestFit="1" customWidth="1"/>
    <col min="2" max="2" width="19.44140625" customWidth="1"/>
    <col min="3" max="3" width="12.109375" customWidth="1"/>
    <col min="4" max="4" width="14" customWidth="1"/>
    <col min="5" max="5" width="8.33203125" customWidth="1"/>
    <col min="6" max="6" width="15" style="4" customWidth="1"/>
    <col min="7" max="7" width="8.44140625" bestFit="1" customWidth="1"/>
    <col min="8" max="8" width="14" bestFit="1" customWidth="1"/>
    <col min="9" max="9" width="22.88671875" hidden="1" customWidth="1"/>
    <col min="10" max="10" width="13.6640625" hidden="1" customWidth="1" outlineLevel="1"/>
    <col min="11" max="11" width="15.44140625" hidden="1" customWidth="1" outlineLevel="1"/>
    <col min="12" max="12" width="14.109375" hidden="1" customWidth="1" outlineLevel="1"/>
    <col min="13" max="13" width="15.88671875" hidden="1" customWidth="1" outlineLevel="1"/>
    <col min="14" max="14" width="17.88671875" hidden="1" customWidth="1" outlineLevel="1"/>
    <col min="15" max="15" width="14.109375" customWidth="1" collapsed="1"/>
    <col min="16" max="16" width="14" style="5" bestFit="1" customWidth="1"/>
    <col min="17" max="17" width="16" bestFit="1" customWidth="1"/>
    <col min="18" max="18" width="13.44140625" bestFit="1" customWidth="1"/>
    <col min="19" max="19" width="16" bestFit="1" customWidth="1"/>
    <col min="20" max="20" width="9.88671875" customWidth="1"/>
    <col min="21" max="21" width="15.109375" bestFit="1" customWidth="1"/>
    <col min="22" max="22" width="16" bestFit="1" customWidth="1"/>
    <col min="23" max="23" width="16" customWidth="1" outlineLevel="1"/>
    <col min="24" max="24" width="10.6640625" customWidth="1" outlineLevel="1"/>
    <col min="25" max="25" width="11.33203125" customWidth="1" outlineLevel="1"/>
    <col min="26" max="26" width="14" customWidth="1" outlineLevel="1"/>
    <col min="27" max="27" width="13.5546875" customWidth="1" outlineLevel="1"/>
    <col min="28" max="28" width="10.5546875" customWidth="1"/>
    <col min="29" max="29" width="10.109375" customWidth="1"/>
    <col min="30" max="30" width="11.109375" customWidth="1"/>
    <col min="31" max="31" width="10.33203125" customWidth="1"/>
    <col min="32" max="32" width="11.88671875" customWidth="1"/>
    <col min="33" max="33" width="11.44140625" customWidth="1"/>
    <col min="34" max="34" width="10.33203125" customWidth="1"/>
    <col min="35" max="35" width="12.44140625" customWidth="1"/>
    <col min="36" max="36" width="10.44140625" customWidth="1"/>
    <col min="37" max="37" width="12.6640625" customWidth="1"/>
    <col min="38" max="39" width="16" customWidth="1"/>
    <col min="40" max="40" width="15.5546875" customWidth="1"/>
    <col min="41" max="41" width="16" customWidth="1"/>
    <col min="42" max="42" width="11" customWidth="1"/>
    <col min="43" max="46" width="10.5546875" customWidth="1"/>
    <col min="47" max="47" width="6" customWidth="1"/>
  </cols>
  <sheetData>
    <row r="1" spans="1:48">
      <c r="AC1" s="6">
        <f>SUM(HEVARIM[בר מצוה])</f>
        <v>317464.61538461538</v>
      </c>
      <c r="AD1" s="6"/>
      <c r="AE1" s="6">
        <f>SUM(HEVARIM[בת מצוה])</f>
        <v>318566.92307692295</v>
      </c>
      <c r="AF1" s="6">
        <f>SUM(HEVARIM[מענק חתונה])</f>
        <v>11016156.547619043</v>
      </c>
      <c r="AG1" s="6"/>
      <c r="AH1" s="6"/>
      <c r="AI1" s="6">
        <f>SUM(HEVARIM[מענק לימודים])</f>
        <v>14163943.071428576</v>
      </c>
      <c r="AJ1" s="6"/>
      <c r="AK1" s="6"/>
      <c r="AM1" s="6">
        <f>SUM(HEVARIM[דמי עזיבה 25 שנות ותק])</f>
        <v>2176001.597385</v>
      </c>
      <c r="AN1" s="6"/>
      <c r="AO1" s="6">
        <f>SUM(HEVARIM[דמי עזיבה לגיל 65])</f>
        <v>2685494.2826249995</v>
      </c>
      <c r="AP1" s="6"/>
      <c r="AQ1" s="6"/>
      <c r="AR1" s="6"/>
      <c r="AS1" s="6"/>
      <c r="AT1" s="6"/>
      <c r="AU1" s="6"/>
    </row>
    <row r="2" spans="1:48">
      <c r="AB2" t="s">
        <v>3</v>
      </c>
      <c r="AC2" s="2">
        <f>'תקציבים מיוחדים'!E5</f>
        <v>0</v>
      </c>
      <c r="AD2" s="2"/>
      <c r="AE2" s="2">
        <f>'תקציבים מיוחדים'!E5</f>
        <v>0</v>
      </c>
      <c r="AF2" s="2">
        <f>'תקציבים מיוחדים'!E6</f>
        <v>0</v>
      </c>
      <c r="AG2" s="2"/>
      <c r="AH2" s="2"/>
      <c r="AI2" s="2">
        <f>'תקציבים מיוחדים'!E7</f>
        <v>0</v>
      </c>
      <c r="AJ2" s="2"/>
      <c r="AK2" s="2"/>
    </row>
    <row r="3" spans="1:48">
      <c r="AB3" t="s">
        <v>4</v>
      </c>
      <c r="AC3">
        <f>'תקציבים מיוחדים'!F5</f>
        <v>13</v>
      </c>
      <c r="AE3">
        <f>'תקציבים מיוחדים'!F5</f>
        <v>13</v>
      </c>
      <c r="AF3">
        <f>'תקציבים מיוחדים'!F6</f>
        <v>21</v>
      </c>
      <c r="AI3">
        <f>'תקציבים מיוחדים'!F7</f>
        <v>21</v>
      </c>
      <c r="AR3" s="6">
        <f>SUM(HEVARIM[צביעה])</f>
        <v>508125</v>
      </c>
    </row>
    <row r="4" spans="1:48">
      <c r="AB4" t="s">
        <v>35</v>
      </c>
      <c r="AC4" s="1">
        <f>'תקציבים מיוחדים'!D5</f>
        <v>7165</v>
      </c>
      <c r="AD4" s="1"/>
      <c r="AE4" s="1">
        <f>'תקציבים מיוחדים'!D5</f>
        <v>7165</v>
      </c>
      <c r="AF4" s="1">
        <f>'תקציבים מיוחדים'!D6</f>
        <v>60512.5</v>
      </c>
      <c r="AG4" s="1"/>
      <c r="AH4" s="1"/>
      <c r="AI4" s="1">
        <f>'תקציבים מיוחדים'!D7</f>
        <v>105588.5</v>
      </c>
      <c r="AJ4" s="1"/>
      <c r="AK4" s="1"/>
    </row>
    <row r="5" spans="1:48" s="7" customFormat="1" ht="43.2">
      <c r="A5" s="7" t="s">
        <v>36</v>
      </c>
      <c r="B5" s="7" t="s">
        <v>37</v>
      </c>
      <c r="C5" t="s">
        <v>38</v>
      </c>
      <c r="D5" t="s">
        <v>39</v>
      </c>
      <c r="E5" s="7" t="s">
        <v>40</v>
      </c>
      <c r="F5" s="4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48</v>
      </c>
      <c r="N5" s="7" t="s">
        <v>49</v>
      </c>
      <c r="O5" s="7" t="s">
        <v>50</v>
      </c>
      <c r="P5" s="7" t="s">
        <v>8</v>
      </c>
      <c r="Q5" s="7" t="s">
        <v>9</v>
      </c>
      <c r="R5" t="s">
        <v>51</v>
      </c>
      <c r="S5" s="23" t="s">
        <v>52</v>
      </c>
      <c r="T5" s="23" t="s">
        <v>3860</v>
      </c>
      <c r="U5" s="7" t="s">
        <v>53</v>
      </c>
      <c r="V5" s="7" t="s">
        <v>54</v>
      </c>
      <c r="W5" s="7" t="s">
        <v>55</v>
      </c>
      <c r="X5" s="7" t="s">
        <v>56</v>
      </c>
      <c r="Y5" s="7" t="s">
        <v>57</v>
      </c>
      <c r="Z5" s="7" t="s">
        <v>58</v>
      </c>
      <c r="AA5" s="7" t="s">
        <v>59</v>
      </c>
      <c r="AB5" s="8" t="s">
        <v>60</v>
      </c>
      <c r="AC5" s="27" t="s">
        <v>3785</v>
      </c>
      <c r="AD5" s="8" t="s">
        <v>61</v>
      </c>
      <c r="AE5" s="27" t="s">
        <v>3786</v>
      </c>
      <c r="AF5" s="8" t="s">
        <v>3861</v>
      </c>
      <c r="AG5" s="27" t="s">
        <v>3787</v>
      </c>
      <c r="AH5" s="8" t="s">
        <v>18</v>
      </c>
      <c r="AI5" s="27" t="s">
        <v>3788</v>
      </c>
      <c r="AJ5" s="8" t="s">
        <v>62</v>
      </c>
      <c r="AK5" s="24" t="s">
        <v>3744</v>
      </c>
      <c r="AL5" s="25" t="s">
        <v>3745</v>
      </c>
      <c r="AM5" s="27" t="s">
        <v>3799</v>
      </c>
      <c r="AN5" s="26" t="s">
        <v>3746</v>
      </c>
      <c r="AO5" s="27" t="s">
        <v>3800</v>
      </c>
      <c r="AP5" s="26" t="s">
        <v>3824</v>
      </c>
      <c r="AQ5" s="26" t="s">
        <v>3825</v>
      </c>
      <c r="AR5" s="8" t="s">
        <v>4121</v>
      </c>
      <c r="AS5" s="27" t="s">
        <v>4122</v>
      </c>
      <c r="AT5" s="26"/>
      <c r="AU5" s="313" t="s">
        <v>53</v>
      </c>
      <c r="AV5" s="313"/>
    </row>
    <row r="6" spans="1:48">
      <c r="A6" t="s">
        <v>76</v>
      </c>
      <c r="B6" t="s">
        <v>77</v>
      </c>
      <c r="C6" t="s">
        <v>65</v>
      </c>
      <c r="D6" t="s">
        <v>78</v>
      </c>
      <c r="E6" t="s">
        <v>79</v>
      </c>
      <c r="F6" s="4">
        <v>36624</v>
      </c>
      <c r="G6">
        <v>25</v>
      </c>
      <c r="H6" t="s">
        <v>80</v>
      </c>
      <c r="I6" t="s">
        <v>64</v>
      </c>
      <c r="J6" s="4" t="s">
        <v>70</v>
      </c>
      <c r="K6" s="4" t="s">
        <v>81</v>
      </c>
      <c r="L6" t="s">
        <v>82</v>
      </c>
      <c r="M6" t="s">
        <v>63</v>
      </c>
      <c r="N6" t="s">
        <v>64</v>
      </c>
      <c r="O6">
        <f>IFERROR(VLOOKUP(HEVARIM[[#This Row],[קוד תקציב]],[2]תקציבים!A:L,6,0),0)</f>
        <v>0</v>
      </c>
      <c r="P6" s="5" t="s">
        <v>83</v>
      </c>
      <c r="Q6" t="s">
        <v>15</v>
      </c>
      <c r="R6" s="4">
        <v>45536</v>
      </c>
      <c r="S6" s="4" t="s">
        <v>74</v>
      </c>
      <c r="T6" s="96" t="s">
        <v>68</v>
      </c>
      <c r="U6" t="str">
        <f>VLOOKUP(HEVARIM[[#This Row],[גיל]],GIL,2,1)</f>
        <v>--</v>
      </c>
      <c r="V6" t="str">
        <f>IF(HEVARIM[[#This Row],[קוד מעמד]]="4     ",IF(HEVARIM[[#This Row],[גיל]]=1,1,IF(HEVARIM[[#This Row],[גיל]]&lt;=5,5,18)),"")</f>
        <v/>
      </c>
      <c r="W6">
        <f t="shared" ref="W6:W69" si="0">IF(G6&lt;67,0,
 IF(O6=1,
   IF(G6&gt;=80,1896-231,1795-231),
 IF(O6=2,
   IF(G6&gt;=80,2899-332,2697-332),
 0))
)</f>
        <v>0</v>
      </c>
      <c r="X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">
        <f>IF(HEVARIM[[#This Row],[מצב משפחתי2]]="אלמן",'[2]ריכוז נתונים'!$AC$2,0)</f>
        <v>0</v>
      </c>
      <c r="Z6" s="3">
        <f>VLOOKUP(VALUE(HEVARIM[[#This Row],[קוד מעמד]]),הנחות!$I$2:$K$21,3,0)</f>
        <v>0</v>
      </c>
      <c r="AA6" t="b">
        <f>ISERROR(VLOOKUP(HEVARIM[[#This Row],[קוד תקציב]],'[2]ריכוז נתונים'!A:A,1,0))</f>
        <v>1</v>
      </c>
      <c r="AB6" s="1">
        <f t="shared" ref="AB6:AB69" si="1">IF(AND($G6&gt;=AC$2,$G6&lt;=AC$3,$E6="ז ",$Z6=1),AC$4*(($G6-AC$2)/(AC$3-AC$2)),0)</f>
        <v>0</v>
      </c>
      <c r="AC6" s="2">
        <f ca="1">IF(HEVARIM[[#This Row],[בר מצוה]]&gt;0,YEAR(TODAY())+'תקציבים מיוחדים'!$F$5-HEVARIM[[#This Row],[גיל]],0)</f>
        <v>0</v>
      </c>
      <c r="AD6" s="1">
        <f t="shared" ref="AD6:AD69" si="2">IF(AND($G6&gt;=AE$2,$G6&lt;=AE$3,$E6="נ ",$Z6=1),AE$4*(($G6-AE$2)/(AE$3-AE$2)),0)</f>
        <v>0</v>
      </c>
      <c r="AE6" s="2">
        <f ca="1">IF(HEVARIM[[#This Row],[בת מצוה]]&gt;0,YEAR(TODAY())+'תקציבים מיוחדים'!$F$5-HEVARIM[[#This Row],[גיל]],0)</f>
        <v>0</v>
      </c>
      <c r="AF6" s="1">
        <f>IF(AND($S6&gt;="רווק",$Z6=1),AF$4*IF(HEVARIM[[#This Row],[גיל]]&gt;$AF$3,1,(($G6-AF$2)/(AF$3-AF$2))),0)</f>
        <v>0</v>
      </c>
      <c r="AG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" s="1">
        <f t="shared" ref="AH6:AH69" si="3">IF(AND($G6&gt;=AI$2,$G6&lt;=AI$3,$Z6=1),AI$4*(($G6-AI$2)/(AI$3-AI$2)),0)</f>
        <v>0</v>
      </c>
      <c r="AI6" s="2">
        <f ca="1">IF(AH6&gt;0,YEAR(TODAY())+'תקציבים מיוחדים'!$F$7-HEVARIM[[#This Row],[גיל]],0)</f>
        <v>0</v>
      </c>
      <c r="AJ6" s="9">
        <f>IF(AND(ISERROR(VLOOKUP(H6,'[2]ריכוז נתונים'!A:L,1,0)),P6="1     "),1,0)</f>
        <v>0</v>
      </c>
      <c r="AK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" s="1">
        <f>IF(AND(VALUE(HEVARIM[[#This Row],[קוד מעמד]])=1,HEVARIM[[#This Row],[ותק מחברה 40]]&lt;25),HEVARIM[[#This Row],[ותק מחברה 40]]/25*הנחות!$C$4,0)</f>
        <v>0</v>
      </c>
      <c r="AM6" s="9" t="str">
        <f ca="1">IF(HEVARIM[[#This Row],[דמי עזיבה 25 שנות ותק]]&gt;0,YEAR(TODAY())+24-ROUNDDOWN(HEVARIM[[#This Row],[ותק מחברה 40]],0),"")</f>
        <v/>
      </c>
      <c r="AN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" s="9" t="str">
        <f ca="1">IF(HEVARIM[[#This Row],[דמי עזיבה לגיל 65]]&gt;0,YEAR(TODAY())+64-ROUNDDOWN(HEVARIM[[#This Row],[גיל]],0),"")</f>
        <v/>
      </c>
      <c r="AP6" s="1">
        <f>SUMIF(HEVARIM[קוד תקציב],HEVARIM[[#This Row],[קוד תקציב משפחה מקורי]],HEVARIM[ותק מחברה 40])</f>
        <v>82.19</v>
      </c>
      <c r="AQ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" s="9">
        <f>IF(HEVARIM[[#This Row],[קוד מעמד]]="1     ",IFERROR(VLOOKUP(HEVARIM[[#This Row],[קוד תקציב]],'תקציב צביעה - לקראת השינוי'!A:F,4,0),0),0)</f>
        <v>0</v>
      </c>
      <c r="AT6" s="1"/>
      <c r="AU6">
        <v>0</v>
      </c>
      <c r="AV6" t="s">
        <v>75</v>
      </c>
    </row>
    <row r="7" spans="1:48">
      <c r="A7" t="s">
        <v>85</v>
      </c>
      <c r="B7" t="s">
        <v>86</v>
      </c>
      <c r="C7" t="s">
        <v>65</v>
      </c>
      <c r="D7" t="s">
        <v>87</v>
      </c>
      <c r="E7" t="s">
        <v>67</v>
      </c>
      <c r="F7" s="4">
        <v>44533</v>
      </c>
      <c r="G7">
        <v>4</v>
      </c>
      <c r="H7" t="s">
        <v>80</v>
      </c>
      <c r="I7" t="s">
        <v>64</v>
      </c>
      <c r="J7" s="4" t="s">
        <v>70</v>
      </c>
      <c r="K7" s="4" t="s">
        <v>81</v>
      </c>
      <c r="L7" t="s">
        <v>88</v>
      </c>
      <c r="M7" t="s">
        <v>63</v>
      </c>
      <c r="N7" t="s">
        <v>64</v>
      </c>
      <c r="O7">
        <f>IFERROR(VLOOKUP(HEVARIM[[#This Row],[קוד תקציב]],[2]תקציבים!A:L,6,0),0)</f>
        <v>0</v>
      </c>
      <c r="P7" s="5" t="s">
        <v>89</v>
      </c>
      <c r="Q7" t="s">
        <v>19</v>
      </c>
      <c r="R7" s="4">
        <v>45536</v>
      </c>
      <c r="S7" s="4" t="s">
        <v>90</v>
      </c>
      <c r="T7" s="96" t="s">
        <v>68</v>
      </c>
      <c r="U7" t="str">
        <f>VLOOKUP(HEVARIM[[#This Row],[גיל]],GIL,2,1)</f>
        <v>גנים</v>
      </c>
      <c r="V7" t="str">
        <f>IF(HEVARIM[[#This Row],[קוד מעמד]]="4     ",IF(HEVARIM[[#This Row],[גיל]]=1,1,IF(HEVARIM[[#This Row],[גיל]]&lt;=5,5,18)),"")</f>
        <v/>
      </c>
      <c r="W7">
        <f t="shared" si="0"/>
        <v>0</v>
      </c>
      <c r="X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">
        <f>IF(HEVARIM[[#This Row],[מצב משפחתי2]]="אלמן",'[2]ריכוז נתונים'!$AC$2,0)</f>
        <v>0</v>
      </c>
      <c r="Z7" s="3">
        <f>VLOOKUP(VALUE(HEVARIM[[#This Row],[קוד מעמד]]),הנחות!$I$2:$K$21,3,0)</f>
        <v>0</v>
      </c>
      <c r="AA7" t="b">
        <f>ISERROR(VLOOKUP(HEVARIM[[#This Row],[קוד תקציב]],'[2]ריכוז נתונים'!A:A,1,0))</f>
        <v>1</v>
      </c>
      <c r="AB7" s="1">
        <f t="shared" si="1"/>
        <v>0</v>
      </c>
      <c r="AC7" s="2">
        <f ca="1">IF(HEVARIM[[#This Row],[בר מצוה]]&gt;0,YEAR(TODAY())+'תקציבים מיוחדים'!$F$5-HEVARIM[[#This Row],[גיל]],0)</f>
        <v>0</v>
      </c>
      <c r="AD7" s="1">
        <f t="shared" si="2"/>
        <v>0</v>
      </c>
      <c r="AE7" s="2">
        <f ca="1">IF(HEVARIM[[#This Row],[בת מצוה]]&gt;0,YEAR(TODAY())+'תקציבים מיוחדים'!$F$5-HEVARIM[[#This Row],[גיל]],0)</f>
        <v>0</v>
      </c>
      <c r="AF7" s="1">
        <f>IF(AND($S7&gt;="רווק",$Z7=1),AF$4*IF(HEVARIM[[#This Row],[גיל]]&gt;$AF$3,1,(($G7-AF$2)/(AF$3-AF$2))),0)</f>
        <v>0</v>
      </c>
      <c r="AG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" s="1">
        <f t="shared" si="3"/>
        <v>0</v>
      </c>
      <c r="AI7" s="2">
        <f ca="1">IF(AH7&gt;0,YEAR(TODAY())+'תקציבים מיוחדים'!$F$7-HEVARIM[[#This Row],[גיל]],0)</f>
        <v>0</v>
      </c>
      <c r="AJ7" s="9">
        <f>IF(AND(ISERROR(VLOOKUP(H7,'[2]ריכוז נתונים'!A:L,1,0)),P7="1     "),1,0)</f>
        <v>0</v>
      </c>
      <c r="AK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7" s="1">
        <f>IF(AND(VALUE(HEVARIM[[#This Row],[קוד מעמד]])=1,HEVARIM[[#This Row],[ותק מחברה 40]]&lt;25),HEVARIM[[#This Row],[ותק מחברה 40]]/25*הנחות!$C$4,0)</f>
        <v>0</v>
      </c>
      <c r="AM7" s="9" t="str">
        <f ca="1">IF(HEVARIM[[#This Row],[דמי עזיבה 25 שנות ותק]]&gt;0,YEAR(TODAY())+25-ROUNDDOWN(HEVARIM[[#This Row],[ותק מחברה 40]],0),"")</f>
        <v/>
      </c>
      <c r="AN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" s="9" t="str">
        <f ca="1">IF(HEVARIM[[#This Row],[דמי עזיבה לגיל 65]]&gt;0,YEAR(TODAY())+64-ROUNDDOWN(HEVARIM[[#This Row],[גיל]],0),"")</f>
        <v/>
      </c>
      <c r="AP7" s="1">
        <f>SUMIF(HEVARIM[קוד תקציב],HEVARIM[[#This Row],[קוד תקציב משפחה מקורי]],HEVARIM[ותק מחברה 40])</f>
        <v>82.19</v>
      </c>
      <c r="AQ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7" s="9">
        <f>IF(HEVARIM[[#This Row],[קוד מעמד]]="1     ",IFERROR(VLOOKUP(HEVARIM[[#This Row],[קוד תקציב]],'תקציב צביעה - לקראת השינוי'!A:F,4,0),0),0)</f>
        <v>0</v>
      </c>
      <c r="AT7" s="1"/>
      <c r="AU7">
        <v>3</v>
      </c>
      <c r="AV7" t="s">
        <v>84</v>
      </c>
    </row>
    <row r="8" spans="1:48">
      <c r="A8" t="s">
        <v>92</v>
      </c>
      <c r="B8" t="s">
        <v>93</v>
      </c>
      <c r="C8" t="s">
        <v>65</v>
      </c>
      <c r="D8" t="s">
        <v>94</v>
      </c>
      <c r="E8" t="s">
        <v>79</v>
      </c>
      <c r="F8" s="4">
        <v>45389</v>
      </c>
      <c r="G8">
        <v>1</v>
      </c>
      <c r="H8" t="s">
        <v>80</v>
      </c>
      <c r="I8" t="s">
        <v>64</v>
      </c>
      <c r="J8" s="4" t="s">
        <v>70</v>
      </c>
      <c r="K8" s="4" t="s">
        <v>81</v>
      </c>
      <c r="L8" t="s">
        <v>95</v>
      </c>
      <c r="M8" t="s">
        <v>63</v>
      </c>
      <c r="N8" t="s">
        <v>64</v>
      </c>
      <c r="O8">
        <f>IFERROR(VLOOKUP(HEVARIM[[#This Row],[קוד תקציב]],[2]תקציבים!A:L,6,0),0)</f>
        <v>0</v>
      </c>
      <c r="P8" s="5" t="s">
        <v>89</v>
      </c>
      <c r="Q8" t="s">
        <v>19</v>
      </c>
      <c r="R8" s="4">
        <v>45536</v>
      </c>
      <c r="S8" s="4" t="s">
        <v>90</v>
      </c>
      <c r="T8" s="96" t="s">
        <v>68</v>
      </c>
      <c r="U8" t="str">
        <f>VLOOKUP(HEVARIM[[#This Row],[גיל]],GIL,2,1)</f>
        <v>פעוט</v>
      </c>
      <c r="V8" t="str">
        <f>IF(HEVARIM[[#This Row],[קוד מעמד]]="4     ",IF(HEVARIM[[#This Row],[גיל]]=1,1,IF(HEVARIM[[#This Row],[גיל]]&lt;=5,5,18)),"")</f>
        <v/>
      </c>
      <c r="W8">
        <f t="shared" si="0"/>
        <v>0</v>
      </c>
      <c r="X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8">
        <f>IF(HEVARIM[[#This Row],[מצב משפחתי2]]="אלמן",'[2]ריכוז נתונים'!$AC$2,0)</f>
        <v>0</v>
      </c>
      <c r="Z8" s="3">
        <f>VLOOKUP(VALUE(HEVARIM[[#This Row],[קוד מעמד]]),הנחות!$I$2:$K$21,3,0)</f>
        <v>0</v>
      </c>
      <c r="AA8" t="b">
        <f>ISERROR(VLOOKUP(HEVARIM[[#This Row],[קוד תקציב]],'[2]ריכוז נתונים'!A:A,1,0))</f>
        <v>1</v>
      </c>
      <c r="AB8" s="1">
        <f t="shared" si="1"/>
        <v>0</v>
      </c>
      <c r="AC8" s="2">
        <f ca="1">IF(HEVARIM[[#This Row],[בר מצוה]]&gt;0,YEAR(TODAY())+'תקציבים מיוחדים'!$F$5-HEVARIM[[#This Row],[גיל]],0)</f>
        <v>0</v>
      </c>
      <c r="AD8" s="1">
        <f t="shared" si="2"/>
        <v>0</v>
      </c>
      <c r="AE8" s="2">
        <f ca="1">IF(HEVARIM[[#This Row],[בת מצוה]]&gt;0,YEAR(TODAY())+'תקציבים מיוחדים'!$F$5-HEVARIM[[#This Row],[גיל]],0)</f>
        <v>0</v>
      </c>
      <c r="AF8" s="1">
        <f>IF(AND($S8&gt;="רווק",$Z8=1),AF$4*IF(HEVARIM[[#This Row],[גיל]]&gt;$AF$3,1,(($G8-AF$2)/(AF$3-AF$2))),0)</f>
        <v>0</v>
      </c>
      <c r="AG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" s="1">
        <f t="shared" si="3"/>
        <v>0</v>
      </c>
      <c r="AI8" s="2">
        <f ca="1">IF(AH8&gt;0,YEAR(TODAY())+'תקציבים מיוחדים'!$F$7-HEVARIM[[#This Row],[גיל]],0)</f>
        <v>0</v>
      </c>
      <c r="AJ8" s="9">
        <f>IF(AND(ISERROR(VLOOKUP(H8,'[2]ריכוז נתונים'!A:L,1,0)),P8="1     "),1,0)</f>
        <v>0</v>
      </c>
      <c r="AK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8" s="1">
        <f>IF(AND(VALUE(HEVARIM[[#This Row],[קוד מעמד]])=1,HEVARIM[[#This Row],[ותק מחברה 40]]&lt;25),HEVARIM[[#This Row],[ותק מחברה 40]]/25*הנחות!$C$4,0)</f>
        <v>0</v>
      </c>
      <c r="AM8" s="9" t="str">
        <f ca="1">IF(HEVARIM[[#This Row],[דמי עזיבה 25 שנות ותק]]&gt;0,YEAR(TODAY())+25-ROUNDDOWN(HEVARIM[[#This Row],[ותק מחברה 40]],0),"")</f>
        <v/>
      </c>
      <c r="AN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" s="9" t="str">
        <f ca="1">IF(HEVARIM[[#This Row],[דמי עזיבה לגיל 65]]&gt;0,YEAR(TODAY())+64-ROUNDDOWN(HEVARIM[[#This Row],[גיל]],0),"")</f>
        <v/>
      </c>
      <c r="AP8" s="1">
        <f>SUMIF(HEVARIM[קוד תקציב],HEVARIM[[#This Row],[קוד תקציב משפחה מקורי]],HEVARIM[ותק מחברה 40])</f>
        <v>82.19</v>
      </c>
      <c r="AQ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8" s="9">
        <f>IF(HEVARIM[[#This Row],[קוד מעמד]]="1     ",IFERROR(VLOOKUP(HEVARIM[[#This Row],[קוד תקציב]],'תקציב צביעה - לקראת השינוי'!A:F,4,0),0),0)</f>
        <v>0</v>
      </c>
      <c r="AT8" s="1"/>
      <c r="AU8">
        <v>6</v>
      </c>
      <c r="AV8" t="s">
        <v>91</v>
      </c>
    </row>
    <row r="9" spans="1:48">
      <c r="A9" t="s">
        <v>97</v>
      </c>
      <c r="B9" t="s">
        <v>98</v>
      </c>
      <c r="C9" t="s">
        <v>99</v>
      </c>
      <c r="D9" t="s">
        <v>100</v>
      </c>
      <c r="E9" t="s">
        <v>67</v>
      </c>
      <c r="F9" s="4">
        <v>21209</v>
      </c>
      <c r="G9">
        <v>67</v>
      </c>
      <c r="H9" t="s">
        <v>101</v>
      </c>
      <c r="I9" t="s">
        <v>102</v>
      </c>
      <c r="J9" s="4" t="s">
        <v>70</v>
      </c>
      <c r="K9" s="4" t="s">
        <v>71</v>
      </c>
      <c r="L9" t="s">
        <v>103</v>
      </c>
      <c r="M9" t="s">
        <v>97</v>
      </c>
      <c r="N9" t="s">
        <v>98</v>
      </c>
      <c r="O9">
        <f>IFERROR(VLOOKUP(HEVARIM[[#This Row],[קוד תקציב]],[2]תקציבים!A:L,6,0),0)</f>
        <v>2</v>
      </c>
      <c r="P9" s="5" t="s">
        <v>104</v>
      </c>
      <c r="Q9" t="s">
        <v>11</v>
      </c>
      <c r="R9" s="4">
        <v>31291</v>
      </c>
      <c r="S9" s="4" t="s">
        <v>74</v>
      </c>
      <c r="T9" s="96" t="s">
        <v>3826</v>
      </c>
      <c r="U9" t="str">
        <f>VLOOKUP(HEVARIM[[#This Row],[גיל]],GIL,2,1)</f>
        <v>--</v>
      </c>
      <c r="V9" t="str">
        <f>IF(HEVARIM[[#This Row],[קוד מעמד]]="4     ",IF(HEVARIM[[#This Row],[גיל]]=1,1,IF(HEVARIM[[#This Row],[גיל]]&lt;=5,5,18)),"")</f>
        <v/>
      </c>
      <c r="W9">
        <f t="shared" si="0"/>
        <v>2365</v>
      </c>
      <c r="X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9">
        <f>IF(HEVARIM[[#This Row],[מצב משפחתי2]]="אלמן",'[2]ריכוז נתונים'!$AC$2,0)</f>
        <v>0</v>
      </c>
      <c r="Z9" s="3">
        <f>VLOOKUP(VALUE(HEVARIM[[#This Row],[קוד מעמד]]),הנחות!$I$2:$K$21,3,0)</f>
        <v>0</v>
      </c>
      <c r="AA9" t="b">
        <f>ISERROR(VLOOKUP(HEVARIM[[#This Row],[קוד תקציב]],'[2]ריכוז נתונים'!A:A,1,0))</f>
        <v>0</v>
      </c>
      <c r="AB9" s="1">
        <f t="shared" si="1"/>
        <v>0</v>
      </c>
      <c r="AC9" s="2">
        <f ca="1">IF(HEVARIM[[#This Row],[בר מצוה]]&gt;0,YEAR(TODAY())+'תקציבים מיוחדים'!$F$5-HEVARIM[[#This Row],[גיל]],0)</f>
        <v>0</v>
      </c>
      <c r="AD9" s="1">
        <f t="shared" si="2"/>
        <v>0</v>
      </c>
      <c r="AE9" s="2">
        <f ca="1">IF(HEVARIM[[#This Row],[בת מצוה]]&gt;0,YEAR(TODAY())+'תקציבים מיוחדים'!$F$5-HEVARIM[[#This Row],[גיל]],0)</f>
        <v>0</v>
      </c>
      <c r="AF9" s="1">
        <f>IF(AND($S9&gt;="רווק",$Z9=1),AF$4*IF(HEVARIM[[#This Row],[גיל]]&gt;$AF$3,1,(($G9-AF$2)/(AF$3-AF$2))),0)</f>
        <v>0</v>
      </c>
      <c r="AG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" s="1">
        <f t="shared" si="3"/>
        <v>0</v>
      </c>
      <c r="AI9" s="2">
        <f ca="1">IF(AH9&gt;0,YEAR(TODAY())+'תקציבים מיוחדים'!$F$7-HEVARIM[[#This Row],[גיל]],0)</f>
        <v>0</v>
      </c>
      <c r="AJ9" s="9">
        <f>IF(AND(ISERROR(VLOOKUP(H9,'[2]ריכוז נתונים'!A:L,1,0)),P9="1     "),1,0)</f>
        <v>0</v>
      </c>
      <c r="AK9" s="1">
        <f>IF(VALUE(HEVARIM[[#This Row],[קוד מעמד]])=1,VLOOKUP((IF(LEFT(HEVARIM[[#This Row],[קוד חבר]],1)="0",HEVARIM[[#This Row],[קוד חבר]],VALUE(HEVARIM[[#This Row],[קוד חבר]]))),'ותק חברה 40'!AQ:AW,7,0),"")</f>
        <v>47.53</v>
      </c>
      <c r="AL9" s="1">
        <f>IF(AND(VALUE(HEVARIM[[#This Row],[קוד מעמד]])=1,HEVARIM[[#This Row],[ותק מחברה 40]]&lt;25),HEVARIM[[#This Row],[ותק מחברה 40]]/25*הנחות!$C$4,0)</f>
        <v>0</v>
      </c>
      <c r="AM9" s="9" t="str">
        <f ca="1">IF(HEVARIM[[#This Row],[דמי עזיבה 25 שנות ותק]]&gt;0,YEAR(TODAY())+25-ROUNDDOWN(HEVARIM[[#This Row],[ותק מחברה 40]],0),"")</f>
        <v/>
      </c>
      <c r="AN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" s="9" t="str">
        <f ca="1">IF(HEVARIM[[#This Row],[דמי עזיבה לגיל 65]]&gt;0,YEAR(TODAY())+64-ROUNDDOWN(HEVARIM[[#This Row],[גיל]],0),"")</f>
        <v/>
      </c>
      <c r="AP9" s="1">
        <f>SUMIF(HEVARIM[קוד תקציב],HEVARIM[[#This Row],[קוד תקציב משפחה מקורי]],HEVARIM[ותק מחברה 40])</f>
        <v>0</v>
      </c>
      <c r="AQ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9" s="9">
        <f>IF(HEVARIM[[#This Row],[קוד מעמד]]="1     ",IFERROR(VLOOKUP(HEVARIM[[#This Row],[קוד תקציב]],'תקציב צביעה - לקראת השינוי'!A:F,4,0),0),0)</f>
        <v>2032</v>
      </c>
      <c r="AT9" s="1"/>
      <c r="AU9">
        <v>13</v>
      </c>
      <c r="AV9" t="s">
        <v>96</v>
      </c>
    </row>
    <row r="10" spans="1:48">
      <c r="A10" t="s">
        <v>164</v>
      </c>
      <c r="B10" t="s">
        <v>165</v>
      </c>
      <c r="C10" t="s">
        <v>159</v>
      </c>
      <c r="D10" t="s">
        <v>166</v>
      </c>
      <c r="E10" t="s">
        <v>79</v>
      </c>
      <c r="F10" s="4">
        <v>20037</v>
      </c>
      <c r="G10">
        <v>71</v>
      </c>
      <c r="H10" t="s">
        <v>161</v>
      </c>
      <c r="I10" t="s">
        <v>162</v>
      </c>
      <c r="J10" s="4" t="s">
        <v>70</v>
      </c>
      <c r="K10" s="4" t="s">
        <v>71</v>
      </c>
      <c r="L10" t="s">
        <v>167</v>
      </c>
      <c r="M10" t="s">
        <v>157</v>
      </c>
      <c r="N10" t="s">
        <v>158</v>
      </c>
      <c r="O10">
        <f>IFERROR(VLOOKUP(HEVARIM[[#This Row],[קוד תקציב]],[2]תקציבים!A:L,6,0),0)</f>
        <v>2</v>
      </c>
      <c r="P10" s="5" t="s">
        <v>104</v>
      </c>
      <c r="Q10" t="s">
        <v>11</v>
      </c>
      <c r="R10" s="4">
        <v>39336</v>
      </c>
      <c r="S10" s="4" t="s">
        <v>74</v>
      </c>
      <c r="T10" s="96" t="s">
        <v>3826</v>
      </c>
      <c r="U10" t="str">
        <f>VLOOKUP(HEVARIM[[#This Row],[גיל]],GIL,2,1)</f>
        <v>--</v>
      </c>
      <c r="V10" t="str">
        <f>IF(HEVARIM[[#This Row],[קוד מעמד]]="4     ",IF(HEVARIM[[#This Row],[גיל]]=1,1,IF(HEVARIM[[#This Row],[גיל]]&lt;=5,5,18)),"")</f>
        <v/>
      </c>
      <c r="W10">
        <f t="shared" si="0"/>
        <v>2365</v>
      </c>
      <c r="X1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0">
        <f>IF(HEVARIM[[#This Row],[מצב משפחתי2]]="אלמן",'[2]ריכוז נתונים'!$AC$2,0)</f>
        <v>0</v>
      </c>
      <c r="Z10" s="3">
        <f>VLOOKUP(VALUE(HEVARIM[[#This Row],[קוד מעמד]]),הנחות!$I$2:$K$21,3,0)</f>
        <v>0</v>
      </c>
      <c r="AA10" t="b">
        <f>ISERROR(VLOOKUP(HEVARIM[[#This Row],[קוד תקציב]],'[2]ריכוז נתונים'!A:A,1,0))</f>
        <v>0</v>
      </c>
      <c r="AB10" s="1">
        <f t="shared" si="1"/>
        <v>0</v>
      </c>
      <c r="AC10" s="2">
        <f ca="1">IF(HEVARIM[[#This Row],[בר מצוה]]&gt;0,YEAR(TODAY())+'תקציבים מיוחדים'!$F$5-HEVARIM[[#This Row],[גיל]],0)</f>
        <v>0</v>
      </c>
      <c r="AD10" s="1">
        <f t="shared" si="2"/>
        <v>0</v>
      </c>
      <c r="AE10" s="2">
        <f ca="1">IF(HEVARIM[[#This Row],[בת מצוה]]&gt;0,YEAR(TODAY())+'תקציבים מיוחדים'!$F$5-HEVARIM[[#This Row],[גיל]],0)</f>
        <v>0</v>
      </c>
      <c r="AF10" s="1">
        <f>IF(AND($S10&gt;="רווק",$Z10=1),AF$4*IF(HEVARIM[[#This Row],[גיל]]&gt;$AF$3,1,(($G10-AF$2)/(AF$3-AF$2))),0)</f>
        <v>0</v>
      </c>
      <c r="AG1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0" s="1">
        <f t="shared" si="3"/>
        <v>0</v>
      </c>
      <c r="AI10" s="2">
        <f ca="1">IF(AH10&gt;0,YEAR(TODAY())+'תקציבים מיוחדים'!$F$7-HEVARIM[[#This Row],[גיל]],0)</f>
        <v>0</v>
      </c>
      <c r="AJ10" s="9">
        <f>IF(AND(ISERROR(VLOOKUP(H10,'[2]ריכוז נתונים'!A:L,1,0)),P10="1     "),1,0)</f>
        <v>0</v>
      </c>
      <c r="AK1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0" s="1">
        <f>IF(AND(VALUE(HEVARIM[[#This Row],[קוד מעמד]])=1,HEVARIM[[#This Row],[ותק מחברה 40]]&lt;25),HEVARIM[[#This Row],[ותק מחברה 40]]/25*הנחות!$C$4,0)</f>
        <v>0</v>
      </c>
      <c r="AM10" s="9" t="str">
        <f ca="1">IF(HEVARIM[[#This Row],[דמי עזיבה 25 שנות ותק]]&gt;0,YEAR(TODAY())+25-ROUNDDOWN(HEVARIM[[#This Row],[ותק מחברה 40]],0),"")</f>
        <v/>
      </c>
      <c r="AN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" s="9" t="str">
        <f ca="1">IF(HEVARIM[[#This Row],[דמי עזיבה לגיל 65]]&gt;0,YEAR(TODAY())+64-ROUNDDOWN(HEVARIM[[#This Row],[גיל]],0),"")</f>
        <v/>
      </c>
      <c r="AP10" s="1">
        <f>SUMIF(HEVARIM[קוד תקציב],HEVARIM[[#This Row],[קוד תקציב משפחה מקורי]],HEVARIM[ותק מחברה 40])</f>
        <v>0</v>
      </c>
      <c r="AQ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10" s="9">
        <f>IF(HEVARIM[[#This Row],[קוד מעמד]]="1     ",IFERROR(VLOOKUP(HEVARIM[[#This Row],[קוד תקציב]],'תקציב צביעה - לקראת השינוי'!A:F,4,0),0),0)</f>
        <v>2029</v>
      </c>
      <c r="AT10" s="1"/>
      <c r="AU10">
        <v>15</v>
      </c>
      <c r="AV10" t="s">
        <v>105</v>
      </c>
    </row>
    <row r="11" spans="1:48">
      <c r="A11" t="s">
        <v>185</v>
      </c>
      <c r="B11" t="s">
        <v>186</v>
      </c>
      <c r="C11" t="s">
        <v>65</v>
      </c>
      <c r="D11" t="s">
        <v>187</v>
      </c>
      <c r="E11" t="s">
        <v>67</v>
      </c>
      <c r="F11" s="4">
        <v>22791</v>
      </c>
      <c r="G11">
        <v>63</v>
      </c>
      <c r="H11" t="s">
        <v>68</v>
      </c>
      <c r="I11" t="s">
        <v>69</v>
      </c>
      <c r="J11" s="4" t="s">
        <v>70</v>
      </c>
      <c r="K11" s="4" t="s">
        <v>71</v>
      </c>
      <c r="L11" t="s">
        <v>188</v>
      </c>
      <c r="M11" t="s">
        <v>185</v>
      </c>
      <c r="N11" t="s">
        <v>186</v>
      </c>
      <c r="O11">
        <f>IFERROR(VLOOKUP(HEVARIM[[#This Row],[קוד תקציב]],[2]תקציבים!A:L,6,0),0)</f>
        <v>2</v>
      </c>
      <c r="P11" s="5" t="s">
        <v>104</v>
      </c>
      <c r="Q11" t="s">
        <v>11</v>
      </c>
      <c r="R11" s="4">
        <v>31944</v>
      </c>
      <c r="S11" s="4" t="s">
        <v>74</v>
      </c>
      <c r="T11" s="96" t="s">
        <v>3827</v>
      </c>
      <c r="U11" t="str">
        <f>VLOOKUP(HEVARIM[[#This Row],[גיל]],GIL,2,1)</f>
        <v>--</v>
      </c>
      <c r="V11" t="str">
        <f>IF(HEVARIM[[#This Row],[קוד מעמד]]="4     ",IF(HEVARIM[[#This Row],[גיל]]=1,1,IF(HEVARIM[[#This Row],[גיל]]&lt;=5,5,18)),"")</f>
        <v/>
      </c>
      <c r="W11">
        <f t="shared" si="0"/>
        <v>0</v>
      </c>
      <c r="X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">
        <f>IF(HEVARIM[[#This Row],[מצב משפחתי2]]="אלמן",'[2]ריכוז נתונים'!$AC$2,0)</f>
        <v>0</v>
      </c>
      <c r="Z11" s="3">
        <f>VLOOKUP(VALUE(HEVARIM[[#This Row],[קוד מעמד]]),הנחות!$I$2:$K$21,3,0)</f>
        <v>0</v>
      </c>
      <c r="AA11" t="b">
        <f>ISERROR(VLOOKUP(HEVARIM[[#This Row],[קוד תקציב]],'[2]ריכוז נתונים'!A:A,1,0))</f>
        <v>0</v>
      </c>
      <c r="AB11" s="1">
        <f t="shared" si="1"/>
        <v>0</v>
      </c>
      <c r="AC11" s="2">
        <f ca="1">IF(HEVARIM[[#This Row],[בר מצוה]]&gt;0,YEAR(TODAY())+'תקציבים מיוחדים'!$F$5-HEVARIM[[#This Row],[גיל]],0)</f>
        <v>0</v>
      </c>
      <c r="AD11" s="1">
        <f t="shared" si="2"/>
        <v>0</v>
      </c>
      <c r="AE11" s="2">
        <f ca="1">IF(HEVARIM[[#This Row],[בת מצוה]]&gt;0,YEAR(TODAY())+'תקציבים מיוחדים'!$F$5-HEVARIM[[#This Row],[גיל]],0)</f>
        <v>0</v>
      </c>
      <c r="AF11" s="1">
        <f>IF(AND($S11&gt;="רווק",$Z11=1),AF$4*IF(HEVARIM[[#This Row],[גיל]]&gt;$AF$3,1,(($G11-AF$2)/(AF$3-AF$2))),0)</f>
        <v>0</v>
      </c>
      <c r="AG1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" s="1">
        <f t="shared" si="3"/>
        <v>0</v>
      </c>
      <c r="AI11" s="2">
        <f ca="1">IF(AH11&gt;0,YEAR(TODAY())+'תקציבים מיוחדים'!$F$7-HEVARIM[[#This Row],[גיל]],0)</f>
        <v>0</v>
      </c>
      <c r="AJ11" s="9">
        <f>IF(AND(ISERROR(VLOOKUP(H11,'[2]ריכוז נתונים'!A:L,1,0)),P11="1     "),1,0)</f>
        <v>0</v>
      </c>
      <c r="AK11" s="1">
        <f>IF(VALUE(HEVARIM[[#This Row],[קוד מעמד]])=1,VLOOKUP((IF(LEFT(HEVARIM[[#This Row],[קוד חבר]],1)="0",HEVARIM[[#This Row],[קוד חבר]],VALUE(HEVARIM[[#This Row],[קוד חבר]]))),'ותק חברה 40'!AQ:AW,7,0),"")</f>
        <v>43.95</v>
      </c>
      <c r="AL11" s="1">
        <f>IF(AND(VALUE(HEVARIM[[#This Row],[קוד מעמד]])=1,HEVARIM[[#This Row],[ותק מחברה 40]]&lt;25),HEVARIM[[#This Row],[ותק מחברה 40]]/25*הנחות!$C$4,0)</f>
        <v>0</v>
      </c>
      <c r="AM11" s="9" t="str">
        <f ca="1">IF(HEVARIM[[#This Row],[דמי עזיבה 25 שנות ותק]]&gt;0,YEAR(TODAY())+25-ROUNDDOWN(HEVARIM[[#This Row],[ותק מחברה 40]],0),"")</f>
        <v/>
      </c>
      <c r="AN11" s="1">
        <f>IF(AND(VALUE(HEVARIM[[#This Row],[קוד מעמד]])=1,HEVARIM[[#This Row],[ותק מחברה 40]]&gt;25,HEVARIM[[#This Row],[גיל]]&lt;65),הנחות!$C$14+(HEVARIM[[#This Row],[ותק מחברה 40]]-25)*הנחות!$C$10*0.25,0)</f>
        <v>77616.216562500005</v>
      </c>
      <c r="AO11" s="9">
        <f ca="1">IF(HEVARIM[[#This Row],[דמי עזיבה לגיל 65]]&gt;0,YEAR(TODAY())+64-ROUNDDOWN(HEVARIM[[#This Row],[גיל]],0),"")</f>
        <v>2027</v>
      </c>
      <c r="AP11" s="1">
        <f>SUMIF(HEVARIM[קוד תקציב],HEVARIM[[#This Row],[קוד תקציב משפחה מקורי]],HEVARIM[ותק מחברה 40])</f>
        <v>0</v>
      </c>
      <c r="AQ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1" s="9">
        <f>IF(HEVARIM[[#This Row],[קוד מעמד]]="1     ",IFERROR(VLOOKUP(HEVARIM[[#This Row],[קוד תקציב]],'תקציב צביעה - לקראת השינוי'!A:F,4,0),0),0)</f>
        <v>2028</v>
      </c>
      <c r="AT11" s="1"/>
      <c r="AU11">
        <v>18</v>
      </c>
      <c r="AV11" s="10" t="s">
        <v>110</v>
      </c>
    </row>
    <row r="12" spans="1:48">
      <c r="A12" t="s">
        <v>234</v>
      </c>
      <c r="B12" t="s">
        <v>235</v>
      </c>
      <c r="C12" t="s">
        <v>65</v>
      </c>
      <c r="D12" t="s">
        <v>236</v>
      </c>
      <c r="E12" t="s">
        <v>67</v>
      </c>
      <c r="F12" s="4">
        <v>25475</v>
      </c>
      <c r="G12">
        <v>56</v>
      </c>
      <c r="H12" t="s">
        <v>237</v>
      </c>
      <c r="I12" t="s">
        <v>238</v>
      </c>
      <c r="J12" s="4" t="s">
        <v>70</v>
      </c>
      <c r="K12" s="4" t="s">
        <v>71</v>
      </c>
      <c r="L12" t="s">
        <v>239</v>
      </c>
      <c r="M12" t="s">
        <v>234</v>
      </c>
      <c r="N12" t="s">
        <v>235</v>
      </c>
      <c r="O12">
        <f>IFERROR(VLOOKUP(HEVARIM[[#This Row],[קוד תקציב]],[2]תקציבים!A:L,6,0),0)</f>
        <v>1</v>
      </c>
      <c r="P12" s="5" t="s">
        <v>104</v>
      </c>
      <c r="Q12" t="s">
        <v>11</v>
      </c>
      <c r="R12" s="4">
        <v>35995</v>
      </c>
      <c r="S12" s="4" t="s">
        <v>145</v>
      </c>
      <c r="T12" s="96" t="s">
        <v>3827</v>
      </c>
      <c r="U12" t="str">
        <f>VLOOKUP(HEVARIM[[#This Row],[גיל]],GIL,2,1)</f>
        <v>--</v>
      </c>
      <c r="V12" t="str">
        <f>IF(HEVARIM[[#This Row],[קוד מעמד]]="4     ",IF(HEVARIM[[#This Row],[גיל]]=1,1,IF(HEVARIM[[#This Row],[גיל]]&lt;=5,5,18)),"")</f>
        <v/>
      </c>
      <c r="W12">
        <f t="shared" si="0"/>
        <v>0</v>
      </c>
      <c r="X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">
        <f>IF(HEVARIM[[#This Row],[מצב משפחתי2]]="אלמן",'[2]ריכוז נתונים'!$AC$2,0)</f>
        <v>0</v>
      </c>
      <c r="Z12" s="3">
        <f>VLOOKUP(VALUE(HEVARIM[[#This Row],[קוד מעמד]]),הנחות!$I$2:$K$21,3,0)</f>
        <v>0</v>
      </c>
      <c r="AA12" t="b">
        <f>ISERROR(VLOOKUP(HEVARIM[[#This Row],[קוד תקציב]],'[2]ריכוז נתונים'!A:A,1,0))</f>
        <v>0</v>
      </c>
      <c r="AB12" s="1">
        <f t="shared" si="1"/>
        <v>0</v>
      </c>
      <c r="AC12" s="2">
        <f ca="1">IF(HEVARIM[[#This Row],[בר מצוה]]&gt;0,YEAR(TODAY())+'תקציבים מיוחדים'!$F$5-HEVARIM[[#This Row],[גיל]],0)</f>
        <v>0</v>
      </c>
      <c r="AD12" s="1">
        <f t="shared" si="2"/>
        <v>0</v>
      </c>
      <c r="AE12" s="2">
        <f ca="1">IF(HEVARIM[[#This Row],[בת מצוה]]&gt;0,YEAR(TODAY())+'תקציבים מיוחדים'!$F$5-HEVARIM[[#This Row],[גיל]],0)</f>
        <v>0</v>
      </c>
      <c r="AF12" s="1">
        <f>IF(AND($S12&gt;="רווק",$Z12=1),AF$4*IF(HEVARIM[[#This Row],[גיל]]&gt;$AF$3,1,(($G12-AF$2)/(AF$3-AF$2))),0)</f>
        <v>0</v>
      </c>
      <c r="AG1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2" s="1">
        <f t="shared" si="3"/>
        <v>0</v>
      </c>
      <c r="AI12" s="2">
        <f ca="1">IF(AH12&gt;0,YEAR(TODAY())+'תקציבים מיוחדים'!$F$7-HEVARIM[[#This Row],[גיל]],0)</f>
        <v>0</v>
      </c>
      <c r="AJ12" s="9">
        <f>IF(AND(ISERROR(VLOOKUP(H12,'[2]ריכוז נתונים'!A:L,1,0)),P12="1     "),1,0)</f>
        <v>0</v>
      </c>
      <c r="AK12" s="1">
        <f>IF(VALUE(HEVARIM[[#This Row],[קוד מעמד]])=1,VLOOKUP((IF(LEFT(HEVARIM[[#This Row],[קוד חבר]],1)="0",HEVARIM[[#This Row],[קוד חבר]],VALUE(HEVARIM[[#This Row],[קוד חבר]]))),'ותק חברה 40'!AQ:AW,7,0),"")</f>
        <v>37.36</v>
      </c>
      <c r="AL12" s="1">
        <f>IF(AND(VALUE(HEVARIM[[#This Row],[קוד מעמד]])=1,HEVARIM[[#This Row],[ותק מחברה 40]]&lt;25),HEVARIM[[#This Row],[ותק מחברה 40]]/25*הנחות!$C$4,0)</f>
        <v>0</v>
      </c>
      <c r="AM12" s="9" t="str">
        <f ca="1">IF(HEVARIM[[#This Row],[דמי עזיבה 25 שנות ותק]]&gt;0,YEAR(TODAY())+25-ROUNDDOWN(HEVARIM[[#This Row],[ותק מחברה 40]],0),"")</f>
        <v/>
      </c>
      <c r="AN12" s="1">
        <f>IF(AND(VALUE(HEVARIM[[#This Row],[קוד מעמד]])=1,HEVARIM[[#This Row],[ותק מחברה 40]]&gt;25,HEVARIM[[#This Row],[גיל]]&lt;65),הנחות!$C$14+(HEVARIM[[#This Row],[ותק מחברה 40]]-25)*הנחות!$C$10*0.25,0)</f>
        <v>59948.138249999996</v>
      </c>
      <c r="AO12" s="9">
        <f ca="1">IF(HEVARIM[[#This Row],[דמי עזיבה לגיל 65]]&gt;0,YEAR(TODAY())+64-ROUNDDOWN(HEVARIM[[#This Row],[גיל]],0),"")</f>
        <v>2034</v>
      </c>
      <c r="AP12" s="1">
        <f>SUMIF(HEVARIM[קוד תקציב],HEVARIM[[#This Row],[קוד תקציב משפחה מקורי]],HEVARIM[ותק מחברה 40])</f>
        <v>0</v>
      </c>
      <c r="AQ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2" s="9">
        <f>IF(HEVARIM[[#This Row],[קוד מעמד]]="1     ",IFERROR(VLOOKUP(HEVARIM[[#This Row],[קוד תקציב]],'תקציב צביעה - לקראת השינוי'!A:F,4,0),0),0)</f>
        <v>0</v>
      </c>
      <c r="AT12" s="1"/>
      <c r="AU12">
        <v>99</v>
      </c>
      <c r="AV12" t="s">
        <v>118</v>
      </c>
    </row>
    <row r="13" spans="1:48">
      <c r="A13" t="s">
        <v>228</v>
      </c>
      <c r="B13" t="s">
        <v>229</v>
      </c>
      <c r="C13" t="s">
        <v>99</v>
      </c>
      <c r="D13" t="s">
        <v>230</v>
      </c>
      <c r="E13" t="s">
        <v>79</v>
      </c>
      <c r="F13" s="4">
        <v>37944</v>
      </c>
      <c r="G13">
        <v>22</v>
      </c>
      <c r="H13" t="s">
        <v>231</v>
      </c>
      <c r="I13" t="s">
        <v>232</v>
      </c>
      <c r="J13" s="4" t="s">
        <v>70</v>
      </c>
      <c r="K13" s="4" t="s">
        <v>71</v>
      </c>
      <c r="L13" t="s">
        <v>233</v>
      </c>
      <c r="M13" t="s">
        <v>228</v>
      </c>
      <c r="N13" t="s">
        <v>229</v>
      </c>
      <c r="O13">
        <f>IFERROR(VLOOKUP(HEVARIM[[#This Row],[קוד תקציב]],[2]תקציבים!A:L,6,0),0)</f>
        <v>0</v>
      </c>
      <c r="P13" s="5" t="s">
        <v>73</v>
      </c>
      <c r="Q13" t="s">
        <v>27</v>
      </c>
      <c r="R13" s="4">
        <v>45505</v>
      </c>
      <c r="S13" s="4" t="s">
        <v>90</v>
      </c>
      <c r="T13" s="96" t="s">
        <v>101</v>
      </c>
      <c r="U13" t="str">
        <f>VLOOKUP(HEVARIM[[#This Row],[גיל]],GIL,2,1)</f>
        <v>--</v>
      </c>
      <c r="V13" t="str">
        <f>IF(HEVARIM[[#This Row],[קוד מעמד]]="4     ",IF(HEVARIM[[#This Row],[גיל]]=1,1,IF(HEVARIM[[#This Row],[גיל]]&lt;=5,5,18)),"")</f>
        <v/>
      </c>
      <c r="W13">
        <f t="shared" si="0"/>
        <v>0</v>
      </c>
      <c r="X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">
        <f>IF(HEVARIM[[#This Row],[מצב משפחתי2]]="אלמן",'[2]ריכוז נתונים'!$AC$2,0)</f>
        <v>0</v>
      </c>
      <c r="Z13" s="3">
        <f>VLOOKUP(VALUE(HEVARIM[[#This Row],[קוד מעמד]]),הנחות!$I$2:$K$21,3,0)</f>
        <v>1</v>
      </c>
      <c r="AA13" t="b">
        <f>ISERROR(VLOOKUP(HEVARIM[[#This Row],[קוד תקציב]],'[2]ריכוז נתונים'!A:A,1,0))</f>
        <v>1</v>
      </c>
      <c r="AB13" s="1">
        <f t="shared" si="1"/>
        <v>0</v>
      </c>
      <c r="AC13" s="2">
        <f ca="1">IF(HEVARIM[[#This Row],[בר מצוה]]&gt;0,YEAR(TODAY())+'תקציבים מיוחדים'!$F$5-HEVARIM[[#This Row],[גיל]],0)</f>
        <v>0</v>
      </c>
      <c r="AD13" s="1">
        <f t="shared" si="2"/>
        <v>0</v>
      </c>
      <c r="AE13" s="2">
        <f ca="1">IF(HEVARIM[[#This Row],[בת מצוה]]&gt;0,YEAR(TODAY())+'תקציבים מיוחדים'!$F$5-HEVARIM[[#This Row],[גיל]],0)</f>
        <v>0</v>
      </c>
      <c r="AF13" s="1">
        <f>IF(AND($S13&gt;="רווק",$Z13=1),AF$4*IF(HEVARIM[[#This Row],[גיל]]&gt;$AF$3,1,(($G13-AF$2)/(AF$3-AF$2))),0)</f>
        <v>60512.5</v>
      </c>
      <c r="AG13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3" s="1">
        <f t="shared" si="3"/>
        <v>0</v>
      </c>
      <c r="AI13" s="2">
        <f ca="1">IF(AH13&gt;0,YEAR(TODAY())+'תקציבים מיוחדים'!$F$7-HEVARIM[[#This Row],[גיל]],0)</f>
        <v>0</v>
      </c>
      <c r="AJ13" s="9">
        <f>IF(AND(ISERROR(VLOOKUP(H13,'[2]ריכוז נתונים'!A:L,1,0)),P13="1     "),1,0)</f>
        <v>0</v>
      </c>
      <c r="AK1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3" s="1">
        <f>IF(AND(VALUE(HEVARIM[[#This Row],[קוד מעמד]])=1,HEVARIM[[#This Row],[ותק מחברה 40]]&lt;25),HEVARIM[[#This Row],[ותק מחברה 40]]/25*הנחות!$C$4,0)</f>
        <v>0</v>
      </c>
      <c r="AM13" s="9" t="str">
        <f ca="1">IF(HEVARIM[[#This Row],[דמי עזיבה 25 שנות ותק]]&gt;0,YEAR(TODAY())+25-ROUNDDOWN(HEVARIM[[#This Row],[ותק מחברה 40]],0),"")</f>
        <v/>
      </c>
      <c r="AN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" s="9" t="str">
        <f ca="1">IF(HEVARIM[[#This Row],[דמי עזיבה לגיל 65]]&gt;0,YEAR(TODAY())+64-ROUNDDOWN(HEVARIM[[#This Row],[גיל]],0),"")</f>
        <v/>
      </c>
      <c r="AP13" s="1">
        <f>SUMIF(HEVARIM[קוד תקציב],HEVARIM[[#This Row],[קוד תקציב משפחה מקורי]],HEVARIM[ותק מחברה 40])</f>
        <v>86.59</v>
      </c>
      <c r="AQ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3" s="9">
        <f>IF(HEVARIM[[#This Row],[קוד מעמד]]="1     ",IFERROR(VLOOKUP(HEVARIM[[#This Row],[קוד תקציב]],'תקציב צביעה - לקראת השינוי'!A:F,4,0),0),0)</f>
        <v>0</v>
      </c>
      <c r="AT13" s="1"/>
    </row>
    <row r="14" spans="1:48">
      <c r="A14" t="s">
        <v>193</v>
      </c>
      <c r="B14" t="s">
        <v>194</v>
      </c>
      <c r="C14" t="s">
        <v>99</v>
      </c>
      <c r="D14" t="s">
        <v>195</v>
      </c>
      <c r="E14" t="s">
        <v>67</v>
      </c>
      <c r="F14" s="4">
        <v>35211</v>
      </c>
      <c r="G14">
        <v>29</v>
      </c>
      <c r="H14" t="s">
        <v>196</v>
      </c>
      <c r="I14" t="s">
        <v>197</v>
      </c>
      <c r="J14" s="4" t="s">
        <v>70</v>
      </c>
      <c r="K14" s="4" t="s">
        <v>81</v>
      </c>
      <c r="L14" t="s">
        <v>198</v>
      </c>
      <c r="M14" t="s">
        <v>193</v>
      </c>
      <c r="N14" t="s">
        <v>194</v>
      </c>
      <c r="O14">
        <f>IFERROR(VLOOKUP(HEVARIM[[#This Row],[קוד תקציב]],[2]תקציבים!A:L,6,0),0)</f>
        <v>0</v>
      </c>
      <c r="P14" s="5" t="s">
        <v>129</v>
      </c>
      <c r="Q14" t="s">
        <v>26</v>
      </c>
      <c r="R14" s="4">
        <v>45444</v>
      </c>
      <c r="S14" s="4" t="s">
        <v>74</v>
      </c>
      <c r="T14" s="96" t="s">
        <v>101</v>
      </c>
      <c r="U14" t="str">
        <f>VLOOKUP(HEVARIM[[#This Row],[גיל]],GIL,2,1)</f>
        <v>--</v>
      </c>
      <c r="V14" t="str">
        <f>IF(HEVARIM[[#This Row],[קוד מעמד]]="4     ",IF(HEVARIM[[#This Row],[גיל]]=1,1,IF(HEVARIM[[#This Row],[גיל]]&lt;=5,5,18)),"")</f>
        <v/>
      </c>
      <c r="W14">
        <f t="shared" si="0"/>
        <v>0</v>
      </c>
      <c r="X1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">
        <f>IF(HEVARIM[[#This Row],[מצב משפחתי2]]="אלמן",'[2]ריכוז נתונים'!$AC$2,0)</f>
        <v>0</v>
      </c>
      <c r="Z14" s="3">
        <f>VLOOKUP(VALUE(HEVARIM[[#This Row],[קוד מעמד]]),הנחות!$I$2:$K$21,3,0)</f>
        <v>1</v>
      </c>
      <c r="AA14" t="b">
        <f>ISERROR(VLOOKUP(HEVARIM[[#This Row],[קוד תקציב]],'[2]ריכוז נתונים'!A:A,1,0))</f>
        <v>1</v>
      </c>
      <c r="AB14" s="1">
        <f t="shared" si="1"/>
        <v>0</v>
      </c>
      <c r="AC14" s="2">
        <f ca="1">IF(HEVARIM[[#This Row],[בר מצוה]]&gt;0,YEAR(TODAY())+'תקציבים מיוחדים'!$F$5-HEVARIM[[#This Row],[גיל]],0)</f>
        <v>0</v>
      </c>
      <c r="AD14" s="1">
        <f t="shared" si="2"/>
        <v>0</v>
      </c>
      <c r="AE14" s="2">
        <f ca="1">IF(HEVARIM[[#This Row],[בת מצוה]]&gt;0,YEAR(TODAY())+'תקציבים מיוחדים'!$F$5-HEVARIM[[#This Row],[גיל]],0)</f>
        <v>0</v>
      </c>
      <c r="AF14" s="1">
        <f>IF(AND($S14&gt;="רווק",$Z14=1),AF$4*IF(HEVARIM[[#This Row],[גיל]]&gt;$AF$3,1,(($G14-AF$2)/(AF$3-AF$2))),0)</f>
        <v>0</v>
      </c>
      <c r="AG1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4" s="1">
        <f t="shared" si="3"/>
        <v>0</v>
      </c>
      <c r="AI14" s="2">
        <f ca="1">IF(AH14&gt;0,YEAR(TODAY())+'תקציבים מיוחדים'!$F$7-HEVARIM[[#This Row],[גיל]],0)</f>
        <v>0</v>
      </c>
      <c r="AJ14" s="9">
        <f>IF(AND(ISERROR(VLOOKUP(H14,'[2]ריכוז נתונים'!A:L,1,0)),P14="1     "),1,0)</f>
        <v>0</v>
      </c>
      <c r="AK1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" s="1">
        <f>IF(AND(VALUE(HEVARIM[[#This Row],[קוד מעמד]])=1,HEVARIM[[#This Row],[ותק מחברה 40]]&lt;25),HEVARIM[[#This Row],[ותק מחברה 40]]/25*הנחות!$C$4,0)</f>
        <v>0</v>
      </c>
      <c r="AM14" s="9" t="str">
        <f ca="1">IF(HEVARIM[[#This Row],[דמי עזיבה 25 שנות ותק]]&gt;0,YEAR(TODAY())+25-ROUNDDOWN(HEVARIM[[#This Row],[ותק מחברה 40]],0),"")</f>
        <v/>
      </c>
      <c r="AN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" s="9" t="str">
        <f ca="1">IF(HEVARIM[[#This Row],[דמי עזיבה לגיל 65]]&gt;0,YEAR(TODAY())+64-ROUNDDOWN(HEVARIM[[#This Row],[גיל]],0),"")</f>
        <v/>
      </c>
      <c r="AP14" s="1">
        <f>SUMIF(HEVARIM[קוד תקציב],HEVARIM[[#This Row],[קוד תקציב משפחה מקורי]],HEVARIM[ותק מחברה 40])</f>
        <v>86.59</v>
      </c>
      <c r="AQ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" s="9">
        <f>IF(HEVARIM[[#This Row],[קוד מעמד]]="1     ",IFERROR(VLOOKUP(HEVARIM[[#This Row],[קוד תקציב]],'תקציב צביעה - לקראת השינוי'!A:F,4,0),0),0)</f>
        <v>0</v>
      </c>
      <c r="AT14" s="1"/>
    </row>
    <row r="15" spans="1:48">
      <c r="A15" t="s">
        <v>106</v>
      </c>
      <c r="B15" t="s">
        <v>107</v>
      </c>
      <c r="C15" t="s">
        <v>99</v>
      </c>
      <c r="D15" t="s">
        <v>108</v>
      </c>
      <c r="E15" t="s">
        <v>79</v>
      </c>
      <c r="F15" s="4">
        <v>23047</v>
      </c>
      <c r="G15">
        <v>62</v>
      </c>
      <c r="H15" t="s">
        <v>101</v>
      </c>
      <c r="I15" t="s">
        <v>102</v>
      </c>
      <c r="J15" s="4" t="s">
        <v>70</v>
      </c>
      <c r="K15" s="4" t="s">
        <v>71</v>
      </c>
      <c r="L15" t="s">
        <v>109</v>
      </c>
      <c r="M15" t="s">
        <v>97</v>
      </c>
      <c r="N15" t="s">
        <v>98</v>
      </c>
      <c r="O15">
        <f>IFERROR(VLOOKUP(HEVARIM[[#This Row],[קוד תקציב]],[2]תקציבים!A:L,6,0),0)</f>
        <v>2</v>
      </c>
      <c r="P15" s="5" t="s">
        <v>104</v>
      </c>
      <c r="Q15" t="s">
        <v>11</v>
      </c>
      <c r="R15" s="4">
        <v>31594</v>
      </c>
      <c r="S15" s="4" t="s">
        <v>74</v>
      </c>
      <c r="T15" s="96" t="s">
        <v>101</v>
      </c>
      <c r="U15" t="str">
        <f>VLOOKUP(HEVARIM[[#This Row],[גיל]],GIL,2,1)</f>
        <v>--</v>
      </c>
      <c r="V15" t="str">
        <f>IF(HEVARIM[[#This Row],[קוד מעמד]]="4     ",IF(HEVARIM[[#This Row],[גיל]]=1,1,IF(HEVARIM[[#This Row],[גיל]]&lt;=5,5,18)),"")</f>
        <v/>
      </c>
      <c r="W15">
        <f t="shared" si="0"/>
        <v>0</v>
      </c>
      <c r="X1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">
        <f>IF(HEVARIM[[#This Row],[מצב משפחתי2]]="אלמן",'[2]ריכוז נתונים'!$AC$2,0)</f>
        <v>0</v>
      </c>
      <c r="Z15" s="3">
        <f>VLOOKUP(VALUE(HEVARIM[[#This Row],[קוד מעמד]]),הנחות!$I$2:$K$21,3,0)</f>
        <v>0</v>
      </c>
      <c r="AA15" t="b">
        <f>ISERROR(VLOOKUP(HEVARIM[[#This Row],[קוד תקציב]],'[2]ריכוז נתונים'!A:A,1,0))</f>
        <v>0</v>
      </c>
      <c r="AB15" s="1">
        <f t="shared" si="1"/>
        <v>0</v>
      </c>
      <c r="AC15" s="2">
        <f ca="1">IF(HEVARIM[[#This Row],[בר מצוה]]&gt;0,YEAR(TODAY())+'תקציבים מיוחדים'!$F$5-HEVARIM[[#This Row],[גיל]],0)</f>
        <v>0</v>
      </c>
      <c r="AD15" s="1">
        <f t="shared" si="2"/>
        <v>0</v>
      </c>
      <c r="AE15" s="2">
        <f ca="1">IF(HEVARIM[[#This Row],[בת מצוה]]&gt;0,YEAR(TODAY())+'תקציבים מיוחדים'!$F$5-HEVARIM[[#This Row],[גיל]],0)</f>
        <v>0</v>
      </c>
      <c r="AF15" s="1">
        <f>IF(AND($S15&gt;="רווק",$Z15=1),AF$4*IF(HEVARIM[[#This Row],[גיל]]&gt;$AF$3,1,(($G15-AF$2)/(AF$3-AF$2))),0)</f>
        <v>0</v>
      </c>
      <c r="AG1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5" s="1">
        <f t="shared" si="3"/>
        <v>0</v>
      </c>
      <c r="AI15" s="2">
        <f ca="1">IF(AH15&gt;0,YEAR(TODAY())+'תקציבים מיוחדים'!$F$7-HEVARIM[[#This Row],[גיל]],0)</f>
        <v>0</v>
      </c>
      <c r="AJ15" s="9">
        <f>IF(AND(ISERROR(VLOOKUP(H15,'[2]ריכוז נתונים'!A:L,1,0)),P15="1     "),1,0)</f>
        <v>0</v>
      </c>
      <c r="AK15" s="1">
        <f>IF(VALUE(HEVARIM[[#This Row],[קוד מעמד]])=1,VLOOKUP((IF(LEFT(HEVARIM[[#This Row],[קוד חבר]],1)="0",HEVARIM[[#This Row],[קוד חבר]],VALUE(HEVARIM[[#This Row],[קוד חבר]]))),'ותק חברה 40'!AQ:AW,7,0),"")</f>
        <v>39.06</v>
      </c>
      <c r="AL15" s="1">
        <f>IF(AND(VALUE(HEVARIM[[#This Row],[קוד מעמד]])=1,HEVARIM[[#This Row],[ותק מחברה 40]]&lt;25),HEVARIM[[#This Row],[ותק מחברה 40]]/25*הנחות!$C$4,0)</f>
        <v>0</v>
      </c>
      <c r="AM15" s="9" t="str">
        <f ca="1">IF(HEVARIM[[#This Row],[דמי עזיבה 25 שנות ותק]]&gt;0,YEAR(TODAY())+25-ROUNDDOWN(HEVARIM[[#This Row],[ותק מחברה 40]],0),"")</f>
        <v/>
      </c>
      <c r="AN15" s="1">
        <f>IF(AND(VALUE(HEVARIM[[#This Row],[קוד מעמד]])=1,HEVARIM[[#This Row],[ותק מחברה 40]]&gt;25,HEVARIM[[#This Row],[גיל]]&lt;65),הנחות!$C$14+(HEVARIM[[#This Row],[ותק מחברה 40]]-25)*הנחות!$C$10*0.25,0)</f>
        <v>64505.912625000004</v>
      </c>
      <c r="AO15" s="9">
        <f ca="1">IF(HEVARIM[[#This Row],[דמי עזיבה לגיל 65]]&gt;0,YEAR(TODAY())+64-ROUNDDOWN(HEVARIM[[#This Row],[גיל]],0),"")</f>
        <v>2028</v>
      </c>
      <c r="AP15" s="1">
        <f>SUMIF(HEVARIM[קוד תקציב],HEVARIM[[#This Row],[קוד תקציב משפחה מקורי]],HEVARIM[ותק מחברה 40])</f>
        <v>86.59</v>
      </c>
      <c r="AQ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15" s="9">
        <f>IF(HEVARIM[[#This Row],[קוד מעמד]]="1     ",IFERROR(VLOOKUP(HEVARIM[[#This Row],[קוד תקציב]],'תקציב צביעה - לקראת השינוי'!A:F,4,0),0),0)</f>
        <v>2032</v>
      </c>
      <c r="AT15" s="1"/>
    </row>
    <row r="16" spans="1:48">
      <c r="A16" t="s">
        <v>287</v>
      </c>
      <c r="B16" t="s">
        <v>288</v>
      </c>
      <c r="C16" t="s">
        <v>99</v>
      </c>
      <c r="D16" t="s">
        <v>289</v>
      </c>
      <c r="E16" t="s">
        <v>67</v>
      </c>
      <c r="F16" s="4">
        <v>31341</v>
      </c>
      <c r="G16">
        <v>40</v>
      </c>
      <c r="H16" t="s">
        <v>290</v>
      </c>
      <c r="I16" t="s">
        <v>291</v>
      </c>
      <c r="J16" s="4" t="s">
        <v>70</v>
      </c>
      <c r="K16" s="4" t="s">
        <v>71</v>
      </c>
      <c r="L16" t="s">
        <v>292</v>
      </c>
      <c r="M16" t="s">
        <v>287</v>
      </c>
      <c r="N16" t="s">
        <v>288</v>
      </c>
      <c r="O16">
        <f>IFERROR(VLOOKUP(HEVARIM[[#This Row],[קוד תקציב]],[2]תקציבים!A:L,6,0),0)</f>
        <v>2</v>
      </c>
      <c r="P16" s="5" t="s">
        <v>104</v>
      </c>
      <c r="Q16" t="s">
        <v>11</v>
      </c>
      <c r="R16" s="4">
        <v>41609</v>
      </c>
      <c r="S16" s="4" t="s">
        <v>74</v>
      </c>
      <c r="T16" s="96" t="s">
        <v>101</v>
      </c>
      <c r="U16" t="str">
        <f>VLOOKUP(HEVARIM[[#This Row],[גיל]],GIL,2,1)</f>
        <v>--</v>
      </c>
      <c r="V16" t="str">
        <f>IF(HEVARIM[[#This Row],[קוד מעמד]]="4     ",IF(HEVARIM[[#This Row],[גיל]]=1,1,IF(HEVARIM[[#This Row],[גיל]]&lt;=5,5,18)),"")</f>
        <v/>
      </c>
      <c r="W16">
        <f t="shared" si="0"/>
        <v>0</v>
      </c>
      <c r="X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">
        <f>IF(HEVARIM[[#This Row],[מצב משפחתי2]]="אלמן",'[2]ריכוז נתונים'!$AC$2,0)</f>
        <v>0</v>
      </c>
      <c r="Z16" s="3">
        <f>VLOOKUP(VALUE(HEVARIM[[#This Row],[קוד מעמד]]),הנחות!$I$2:$K$21,3,0)</f>
        <v>0</v>
      </c>
      <c r="AA16" t="b">
        <f>ISERROR(VLOOKUP(HEVARIM[[#This Row],[קוד תקציב]],'[2]ריכוז נתונים'!A:A,1,0))</f>
        <v>0</v>
      </c>
      <c r="AB16" s="1">
        <f t="shared" si="1"/>
        <v>0</v>
      </c>
      <c r="AC16" s="2">
        <f ca="1">IF(HEVARIM[[#This Row],[בר מצוה]]&gt;0,YEAR(TODAY())+'תקציבים מיוחדים'!$F$5-HEVARIM[[#This Row],[גיל]],0)</f>
        <v>0</v>
      </c>
      <c r="AD16" s="1">
        <f t="shared" si="2"/>
        <v>0</v>
      </c>
      <c r="AE16" s="2">
        <f ca="1">IF(HEVARIM[[#This Row],[בת מצוה]]&gt;0,YEAR(TODAY())+'תקציבים מיוחדים'!$F$5-HEVARIM[[#This Row],[גיל]],0)</f>
        <v>0</v>
      </c>
      <c r="AF16" s="1">
        <f>IF(AND($S16&gt;="רווק",$Z16=1),AF$4*IF(HEVARIM[[#This Row],[גיל]]&gt;$AF$3,1,(($G16-AF$2)/(AF$3-AF$2))),0)</f>
        <v>0</v>
      </c>
      <c r="AG1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6" s="1">
        <f t="shared" si="3"/>
        <v>0</v>
      </c>
      <c r="AI16" s="2">
        <f ca="1">IF(AH16&gt;0,YEAR(TODAY())+'תקציבים מיוחדים'!$F$7-HEVARIM[[#This Row],[גיל]],0)</f>
        <v>0</v>
      </c>
      <c r="AJ16" s="9">
        <f>IF(AND(ISERROR(VLOOKUP(H16,'[2]ריכוז נתונים'!A:L,1,0)),P16="1     "),1,0)</f>
        <v>0</v>
      </c>
      <c r="AK16" s="1">
        <f>IF(VALUE(HEVARIM[[#This Row],[קוד מעמד]])=1,VLOOKUP((IF(LEFT(HEVARIM[[#This Row],[קוד חבר]],1)="0",HEVARIM[[#This Row],[קוד חבר]],VALUE(HEVARIM[[#This Row],[קוד חבר]]))),'ותק חברה 40'!AQ:AW,7,0),"")</f>
        <v>13.76</v>
      </c>
      <c r="AL16" s="1">
        <f>IF(AND(VALUE(HEVARIM[[#This Row],[קוד מעמד]])=1,HEVARIM[[#This Row],[ותק מחברה 40]]&lt;25),HEVARIM[[#This Row],[ותק מחברה 40]]/25*הנחות!$C$4,0)</f>
        <v>20659.050719999999</v>
      </c>
      <c r="AM16" s="9">
        <f ca="1">IF(HEVARIM[[#This Row],[דמי עזיבה 25 שנות ותק]]&gt;0,YEAR(TODAY())+25-ROUNDDOWN(HEVARIM[[#This Row],[ותק מחברה 40]],0),"")</f>
        <v>2038</v>
      </c>
      <c r="AN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" s="9" t="str">
        <f ca="1">IF(HEVARIM[[#This Row],[דמי עזיבה לגיל 65]]&gt;0,YEAR(TODAY())+64-ROUNDDOWN(HEVARIM[[#This Row],[גיל]],0),"")</f>
        <v/>
      </c>
      <c r="AP16" s="1">
        <f>SUMIF(HEVARIM[קוד תקציב],HEVARIM[[#This Row],[קוד תקציב משפחה מקורי]],HEVARIM[ותק מחברה 40])</f>
        <v>86.59</v>
      </c>
      <c r="AQ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16" s="9">
        <f>IF(HEVARIM[[#This Row],[קוד מעמד]]="1     ",IFERROR(VLOOKUP(HEVARIM[[#This Row],[קוד תקציב]],'תקציב צביעה - לקראת השינוי'!A:F,4,0),0),0)</f>
        <v>2034</v>
      </c>
      <c r="AT16" s="1"/>
    </row>
    <row r="17" spans="1:46">
      <c r="A17" t="s">
        <v>111</v>
      </c>
      <c r="B17" t="s">
        <v>112</v>
      </c>
      <c r="C17" t="s">
        <v>113</v>
      </c>
      <c r="D17" t="s">
        <v>114</v>
      </c>
      <c r="E17" t="s">
        <v>67</v>
      </c>
      <c r="F17" s="4">
        <v>18890</v>
      </c>
      <c r="G17">
        <v>74</v>
      </c>
      <c r="H17" t="s">
        <v>115</v>
      </c>
      <c r="I17" t="s">
        <v>116</v>
      </c>
      <c r="J17" s="4" t="s">
        <v>70</v>
      </c>
      <c r="K17" s="4" t="s">
        <v>71</v>
      </c>
      <c r="L17" t="s">
        <v>117</v>
      </c>
      <c r="M17" t="s">
        <v>111</v>
      </c>
      <c r="N17" t="s">
        <v>112</v>
      </c>
      <c r="O17">
        <f>IFERROR(VLOOKUP(HEVARIM[[#This Row],[קוד תקציב]],[2]תקציבים!A:L,6,0),0)</f>
        <v>2</v>
      </c>
      <c r="P17" s="5" t="s">
        <v>104</v>
      </c>
      <c r="Q17" t="s">
        <v>11</v>
      </c>
      <c r="R17" s="4">
        <v>26634</v>
      </c>
      <c r="S17" s="4" t="s">
        <v>74</v>
      </c>
      <c r="T17" s="96" t="s">
        <v>115</v>
      </c>
      <c r="U17" t="str">
        <f>VLOOKUP(HEVARIM[[#This Row],[גיל]],GIL,2,1)</f>
        <v>--</v>
      </c>
      <c r="V17" t="str">
        <f>IF(HEVARIM[[#This Row],[קוד מעמד]]="4     ",IF(HEVARIM[[#This Row],[גיל]]=1,1,IF(HEVARIM[[#This Row],[גיל]]&lt;=5,5,18)),"")</f>
        <v/>
      </c>
      <c r="W17">
        <f t="shared" si="0"/>
        <v>2365</v>
      </c>
      <c r="X1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7">
        <f>IF(HEVARIM[[#This Row],[מצב משפחתי2]]="אלמן",'[2]ריכוז נתונים'!$AC$2,0)</f>
        <v>0</v>
      </c>
      <c r="Z17" s="3">
        <f>VLOOKUP(VALUE(HEVARIM[[#This Row],[קוד מעמד]]),הנחות!$I$2:$K$21,3,0)</f>
        <v>0</v>
      </c>
      <c r="AA17" t="b">
        <f>ISERROR(VLOOKUP(HEVARIM[[#This Row],[קוד תקציב]],'[2]ריכוז נתונים'!A:A,1,0))</f>
        <v>0</v>
      </c>
      <c r="AB17" s="1">
        <f t="shared" si="1"/>
        <v>0</v>
      </c>
      <c r="AC17" s="2">
        <f ca="1">IF(HEVARIM[[#This Row],[בר מצוה]]&gt;0,YEAR(TODAY())+'תקציבים מיוחדים'!$F$5-HEVARIM[[#This Row],[גיל]],0)</f>
        <v>0</v>
      </c>
      <c r="AD17" s="1">
        <f t="shared" si="2"/>
        <v>0</v>
      </c>
      <c r="AE17" s="2">
        <f ca="1">IF(HEVARIM[[#This Row],[בת מצוה]]&gt;0,YEAR(TODAY())+'תקציבים מיוחדים'!$F$5-HEVARIM[[#This Row],[גיל]],0)</f>
        <v>0</v>
      </c>
      <c r="AF17" s="1">
        <f>IF(AND($S17&gt;="רווק",$Z17=1),AF$4*IF(HEVARIM[[#This Row],[גיל]]&gt;$AF$3,1,(($G17-AF$2)/(AF$3-AF$2))),0)</f>
        <v>0</v>
      </c>
      <c r="AG1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7" s="1">
        <f t="shared" si="3"/>
        <v>0</v>
      </c>
      <c r="AI17" s="2">
        <f ca="1">IF(AH17&gt;0,YEAR(TODAY())+'תקציבים מיוחדים'!$F$7-HEVARIM[[#This Row],[גיל]],0)</f>
        <v>0</v>
      </c>
      <c r="AJ17" s="9">
        <f>IF(AND(ISERROR(VLOOKUP(H17,'[2]ריכוז נתונים'!A:L,1,0)),P17="1     "),1,0)</f>
        <v>0</v>
      </c>
      <c r="AK1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7" s="1">
        <f>IF(AND(VALUE(HEVARIM[[#This Row],[קוד מעמד]])=1,HEVARIM[[#This Row],[ותק מחברה 40]]&lt;25),HEVARIM[[#This Row],[ותק מחברה 40]]/25*הנחות!$C$4,0)</f>
        <v>0</v>
      </c>
      <c r="AM17" s="9" t="str">
        <f ca="1">IF(HEVARIM[[#This Row],[דמי עזיבה 25 שנות ותק]]&gt;0,YEAR(TODAY())+25-ROUNDDOWN(HEVARIM[[#This Row],[ותק מחברה 40]],0),"")</f>
        <v/>
      </c>
      <c r="AN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" s="9" t="str">
        <f ca="1">IF(HEVARIM[[#This Row],[דמי עזיבה לגיל 65]]&gt;0,YEAR(TODAY())+64-ROUNDDOWN(HEVARIM[[#This Row],[גיל]],0),"")</f>
        <v/>
      </c>
      <c r="AP17" s="1">
        <f>SUMIF(HEVARIM[קוד תקציב],HEVARIM[[#This Row],[קוד תקציב משפחה מקורי]],HEVARIM[ותק מחברה 40])</f>
        <v>96</v>
      </c>
      <c r="AQ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17" s="9">
        <f>IF(HEVARIM[[#This Row],[קוד מעמד]]="1     ",IFERROR(VLOOKUP(HEVARIM[[#This Row],[קוד תקציב]],'תקציב צביעה - לקראת השינוי'!A:F,4,0),0),0)</f>
        <v>2027</v>
      </c>
      <c r="AT17" s="1"/>
    </row>
    <row r="18" spans="1:46">
      <c r="A18" t="s">
        <v>119</v>
      </c>
      <c r="B18" t="s">
        <v>120</v>
      </c>
      <c r="C18" t="s">
        <v>113</v>
      </c>
      <c r="D18" t="s">
        <v>121</v>
      </c>
      <c r="E18" t="s">
        <v>79</v>
      </c>
      <c r="F18" s="4">
        <v>18979</v>
      </c>
      <c r="G18">
        <v>74</v>
      </c>
      <c r="H18" t="s">
        <v>115</v>
      </c>
      <c r="I18" t="s">
        <v>116</v>
      </c>
      <c r="J18" s="4" t="s">
        <v>70</v>
      </c>
      <c r="K18" s="4" t="s">
        <v>71</v>
      </c>
      <c r="L18" t="s">
        <v>122</v>
      </c>
      <c r="M18" t="s">
        <v>111</v>
      </c>
      <c r="N18" t="s">
        <v>112</v>
      </c>
      <c r="O18">
        <f>IFERROR(VLOOKUP(HEVARIM[[#This Row],[קוד תקציב]],[2]תקציבים!A:L,6,0),0)</f>
        <v>2</v>
      </c>
      <c r="P18" s="5" t="s">
        <v>104</v>
      </c>
      <c r="Q18" t="s">
        <v>11</v>
      </c>
      <c r="R18" s="4">
        <v>26449</v>
      </c>
      <c r="S18" s="4" t="s">
        <v>74</v>
      </c>
      <c r="T18" s="96" t="s">
        <v>115</v>
      </c>
      <c r="U18" t="str">
        <f>VLOOKUP(HEVARIM[[#This Row],[גיל]],GIL,2,1)</f>
        <v>--</v>
      </c>
      <c r="V18" t="str">
        <f>IF(HEVARIM[[#This Row],[קוד מעמד]]="4     ",IF(HEVARIM[[#This Row],[גיל]]=1,1,IF(HEVARIM[[#This Row],[גיל]]&lt;=5,5,18)),"")</f>
        <v/>
      </c>
      <c r="W18">
        <f t="shared" si="0"/>
        <v>2365</v>
      </c>
      <c r="X1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8">
        <f>IF(HEVARIM[[#This Row],[מצב משפחתי2]]="אלמן",'[2]ריכוז נתונים'!$AC$2,0)</f>
        <v>0</v>
      </c>
      <c r="Z18" s="3">
        <f>VLOOKUP(VALUE(HEVARIM[[#This Row],[קוד מעמד]]),הנחות!$I$2:$K$21,3,0)</f>
        <v>0</v>
      </c>
      <c r="AA18" t="b">
        <f>ISERROR(VLOOKUP(HEVARIM[[#This Row],[קוד תקציב]],'[2]ריכוז נתונים'!A:A,1,0))</f>
        <v>0</v>
      </c>
      <c r="AB18" s="1">
        <f t="shared" si="1"/>
        <v>0</v>
      </c>
      <c r="AC18" s="2">
        <f ca="1">IF(HEVARIM[[#This Row],[בר מצוה]]&gt;0,YEAR(TODAY())+'תקציבים מיוחדים'!$F$5-HEVARIM[[#This Row],[גיל]],0)</f>
        <v>0</v>
      </c>
      <c r="AD18" s="1">
        <f t="shared" si="2"/>
        <v>0</v>
      </c>
      <c r="AE18" s="2">
        <f ca="1">IF(HEVARIM[[#This Row],[בת מצוה]]&gt;0,YEAR(TODAY())+'תקציבים מיוחדים'!$F$5-HEVARIM[[#This Row],[גיל]],0)</f>
        <v>0</v>
      </c>
      <c r="AF18" s="1">
        <f>IF(AND($S18&gt;="רווק",$Z18=1),AF$4*IF(HEVARIM[[#This Row],[גיל]]&gt;$AF$3,1,(($G18-AF$2)/(AF$3-AF$2))),0)</f>
        <v>0</v>
      </c>
      <c r="AG1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" s="1">
        <f t="shared" si="3"/>
        <v>0</v>
      </c>
      <c r="AI18" s="2">
        <f ca="1">IF(AH18&gt;0,YEAR(TODAY())+'תקציבים מיוחדים'!$F$7-HEVARIM[[#This Row],[גיל]],0)</f>
        <v>0</v>
      </c>
      <c r="AJ18" s="9">
        <f>IF(AND(ISERROR(VLOOKUP(H18,'[2]ריכוז נתונים'!A:L,1,0)),P18="1     "),1,0)</f>
        <v>0</v>
      </c>
      <c r="AK18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8" s="1">
        <f>IF(AND(VALUE(HEVARIM[[#This Row],[קוד מעמד]])=1,HEVARIM[[#This Row],[ותק מחברה 40]]&lt;25),HEVARIM[[#This Row],[ותק מחברה 40]]/25*הנחות!$C$4,0)</f>
        <v>0</v>
      </c>
      <c r="AM18" s="9" t="str">
        <f ca="1">IF(HEVARIM[[#This Row],[דמי עזיבה 25 שנות ותק]]&gt;0,YEAR(TODAY())+25-ROUNDDOWN(HEVARIM[[#This Row],[ותק מחברה 40]],0),"")</f>
        <v/>
      </c>
      <c r="AN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" s="9" t="str">
        <f ca="1">IF(HEVARIM[[#This Row],[דמי עזיבה לגיל 65]]&gt;0,YEAR(TODAY())+64-ROUNDDOWN(HEVARIM[[#This Row],[גיל]],0),"")</f>
        <v/>
      </c>
      <c r="AP18" s="1">
        <f>SUMIF(HEVARIM[קוד תקציב],HEVARIM[[#This Row],[קוד תקציב משפחה מקורי]],HEVARIM[ותק מחברה 40])</f>
        <v>96</v>
      </c>
      <c r="AQ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18" s="9">
        <f>IF(HEVARIM[[#This Row],[קוד מעמד]]="1     ",IFERROR(VLOOKUP(HEVARIM[[#This Row],[קוד תקציב]],'תקציב צביעה - לקראת השינוי'!A:F,4,0),0),0)</f>
        <v>2027</v>
      </c>
      <c r="AT18" s="1"/>
    </row>
    <row r="19" spans="1:46">
      <c r="A19" t="s">
        <v>793</v>
      </c>
      <c r="B19" t="s">
        <v>794</v>
      </c>
      <c r="C19" t="s">
        <v>690</v>
      </c>
      <c r="D19" t="s">
        <v>795</v>
      </c>
      <c r="E19" t="s">
        <v>79</v>
      </c>
      <c r="F19" s="4">
        <v>31670</v>
      </c>
      <c r="G19">
        <v>39</v>
      </c>
      <c r="H19" t="s">
        <v>796</v>
      </c>
      <c r="I19" t="s">
        <v>794</v>
      </c>
      <c r="J19" s="4" t="s">
        <v>70</v>
      </c>
      <c r="K19" s="4" t="s">
        <v>71</v>
      </c>
      <c r="L19" t="s">
        <v>797</v>
      </c>
      <c r="M19" t="s">
        <v>793</v>
      </c>
      <c r="N19" t="s">
        <v>794</v>
      </c>
      <c r="O19">
        <f>IFERROR(VLOOKUP(HEVARIM[[#This Row],[קוד תקציב]],[2]תקציבים!A:L,6,0),0)</f>
        <v>1</v>
      </c>
      <c r="P19" s="5" t="s">
        <v>104</v>
      </c>
      <c r="Q19" t="s">
        <v>11</v>
      </c>
      <c r="R19" s="4">
        <v>39981</v>
      </c>
      <c r="S19" s="4" t="s">
        <v>145</v>
      </c>
      <c r="T19" s="96" t="s">
        <v>115</v>
      </c>
      <c r="U19" t="str">
        <f>VLOOKUP(HEVARIM[[#This Row],[גיל]],GIL,2,1)</f>
        <v>--</v>
      </c>
      <c r="V19" t="str">
        <f>IF(HEVARIM[[#This Row],[קוד מעמד]]="4     ",IF(HEVARIM[[#This Row],[גיל]]=1,1,IF(HEVARIM[[#This Row],[גיל]]&lt;=5,5,18)),"")</f>
        <v/>
      </c>
      <c r="W19">
        <f t="shared" si="0"/>
        <v>0</v>
      </c>
      <c r="X1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">
        <f>IF(HEVARIM[[#This Row],[מצב משפחתי2]]="אלמן",'[2]ריכוז נתונים'!$AC$2,0)</f>
        <v>0</v>
      </c>
      <c r="Z19" s="3">
        <f>VLOOKUP(VALUE(HEVARIM[[#This Row],[קוד מעמד]]),הנחות!$I$2:$K$21,3,0)</f>
        <v>0</v>
      </c>
      <c r="AA19" t="b">
        <f>ISERROR(VLOOKUP(HEVARIM[[#This Row],[קוד תקציב]],'[2]ריכוז נתונים'!A:A,1,0))</f>
        <v>0</v>
      </c>
      <c r="AB19" s="1">
        <f t="shared" si="1"/>
        <v>0</v>
      </c>
      <c r="AC19" s="2">
        <f ca="1">IF(HEVARIM[[#This Row],[בר מצוה]]&gt;0,YEAR(TODAY())+'תקציבים מיוחדים'!$F$5-HEVARIM[[#This Row],[גיל]],0)</f>
        <v>0</v>
      </c>
      <c r="AD19" s="1">
        <f t="shared" si="2"/>
        <v>0</v>
      </c>
      <c r="AE19" s="2">
        <f ca="1">IF(HEVARIM[[#This Row],[בת מצוה]]&gt;0,YEAR(TODAY())+'תקציבים מיוחדים'!$F$5-HEVARIM[[#This Row],[גיל]],0)</f>
        <v>0</v>
      </c>
      <c r="AF19" s="1">
        <f>IF(AND($S19&gt;="רווק",$Z19=1),AF$4*IF(HEVARIM[[#This Row],[גיל]]&gt;$AF$3,1,(($G19-AF$2)/(AF$3-AF$2))),0)</f>
        <v>0</v>
      </c>
      <c r="AG1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" s="1">
        <f t="shared" si="3"/>
        <v>0</v>
      </c>
      <c r="AI19" s="2">
        <f ca="1">IF(AH19&gt;0,YEAR(TODAY())+'תקציבים מיוחדים'!$F$7-HEVARIM[[#This Row],[גיל]],0)</f>
        <v>0</v>
      </c>
      <c r="AJ19" s="9">
        <f>IF(AND(ISERROR(VLOOKUP(H19,'[2]ריכוז נתונים'!A:L,1,0)),P19="1     "),1,0)</f>
        <v>0</v>
      </c>
      <c r="AK19" s="1">
        <f>IF(VALUE(HEVARIM[[#This Row],[קוד מעמד]])=1,VLOOKUP((IF(LEFT(HEVARIM[[#This Row],[קוד חבר]],1)="0",HEVARIM[[#This Row],[קוד חבר]],VALUE(HEVARIM[[#This Row],[קוד חבר]]))),'ותק חברה 40'!AQ:AW,7,0),"")</f>
        <v>18.93</v>
      </c>
      <c r="AL19" s="1">
        <f>IF(AND(VALUE(HEVARIM[[#This Row],[קוד מעמד]])=1,HEVARIM[[#This Row],[ותק מחברה 40]]&lt;25),HEVARIM[[#This Row],[ותק מחברה 40]]/25*הנחות!$C$4,0)</f>
        <v>28421.208584999997</v>
      </c>
      <c r="AM19" s="9">
        <f ca="1">IF(HEVARIM[[#This Row],[דמי עזיבה 25 שנות ותק]]&gt;0,YEAR(TODAY())+25-ROUNDDOWN(HEVARIM[[#This Row],[ותק מחברה 40]],0),"")</f>
        <v>2033</v>
      </c>
      <c r="AN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" s="9" t="str">
        <f ca="1">IF(HEVARIM[[#This Row],[דמי עזיבה לגיל 65]]&gt;0,YEAR(TODAY())+64-ROUNDDOWN(HEVARIM[[#This Row],[גיל]],0),"")</f>
        <v/>
      </c>
      <c r="AP19" s="1">
        <f>SUMIF(HEVARIM[קוד תקציב],HEVARIM[[#This Row],[קוד תקציב משפחה מקורי]],HEVARIM[ותק מחברה 40])</f>
        <v>96</v>
      </c>
      <c r="AQ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9" s="9">
        <f>IF(HEVARIM[[#This Row],[קוד מעמד]]="1     ",IFERROR(VLOOKUP(HEVARIM[[#This Row],[קוד תקציב]],'תקציב צביעה - לקראת השינוי'!A:F,4,0),0),0)</f>
        <v>0</v>
      </c>
      <c r="AT19" s="1"/>
    </row>
    <row r="20" spans="1:46">
      <c r="A20" t="s">
        <v>130</v>
      </c>
      <c r="B20" t="s">
        <v>131</v>
      </c>
      <c r="C20" t="s">
        <v>132</v>
      </c>
      <c r="D20" t="s">
        <v>133</v>
      </c>
      <c r="E20" t="s">
        <v>67</v>
      </c>
      <c r="F20" s="4">
        <v>17399</v>
      </c>
      <c r="G20">
        <v>78</v>
      </c>
      <c r="H20" t="s">
        <v>134</v>
      </c>
      <c r="I20" t="s">
        <v>135</v>
      </c>
      <c r="J20" s="4" t="s">
        <v>70</v>
      </c>
      <c r="K20" s="4" t="s">
        <v>71</v>
      </c>
      <c r="L20" t="s">
        <v>136</v>
      </c>
      <c r="M20" t="s">
        <v>130</v>
      </c>
      <c r="N20" t="s">
        <v>131</v>
      </c>
      <c r="O20">
        <f>IFERROR(VLOOKUP(HEVARIM[[#This Row],[קוד תקציב]],[2]תקציבים!A:L,6,0),0)</f>
        <v>2</v>
      </c>
      <c r="P20" s="5" t="s">
        <v>104</v>
      </c>
      <c r="Q20" t="s">
        <v>11</v>
      </c>
      <c r="R20" s="4">
        <v>25203</v>
      </c>
      <c r="S20" s="4" t="s">
        <v>74</v>
      </c>
      <c r="T20" s="96" t="s">
        <v>134</v>
      </c>
      <c r="U20" t="str">
        <f>VLOOKUP(HEVARIM[[#This Row],[גיל]],GIL,2,1)</f>
        <v>--</v>
      </c>
      <c r="V20" t="str">
        <f>IF(HEVARIM[[#This Row],[קוד מעמד]]="4     ",IF(HEVARIM[[#This Row],[גיל]]=1,1,IF(HEVARIM[[#This Row],[גיל]]&lt;=5,5,18)),"")</f>
        <v/>
      </c>
      <c r="W20">
        <f t="shared" si="0"/>
        <v>2365</v>
      </c>
      <c r="X2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0">
        <f>IF(HEVARIM[[#This Row],[מצב משפחתי2]]="אלמן",'[2]ריכוז נתונים'!$AC$2,0)</f>
        <v>0</v>
      </c>
      <c r="Z20" s="3">
        <f>VLOOKUP(VALUE(HEVARIM[[#This Row],[קוד מעמד]]),הנחות!$I$2:$K$21,3,0)</f>
        <v>0</v>
      </c>
      <c r="AA20" t="b">
        <f>ISERROR(VLOOKUP(HEVARIM[[#This Row],[קוד תקציב]],'[2]ריכוז נתונים'!A:A,1,0))</f>
        <v>0</v>
      </c>
      <c r="AB20" s="1">
        <f t="shared" si="1"/>
        <v>0</v>
      </c>
      <c r="AC20" s="2">
        <f ca="1">IF(HEVARIM[[#This Row],[בר מצוה]]&gt;0,YEAR(TODAY())+'תקציבים מיוחדים'!$F$5-HEVARIM[[#This Row],[גיל]],0)</f>
        <v>0</v>
      </c>
      <c r="AD20" s="1">
        <f t="shared" si="2"/>
        <v>0</v>
      </c>
      <c r="AE20" s="2">
        <f ca="1">IF(HEVARIM[[#This Row],[בת מצוה]]&gt;0,YEAR(TODAY())+'תקציבים מיוחדים'!$F$5-HEVARIM[[#This Row],[גיל]],0)</f>
        <v>0</v>
      </c>
      <c r="AF20" s="1">
        <f>IF(AND($S20&gt;="רווק",$Z20=1),AF$4*IF(HEVARIM[[#This Row],[גיל]]&gt;$AF$3,1,(($G20-AF$2)/(AF$3-AF$2))),0)</f>
        <v>0</v>
      </c>
      <c r="AG2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0" s="1">
        <f t="shared" si="3"/>
        <v>0</v>
      </c>
      <c r="AI20" s="2">
        <f ca="1">IF(AH20&gt;0,YEAR(TODAY())+'תקציבים מיוחדים'!$F$7-HEVARIM[[#This Row],[גיל]],0)</f>
        <v>0</v>
      </c>
      <c r="AJ20" s="9">
        <f>IF(AND(ISERROR(VLOOKUP(H20,'[2]ריכוז נתונים'!A:L,1,0)),P20="1     "),1,0)</f>
        <v>0</v>
      </c>
      <c r="AK20" s="1">
        <f>IF(VALUE(HEVARIM[[#This Row],[קוד מעמד]])=1,VLOOKUP((IF(LEFT(HEVARIM[[#This Row],[קוד חבר]],1)="0",HEVARIM[[#This Row],[קוד חבר]],VALUE(HEVARIM[[#This Row],[קוד חבר]]))),'ותק חברה 40'!AQ:AW,7,0),"")</f>
        <v>45.73</v>
      </c>
      <c r="AL20" s="1">
        <f>IF(AND(VALUE(HEVARIM[[#This Row],[קוד מעמד]])=1,HEVARIM[[#This Row],[ותק מחברה 40]]&lt;25),HEVARIM[[#This Row],[ותק מחברה 40]]/25*הנחות!$C$4,0)</f>
        <v>0</v>
      </c>
      <c r="AM20" s="9" t="str">
        <f ca="1">IF(HEVARIM[[#This Row],[דמי עזיבה 25 שנות ותק]]&gt;0,YEAR(TODAY())+25-ROUNDDOWN(HEVARIM[[#This Row],[ותק מחברה 40]],0),"")</f>
        <v/>
      </c>
      <c r="AN2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" s="9" t="str">
        <f ca="1">IF(HEVARIM[[#This Row],[דמי עזיבה לגיל 65]]&gt;0,YEAR(TODAY())+64-ROUNDDOWN(HEVARIM[[#This Row],[גיל]],0),"")</f>
        <v/>
      </c>
      <c r="AP20" s="1">
        <f>SUMIF(HEVARIM[קוד תקציב],HEVARIM[[#This Row],[קוד תקציב משפחה מקורי]],HEVARIM[ותק מחברה 40])</f>
        <v>45.73</v>
      </c>
      <c r="AQ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0" s="9">
        <f>IF(HEVARIM[[#This Row],[קוד מעמד]]="1     ",IFERROR(VLOOKUP(HEVARIM[[#This Row],[קוד תקציב]],'תקציב צביעה - לקראת השינוי'!A:F,4,0),0),0)</f>
        <v>2034</v>
      </c>
      <c r="AT20" s="1"/>
    </row>
    <row r="21" spans="1:46">
      <c r="A21" t="s">
        <v>139</v>
      </c>
      <c r="B21" t="s">
        <v>140</v>
      </c>
      <c r="C21" t="s">
        <v>141</v>
      </c>
      <c r="D21" t="s">
        <v>142</v>
      </c>
      <c r="E21" t="s">
        <v>67</v>
      </c>
      <c r="F21" s="4">
        <v>19480</v>
      </c>
      <c r="G21">
        <v>72</v>
      </c>
      <c r="H21" t="s">
        <v>143</v>
      </c>
      <c r="I21" t="s">
        <v>140</v>
      </c>
      <c r="J21" s="4" t="s">
        <v>70</v>
      </c>
      <c r="K21" s="4" t="s">
        <v>71</v>
      </c>
      <c r="L21" t="s">
        <v>144</v>
      </c>
      <c r="M21" t="s">
        <v>139</v>
      </c>
      <c r="N21" t="s">
        <v>140</v>
      </c>
      <c r="O21">
        <f>IFERROR(VLOOKUP(HEVARIM[[#This Row],[קוד תקציב]],[2]תקציבים!A:L,6,0),0)</f>
        <v>1</v>
      </c>
      <c r="P21" s="5" t="s">
        <v>104</v>
      </c>
      <c r="Q21" t="s">
        <v>11</v>
      </c>
      <c r="R21" s="4">
        <v>26298</v>
      </c>
      <c r="S21" s="4" t="s">
        <v>145</v>
      </c>
      <c r="T21" s="96" t="s">
        <v>143</v>
      </c>
      <c r="U21" t="str">
        <f>VLOOKUP(HEVARIM[[#This Row],[גיל]],GIL,2,1)</f>
        <v>--</v>
      </c>
      <c r="V21" t="str">
        <f>IF(HEVARIM[[#This Row],[קוד מעמד]]="4     ",IF(HEVARIM[[#This Row],[גיל]]=1,1,IF(HEVARIM[[#This Row],[גיל]]&lt;=5,5,18)),"")</f>
        <v/>
      </c>
      <c r="W21">
        <f t="shared" si="0"/>
        <v>1564</v>
      </c>
      <c r="X2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1">
        <f>IF(HEVARIM[[#This Row],[מצב משפחתי2]]="אלמן",'[2]ריכוז נתונים'!$AC$2,0)</f>
        <v>0</v>
      </c>
      <c r="Z21" s="3">
        <f>VLOOKUP(VALUE(HEVARIM[[#This Row],[קוד מעמד]]),הנחות!$I$2:$K$21,3,0)</f>
        <v>0</v>
      </c>
      <c r="AA21" t="b">
        <f>ISERROR(VLOOKUP(HEVARIM[[#This Row],[קוד תקציב]],'[2]ריכוז נתונים'!A:A,1,0))</f>
        <v>0</v>
      </c>
      <c r="AB21" s="1">
        <f t="shared" si="1"/>
        <v>0</v>
      </c>
      <c r="AC21" s="2">
        <f ca="1">IF(HEVARIM[[#This Row],[בר מצוה]]&gt;0,YEAR(TODAY())+'תקציבים מיוחדים'!$F$5-HEVARIM[[#This Row],[גיל]],0)</f>
        <v>0</v>
      </c>
      <c r="AD21" s="1">
        <f t="shared" si="2"/>
        <v>0</v>
      </c>
      <c r="AE21" s="2">
        <f ca="1">IF(HEVARIM[[#This Row],[בת מצוה]]&gt;0,YEAR(TODAY())+'תקציבים מיוחדים'!$F$5-HEVARIM[[#This Row],[גיל]],0)</f>
        <v>0</v>
      </c>
      <c r="AF21" s="1">
        <f>IF(AND($S21&gt;="רווק",$Z21=1),AF$4*IF(HEVARIM[[#This Row],[גיל]]&gt;$AF$3,1,(($G21-AF$2)/(AF$3-AF$2))),0)</f>
        <v>0</v>
      </c>
      <c r="AG2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1" s="1">
        <f t="shared" si="3"/>
        <v>0</v>
      </c>
      <c r="AI21" s="2">
        <f ca="1">IF(AH21&gt;0,YEAR(TODAY())+'תקציבים מיוחדים'!$F$7-HEVARIM[[#This Row],[גיל]],0)</f>
        <v>0</v>
      </c>
      <c r="AJ21" s="9">
        <f>IF(AND(ISERROR(VLOOKUP(H21,'[2]ריכוז נתונים'!A:L,1,0)),P21="1     "),1,0)</f>
        <v>0</v>
      </c>
      <c r="AK21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1" s="1">
        <f>IF(AND(VALUE(HEVARIM[[#This Row],[קוד מעמד]])=1,HEVARIM[[#This Row],[ותק מחברה 40]]&lt;25),HEVARIM[[#This Row],[ותק מחברה 40]]/25*הנחות!$C$4,0)</f>
        <v>0</v>
      </c>
      <c r="AM21" s="9" t="str">
        <f ca="1">IF(HEVARIM[[#This Row],[דמי עזיבה 25 שנות ותק]]&gt;0,YEAR(TODAY())+25-ROUNDDOWN(HEVARIM[[#This Row],[ותק מחברה 40]],0),"")</f>
        <v/>
      </c>
      <c r="AN2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" s="9" t="str">
        <f ca="1">IF(HEVARIM[[#This Row],[דמי עזיבה לגיל 65]]&gt;0,YEAR(TODAY())+64-ROUNDDOWN(HEVARIM[[#This Row],[גיל]],0),"")</f>
        <v/>
      </c>
      <c r="AP21" s="1">
        <f>SUMIF(HEVARIM[קוד תקציב],HEVARIM[[#This Row],[קוד תקציב משפחה מקורי]],HEVARIM[ותק מחברה 40])</f>
        <v>48</v>
      </c>
      <c r="AQ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21" s="9">
        <f>IF(HEVARIM[[#This Row],[קוד מעמד]]="1     ",IFERROR(VLOOKUP(HEVARIM[[#This Row],[קוד תקציב]],'תקציב צביעה - לקראת השינוי'!A:F,4,0),0),0)</f>
        <v>2032</v>
      </c>
      <c r="AT21" s="1"/>
    </row>
    <row r="22" spans="1:46">
      <c r="A22" t="s">
        <v>146</v>
      </c>
      <c r="B22" t="s">
        <v>147</v>
      </c>
      <c r="C22" t="s">
        <v>148</v>
      </c>
      <c r="D22" t="s">
        <v>149</v>
      </c>
      <c r="E22" t="s">
        <v>67</v>
      </c>
      <c r="F22" s="4">
        <v>22497</v>
      </c>
      <c r="G22">
        <v>64</v>
      </c>
      <c r="H22" t="s">
        <v>150</v>
      </c>
      <c r="I22" t="s">
        <v>151</v>
      </c>
      <c r="J22" s="4" t="s">
        <v>70</v>
      </c>
      <c r="K22" s="4" t="s">
        <v>71</v>
      </c>
      <c r="L22" t="s">
        <v>152</v>
      </c>
      <c r="M22" t="s">
        <v>146</v>
      </c>
      <c r="N22" t="s">
        <v>147</v>
      </c>
      <c r="O22">
        <f>IFERROR(VLOOKUP(HEVARIM[[#This Row],[קוד תקציב]],[2]תקציבים!A:L,6,0),0)</f>
        <v>2</v>
      </c>
      <c r="P22" s="5" t="s">
        <v>104</v>
      </c>
      <c r="Q22" t="s">
        <v>11</v>
      </c>
      <c r="R22" s="4">
        <v>34275</v>
      </c>
      <c r="S22" s="4" t="s">
        <v>74</v>
      </c>
      <c r="T22" s="96" t="s">
        <v>150</v>
      </c>
      <c r="U22" t="str">
        <f>VLOOKUP(HEVARIM[[#This Row],[גיל]],GIL,2,1)</f>
        <v>--</v>
      </c>
      <c r="V22" t="str">
        <f>IF(HEVARIM[[#This Row],[קוד מעמד]]="4     ",IF(HEVARIM[[#This Row],[גיל]]=1,1,IF(HEVARIM[[#This Row],[גיל]]&lt;=5,5,18)),"")</f>
        <v/>
      </c>
      <c r="W22">
        <f t="shared" si="0"/>
        <v>0</v>
      </c>
      <c r="X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2">
        <f>IF(HEVARIM[[#This Row],[מצב משפחתי2]]="אלמן",'[2]ריכוז נתונים'!$AC$2,0)</f>
        <v>0</v>
      </c>
      <c r="Z22" s="3">
        <f>VLOOKUP(VALUE(HEVARIM[[#This Row],[קוד מעמד]]),הנחות!$I$2:$K$21,3,0)</f>
        <v>0</v>
      </c>
      <c r="AA22" t="b">
        <f>ISERROR(VLOOKUP(HEVARIM[[#This Row],[קוד תקציב]],'[2]ריכוז נתונים'!A:A,1,0))</f>
        <v>0</v>
      </c>
      <c r="AB22" s="1">
        <f t="shared" si="1"/>
        <v>0</v>
      </c>
      <c r="AC22" s="2">
        <f ca="1">IF(HEVARIM[[#This Row],[בר מצוה]]&gt;0,YEAR(TODAY())+'תקציבים מיוחדים'!$F$5-HEVARIM[[#This Row],[גיל]],0)</f>
        <v>0</v>
      </c>
      <c r="AD22" s="1">
        <f t="shared" si="2"/>
        <v>0</v>
      </c>
      <c r="AE22" s="2">
        <f ca="1">IF(HEVARIM[[#This Row],[בת מצוה]]&gt;0,YEAR(TODAY())+'תקציבים מיוחדים'!$F$5-HEVARIM[[#This Row],[גיל]],0)</f>
        <v>0</v>
      </c>
      <c r="AF22" s="1">
        <f>IF(AND($S22&gt;="רווק",$Z22=1),AF$4*IF(HEVARIM[[#This Row],[גיל]]&gt;$AF$3,1,(($G22-AF$2)/(AF$3-AF$2))),0)</f>
        <v>0</v>
      </c>
      <c r="AG2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" s="1">
        <f t="shared" si="3"/>
        <v>0</v>
      </c>
      <c r="AI22" s="2">
        <f ca="1">IF(AH22&gt;0,YEAR(TODAY())+'תקציבים מיוחדים'!$F$7-HEVARIM[[#This Row],[גיל]],0)</f>
        <v>0</v>
      </c>
      <c r="AJ22" s="9">
        <f>IF(AND(ISERROR(VLOOKUP(H22,'[2]ריכוז נתונים'!A:L,1,0)),P22="1     "),1,0)</f>
        <v>0</v>
      </c>
      <c r="AK22" s="1">
        <f>IF(VALUE(HEVARIM[[#This Row],[קוד מעמד]])=1,VLOOKUP((IF(LEFT(HEVARIM[[#This Row],[קוד חבר]],1)="0",HEVARIM[[#This Row],[קוד חבר]],VALUE(HEVARIM[[#This Row],[קוד חבר]]))),'ותק חברה 40'!AQ:AW,7,0),"")</f>
        <v>33.9</v>
      </c>
      <c r="AL22" s="1">
        <f>IF(AND(VALUE(HEVARIM[[#This Row],[קוד מעמד]])=1,HEVARIM[[#This Row],[ותק מחברה 40]]&lt;25),HEVARIM[[#This Row],[ותק מחברה 40]]/25*הנחות!$C$4,0)</f>
        <v>0</v>
      </c>
      <c r="AM22" s="9" t="str">
        <f ca="1">IF(HEVARIM[[#This Row],[דמי עזיבה 25 שנות ותק]]&gt;0,YEAR(TODAY())+25-ROUNDDOWN(HEVARIM[[#This Row],[ותק מחברה 40]],0),"")</f>
        <v/>
      </c>
      <c r="AN22" s="1">
        <f>IF(AND(VALUE(HEVARIM[[#This Row],[קוד מעמד]])=1,HEVARIM[[#This Row],[ותק מחברה 40]]&gt;25,HEVARIM[[#This Row],[גיל]]&lt;65),הנחות!$C$14+(HEVARIM[[#This Row],[ותק מחברה 40]]-25)*הנחות!$C$10*0.25,0)</f>
        <v>50671.726874999993</v>
      </c>
      <c r="AO22" s="9">
        <f ca="1">IF(HEVARIM[[#This Row],[דמי עזיבה לגיל 65]]&gt;0,YEAR(TODAY())+64-ROUNDDOWN(HEVARIM[[#This Row],[גיל]],0),"")</f>
        <v>2026</v>
      </c>
      <c r="AP22" s="1">
        <f>SUMIF(HEVARIM[קוד תקציב],HEVARIM[[#This Row],[קוד תקציב משפחה מקורי]],HEVARIM[ותק מחברה 40])</f>
        <v>75.849999999999994</v>
      </c>
      <c r="AQ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22" s="9">
        <f>IF(HEVARIM[[#This Row],[קוד מעמד]]="1     ",IFERROR(VLOOKUP(HEVARIM[[#This Row],[קוד תקציב]],'תקציב צביעה - לקראת השינוי'!A:F,4,0),0),0)</f>
        <v>2029</v>
      </c>
      <c r="AT22" s="1"/>
    </row>
    <row r="23" spans="1:46">
      <c r="A23" t="s">
        <v>153</v>
      </c>
      <c r="B23" t="s">
        <v>154</v>
      </c>
      <c r="C23" t="s">
        <v>148</v>
      </c>
      <c r="D23" t="s">
        <v>155</v>
      </c>
      <c r="E23" t="s">
        <v>79</v>
      </c>
      <c r="F23" s="4">
        <v>23047</v>
      </c>
      <c r="G23">
        <v>62</v>
      </c>
      <c r="H23" t="s">
        <v>150</v>
      </c>
      <c r="I23" t="s">
        <v>151</v>
      </c>
      <c r="J23" s="4" t="s">
        <v>70</v>
      </c>
      <c r="K23" s="4" t="s">
        <v>71</v>
      </c>
      <c r="L23" t="s">
        <v>156</v>
      </c>
      <c r="M23" t="s">
        <v>146</v>
      </c>
      <c r="N23" t="s">
        <v>147</v>
      </c>
      <c r="O23">
        <f>IFERROR(VLOOKUP(HEVARIM[[#This Row],[קוד תקציב]],[2]תקציבים!A:L,6,0),0)</f>
        <v>2</v>
      </c>
      <c r="P23" s="5" t="s">
        <v>104</v>
      </c>
      <c r="Q23" t="s">
        <v>11</v>
      </c>
      <c r="R23" s="4">
        <v>33527</v>
      </c>
      <c r="S23" s="4" t="s">
        <v>74</v>
      </c>
      <c r="T23" s="96" t="s">
        <v>150</v>
      </c>
      <c r="U23" t="str">
        <f>VLOOKUP(HEVARIM[[#This Row],[גיל]],GIL,2,1)</f>
        <v>--</v>
      </c>
      <c r="V23" t="str">
        <f>IF(HEVARIM[[#This Row],[קוד מעמד]]="4     ",IF(HEVARIM[[#This Row],[גיל]]=1,1,IF(HEVARIM[[#This Row],[גיל]]&lt;=5,5,18)),"")</f>
        <v/>
      </c>
      <c r="W23">
        <f t="shared" si="0"/>
        <v>0</v>
      </c>
      <c r="X2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">
        <f>IF(HEVARIM[[#This Row],[מצב משפחתי2]]="אלמן",'[2]ריכוז נתונים'!$AC$2,0)</f>
        <v>0</v>
      </c>
      <c r="Z23" s="3">
        <f>VLOOKUP(VALUE(HEVARIM[[#This Row],[קוד מעמד]]),הנחות!$I$2:$K$21,3,0)</f>
        <v>0</v>
      </c>
      <c r="AA23" t="b">
        <f>ISERROR(VLOOKUP(HEVARIM[[#This Row],[קוד תקציב]],'[2]ריכוז נתונים'!A:A,1,0))</f>
        <v>0</v>
      </c>
      <c r="AB23" s="1">
        <f t="shared" si="1"/>
        <v>0</v>
      </c>
      <c r="AC23" s="2">
        <f ca="1">IF(HEVARIM[[#This Row],[בר מצוה]]&gt;0,YEAR(TODAY())+'תקציבים מיוחדים'!$F$5-HEVARIM[[#This Row],[גיל]],0)</f>
        <v>0</v>
      </c>
      <c r="AD23" s="1">
        <f t="shared" si="2"/>
        <v>0</v>
      </c>
      <c r="AE23" s="2">
        <f ca="1">IF(HEVARIM[[#This Row],[בת מצוה]]&gt;0,YEAR(TODAY())+'תקציבים מיוחדים'!$F$5-HEVARIM[[#This Row],[גיל]],0)</f>
        <v>0</v>
      </c>
      <c r="AF23" s="1">
        <f>IF(AND($S23&gt;="רווק",$Z23=1),AF$4*IF(HEVARIM[[#This Row],[גיל]]&gt;$AF$3,1,(($G23-AF$2)/(AF$3-AF$2))),0)</f>
        <v>0</v>
      </c>
      <c r="AG2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" s="1">
        <f t="shared" si="3"/>
        <v>0</v>
      </c>
      <c r="AI23" s="2">
        <f ca="1">IF(AH23&gt;0,YEAR(TODAY())+'תקציבים מיוחדים'!$F$7-HEVARIM[[#This Row],[גיל]],0)</f>
        <v>0</v>
      </c>
      <c r="AJ23" s="9">
        <f>IF(AND(ISERROR(VLOOKUP(H23,'[2]ריכוז נתונים'!A:L,1,0)),P23="1     "),1,0)</f>
        <v>0</v>
      </c>
      <c r="AK23" s="1">
        <f>IF(VALUE(HEVARIM[[#This Row],[קוד מעמד]])=1,VLOOKUP((IF(LEFT(HEVARIM[[#This Row],[קוד חבר]],1)="0",HEVARIM[[#This Row],[קוד חבר]],VALUE(HEVARIM[[#This Row],[קוד חבר]]))),'ותק חברה 40'!AQ:AW,7,0),"")</f>
        <v>41.95</v>
      </c>
      <c r="AL23" s="1">
        <f>IF(AND(VALUE(HEVARIM[[#This Row],[קוד מעמד]])=1,HEVARIM[[#This Row],[ותק מחברה 40]]&lt;25),HEVARIM[[#This Row],[ותק מחברה 40]]/25*הנחות!$C$4,0)</f>
        <v>0</v>
      </c>
      <c r="AM23" s="9" t="str">
        <f ca="1">IF(HEVARIM[[#This Row],[דמי עזיבה 25 שנות ותק]]&gt;0,YEAR(TODAY())+25-ROUNDDOWN(HEVARIM[[#This Row],[ותק מחברה 40]],0),"")</f>
        <v/>
      </c>
      <c r="AN23" s="1">
        <f>IF(AND(VALUE(HEVARIM[[#This Row],[קוד מעמד]])=1,HEVARIM[[#This Row],[ותק מחברה 40]]&gt;25,HEVARIM[[#This Row],[גיל]]&lt;65),הנחות!$C$14+(HEVARIM[[#This Row],[ותק מחברה 40]]-25)*הנחות!$C$10*0.25,0)</f>
        <v>72254.129062499997</v>
      </c>
      <c r="AO23" s="9">
        <f ca="1">IF(HEVARIM[[#This Row],[דמי עזיבה לגיל 65]]&gt;0,YEAR(TODAY())+64-ROUNDDOWN(HEVARIM[[#This Row],[גיל]],0),"")</f>
        <v>2028</v>
      </c>
      <c r="AP23" s="1">
        <f>SUMIF(HEVARIM[קוד תקציב],HEVARIM[[#This Row],[קוד תקציב משפחה מקורי]],HEVARIM[ותק מחברה 40])</f>
        <v>75.849999999999994</v>
      </c>
      <c r="AQ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23" s="9">
        <f>IF(HEVARIM[[#This Row],[קוד מעמד]]="1     ",IFERROR(VLOOKUP(HEVARIM[[#This Row],[קוד תקציב]],'תקציב צביעה - לקראת השינוי'!A:F,4,0),0),0)</f>
        <v>2029</v>
      </c>
      <c r="AT23" s="1"/>
    </row>
    <row r="24" spans="1:46">
      <c r="A24" t="s">
        <v>419</v>
      </c>
      <c r="B24" t="s">
        <v>420</v>
      </c>
      <c r="C24" t="s">
        <v>148</v>
      </c>
      <c r="D24" t="s">
        <v>421</v>
      </c>
      <c r="E24" t="s">
        <v>79</v>
      </c>
      <c r="F24" s="4">
        <v>35638</v>
      </c>
      <c r="G24">
        <v>28</v>
      </c>
      <c r="H24" t="s">
        <v>422</v>
      </c>
      <c r="I24" t="s">
        <v>420</v>
      </c>
      <c r="J24" s="4" t="s">
        <v>70</v>
      </c>
      <c r="K24" s="4" t="s">
        <v>81</v>
      </c>
      <c r="L24" t="s">
        <v>423</v>
      </c>
      <c r="M24" t="s">
        <v>419</v>
      </c>
      <c r="N24" t="s">
        <v>420</v>
      </c>
      <c r="O24">
        <f>IFERROR(VLOOKUP(HEVARIM[[#This Row],[קוד תקציב]],[2]תקציבים!A:L,6,0),0)</f>
        <v>0</v>
      </c>
      <c r="P24" s="5" t="s">
        <v>129</v>
      </c>
      <c r="Q24" t="s">
        <v>26</v>
      </c>
      <c r="R24" s="4">
        <v>44562</v>
      </c>
      <c r="S24" s="4" t="s">
        <v>90</v>
      </c>
      <c r="T24" s="96" t="s">
        <v>150</v>
      </c>
      <c r="U24" t="str">
        <f>VLOOKUP(HEVARIM[[#This Row],[גיל]],GIL,2,1)</f>
        <v>--</v>
      </c>
      <c r="V24" t="str">
        <f>IF(HEVARIM[[#This Row],[קוד מעמד]]="4     ",IF(HEVARIM[[#This Row],[גיל]]=1,1,IF(HEVARIM[[#This Row],[גיל]]&lt;=5,5,18)),"")</f>
        <v/>
      </c>
      <c r="W24">
        <f t="shared" si="0"/>
        <v>0</v>
      </c>
      <c r="X2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">
        <f>IF(HEVARIM[[#This Row],[מצב משפחתי2]]="אלמן",'[2]ריכוז נתונים'!$AC$2,0)</f>
        <v>0</v>
      </c>
      <c r="Z24" s="3">
        <f>VLOOKUP(VALUE(HEVARIM[[#This Row],[קוד מעמד]]),הנחות!$I$2:$K$21,3,0)</f>
        <v>1</v>
      </c>
      <c r="AA24" t="b">
        <f>ISERROR(VLOOKUP(HEVARIM[[#This Row],[קוד תקציב]],'[2]ריכוז נתונים'!A:A,1,0))</f>
        <v>1</v>
      </c>
      <c r="AB24" s="1">
        <f t="shared" si="1"/>
        <v>0</v>
      </c>
      <c r="AC24" s="2">
        <f ca="1">IF(HEVARIM[[#This Row],[בר מצוה]]&gt;0,YEAR(TODAY())+'תקציבים מיוחדים'!$F$5-HEVARIM[[#This Row],[גיל]],0)</f>
        <v>0</v>
      </c>
      <c r="AD24" s="1">
        <f t="shared" si="2"/>
        <v>0</v>
      </c>
      <c r="AE24" s="2">
        <f ca="1">IF(HEVARIM[[#This Row],[בת מצוה]]&gt;0,YEAR(TODAY())+'תקציבים מיוחדים'!$F$5-HEVARIM[[#This Row],[גיל]],0)</f>
        <v>0</v>
      </c>
      <c r="AF24" s="1">
        <f>IF(AND($S24&gt;="רווק",$Z24=1),AF$4*IF(HEVARIM[[#This Row],[גיל]]&gt;$AF$3,1,(($G24-AF$2)/(AF$3-AF$2))),0)</f>
        <v>60512.5</v>
      </c>
      <c r="AG24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24" s="1">
        <f t="shared" si="3"/>
        <v>0</v>
      </c>
      <c r="AI24" s="2">
        <f ca="1">IF(AH24&gt;0,YEAR(TODAY())+'תקציבים מיוחדים'!$F$7-HEVARIM[[#This Row],[גיל]],0)</f>
        <v>0</v>
      </c>
      <c r="AJ24" s="9">
        <f>IF(AND(ISERROR(VLOOKUP(H24,'[2]ריכוז נתונים'!A:L,1,0)),P24="1     "),1,0)</f>
        <v>0</v>
      </c>
      <c r="AK2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" s="1">
        <f>IF(AND(VALUE(HEVARIM[[#This Row],[קוד מעמד]])=1,HEVARIM[[#This Row],[ותק מחברה 40]]&lt;25),HEVARIM[[#This Row],[ותק מחברה 40]]/25*הנחות!$C$4,0)</f>
        <v>0</v>
      </c>
      <c r="AM24" s="9" t="str">
        <f ca="1">IF(HEVARIM[[#This Row],[דמי עזיבה 25 שנות ותק]]&gt;0,YEAR(TODAY())+25-ROUNDDOWN(HEVARIM[[#This Row],[ותק מחברה 40]],0),"")</f>
        <v/>
      </c>
      <c r="AN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" s="9" t="str">
        <f ca="1">IF(HEVARIM[[#This Row],[דמי עזיבה לגיל 65]]&gt;0,YEAR(TODAY())+64-ROUNDDOWN(HEVARIM[[#This Row],[גיל]],0),"")</f>
        <v/>
      </c>
      <c r="AP24" s="1">
        <f>SUMIF(HEVARIM[קוד תקציב],HEVARIM[[#This Row],[קוד תקציב משפחה מקורי]],HEVARIM[ותק מחברה 40])</f>
        <v>75.849999999999994</v>
      </c>
      <c r="AQ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" s="9">
        <f>IF(HEVARIM[[#This Row],[קוד מעמד]]="1     ",IFERROR(VLOOKUP(HEVARIM[[#This Row],[קוד תקציב]],'תקציב צביעה - לקראת השינוי'!A:F,4,0),0),0)</f>
        <v>0</v>
      </c>
      <c r="AT24" s="1"/>
    </row>
    <row r="25" spans="1:46">
      <c r="A25" t="s">
        <v>424</v>
      </c>
      <c r="B25" t="s">
        <v>425</v>
      </c>
      <c r="C25" t="s">
        <v>148</v>
      </c>
      <c r="D25" t="s">
        <v>426</v>
      </c>
      <c r="E25" t="s">
        <v>67</v>
      </c>
      <c r="F25" s="4">
        <v>35638</v>
      </c>
      <c r="G25">
        <v>28</v>
      </c>
      <c r="H25" t="s">
        <v>427</v>
      </c>
      <c r="I25" t="s">
        <v>425</v>
      </c>
      <c r="J25" s="4" t="s">
        <v>70</v>
      </c>
      <c r="K25" s="4" t="s">
        <v>81</v>
      </c>
      <c r="L25" t="s">
        <v>428</v>
      </c>
      <c r="M25" t="s">
        <v>424</v>
      </c>
      <c r="N25" t="s">
        <v>425</v>
      </c>
      <c r="O25">
        <f>IFERROR(VLOOKUP(HEVARIM[[#This Row],[קוד תקציב]],[2]תקציבים!A:L,6,0),0)</f>
        <v>0</v>
      </c>
      <c r="P25" s="5" t="s">
        <v>129</v>
      </c>
      <c r="Q25" t="s">
        <v>26</v>
      </c>
      <c r="R25" s="4">
        <v>45658</v>
      </c>
      <c r="S25" s="4" t="s">
        <v>74</v>
      </c>
      <c r="T25" s="96" t="s">
        <v>150</v>
      </c>
      <c r="U25" t="str">
        <f>VLOOKUP(HEVARIM[[#This Row],[גיל]],GIL,2,1)</f>
        <v>--</v>
      </c>
      <c r="V25" t="str">
        <f>IF(HEVARIM[[#This Row],[קוד מעמד]]="4     ",IF(HEVARIM[[#This Row],[גיל]]=1,1,IF(HEVARIM[[#This Row],[גיל]]&lt;=5,5,18)),"")</f>
        <v/>
      </c>
      <c r="W25">
        <f t="shared" si="0"/>
        <v>0</v>
      </c>
      <c r="X2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">
        <f>IF(HEVARIM[[#This Row],[מצב משפחתי2]]="אלמן",'[2]ריכוז נתונים'!$AC$2,0)</f>
        <v>0</v>
      </c>
      <c r="Z25" s="3">
        <f>VLOOKUP(VALUE(HEVARIM[[#This Row],[קוד מעמד]]),הנחות!$I$2:$K$21,3,0)</f>
        <v>1</v>
      </c>
      <c r="AA25" t="b">
        <f>ISERROR(VLOOKUP(HEVARIM[[#This Row],[קוד תקציב]],'[2]ריכוז נתונים'!A:A,1,0))</f>
        <v>1</v>
      </c>
      <c r="AB25" s="1">
        <f t="shared" si="1"/>
        <v>0</v>
      </c>
      <c r="AC25" s="2">
        <f ca="1">IF(HEVARIM[[#This Row],[בר מצוה]]&gt;0,YEAR(TODAY())+'תקציבים מיוחדים'!$F$5-HEVARIM[[#This Row],[גיל]],0)</f>
        <v>0</v>
      </c>
      <c r="AD25" s="1">
        <f t="shared" si="2"/>
        <v>0</v>
      </c>
      <c r="AE25" s="2">
        <f ca="1">IF(HEVARIM[[#This Row],[בת מצוה]]&gt;0,YEAR(TODAY())+'תקציבים מיוחדים'!$F$5-HEVARIM[[#This Row],[גיל]],0)</f>
        <v>0</v>
      </c>
      <c r="AF25" s="1">
        <f>IF(AND($S25&gt;="רווק",$Z25=1),AF$4*IF(HEVARIM[[#This Row],[גיל]]&gt;$AF$3,1,(($G25-AF$2)/(AF$3-AF$2))),0)</f>
        <v>0</v>
      </c>
      <c r="AG2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" s="1">
        <f t="shared" si="3"/>
        <v>0</v>
      </c>
      <c r="AI25" s="2">
        <f ca="1">IF(AH25&gt;0,YEAR(TODAY())+'תקציבים מיוחדים'!$F$7-HEVARIM[[#This Row],[גיל]],0)</f>
        <v>0</v>
      </c>
      <c r="AJ25" s="9">
        <f>IF(AND(ISERROR(VLOOKUP(H25,'[2]ריכוז נתונים'!A:L,1,0)),P25="1     "),1,0)</f>
        <v>0</v>
      </c>
      <c r="AK2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" s="1">
        <f>IF(AND(VALUE(HEVARIM[[#This Row],[קוד מעמד]])=1,HEVARIM[[#This Row],[ותק מחברה 40]]&lt;25),HEVARIM[[#This Row],[ותק מחברה 40]]/25*הנחות!$C$4,0)</f>
        <v>0</v>
      </c>
      <c r="AM25" s="9" t="str">
        <f ca="1">IF(HEVARIM[[#This Row],[דמי עזיבה 25 שנות ותק]]&gt;0,YEAR(TODAY())+25-ROUNDDOWN(HEVARIM[[#This Row],[ותק מחברה 40]],0),"")</f>
        <v/>
      </c>
      <c r="AN2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" s="9" t="str">
        <f ca="1">IF(HEVARIM[[#This Row],[דמי עזיבה לגיל 65]]&gt;0,YEAR(TODAY())+64-ROUNDDOWN(HEVARIM[[#This Row],[גיל]],0),"")</f>
        <v/>
      </c>
      <c r="AP25" s="1">
        <f>SUMIF(HEVARIM[קוד תקציב],HEVARIM[[#This Row],[קוד תקציב משפחה מקורי]],HEVARIM[ותק מחברה 40])</f>
        <v>75.849999999999994</v>
      </c>
      <c r="AQ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" s="9">
        <f>IF(HEVARIM[[#This Row],[קוד מעמד]]="1     ",IFERROR(VLOOKUP(HEVARIM[[#This Row],[קוד תקציב]],'תקציב צביעה - לקראת השינוי'!A:F,4,0),0),0)</f>
        <v>0</v>
      </c>
      <c r="AT25" s="1"/>
    </row>
    <row r="26" spans="1:46">
      <c r="A26" t="s">
        <v>3260</v>
      </c>
      <c r="B26" t="s">
        <v>3261</v>
      </c>
      <c r="C26" t="s">
        <v>1538</v>
      </c>
      <c r="D26" t="s">
        <v>3262</v>
      </c>
      <c r="E26" t="s">
        <v>79</v>
      </c>
      <c r="F26" s="4">
        <v>35188</v>
      </c>
      <c r="G26">
        <v>29</v>
      </c>
      <c r="H26" t="s">
        <v>3263</v>
      </c>
      <c r="I26" t="s">
        <v>3264</v>
      </c>
      <c r="J26" s="4" t="s">
        <v>70</v>
      </c>
      <c r="K26" s="4" t="s">
        <v>3265</v>
      </c>
      <c r="L26" t="s">
        <v>3266</v>
      </c>
      <c r="M26" t="s">
        <v>3260</v>
      </c>
      <c r="N26" t="s">
        <v>3261</v>
      </c>
      <c r="O26">
        <f>IFERROR(VLOOKUP(HEVARIM[[#This Row],[קוד תקציב]],[2]תקציבים!A:L,6,0),0)</f>
        <v>0</v>
      </c>
      <c r="P26" s="5" t="s">
        <v>129</v>
      </c>
      <c r="Q26" t="s">
        <v>26</v>
      </c>
      <c r="R26" s="4">
        <v>44075</v>
      </c>
      <c r="S26" s="4" t="s">
        <v>90</v>
      </c>
      <c r="T26" s="96" t="s">
        <v>150</v>
      </c>
      <c r="U26" t="str">
        <f>VLOOKUP(HEVARIM[[#This Row],[גיל]],GIL,2,1)</f>
        <v>--</v>
      </c>
      <c r="V26" t="str">
        <f>IF(HEVARIM[[#This Row],[קוד מעמד]]="4     ",IF(HEVARIM[[#This Row],[גיל]]=1,1,IF(HEVARIM[[#This Row],[גיל]]&lt;=5,5,18)),"")</f>
        <v/>
      </c>
      <c r="W26">
        <f t="shared" si="0"/>
        <v>0</v>
      </c>
      <c r="X2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">
        <f>IF(HEVARIM[[#This Row],[מצב משפחתי2]]="אלמן",'[2]ריכוז נתונים'!$AC$2,0)</f>
        <v>0</v>
      </c>
      <c r="Z26" s="3">
        <f>VLOOKUP(VALUE(HEVARIM[[#This Row],[קוד מעמד]]),הנחות!$I$2:$K$21,3,0)</f>
        <v>1</v>
      </c>
      <c r="AA26" t="b">
        <f>ISERROR(VLOOKUP(HEVARIM[[#This Row],[קוד תקציב]],'[2]ריכוז נתונים'!A:A,1,0))</f>
        <v>1</v>
      </c>
      <c r="AB26" s="1">
        <f t="shared" si="1"/>
        <v>0</v>
      </c>
      <c r="AC26" s="2">
        <f ca="1">IF(HEVARIM[[#This Row],[בר מצוה]]&gt;0,YEAR(TODAY())+'תקציבים מיוחדים'!$F$5-HEVARIM[[#This Row],[גיל]],0)</f>
        <v>0</v>
      </c>
      <c r="AD26" s="1">
        <f t="shared" si="2"/>
        <v>0</v>
      </c>
      <c r="AE26" s="2">
        <f ca="1">IF(HEVARIM[[#This Row],[בת מצוה]]&gt;0,YEAR(TODAY())+'תקציבים מיוחדים'!$F$5-HEVARIM[[#This Row],[גיל]],0)</f>
        <v>0</v>
      </c>
      <c r="AF26" s="1">
        <f>IF(AND($S26&gt;="רווק",$Z26=1),AF$4*IF(HEVARIM[[#This Row],[גיל]]&gt;$AF$3,1,(($G26-AF$2)/(AF$3-AF$2))),0)</f>
        <v>60512.5</v>
      </c>
      <c r="AG26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26" s="1">
        <f t="shared" si="3"/>
        <v>0</v>
      </c>
      <c r="AI26" s="2">
        <f ca="1">IF(AH26&gt;0,YEAR(TODAY())+'תקציבים מיוחדים'!$F$7-HEVARIM[[#This Row],[גיל]],0)</f>
        <v>0</v>
      </c>
      <c r="AJ26" s="9">
        <f>IF(AND(ISERROR(VLOOKUP(H26,'[2]ריכוז נתונים'!A:L,1,0)),P26="1     "),1,0)</f>
        <v>0</v>
      </c>
      <c r="AK2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" s="1">
        <f>IF(AND(VALUE(HEVARIM[[#This Row],[קוד מעמד]])=1,HEVARIM[[#This Row],[ותק מחברה 40]]&lt;25),HEVARIM[[#This Row],[ותק מחברה 40]]/25*הנחות!$C$4,0)</f>
        <v>0</v>
      </c>
      <c r="AM26" s="9" t="str">
        <f ca="1">IF(HEVARIM[[#This Row],[דמי עזיבה 25 שנות ותק]]&gt;0,YEAR(TODAY())+25-ROUNDDOWN(HEVARIM[[#This Row],[ותק מחברה 40]],0),"")</f>
        <v/>
      </c>
      <c r="AN2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" s="9" t="str">
        <f ca="1">IF(HEVARIM[[#This Row],[דמי עזיבה לגיל 65]]&gt;0,YEAR(TODAY())+64-ROUNDDOWN(HEVARIM[[#This Row],[גיל]],0),"")</f>
        <v/>
      </c>
      <c r="AP26" s="1">
        <f>SUMIF(HEVARIM[קוד תקציב],HEVARIM[[#This Row],[קוד תקציב משפחה מקורי]],HEVARIM[ותק מחברה 40])</f>
        <v>75.849999999999994</v>
      </c>
      <c r="AQ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" s="9">
        <f>IF(HEVARIM[[#This Row],[קוד מעמד]]="1     ",IFERROR(VLOOKUP(HEVARIM[[#This Row],[קוד תקציב]],'תקציב צביעה - לקראת השינוי'!A:F,4,0),0),0)</f>
        <v>0</v>
      </c>
      <c r="AT26" s="1"/>
    </row>
    <row r="27" spans="1:46">
      <c r="A27" t="s">
        <v>157</v>
      </c>
      <c r="B27" t="s">
        <v>158</v>
      </c>
      <c r="C27" t="s">
        <v>159</v>
      </c>
      <c r="D27" t="s">
        <v>160</v>
      </c>
      <c r="E27" t="s">
        <v>67</v>
      </c>
      <c r="F27" s="4">
        <v>19414</v>
      </c>
      <c r="G27">
        <v>72</v>
      </c>
      <c r="H27" t="s">
        <v>161</v>
      </c>
      <c r="I27" t="s">
        <v>162</v>
      </c>
      <c r="J27" s="4" t="s">
        <v>70</v>
      </c>
      <c r="K27" s="4" t="s">
        <v>71</v>
      </c>
      <c r="L27" t="s">
        <v>163</v>
      </c>
      <c r="M27" t="s">
        <v>157</v>
      </c>
      <c r="N27" t="s">
        <v>158</v>
      </c>
      <c r="O27">
        <f>IFERROR(VLOOKUP(HEVARIM[[#This Row],[קוד תקציב]],[2]תקציבים!A:L,6,0),0)</f>
        <v>2</v>
      </c>
      <c r="P27" s="5" t="s">
        <v>104</v>
      </c>
      <c r="Q27" t="s">
        <v>11</v>
      </c>
      <c r="R27" s="4">
        <v>39336</v>
      </c>
      <c r="S27" s="4" t="s">
        <v>74</v>
      </c>
      <c r="T27" s="96" t="s">
        <v>161</v>
      </c>
      <c r="U27" t="str">
        <f>VLOOKUP(HEVARIM[[#This Row],[גיל]],GIL,2,1)</f>
        <v>--</v>
      </c>
      <c r="V27" t="str">
        <f>IF(HEVARIM[[#This Row],[קוד מעמד]]="4     ",IF(HEVARIM[[#This Row],[גיל]]=1,1,IF(HEVARIM[[#This Row],[גיל]]&lt;=5,5,18)),"")</f>
        <v/>
      </c>
      <c r="W27">
        <f t="shared" si="0"/>
        <v>2365</v>
      </c>
      <c r="X2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7">
        <f>IF(HEVARIM[[#This Row],[מצב משפחתי2]]="אלמן",'[2]ריכוז נתונים'!$AC$2,0)</f>
        <v>0</v>
      </c>
      <c r="Z27" s="3">
        <f>VLOOKUP(VALUE(HEVARIM[[#This Row],[קוד מעמד]]),הנחות!$I$2:$K$21,3,0)</f>
        <v>0</v>
      </c>
      <c r="AA27" t="b">
        <f>ISERROR(VLOOKUP(HEVARIM[[#This Row],[קוד תקציב]],'[2]ריכוז נתונים'!A:A,1,0))</f>
        <v>0</v>
      </c>
      <c r="AB27" s="1">
        <f t="shared" si="1"/>
        <v>0</v>
      </c>
      <c r="AC27" s="2">
        <f ca="1">IF(HEVARIM[[#This Row],[בר מצוה]]&gt;0,YEAR(TODAY())+'תקציבים מיוחדים'!$F$5-HEVARIM[[#This Row],[גיל]],0)</f>
        <v>0</v>
      </c>
      <c r="AD27" s="1">
        <f t="shared" si="2"/>
        <v>0</v>
      </c>
      <c r="AE27" s="2">
        <f ca="1">IF(HEVARIM[[#This Row],[בת מצוה]]&gt;0,YEAR(TODAY())+'תקציבים מיוחדים'!$F$5-HEVARIM[[#This Row],[גיל]],0)</f>
        <v>0</v>
      </c>
      <c r="AF27" s="1">
        <f>IF(AND($S27&gt;="רווק",$Z27=1),AF$4*IF(HEVARIM[[#This Row],[גיל]]&gt;$AF$3,1,(($G27-AF$2)/(AF$3-AF$2))),0)</f>
        <v>0</v>
      </c>
      <c r="AG2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7" s="1">
        <f t="shared" si="3"/>
        <v>0</v>
      </c>
      <c r="AI27" s="2">
        <f ca="1">IF(AH27&gt;0,YEAR(TODAY())+'תקציבים מיוחדים'!$F$7-HEVARIM[[#This Row],[גיל]],0)</f>
        <v>0</v>
      </c>
      <c r="AJ27" s="9">
        <f>IF(AND(ISERROR(VLOOKUP(H27,'[2]ריכוז נתונים'!A:L,1,0)),P27="1     "),1,0)</f>
        <v>0</v>
      </c>
      <c r="AK2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7" s="1">
        <f>IF(AND(VALUE(HEVARIM[[#This Row],[קוד מעמד]])=1,HEVARIM[[#This Row],[ותק מחברה 40]]&lt;25),HEVARIM[[#This Row],[ותק מחברה 40]]/25*הנחות!$C$4,0)</f>
        <v>0</v>
      </c>
      <c r="AM27" s="9" t="str">
        <f ca="1">IF(HEVARIM[[#This Row],[דמי עזיבה 25 שנות ותק]]&gt;0,YEAR(TODAY())+25-ROUNDDOWN(HEVARIM[[#This Row],[ותק מחברה 40]],0),"")</f>
        <v/>
      </c>
      <c r="AN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" s="9" t="str">
        <f ca="1">IF(HEVARIM[[#This Row],[דמי עזיבה לגיל 65]]&gt;0,YEAR(TODAY())+64-ROUNDDOWN(HEVARIM[[#This Row],[גיל]],0),"")</f>
        <v/>
      </c>
      <c r="AP27" s="1">
        <f>SUMIF(HEVARIM[קוד תקציב],HEVARIM[[#This Row],[קוד תקציב משפחה מקורי]],HEVARIM[ותק מחברה 40])</f>
        <v>96</v>
      </c>
      <c r="AQ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27" s="9">
        <f>IF(HEVARIM[[#This Row],[קוד מעמד]]="1     ",IFERROR(VLOOKUP(HEVARIM[[#This Row],[קוד תקציב]],'תקציב צביעה - לקראת השינוי'!A:F,4,0),0),0)</f>
        <v>2029</v>
      </c>
      <c r="AT27" s="1"/>
    </row>
    <row r="28" spans="1:46">
      <c r="A28" t="s">
        <v>174</v>
      </c>
      <c r="B28" t="s">
        <v>175</v>
      </c>
      <c r="C28" t="s">
        <v>176</v>
      </c>
      <c r="D28" t="s">
        <v>177</v>
      </c>
      <c r="E28" t="s">
        <v>67</v>
      </c>
      <c r="F28" s="4">
        <v>21047</v>
      </c>
      <c r="G28">
        <v>68</v>
      </c>
      <c r="H28" t="s">
        <v>178</v>
      </c>
      <c r="I28" t="s">
        <v>179</v>
      </c>
      <c r="J28" s="4" t="s">
        <v>70</v>
      </c>
      <c r="K28" s="4" t="s">
        <v>71</v>
      </c>
      <c r="L28" t="s">
        <v>180</v>
      </c>
      <c r="M28" t="s">
        <v>174</v>
      </c>
      <c r="N28" t="s">
        <v>175</v>
      </c>
      <c r="O28">
        <f>IFERROR(VLOOKUP(HEVARIM[[#This Row],[קוד תקציב]],[2]תקציבים!A:L,6,0),0)</f>
        <v>2</v>
      </c>
      <c r="P28" s="5" t="s">
        <v>104</v>
      </c>
      <c r="Q28" t="s">
        <v>11</v>
      </c>
      <c r="R28" s="4">
        <v>32747</v>
      </c>
      <c r="S28" s="4" t="s">
        <v>74</v>
      </c>
      <c r="T28" s="96" t="s">
        <v>178</v>
      </c>
      <c r="U28" t="str">
        <f>VLOOKUP(HEVARIM[[#This Row],[גיל]],GIL,2,1)</f>
        <v>--</v>
      </c>
      <c r="V28" t="str">
        <f>IF(HEVARIM[[#This Row],[קוד מעמד]]="4     ",IF(HEVARIM[[#This Row],[גיל]]=1,1,IF(HEVARIM[[#This Row],[גיל]]&lt;=5,5,18)),"")</f>
        <v/>
      </c>
      <c r="W28">
        <f t="shared" si="0"/>
        <v>2365</v>
      </c>
      <c r="X2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8">
        <f>IF(HEVARIM[[#This Row],[מצב משפחתי2]]="אלמן",'[2]ריכוז נתונים'!$AC$2,0)</f>
        <v>0</v>
      </c>
      <c r="Z28" s="3">
        <f>VLOOKUP(VALUE(HEVARIM[[#This Row],[קוד מעמד]]),הנחות!$I$2:$K$21,3,0)</f>
        <v>0</v>
      </c>
      <c r="AA28" t="b">
        <f>ISERROR(VLOOKUP(HEVARIM[[#This Row],[קוד תקציב]],'[2]ריכוז נתונים'!A:A,1,0))</f>
        <v>0</v>
      </c>
      <c r="AB28" s="1">
        <f t="shared" si="1"/>
        <v>0</v>
      </c>
      <c r="AC28" s="2">
        <f ca="1">IF(HEVARIM[[#This Row],[בר מצוה]]&gt;0,YEAR(TODAY())+'תקציבים מיוחדים'!$F$5-HEVARIM[[#This Row],[גיל]],0)</f>
        <v>0</v>
      </c>
      <c r="AD28" s="1">
        <f t="shared" si="2"/>
        <v>0</v>
      </c>
      <c r="AE28" s="2">
        <f ca="1">IF(HEVARIM[[#This Row],[בת מצוה]]&gt;0,YEAR(TODAY())+'תקציבים מיוחדים'!$F$5-HEVARIM[[#This Row],[גיל]],0)</f>
        <v>0</v>
      </c>
      <c r="AF28" s="1">
        <f>IF(AND($S28&gt;="רווק",$Z28=1),AF$4*IF(HEVARIM[[#This Row],[גיל]]&gt;$AF$3,1,(($G28-AF$2)/(AF$3-AF$2))),0)</f>
        <v>0</v>
      </c>
      <c r="AG2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8" s="1">
        <f t="shared" si="3"/>
        <v>0</v>
      </c>
      <c r="AI28" s="2">
        <f ca="1">IF(AH28&gt;0,YEAR(TODAY())+'תקציבים מיוחדים'!$F$7-HEVARIM[[#This Row],[גיל]],0)</f>
        <v>0</v>
      </c>
      <c r="AJ28" s="9">
        <f>IF(AND(ISERROR(VLOOKUP(H28,'[2]ריכוז נתונים'!A:L,1,0)),P28="1     "),1,0)</f>
        <v>0</v>
      </c>
      <c r="AK28" s="1">
        <f>IF(VALUE(HEVARIM[[#This Row],[קוד מעמד]])=1,VLOOKUP((IF(LEFT(HEVARIM[[#This Row],[קוד חבר]],1)="0",HEVARIM[[#This Row],[קוד חבר]],VALUE(HEVARIM[[#This Row],[קוד חבר]]))),'ותק חברה 40'!AQ:AW,7,0),"")</f>
        <v>36.04</v>
      </c>
      <c r="AL28" s="1">
        <f>IF(AND(VALUE(HEVARIM[[#This Row],[קוד מעמד]])=1,HEVARIM[[#This Row],[ותק מחברה 40]]&lt;25),HEVARIM[[#This Row],[ותק מחברה 40]]/25*הנחות!$C$4,0)</f>
        <v>0</v>
      </c>
      <c r="AM28" s="9" t="str">
        <f ca="1">IF(HEVARIM[[#This Row],[דמי עזיבה 25 שנות ותק]]&gt;0,YEAR(TODAY())+25-ROUNDDOWN(HEVARIM[[#This Row],[ותק מחברה 40]],0),"")</f>
        <v/>
      </c>
      <c r="AN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" s="9" t="str">
        <f ca="1">IF(HEVARIM[[#This Row],[דמי עזיבה לגיל 65]]&gt;0,YEAR(TODAY())+64-ROUNDDOWN(HEVARIM[[#This Row],[גיל]],0),"")</f>
        <v/>
      </c>
      <c r="AP28" s="1">
        <f>SUMIF(HEVARIM[קוד תקציב],HEVARIM[[#This Row],[קוד תקציב משפחה מקורי]],HEVARIM[ותק מחברה 40])</f>
        <v>72.08</v>
      </c>
      <c r="AQ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28" s="9">
        <f>IF(HEVARIM[[#This Row],[קוד מעמד]]="1     ",IFERROR(VLOOKUP(HEVARIM[[#This Row],[קוד תקציב]],'תקציב צביעה - לקראת השינוי'!A:F,4,0),0),0)</f>
        <v>2029</v>
      </c>
      <c r="AT28" s="1"/>
    </row>
    <row r="29" spans="1:46">
      <c r="A29" t="s">
        <v>181</v>
      </c>
      <c r="B29" t="s">
        <v>182</v>
      </c>
      <c r="C29" t="s">
        <v>176</v>
      </c>
      <c r="D29" t="s">
        <v>183</v>
      </c>
      <c r="E29" t="s">
        <v>79</v>
      </c>
      <c r="F29" s="4">
        <v>22010</v>
      </c>
      <c r="G29">
        <v>65</v>
      </c>
      <c r="H29" t="s">
        <v>178</v>
      </c>
      <c r="I29" t="s">
        <v>179</v>
      </c>
      <c r="J29" s="4" t="s">
        <v>70</v>
      </c>
      <c r="K29" s="4" t="s">
        <v>71</v>
      </c>
      <c r="L29" t="s">
        <v>184</v>
      </c>
      <c r="M29" t="s">
        <v>174</v>
      </c>
      <c r="N29" t="s">
        <v>175</v>
      </c>
      <c r="O29">
        <f>IFERROR(VLOOKUP(HEVARIM[[#This Row],[קוד תקציב]],[2]תקציבים!A:L,6,0),0)</f>
        <v>2</v>
      </c>
      <c r="P29" s="5" t="s">
        <v>104</v>
      </c>
      <c r="Q29" t="s">
        <v>11</v>
      </c>
      <c r="R29" s="4">
        <v>32747</v>
      </c>
      <c r="S29" s="4" t="s">
        <v>74</v>
      </c>
      <c r="T29" s="96" t="s">
        <v>178</v>
      </c>
      <c r="U29" t="str">
        <f>VLOOKUP(HEVARIM[[#This Row],[גיל]],GIL,2,1)</f>
        <v>--</v>
      </c>
      <c r="V29" t="str">
        <f>IF(HEVARIM[[#This Row],[קוד מעמד]]="4     ",IF(HEVARIM[[#This Row],[גיל]]=1,1,IF(HEVARIM[[#This Row],[גיל]]&lt;=5,5,18)),"")</f>
        <v/>
      </c>
      <c r="W29">
        <f t="shared" si="0"/>
        <v>0</v>
      </c>
      <c r="X2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9">
        <f>IF(HEVARIM[[#This Row],[מצב משפחתי2]]="אלמן",'[2]ריכוז נתונים'!$AC$2,0)</f>
        <v>0</v>
      </c>
      <c r="Z29" s="3">
        <f>VLOOKUP(VALUE(HEVARIM[[#This Row],[קוד מעמד]]),הנחות!$I$2:$K$21,3,0)</f>
        <v>0</v>
      </c>
      <c r="AA29" t="b">
        <f>ISERROR(VLOOKUP(HEVARIM[[#This Row],[קוד תקציב]],'[2]ריכוז נתונים'!A:A,1,0))</f>
        <v>0</v>
      </c>
      <c r="AB29" s="1">
        <f t="shared" si="1"/>
        <v>0</v>
      </c>
      <c r="AC29" s="2">
        <f ca="1">IF(HEVARIM[[#This Row],[בר מצוה]]&gt;0,YEAR(TODAY())+'תקציבים מיוחדים'!$F$5-HEVARIM[[#This Row],[גיל]],0)</f>
        <v>0</v>
      </c>
      <c r="AD29" s="1">
        <f t="shared" si="2"/>
        <v>0</v>
      </c>
      <c r="AE29" s="2">
        <f ca="1">IF(HEVARIM[[#This Row],[בת מצוה]]&gt;0,YEAR(TODAY())+'תקציבים מיוחדים'!$F$5-HEVARIM[[#This Row],[גיל]],0)</f>
        <v>0</v>
      </c>
      <c r="AF29" s="1">
        <f>IF(AND($S29&gt;="רווק",$Z29=1),AF$4*IF(HEVARIM[[#This Row],[גיל]]&gt;$AF$3,1,(($G29-AF$2)/(AF$3-AF$2))),0)</f>
        <v>0</v>
      </c>
      <c r="AG2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" s="1">
        <f t="shared" si="3"/>
        <v>0</v>
      </c>
      <c r="AI29" s="2">
        <f ca="1">IF(AH29&gt;0,YEAR(TODAY())+'תקציבים מיוחדים'!$F$7-HEVARIM[[#This Row],[גיל]],0)</f>
        <v>0</v>
      </c>
      <c r="AJ29" s="9">
        <f>IF(AND(ISERROR(VLOOKUP(H29,'[2]ריכוז נתונים'!A:L,1,0)),P29="1     "),1,0)</f>
        <v>0</v>
      </c>
      <c r="AK29" s="1">
        <f>IF(VALUE(HEVARIM[[#This Row],[קוד מעמד]])=1,VLOOKUP((IF(LEFT(HEVARIM[[#This Row],[קוד חבר]],1)="0",HEVARIM[[#This Row],[קוד חבר]],VALUE(HEVARIM[[#This Row],[קוד חבר]]))),'ותק חברה 40'!AQ:AW,7,0),"")</f>
        <v>36.04</v>
      </c>
      <c r="AL29" s="1">
        <f>IF(AND(VALUE(HEVARIM[[#This Row],[קוד מעמד]])=1,HEVARIM[[#This Row],[ותק מחברה 40]]&lt;25),HEVARIM[[#This Row],[ותק מחברה 40]]/25*הנחות!$C$4,0)</f>
        <v>0</v>
      </c>
      <c r="AM29" s="9" t="str">
        <f ca="1">IF(HEVARIM[[#This Row],[דמי עזיבה 25 שנות ותק]]&gt;0,YEAR(TODAY())+25-ROUNDDOWN(HEVARIM[[#This Row],[ותק מחברה 40]],0),"")</f>
        <v/>
      </c>
      <c r="AN2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" s="9" t="str">
        <f ca="1">IF(HEVARIM[[#This Row],[דמי עזיבה לגיל 65]]&gt;0,YEAR(TODAY())+64-ROUNDDOWN(HEVARIM[[#This Row],[גיל]],0),"")</f>
        <v/>
      </c>
      <c r="AP29" s="1">
        <f>SUMIF(HEVARIM[קוד תקציב],HEVARIM[[#This Row],[קוד תקציב משפחה מקורי]],HEVARIM[ותק מחברה 40])</f>
        <v>72.08</v>
      </c>
      <c r="AQ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29" s="9">
        <f>IF(HEVARIM[[#This Row],[קוד מעמד]]="1     ",IFERROR(VLOOKUP(HEVARIM[[#This Row],[קוד תקציב]],'תקציב צביעה - לקראת השינוי'!A:F,4,0),0),0)</f>
        <v>2029</v>
      </c>
      <c r="AT29" s="1"/>
    </row>
    <row r="30" spans="1:46">
      <c r="A30" t="s">
        <v>260</v>
      </c>
      <c r="B30" t="s">
        <v>261</v>
      </c>
      <c r="C30" t="s">
        <v>176</v>
      </c>
      <c r="D30" t="s">
        <v>262</v>
      </c>
      <c r="E30" t="s">
        <v>67</v>
      </c>
      <c r="F30" s="4">
        <v>33725</v>
      </c>
      <c r="G30">
        <v>33</v>
      </c>
      <c r="H30" t="s">
        <v>263</v>
      </c>
      <c r="I30" t="s">
        <v>264</v>
      </c>
      <c r="J30" s="4" t="s">
        <v>70</v>
      </c>
      <c r="K30" s="4" t="s">
        <v>81</v>
      </c>
      <c r="L30" t="s">
        <v>265</v>
      </c>
      <c r="M30" t="s">
        <v>260</v>
      </c>
      <c r="N30" t="s">
        <v>261</v>
      </c>
      <c r="O30">
        <f>IFERROR(VLOOKUP(HEVARIM[[#This Row],[קוד תקציב]],[2]תקציבים!A:L,6,0),0)</f>
        <v>0</v>
      </c>
      <c r="P30" s="5" t="s">
        <v>83</v>
      </c>
      <c r="Q30" t="s">
        <v>15</v>
      </c>
      <c r="R30" s="4">
        <v>44927</v>
      </c>
      <c r="S30" s="4" t="s">
        <v>74</v>
      </c>
      <c r="T30" s="96" t="s">
        <v>178</v>
      </c>
      <c r="U30" t="str">
        <f>VLOOKUP(HEVARIM[[#This Row],[גיל]],GIL,2,1)</f>
        <v>--</v>
      </c>
      <c r="V30" t="str">
        <f>IF(HEVARIM[[#This Row],[קוד מעמד]]="4     ",IF(HEVARIM[[#This Row],[גיל]]=1,1,IF(HEVARIM[[#This Row],[גיל]]&lt;=5,5,18)),"")</f>
        <v/>
      </c>
      <c r="W30">
        <f t="shared" si="0"/>
        <v>0</v>
      </c>
      <c r="X3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">
        <f>IF(HEVARIM[[#This Row],[מצב משפחתי2]]="אלמן",'[2]ריכוז נתונים'!$AC$2,0)</f>
        <v>0</v>
      </c>
      <c r="Z30" s="3">
        <f>VLOOKUP(VALUE(HEVARIM[[#This Row],[קוד מעמד]]),הנחות!$I$2:$K$21,3,0)</f>
        <v>0</v>
      </c>
      <c r="AA30" t="b">
        <f>ISERROR(VLOOKUP(HEVARIM[[#This Row],[קוד תקציב]],'[2]ריכוז נתונים'!A:A,1,0))</f>
        <v>1</v>
      </c>
      <c r="AB30" s="1">
        <f t="shared" si="1"/>
        <v>0</v>
      </c>
      <c r="AC30" s="2">
        <f ca="1">IF(HEVARIM[[#This Row],[בר מצוה]]&gt;0,YEAR(TODAY())+'תקציבים מיוחדים'!$F$5-HEVARIM[[#This Row],[גיל]],0)</f>
        <v>0</v>
      </c>
      <c r="AD30" s="1">
        <f t="shared" si="2"/>
        <v>0</v>
      </c>
      <c r="AE30" s="2">
        <f ca="1">IF(HEVARIM[[#This Row],[בת מצוה]]&gt;0,YEAR(TODAY())+'תקציבים מיוחדים'!$F$5-HEVARIM[[#This Row],[גיל]],0)</f>
        <v>0</v>
      </c>
      <c r="AF30" s="1">
        <f>IF(AND($S30&gt;="רווק",$Z30=1),AF$4*IF(HEVARIM[[#This Row],[גיל]]&gt;$AF$3,1,(($G30-AF$2)/(AF$3-AF$2))),0)</f>
        <v>0</v>
      </c>
      <c r="AG3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0" s="1">
        <f t="shared" si="3"/>
        <v>0</v>
      </c>
      <c r="AI30" s="2">
        <f ca="1">IF(AH30&gt;0,YEAR(TODAY())+'תקציבים מיוחדים'!$F$7-HEVARIM[[#This Row],[גיל]],0)</f>
        <v>0</v>
      </c>
      <c r="AJ30" s="9">
        <f>IF(AND(ISERROR(VLOOKUP(H30,'[2]ריכוז נתונים'!A:L,1,0)),P30="1     "),1,0)</f>
        <v>0</v>
      </c>
      <c r="AK3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" s="1">
        <f>IF(AND(VALUE(HEVARIM[[#This Row],[קוד מעמד]])=1,HEVARIM[[#This Row],[ותק מחברה 40]]&lt;25),HEVARIM[[#This Row],[ותק מחברה 40]]/25*הנחות!$C$4,0)</f>
        <v>0</v>
      </c>
      <c r="AM30" s="9" t="str">
        <f ca="1">IF(HEVARIM[[#This Row],[דמי עזיבה 25 שנות ותק]]&gt;0,YEAR(TODAY())+25-ROUNDDOWN(HEVARIM[[#This Row],[ותק מחברה 40]],0),"")</f>
        <v/>
      </c>
      <c r="AN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" s="9" t="str">
        <f ca="1">IF(HEVARIM[[#This Row],[דמי עזיבה לגיל 65]]&gt;0,YEAR(TODAY())+64-ROUNDDOWN(HEVARIM[[#This Row],[גיל]],0),"")</f>
        <v/>
      </c>
      <c r="AP30" s="1">
        <f>SUMIF(HEVARIM[קוד תקציב],HEVARIM[[#This Row],[קוד תקציב משפחה מקורי]],HEVARIM[ותק מחברה 40])</f>
        <v>72.08</v>
      </c>
      <c r="AQ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" s="9">
        <f>IF(HEVARIM[[#This Row],[קוד מעמד]]="1     ",IFERROR(VLOOKUP(HEVARIM[[#This Row],[קוד תקציב]],'תקציב צביעה - לקראת השינוי'!A:F,4,0),0),0)</f>
        <v>0</v>
      </c>
      <c r="AT30" s="1"/>
    </row>
    <row r="31" spans="1:46">
      <c r="A31" t="s">
        <v>385</v>
      </c>
      <c r="B31" t="s">
        <v>386</v>
      </c>
      <c r="C31" t="s">
        <v>176</v>
      </c>
      <c r="D31" t="s">
        <v>387</v>
      </c>
      <c r="E31" t="s">
        <v>79</v>
      </c>
      <c r="F31" s="4">
        <v>34905</v>
      </c>
      <c r="G31">
        <v>30</v>
      </c>
      <c r="H31" t="s">
        <v>388</v>
      </c>
      <c r="I31" t="s">
        <v>386</v>
      </c>
      <c r="J31" s="4" t="s">
        <v>70</v>
      </c>
      <c r="K31" s="4" t="s">
        <v>81</v>
      </c>
      <c r="L31" t="s">
        <v>389</v>
      </c>
      <c r="M31" t="s">
        <v>385</v>
      </c>
      <c r="N31" t="s">
        <v>386</v>
      </c>
      <c r="O31">
        <f>IFERROR(VLOOKUP(HEVARIM[[#This Row],[קוד תקציב]],[2]תקציבים!A:L,6,0),0)</f>
        <v>0</v>
      </c>
      <c r="P31" s="5" t="s">
        <v>129</v>
      </c>
      <c r="Q31" t="s">
        <v>26</v>
      </c>
      <c r="R31" s="4">
        <v>44774</v>
      </c>
      <c r="S31" s="4" t="s">
        <v>90</v>
      </c>
      <c r="T31" s="96" t="s">
        <v>178</v>
      </c>
      <c r="U31" t="str">
        <f>VLOOKUP(HEVARIM[[#This Row],[גיל]],GIL,2,1)</f>
        <v>--</v>
      </c>
      <c r="V31" t="str">
        <f>IF(HEVARIM[[#This Row],[קוד מעמד]]="4     ",IF(HEVARIM[[#This Row],[גיל]]=1,1,IF(HEVARIM[[#This Row],[גיל]]&lt;=5,5,18)),"")</f>
        <v/>
      </c>
      <c r="W31">
        <f t="shared" si="0"/>
        <v>0</v>
      </c>
      <c r="X3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">
        <f>IF(HEVARIM[[#This Row],[מצב משפחתי2]]="אלמן",'[2]ריכוז נתונים'!$AC$2,0)</f>
        <v>0</v>
      </c>
      <c r="Z31" s="3">
        <f>VLOOKUP(VALUE(HEVARIM[[#This Row],[קוד מעמד]]),הנחות!$I$2:$K$21,3,0)</f>
        <v>1</v>
      </c>
      <c r="AA31" t="b">
        <f>ISERROR(VLOOKUP(HEVARIM[[#This Row],[קוד תקציב]],'[2]ריכוז נתונים'!A:A,1,0))</f>
        <v>1</v>
      </c>
      <c r="AB31" s="1">
        <f t="shared" si="1"/>
        <v>0</v>
      </c>
      <c r="AC31" s="2">
        <f ca="1">IF(HEVARIM[[#This Row],[בר מצוה]]&gt;0,YEAR(TODAY())+'תקציבים מיוחדים'!$F$5-HEVARIM[[#This Row],[גיל]],0)</f>
        <v>0</v>
      </c>
      <c r="AD31" s="1">
        <f t="shared" si="2"/>
        <v>0</v>
      </c>
      <c r="AE31" s="2">
        <f ca="1">IF(HEVARIM[[#This Row],[בת מצוה]]&gt;0,YEAR(TODAY())+'תקציבים מיוחדים'!$F$5-HEVARIM[[#This Row],[גיל]],0)</f>
        <v>0</v>
      </c>
      <c r="AF31" s="1">
        <f>IF(AND($S31&gt;="רווק",$Z31=1),AF$4*IF(HEVARIM[[#This Row],[גיל]]&gt;$AF$3,1,(($G31-AF$2)/(AF$3-AF$2))),0)</f>
        <v>60512.5</v>
      </c>
      <c r="AG31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1" s="1">
        <f t="shared" si="3"/>
        <v>0</v>
      </c>
      <c r="AI31" s="2">
        <f ca="1">IF(AH31&gt;0,YEAR(TODAY())+'תקציבים מיוחדים'!$F$7-HEVARIM[[#This Row],[גיל]],0)</f>
        <v>0</v>
      </c>
      <c r="AJ31" s="9">
        <f>IF(AND(ISERROR(VLOOKUP(H31,'[2]ריכוז נתונים'!A:L,1,0)),P31="1     "),1,0)</f>
        <v>0</v>
      </c>
      <c r="AK3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" s="1">
        <f>IF(AND(VALUE(HEVARIM[[#This Row],[קוד מעמד]])=1,HEVARIM[[#This Row],[ותק מחברה 40]]&lt;25),HEVARIM[[#This Row],[ותק מחברה 40]]/25*הנחות!$C$4,0)</f>
        <v>0</v>
      </c>
      <c r="AM31" s="9" t="str">
        <f ca="1">IF(HEVARIM[[#This Row],[דמי עזיבה 25 שנות ותק]]&gt;0,YEAR(TODAY())+25-ROUNDDOWN(HEVARIM[[#This Row],[ותק מחברה 40]],0),"")</f>
        <v/>
      </c>
      <c r="AN3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" s="9" t="str">
        <f ca="1">IF(HEVARIM[[#This Row],[דמי עזיבה לגיל 65]]&gt;0,YEAR(TODAY())+64-ROUNDDOWN(HEVARIM[[#This Row],[גיל]],0),"")</f>
        <v/>
      </c>
      <c r="AP31" s="1">
        <f>SUMIF(HEVARIM[קוד תקציב],HEVARIM[[#This Row],[קוד תקציב משפחה מקורי]],HEVARIM[ותק מחברה 40])</f>
        <v>72.08</v>
      </c>
      <c r="AQ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" s="9">
        <f>IF(HEVARIM[[#This Row],[קוד מעמד]]="1     ",IFERROR(VLOOKUP(HEVARIM[[#This Row],[קוד תקציב]],'תקציב צביעה - לקראת השינוי'!A:F,4,0),0),0)</f>
        <v>0</v>
      </c>
      <c r="AT31" s="1"/>
    </row>
    <row r="32" spans="1:46">
      <c r="A32" t="s">
        <v>390</v>
      </c>
      <c r="B32" t="s">
        <v>391</v>
      </c>
      <c r="C32" t="s">
        <v>65</v>
      </c>
      <c r="D32" t="s">
        <v>392</v>
      </c>
      <c r="E32" t="s">
        <v>67</v>
      </c>
      <c r="F32" s="4">
        <v>34831</v>
      </c>
      <c r="G32">
        <v>30</v>
      </c>
      <c r="H32" t="s">
        <v>393</v>
      </c>
      <c r="I32" t="s">
        <v>394</v>
      </c>
      <c r="J32" s="4" t="s">
        <v>70</v>
      </c>
      <c r="K32" s="4" t="s">
        <v>81</v>
      </c>
      <c r="L32" t="s">
        <v>395</v>
      </c>
      <c r="M32" t="s">
        <v>390</v>
      </c>
      <c r="N32" t="s">
        <v>391</v>
      </c>
      <c r="O32">
        <f>IFERROR(VLOOKUP(HEVARIM[[#This Row],[קוד תקציב]],[2]תקציבים!A:L,6,0),0)</f>
        <v>0</v>
      </c>
      <c r="P32" s="5" t="s">
        <v>83</v>
      </c>
      <c r="Q32" t="s">
        <v>15</v>
      </c>
      <c r="R32" s="4">
        <v>45789</v>
      </c>
      <c r="S32" s="4" t="s">
        <v>74</v>
      </c>
      <c r="T32" s="96" t="s">
        <v>68</v>
      </c>
      <c r="U32" t="str">
        <f>VLOOKUP(HEVARIM[[#This Row],[גיל]],GIL,2,1)</f>
        <v>--</v>
      </c>
      <c r="V32" t="str">
        <f>IF(HEVARIM[[#This Row],[קוד מעמד]]="4     ",IF(HEVARIM[[#This Row],[גיל]]=1,1,IF(HEVARIM[[#This Row],[גיל]]&lt;=5,5,18)),"")</f>
        <v/>
      </c>
      <c r="W32">
        <f t="shared" si="0"/>
        <v>0</v>
      </c>
      <c r="X3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">
        <f>IF(HEVARIM[[#This Row],[מצב משפחתי2]]="אלמן",'[2]ריכוז נתונים'!$AC$2,0)</f>
        <v>0</v>
      </c>
      <c r="Z32" s="3">
        <f>VLOOKUP(VALUE(HEVARIM[[#This Row],[קוד מעמד]]),הנחות!$I$2:$K$21,3,0)</f>
        <v>0</v>
      </c>
      <c r="AA32" t="b">
        <f>ISERROR(VLOOKUP(HEVARIM[[#This Row],[קוד תקציב]],'[2]ריכוז נתונים'!A:A,1,0))</f>
        <v>1</v>
      </c>
      <c r="AB32" s="1">
        <f t="shared" si="1"/>
        <v>0</v>
      </c>
      <c r="AC32" s="2">
        <f ca="1">IF(HEVARIM[[#This Row],[בר מצוה]]&gt;0,YEAR(TODAY())+'תקציבים מיוחדים'!$F$5-HEVARIM[[#This Row],[גיל]],0)</f>
        <v>0</v>
      </c>
      <c r="AD32" s="1">
        <f t="shared" si="2"/>
        <v>0</v>
      </c>
      <c r="AE32" s="2">
        <f ca="1">IF(HEVARIM[[#This Row],[בת מצוה]]&gt;0,YEAR(TODAY())+'תקציבים מיוחדים'!$F$5-HEVARIM[[#This Row],[גיל]],0)</f>
        <v>0</v>
      </c>
      <c r="AF32" s="1">
        <f>IF(AND($S32&gt;="רווק",$Z32=1),AF$4*IF(HEVARIM[[#This Row],[גיל]]&gt;$AF$3,1,(($G32-AF$2)/(AF$3-AF$2))),0)</f>
        <v>0</v>
      </c>
      <c r="AG3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2" s="1">
        <f t="shared" si="3"/>
        <v>0</v>
      </c>
      <c r="AI32" s="2">
        <f ca="1">IF(AH32&gt;0,YEAR(TODAY())+'תקציבים מיוחדים'!$F$7-HEVARIM[[#This Row],[גיל]],0)</f>
        <v>0</v>
      </c>
      <c r="AJ32" s="9">
        <f>IF(AND(ISERROR(VLOOKUP(H32,'[2]ריכוז נתונים'!A:L,1,0)),P32="1     "),1,0)</f>
        <v>0</v>
      </c>
      <c r="AK3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" s="1">
        <f>IF(AND(VALUE(HEVARIM[[#This Row],[קוד מעמד]])=1,HEVARIM[[#This Row],[ותק מחברה 40]]&lt;25),HEVARIM[[#This Row],[ותק מחברה 40]]/25*הנחות!$C$4,0)</f>
        <v>0</v>
      </c>
      <c r="AM32" s="9" t="str">
        <f ca="1">IF(HEVARIM[[#This Row],[דמי עזיבה 25 שנות ותק]]&gt;0,YEAR(TODAY())+25-ROUNDDOWN(HEVARIM[[#This Row],[ותק מחברה 40]],0),"")</f>
        <v/>
      </c>
      <c r="AN3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" s="9" t="str">
        <f ca="1">IF(HEVARIM[[#This Row],[דמי עזיבה לגיל 65]]&gt;0,YEAR(TODAY())+64-ROUNDDOWN(HEVARIM[[#This Row],[גיל]],0),"")</f>
        <v/>
      </c>
      <c r="AP32" s="1">
        <f>SUMIF(HEVARIM[קוד תקציב],HEVARIM[[#This Row],[קוד תקציב משפחה מקורי]],HEVARIM[ותק מחברה 40])</f>
        <v>82.19</v>
      </c>
      <c r="AQ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" s="9">
        <f>IF(HEVARIM[[#This Row],[קוד מעמד]]="1     ",IFERROR(VLOOKUP(HEVARIM[[#This Row],[קוד תקציב]],'תקציב צביעה - לקראת השינוי'!A:F,4,0),0),0)</f>
        <v>0</v>
      </c>
      <c r="AT32" s="1"/>
    </row>
    <row r="33" spans="1:46">
      <c r="A33" t="s">
        <v>401</v>
      </c>
      <c r="B33" t="s">
        <v>402</v>
      </c>
      <c r="C33" t="s">
        <v>403</v>
      </c>
      <c r="D33" t="s">
        <v>404</v>
      </c>
      <c r="E33" t="s">
        <v>79</v>
      </c>
      <c r="F33" s="4">
        <v>35293</v>
      </c>
      <c r="G33">
        <v>29</v>
      </c>
      <c r="H33" t="s">
        <v>405</v>
      </c>
      <c r="I33" t="s">
        <v>406</v>
      </c>
      <c r="J33" s="4" t="s">
        <v>70</v>
      </c>
      <c r="K33" s="4" t="s">
        <v>81</v>
      </c>
      <c r="L33" t="s">
        <v>407</v>
      </c>
      <c r="M33" t="s">
        <v>408</v>
      </c>
      <c r="N33" t="s">
        <v>409</v>
      </c>
      <c r="O33">
        <f>IFERROR(VLOOKUP(HEVARIM[[#This Row],[קוד תקציב]],[2]תקציבים!A:L,6,0),0)</f>
        <v>0</v>
      </c>
      <c r="P33" s="5" t="s">
        <v>129</v>
      </c>
      <c r="Q33" t="s">
        <v>26</v>
      </c>
      <c r="R33" s="4">
        <v>44562</v>
      </c>
      <c r="S33" s="4" t="s">
        <v>74</v>
      </c>
      <c r="T33" s="96" t="s">
        <v>68</v>
      </c>
      <c r="U33" t="str">
        <f>VLOOKUP(HEVARIM[[#This Row],[גיל]],GIL,2,1)</f>
        <v>--</v>
      </c>
      <c r="V33" t="str">
        <f>IF(HEVARIM[[#This Row],[קוד מעמד]]="4     ",IF(HEVARIM[[#This Row],[גיל]]=1,1,IF(HEVARIM[[#This Row],[גיל]]&lt;=5,5,18)),"")</f>
        <v/>
      </c>
      <c r="W33">
        <f t="shared" si="0"/>
        <v>0</v>
      </c>
      <c r="X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">
        <f>IF(HEVARIM[[#This Row],[מצב משפחתי2]]="אלמן",'[2]ריכוז נתונים'!$AC$2,0)</f>
        <v>0</v>
      </c>
      <c r="Z33" s="3">
        <f>VLOOKUP(VALUE(HEVARIM[[#This Row],[קוד מעמד]]),הנחות!$I$2:$K$21,3,0)</f>
        <v>1</v>
      </c>
      <c r="AA33" t="b">
        <f>ISERROR(VLOOKUP(HEVARIM[[#This Row],[קוד תקציב]],'[2]ריכוז נתונים'!A:A,1,0))</f>
        <v>1</v>
      </c>
      <c r="AB33" s="1">
        <f t="shared" si="1"/>
        <v>0</v>
      </c>
      <c r="AC33" s="2">
        <f ca="1">IF(HEVARIM[[#This Row],[בר מצוה]]&gt;0,YEAR(TODAY())+'תקציבים מיוחדים'!$F$5-HEVARIM[[#This Row],[גיל]],0)</f>
        <v>0</v>
      </c>
      <c r="AD33" s="1">
        <f t="shared" si="2"/>
        <v>0</v>
      </c>
      <c r="AE33" s="2">
        <f ca="1">IF(HEVARIM[[#This Row],[בת מצוה]]&gt;0,YEAR(TODAY())+'תקציבים מיוחדים'!$F$5-HEVARIM[[#This Row],[גיל]],0)</f>
        <v>0</v>
      </c>
      <c r="AF33" s="1">
        <f>IF(AND($S33&gt;="רווק",$Z33=1),AF$4*IF(HEVARIM[[#This Row],[גיל]]&gt;$AF$3,1,(($G33-AF$2)/(AF$3-AF$2))),0)</f>
        <v>0</v>
      </c>
      <c r="AG3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" s="1">
        <f t="shared" si="3"/>
        <v>0</v>
      </c>
      <c r="AI33" s="2">
        <f ca="1">IF(AH33&gt;0,YEAR(TODAY())+'תקציבים מיוחדים'!$F$7-HEVARIM[[#This Row],[גיל]],0)</f>
        <v>0</v>
      </c>
      <c r="AJ33" s="9">
        <f>IF(AND(ISERROR(VLOOKUP(H33,'[2]ריכוז נתונים'!A:L,1,0)),P33="1     "),1,0)</f>
        <v>0</v>
      </c>
      <c r="AK3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" s="1">
        <f>IF(AND(VALUE(HEVARIM[[#This Row],[קוד מעמד]])=1,HEVARIM[[#This Row],[ותק מחברה 40]]&lt;25),HEVARIM[[#This Row],[ותק מחברה 40]]/25*הנחות!$C$4,0)</f>
        <v>0</v>
      </c>
      <c r="AM33" s="9" t="str">
        <f ca="1">IF(HEVARIM[[#This Row],[דמי עזיבה 25 שנות ותק]]&gt;0,YEAR(TODAY())+25-ROUNDDOWN(HEVARIM[[#This Row],[ותק מחברה 40]],0),"")</f>
        <v/>
      </c>
      <c r="AN3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" s="9" t="str">
        <f ca="1">IF(HEVARIM[[#This Row],[דמי עזיבה לגיל 65]]&gt;0,YEAR(TODAY())+64-ROUNDDOWN(HEVARIM[[#This Row],[גיל]],0),"")</f>
        <v/>
      </c>
      <c r="AP33" s="1">
        <f>SUMIF(HEVARIM[קוד תקציב],HEVARIM[[#This Row],[קוד תקציב משפחה מקורי]],HEVARIM[ותק מחברה 40])</f>
        <v>82.19</v>
      </c>
      <c r="AQ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" s="9">
        <f>IF(HEVARIM[[#This Row],[קוד מעמד]]="1     ",IFERROR(VLOOKUP(HEVARIM[[#This Row],[קוד תקציב]],'תקציב צביעה - לקראת השינוי'!A:F,4,0),0),0)</f>
        <v>0</v>
      </c>
      <c r="AT33" s="1"/>
    </row>
    <row r="34" spans="1:46">
      <c r="A34" t="s">
        <v>313</v>
      </c>
      <c r="B34" t="s">
        <v>314</v>
      </c>
      <c r="C34" t="s">
        <v>65</v>
      </c>
      <c r="D34" t="s">
        <v>315</v>
      </c>
      <c r="E34" t="s">
        <v>67</v>
      </c>
      <c r="F34" s="4">
        <v>32065</v>
      </c>
      <c r="G34">
        <v>38</v>
      </c>
      <c r="H34" t="s">
        <v>316</v>
      </c>
      <c r="I34" t="s">
        <v>317</v>
      </c>
      <c r="J34" s="4" t="s">
        <v>70</v>
      </c>
      <c r="K34" s="4" t="s">
        <v>71</v>
      </c>
      <c r="L34" t="s">
        <v>318</v>
      </c>
      <c r="M34" t="s">
        <v>313</v>
      </c>
      <c r="N34" t="s">
        <v>314</v>
      </c>
      <c r="O34">
        <f>IFERROR(VLOOKUP(HEVARIM[[#This Row],[קוד תקציב]],[2]תקציבים!A:L,6,0),0)</f>
        <v>2</v>
      </c>
      <c r="P34" s="5" t="s">
        <v>104</v>
      </c>
      <c r="Q34" t="s">
        <v>11</v>
      </c>
      <c r="R34" s="4">
        <v>43885</v>
      </c>
      <c r="S34" s="4" t="s">
        <v>74</v>
      </c>
      <c r="T34" s="96" t="s">
        <v>68</v>
      </c>
      <c r="U34" t="str">
        <f>VLOOKUP(HEVARIM[[#This Row],[גיל]],GIL,2,1)</f>
        <v>--</v>
      </c>
      <c r="V34" t="str">
        <f>IF(HEVARIM[[#This Row],[קוד מעמד]]="4     ",IF(HEVARIM[[#This Row],[גיל]]=1,1,IF(HEVARIM[[#This Row],[גיל]]&lt;=5,5,18)),"")</f>
        <v/>
      </c>
      <c r="W34">
        <f t="shared" si="0"/>
        <v>0</v>
      </c>
      <c r="X3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4">
        <f>IF(HEVARIM[[#This Row],[מצב משפחתי2]]="אלמן",'[2]ריכוז נתונים'!$AC$2,0)</f>
        <v>0</v>
      </c>
      <c r="Z34" s="3">
        <f>VLOOKUP(VALUE(HEVARIM[[#This Row],[קוד מעמד]]),הנחות!$I$2:$K$21,3,0)</f>
        <v>0</v>
      </c>
      <c r="AA34" t="b">
        <f>ISERROR(VLOOKUP(HEVARIM[[#This Row],[קוד תקציב]],'[2]ריכוז נתונים'!A:A,1,0))</f>
        <v>0</v>
      </c>
      <c r="AB34" s="1">
        <f t="shared" si="1"/>
        <v>0</v>
      </c>
      <c r="AC34" s="2">
        <f ca="1">IF(HEVARIM[[#This Row],[בר מצוה]]&gt;0,YEAR(TODAY())+'תקציבים מיוחדים'!$F$5-HEVARIM[[#This Row],[גיל]],0)</f>
        <v>0</v>
      </c>
      <c r="AD34" s="1">
        <f t="shared" si="2"/>
        <v>0</v>
      </c>
      <c r="AE34" s="2">
        <f ca="1">IF(HEVARIM[[#This Row],[בת מצוה]]&gt;0,YEAR(TODAY())+'תקציבים מיוחדים'!$F$5-HEVARIM[[#This Row],[גיל]],0)</f>
        <v>0</v>
      </c>
      <c r="AF34" s="1">
        <f>IF(AND($S34&gt;="רווק",$Z34=1),AF$4*IF(HEVARIM[[#This Row],[גיל]]&gt;$AF$3,1,(($G34-AF$2)/(AF$3-AF$2))),0)</f>
        <v>0</v>
      </c>
      <c r="AG3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" s="1">
        <f t="shared" si="3"/>
        <v>0</v>
      </c>
      <c r="AI34" s="2">
        <f ca="1">IF(AH34&gt;0,YEAR(TODAY())+'תקציבים מיוחדים'!$F$7-HEVARIM[[#This Row],[גיל]],0)</f>
        <v>0</v>
      </c>
      <c r="AJ34" s="9">
        <f>IF(AND(ISERROR(VLOOKUP(H34,'[2]ריכוז נתונים'!A:L,1,0)),P34="1     "),1,0)</f>
        <v>0</v>
      </c>
      <c r="AK34" s="1">
        <f>IF(VALUE(HEVARIM[[#This Row],[קוד מעמד]])=1,VLOOKUP((IF(LEFT(HEVARIM[[#This Row],[קוד חבר]],1)="0",HEVARIM[[#This Row],[קוד חבר]],VALUE(HEVARIM[[#This Row],[קוד חבר]]))),'ותק חברה 40'!AQ:AW,7,0),"")</f>
        <v>7.58</v>
      </c>
      <c r="AL34" s="1">
        <f>IF(AND(VALUE(HEVARIM[[#This Row],[קוד מעמד]])=1,HEVARIM[[#This Row],[ותק מחברה 40]]&lt;25),HEVARIM[[#This Row],[ותק מחברה 40]]/25*הנחות!$C$4,0)</f>
        <v>11380.49451</v>
      </c>
      <c r="AM34" s="9">
        <f ca="1">IF(HEVARIM[[#This Row],[דמי עזיבה 25 שנות ותק]]&gt;0,YEAR(TODAY())+25-ROUNDDOWN(HEVARIM[[#This Row],[ותק מחברה 40]],0),"")</f>
        <v>2044</v>
      </c>
      <c r="AN3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" s="9" t="str">
        <f ca="1">IF(HEVARIM[[#This Row],[דמי עזיבה לגיל 65]]&gt;0,YEAR(TODAY())+64-ROUNDDOWN(HEVARIM[[#This Row],[גיל]],0),"")</f>
        <v/>
      </c>
      <c r="AP34" s="1">
        <f>SUMIF(HEVARIM[קוד תקציב],HEVARIM[[#This Row],[קוד תקציב משפחה מקורי]],HEVARIM[ותק מחברה 40])</f>
        <v>82.19</v>
      </c>
      <c r="AQ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4" s="9">
        <f>IF(HEVARIM[[#This Row],[קוד מעמד]]="1     ",IFERROR(VLOOKUP(HEVARIM[[#This Row],[קוד תקציב]],'תקציב צביעה - לקראת השינוי'!A:F,4,0),0),0)</f>
        <v>0</v>
      </c>
      <c r="AT34" s="1"/>
    </row>
    <row r="35" spans="1:46">
      <c r="A35" t="s">
        <v>350</v>
      </c>
      <c r="B35" t="s">
        <v>351</v>
      </c>
      <c r="C35" t="s">
        <v>345</v>
      </c>
      <c r="D35" t="s">
        <v>352</v>
      </c>
      <c r="E35" t="s">
        <v>79</v>
      </c>
      <c r="F35" s="4">
        <v>37669</v>
      </c>
      <c r="G35">
        <v>22</v>
      </c>
      <c r="H35" t="s">
        <v>347</v>
      </c>
      <c r="I35" t="s">
        <v>348</v>
      </c>
      <c r="J35" s="4" t="s">
        <v>70</v>
      </c>
      <c r="K35" s="4" t="s">
        <v>81</v>
      </c>
      <c r="L35" t="s">
        <v>353</v>
      </c>
      <c r="M35" t="s">
        <v>350</v>
      </c>
      <c r="N35" t="s">
        <v>351</v>
      </c>
      <c r="O35">
        <f>IFERROR(VLOOKUP(HEVARIM[[#This Row],[קוד תקציב]],[2]תקציבים!A:L,6,0),0)</f>
        <v>0</v>
      </c>
      <c r="P35" s="5" t="s">
        <v>73</v>
      </c>
      <c r="Q35" t="s">
        <v>27</v>
      </c>
      <c r="R35" s="4">
        <v>45170</v>
      </c>
      <c r="S35" s="4" t="s">
        <v>74</v>
      </c>
      <c r="T35" s="96" t="s">
        <v>68</v>
      </c>
      <c r="U35" t="str">
        <f>VLOOKUP(HEVARIM[[#This Row],[גיל]],GIL,2,1)</f>
        <v>--</v>
      </c>
      <c r="V35" t="str">
        <f>IF(HEVARIM[[#This Row],[קוד מעמד]]="4     ",IF(HEVARIM[[#This Row],[גיל]]=1,1,IF(HEVARIM[[#This Row],[גיל]]&lt;=5,5,18)),"")</f>
        <v/>
      </c>
      <c r="W35">
        <f t="shared" si="0"/>
        <v>0</v>
      </c>
      <c r="X3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">
        <f>IF(HEVARIM[[#This Row],[מצב משפחתי2]]="אלמן",'[2]ריכוז נתונים'!$AC$2,0)</f>
        <v>0</v>
      </c>
      <c r="Z35" s="3">
        <f>VLOOKUP(VALUE(HEVARIM[[#This Row],[קוד מעמד]]),הנחות!$I$2:$K$21,3,0)</f>
        <v>1</v>
      </c>
      <c r="AA35" t="b">
        <f>ISERROR(VLOOKUP(HEVARIM[[#This Row],[קוד תקציב]],'[2]ריכוז נתונים'!A:A,1,0))</f>
        <v>1</v>
      </c>
      <c r="AB35" s="1">
        <f t="shared" si="1"/>
        <v>0</v>
      </c>
      <c r="AC35" s="2">
        <f ca="1">IF(HEVARIM[[#This Row],[בר מצוה]]&gt;0,YEAR(TODAY())+'תקציבים מיוחדים'!$F$5-HEVARIM[[#This Row],[גיל]],0)</f>
        <v>0</v>
      </c>
      <c r="AD35" s="1">
        <f t="shared" si="2"/>
        <v>0</v>
      </c>
      <c r="AE35" s="2">
        <f ca="1">IF(HEVARIM[[#This Row],[בת מצוה]]&gt;0,YEAR(TODAY())+'תקציבים מיוחדים'!$F$5-HEVARIM[[#This Row],[גיל]],0)</f>
        <v>0</v>
      </c>
      <c r="AF35" s="1">
        <f>IF(AND($S35&gt;="רווק",$Z35=1),AF$4*IF(HEVARIM[[#This Row],[גיל]]&gt;$AF$3,1,(($G35-AF$2)/(AF$3-AF$2))),0)</f>
        <v>0</v>
      </c>
      <c r="AG3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5" s="1">
        <f t="shared" si="3"/>
        <v>0</v>
      </c>
      <c r="AI35" s="2">
        <f ca="1">IF(AH35&gt;0,YEAR(TODAY())+'תקציבים מיוחדים'!$F$7-HEVARIM[[#This Row],[גיל]],0)</f>
        <v>0</v>
      </c>
      <c r="AJ35" s="9">
        <f>IF(AND(ISERROR(VLOOKUP(H35,'[2]ריכוז נתונים'!A:L,1,0)),P35="1     "),1,0)</f>
        <v>0</v>
      </c>
      <c r="AK3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5" s="1">
        <f>IF(AND(VALUE(HEVARIM[[#This Row],[קוד מעמד]])=1,HEVARIM[[#This Row],[ותק מחברה 40]]&lt;25),HEVARIM[[#This Row],[ותק מחברה 40]]/25*הנחות!$C$4,0)</f>
        <v>0</v>
      </c>
      <c r="AM35" s="9" t="str">
        <f ca="1">IF(HEVARIM[[#This Row],[דמי עזיבה 25 שנות ותק]]&gt;0,YEAR(TODAY())+25-ROUNDDOWN(HEVARIM[[#This Row],[ותק מחברה 40]],0),"")</f>
        <v/>
      </c>
      <c r="AN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" s="9" t="str">
        <f ca="1">IF(HEVARIM[[#This Row],[דמי עזיבה לגיל 65]]&gt;0,YEAR(TODAY())+64-ROUNDDOWN(HEVARIM[[#This Row],[גיל]],0),"")</f>
        <v/>
      </c>
      <c r="AP35" s="1">
        <f>SUMIF(HEVARIM[קוד תקציב],HEVARIM[[#This Row],[קוד תקציב משפחה מקורי]],HEVARIM[ותק מחברה 40])</f>
        <v>82.19</v>
      </c>
      <c r="AQ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" s="9">
        <f>IF(HEVARIM[[#This Row],[קוד מעמד]]="1     ",IFERROR(VLOOKUP(HEVARIM[[#This Row],[קוד תקציב]],'תקציב צביעה - לקראת השינוי'!A:F,4,0),0),0)</f>
        <v>0</v>
      </c>
      <c r="AT35" s="1"/>
    </row>
    <row r="36" spans="1:46">
      <c r="A36" t="s">
        <v>189</v>
      </c>
      <c r="B36" t="s">
        <v>190</v>
      </c>
      <c r="C36" t="s">
        <v>65</v>
      </c>
      <c r="D36" t="s">
        <v>191</v>
      </c>
      <c r="E36" t="s">
        <v>79</v>
      </c>
      <c r="F36" s="4">
        <v>23061</v>
      </c>
      <c r="G36">
        <v>62</v>
      </c>
      <c r="H36" t="s">
        <v>68</v>
      </c>
      <c r="I36" t="s">
        <v>69</v>
      </c>
      <c r="J36" s="4" t="s">
        <v>70</v>
      </c>
      <c r="K36" s="4" t="s">
        <v>71</v>
      </c>
      <c r="L36" t="s">
        <v>192</v>
      </c>
      <c r="M36" t="s">
        <v>185</v>
      </c>
      <c r="N36" t="s">
        <v>186</v>
      </c>
      <c r="O36">
        <f>IFERROR(VLOOKUP(HEVARIM[[#This Row],[קוד תקציב]],[2]תקציבים!A:L,6,0),0)</f>
        <v>2</v>
      </c>
      <c r="P36" s="5" t="s">
        <v>104</v>
      </c>
      <c r="Q36" t="s">
        <v>11</v>
      </c>
      <c r="R36" s="4">
        <v>32122</v>
      </c>
      <c r="S36" s="4" t="s">
        <v>74</v>
      </c>
      <c r="T36" s="96" t="s">
        <v>68</v>
      </c>
      <c r="U36" t="str">
        <f>VLOOKUP(HEVARIM[[#This Row],[גיל]],GIL,2,1)</f>
        <v>--</v>
      </c>
      <c r="V36" t="str">
        <f>IF(HEVARIM[[#This Row],[קוד מעמד]]="4     ",IF(HEVARIM[[#This Row],[גיל]]=1,1,IF(HEVARIM[[#This Row],[גיל]]&lt;=5,5,18)),"")</f>
        <v/>
      </c>
      <c r="W36">
        <f t="shared" si="0"/>
        <v>0</v>
      </c>
      <c r="X3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">
        <f>IF(HEVARIM[[#This Row],[מצב משפחתי2]]="אלמן",'[2]ריכוז נתונים'!$AC$2,0)</f>
        <v>0</v>
      </c>
      <c r="Z36" s="3">
        <f>VLOOKUP(VALUE(HEVARIM[[#This Row],[קוד מעמד]]),הנחות!$I$2:$K$21,3,0)</f>
        <v>0</v>
      </c>
      <c r="AA36" t="b">
        <f>ISERROR(VLOOKUP(HEVARIM[[#This Row],[קוד תקציב]],'[2]ריכוז נתונים'!A:A,1,0))</f>
        <v>0</v>
      </c>
      <c r="AB36" s="1">
        <f t="shared" si="1"/>
        <v>0</v>
      </c>
      <c r="AC36" s="2">
        <f ca="1">IF(HEVARIM[[#This Row],[בר מצוה]]&gt;0,YEAR(TODAY())+'תקציבים מיוחדים'!$F$5-HEVARIM[[#This Row],[גיל]],0)</f>
        <v>0</v>
      </c>
      <c r="AD36" s="1">
        <f t="shared" si="2"/>
        <v>0</v>
      </c>
      <c r="AE36" s="2">
        <f ca="1">IF(HEVARIM[[#This Row],[בת מצוה]]&gt;0,YEAR(TODAY())+'תקציבים מיוחדים'!$F$5-HEVARIM[[#This Row],[גיל]],0)</f>
        <v>0</v>
      </c>
      <c r="AF36" s="1">
        <f>IF(AND($S36&gt;="רווק",$Z36=1),AF$4*IF(HEVARIM[[#This Row],[גיל]]&gt;$AF$3,1,(($G36-AF$2)/(AF$3-AF$2))),0)</f>
        <v>0</v>
      </c>
      <c r="AG3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6" s="1">
        <f t="shared" si="3"/>
        <v>0</v>
      </c>
      <c r="AI36" s="2">
        <f ca="1">IF(AH36&gt;0,YEAR(TODAY())+'תקציבים מיוחדים'!$F$7-HEVARIM[[#This Row],[גיל]],0)</f>
        <v>0</v>
      </c>
      <c r="AJ36" s="9">
        <f>IF(AND(ISERROR(VLOOKUP(H36,'[2]ריכוז נתונים'!A:L,1,0)),P36="1     "),1,0)</f>
        <v>0</v>
      </c>
      <c r="AK36" s="1">
        <f>IF(VALUE(HEVARIM[[#This Row],[קוד מעמד]])=1,VLOOKUP((IF(LEFT(HEVARIM[[#This Row],[קוד חבר]],1)="0",HEVARIM[[#This Row],[קוד חבר]],VALUE(HEVARIM[[#This Row],[קוד חבר]]))),'ותק חברה 40'!AQ:AW,7,0),"")</f>
        <v>38.24</v>
      </c>
      <c r="AL36" s="1">
        <f>IF(AND(VALUE(HEVARIM[[#This Row],[קוד מעמד]])=1,HEVARIM[[#This Row],[ותק מחברה 40]]&lt;25),HEVARIM[[#This Row],[ותק מחברה 40]]/25*הנחות!$C$4,0)</f>
        <v>0</v>
      </c>
      <c r="AM36" s="9" t="str">
        <f ca="1">IF(HEVARIM[[#This Row],[דמי עזיבה 25 שנות ותק]]&gt;0,YEAR(TODAY())+25-ROUNDDOWN(HEVARIM[[#This Row],[ותק מחברה 40]],0),"")</f>
        <v/>
      </c>
      <c r="AN36" s="1">
        <f>IF(AND(VALUE(HEVARIM[[#This Row],[קוד מעמד]])=1,HEVARIM[[#This Row],[ותק מחברה 40]]&gt;25,HEVARIM[[#This Row],[גיל]]&lt;65),הנחות!$C$14+(HEVARIM[[#This Row],[ותק מחברה 40]]-25)*הנחות!$C$10*0.25,0)</f>
        <v>62307.456750000005</v>
      </c>
      <c r="AO36" s="9">
        <f ca="1">IF(HEVARIM[[#This Row],[דמי עזיבה לגיל 65]]&gt;0,YEAR(TODAY())+64-ROUNDDOWN(HEVARIM[[#This Row],[גיל]],0),"")</f>
        <v>2028</v>
      </c>
      <c r="AP36" s="1">
        <f>SUMIF(HEVARIM[קוד תקציב],HEVARIM[[#This Row],[קוד תקציב משפחה מקורי]],HEVARIM[ותק מחברה 40])</f>
        <v>82.19</v>
      </c>
      <c r="AQ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6" s="9">
        <f>IF(HEVARIM[[#This Row],[קוד מעמד]]="1     ",IFERROR(VLOOKUP(HEVARIM[[#This Row],[קוד תקציב]],'תקציב צביעה - לקראת השינוי'!A:F,4,0),0),0)</f>
        <v>2028</v>
      </c>
      <c r="AT36" s="1"/>
    </row>
    <row r="37" spans="1:46">
      <c r="A37" t="s">
        <v>63</v>
      </c>
      <c r="B37" t="s">
        <v>64</v>
      </c>
      <c r="C37" t="s">
        <v>65</v>
      </c>
      <c r="D37" t="s">
        <v>66</v>
      </c>
      <c r="E37" t="s">
        <v>67</v>
      </c>
      <c r="F37" s="4">
        <v>36222</v>
      </c>
      <c r="G37">
        <v>26</v>
      </c>
      <c r="H37" t="s">
        <v>68</v>
      </c>
      <c r="I37" t="s">
        <v>69</v>
      </c>
      <c r="J37" s="4" t="s">
        <v>70</v>
      </c>
      <c r="K37" s="4" t="s">
        <v>71</v>
      </c>
      <c r="L37" t="s">
        <v>72</v>
      </c>
      <c r="M37" t="s">
        <v>63</v>
      </c>
      <c r="N37" t="s">
        <v>64</v>
      </c>
      <c r="O37">
        <f>IFERROR(VLOOKUP(HEVARIM[[#This Row],[קוד תקציב]],[2]תקציבים!A:L,6,0),0)</f>
        <v>2</v>
      </c>
      <c r="P37" s="5" t="s">
        <v>73</v>
      </c>
      <c r="Q37" t="s">
        <v>27</v>
      </c>
      <c r="R37" s="4">
        <v>44621</v>
      </c>
      <c r="S37" s="4" t="s">
        <v>74</v>
      </c>
      <c r="T37" s="96" t="s">
        <v>68</v>
      </c>
      <c r="U37" t="str">
        <f>VLOOKUP(HEVARIM[[#This Row],[גיל]],GIL,2,1)</f>
        <v>--</v>
      </c>
      <c r="V37" t="str">
        <f>IF(HEVARIM[[#This Row],[קוד מעמד]]="4     ",IF(HEVARIM[[#This Row],[גיל]]=1,1,IF(HEVARIM[[#This Row],[גיל]]&lt;=5,5,18)),"")</f>
        <v/>
      </c>
      <c r="W37">
        <f t="shared" si="0"/>
        <v>0</v>
      </c>
      <c r="X3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">
        <f>IF(HEVARIM[[#This Row],[מצב משפחתי2]]="אלמן",'[2]ריכוז נתונים'!$AC$2,0)</f>
        <v>0</v>
      </c>
      <c r="Z37" s="3">
        <f>VLOOKUP(VALUE(HEVARIM[[#This Row],[קוד מעמד]]),הנחות!$I$2:$K$21,3,0)</f>
        <v>1</v>
      </c>
      <c r="AA37" t="b">
        <f>ISERROR(VLOOKUP(HEVARIM[[#This Row],[קוד תקציב]],'[2]ריכוז נתונים'!A:A,1,0))</f>
        <v>0</v>
      </c>
      <c r="AB37" s="1">
        <f t="shared" si="1"/>
        <v>0</v>
      </c>
      <c r="AC37" s="2">
        <f ca="1">IF(HEVARIM[[#This Row],[בר מצוה]]&gt;0,YEAR(TODAY())+'תקציבים מיוחדים'!$F$5-HEVARIM[[#This Row],[גיל]],0)</f>
        <v>0</v>
      </c>
      <c r="AD37" s="1">
        <f t="shared" si="2"/>
        <v>0</v>
      </c>
      <c r="AE37" s="2">
        <f ca="1">IF(HEVARIM[[#This Row],[בת מצוה]]&gt;0,YEAR(TODAY())+'תקציבים מיוחדים'!$F$5-HEVARIM[[#This Row],[גיל]],0)</f>
        <v>0</v>
      </c>
      <c r="AF37" s="1">
        <f>IF(AND($S37&gt;="רווק",$Z37=1),AF$4*IF(HEVARIM[[#This Row],[גיל]]&gt;$AF$3,1,(($G37-AF$2)/(AF$3-AF$2))),0)</f>
        <v>0</v>
      </c>
      <c r="AG3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7" s="1">
        <f t="shared" si="3"/>
        <v>0</v>
      </c>
      <c r="AI37" s="2">
        <f ca="1">IF(AH37&gt;0,YEAR(TODAY())+'תקציבים מיוחדים'!$F$7-HEVARIM[[#This Row],[גיל]],0)</f>
        <v>0</v>
      </c>
      <c r="AJ37" s="9">
        <f>IF(AND(ISERROR(VLOOKUP(H37,'[2]ריכוז נתונים'!A:L,1,0)),P37="1     "),1,0)</f>
        <v>0</v>
      </c>
      <c r="AK3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" s="1">
        <f>IF(AND(VALUE(HEVARIM[[#This Row],[קוד מעמד]])=1,HEVARIM[[#This Row],[ותק מחברה 40]]&lt;25),HEVARIM[[#This Row],[ותק מחברה 40]]/25*הנחות!$C$4,0)</f>
        <v>0</v>
      </c>
      <c r="AM37" s="9" t="str">
        <f ca="1">IF(HEVARIM[[#This Row],[דמי עזיבה 25 שנות ותק]]&gt;0,YEAR(TODAY())+25-ROUNDDOWN(HEVARIM[[#This Row],[ותק מחברה 40]],0),"")</f>
        <v/>
      </c>
      <c r="AN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" s="9" t="str">
        <f ca="1">IF(HEVARIM[[#This Row],[דמי עזיבה לגיל 65]]&gt;0,YEAR(TODAY())+64-ROUNDDOWN(HEVARIM[[#This Row],[גיל]],0),"")</f>
        <v/>
      </c>
      <c r="AP37" s="1">
        <f>SUMIF(HEVARIM[קוד תקציב],HEVARIM[[#This Row],[קוד תקציב משפחה מקורי]],HEVARIM[ותק מחברה 40])</f>
        <v>82.19</v>
      </c>
      <c r="AQ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" s="9">
        <f>IF(HEVARIM[[#This Row],[קוד מעמד]]="1     ",IFERROR(VLOOKUP(HEVARIM[[#This Row],[קוד תקציב]],'תקציב צביעה - לקראת השינוי'!A:F,4,0),0),0)</f>
        <v>0</v>
      </c>
      <c r="AT37" s="1"/>
    </row>
    <row r="38" spans="1:46">
      <c r="A38" t="s">
        <v>168</v>
      </c>
      <c r="B38" t="s">
        <v>169</v>
      </c>
      <c r="C38" t="s">
        <v>170</v>
      </c>
      <c r="D38" t="s">
        <v>171</v>
      </c>
      <c r="E38" t="s">
        <v>79</v>
      </c>
      <c r="F38" s="4">
        <v>36853</v>
      </c>
      <c r="G38">
        <v>25</v>
      </c>
      <c r="H38" t="s">
        <v>172</v>
      </c>
      <c r="I38" t="s">
        <v>169</v>
      </c>
      <c r="J38" s="4" t="s">
        <v>70</v>
      </c>
      <c r="K38" s="4" t="s">
        <v>81</v>
      </c>
      <c r="L38" t="s">
        <v>173</v>
      </c>
      <c r="M38" t="s">
        <v>168</v>
      </c>
      <c r="N38" t="s">
        <v>169</v>
      </c>
      <c r="O38">
        <f>IFERROR(VLOOKUP(HEVARIM[[#This Row],[קוד תקציב]],[2]תקציבים!A:L,6,0),0)</f>
        <v>0</v>
      </c>
      <c r="P38" s="5" t="s">
        <v>129</v>
      </c>
      <c r="Q38" t="s">
        <v>26</v>
      </c>
      <c r="R38" s="4">
        <v>45597</v>
      </c>
      <c r="S38" s="4" t="s">
        <v>74</v>
      </c>
      <c r="T38" s="96" t="s">
        <v>68</v>
      </c>
      <c r="U38" t="str">
        <f>VLOOKUP(HEVARIM[[#This Row],[גיל]],GIL,2,1)</f>
        <v>--</v>
      </c>
      <c r="V38" t="str">
        <f>IF(HEVARIM[[#This Row],[קוד מעמד]]="4     ",IF(HEVARIM[[#This Row],[גיל]]=1,1,IF(HEVARIM[[#This Row],[גיל]]&lt;=5,5,18)),"")</f>
        <v/>
      </c>
      <c r="W38">
        <f t="shared" si="0"/>
        <v>0</v>
      </c>
      <c r="X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">
        <f>IF(HEVARIM[[#This Row],[מצב משפחתי2]]="אלמן",'[2]ריכוז נתונים'!$AC$2,0)</f>
        <v>0</v>
      </c>
      <c r="Z38" s="3">
        <f>VLOOKUP(VALUE(HEVARIM[[#This Row],[קוד מעמד]]),הנחות!$I$2:$K$21,3,0)</f>
        <v>1</v>
      </c>
      <c r="AA38" t="b">
        <f>ISERROR(VLOOKUP(HEVARIM[[#This Row],[קוד תקציב]],'[2]ריכוז נתונים'!A:A,1,0))</f>
        <v>1</v>
      </c>
      <c r="AB38" s="1">
        <f t="shared" si="1"/>
        <v>0</v>
      </c>
      <c r="AC38" s="2">
        <f ca="1">IF(HEVARIM[[#This Row],[בר מצוה]]&gt;0,YEAR(TODAY())+'תקציבים מיוחדים'!$F$5-HEVARIM[[#This Row],[גיל]],0)</f>
        <v>0</v>
      </c>
      <c r="AD38" s="1">
        <f t="shared" si="2"/>
        <v>0</v>
      </c>
      <c r="AE38" s="2">
        <f ca="1">IF(HEVARIM[[#This Row],[בת מצוה]]&gt;0,YEAR(TODAY())+'תקציבים מיוחדים'!$F$5-HEVARIM[[#This Row],[גיל]],0)</f>
        <v>0</v>
      </c>
      <c r="AF38" s="1">
        <f>IF(AND($S38&gt;="רווק",$Z38=1),AF$4*IF(HEVARIM[[#This Row],[גיל]]&gt;$AF$3,1,(($G38-AF$2)/(AF$3-AF$2))),0)</f>
        <v>0</v>
      </c>
      <c r="AG3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8" s="1">
        <f t="shared" si="3"/>
        <v>0</v>
      </c>
      <c r="AI38" s="2">
        <f ca="1">IF(AH38&gt;0,YEAR(TODAY())+'תקציבים מיוחדים'!$F$7-HEVARIM[[#This Row],[גיל]],0)</f>
        <v>0</v>
      </c>
      <c r="AJ38" s="9">
        <f>IF(AND(ISERROR(VLOOKUP(H38,'[2]ריכוז נתונים'!A:L,1,0)),P38="1     "),1,0)</f>
        <v>0</v>
      </c>
      <c r="AK3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" s="1">
        <f>IF(AND(VALUE(HEVARIM[[#This Row],[קוד מעמד]])=1,HEVARIM[[#This Row],[ותק מחברה 40]]&lt;25),HEVARIM[[#This Row],[ותק מחברה 40]]/25*הנחות!$C$4,0)</f>
        <v>0</v>
      </c>
      <c r="AM38" s="9" t="str">
        <f ca="1">IF(HEVARIM[[#This Row],[דמי עזיבה 25 שנות ותק]]&gt;0,YEAR(TODAY())+25-ROUNDDOWN(HEVARIM[[#This Row],[ותק מחברה 40]],0),"")</f>
        <v/>
      </c>
      <c r="AN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" s="9" t="str">
        <f ca="1">IF(HEVARIM[[#This Row],[דמי עזיבה לגיל 65]]&gt;0,YEAR(TODAY())+64-ROUNDDOWN(HEVARIM[[#This Row],[גיל]],0),"")</f>
        <v/>
      </c>
      <c r="AP38" s="1">
        <f>SUMIF(HEVARIM[קוד תקציב],HEVARIM[[#This Row],[קוד תקציב משפחה מקורי]],HEVARIM[ותק מחברה 40])</f>
        <v>82.19</v>
      </c>
      <c r="AQ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" s="9">
        <f>IF(HEVARIM[[#This Row],[קוד מעמד]]="1     ",IFERROR(VLOOKUP(HEVARIM[[#This Row],[קוד תקציב]],'תקציב צביעה - לקראת השינוי'!A:F,4,0),0),0)</f>
        <v>0</v>
      </c>
      <c r="AT38" s="1"/>
    </row>
    <row r="39" spans="1:46">
      <c r="A39" t="s">
        <v>199</v>
      </c>
      <c r="B39" t="s">
        <v>200</v>
      </c>
      <c r="C39" t="s">
        <v>99</v>
      </c>
      <c r="D39" t="s">
        <v>201</v>
      </c>
      <c r="E39" t="s">
        <v>79</v>
      </c>
      <c r="F39" s="4">
        <v>35246</v>
      </c>
      <c r="G39">
        <v>29</v>
      </c>
      <c r="H39" t="s">
        <v>196</v>
      </c>
      <c r="I39" t="s">
        <v>197</v>
      </c>
      <c r="J39" s="4" t="s">
        <v>70</v>
      </c>
      <c r="K39" s="4" t="s">
        <v>81</v>
      </c>
      <c r="L39" t="s">
        <v>202</v>
      </c>
      <c r="M39" t="s">
        <v>193</v>
      </c>
      <c r="N39" t="s">
        <v>194</v>
      </c>
      <c r="O39">
        <f>IFERROR(VLOOKUP(HEVARIM[[#This Row],[קוד תקציב]],[2]תקציבים!A:L,6,0),0)</f>
        <v>0</v>
      </c>
      <c r="P39" s="5" t="s">
        <v>83</v>
      </c>
      <c r="Q39" t="s">
        <v>15</v>
      </c>
      <c r="R39" s="4">
        <v>44986</v>
      </c>
      <c r="S39" s="4" t="s">
        <v>74</v>
      </c>
      <c r="T39" s="96" t="s">
        <v>196</v>
      </c>
      <c r="U39" t="str">
        <f>VLOOKUP(HEVARIM[[#This Row],[גיל]],GIL,2,1)</f>
        <v>--</v>
      </c>
      <c r="V39" t="str">
        <f>IF(HEVARIM[[#This Row],[קוד מעמד]]="4     ",IF(HEVARIM[[#This Row],[גיל]]=1,1,IF(HEVARIM[[#This Row],[גיל]]&lt;=5,5,18)),"")</f>
        <v/>
      </c>
      <c r="W39">
        <f t="shared" si="0"/>
        <v>0</v>
      </c>
      <c r="X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">
        <f>IF(HEVARIM[[#This Row],[מצב משפחתי2]]="אלמן",'[2]ריכוז נתונים'!$AC$2,0)</f>
        <v>0</v>
      </c>
      <c r="Z39" s="3">
        <f>VLOOKUP(VALUE(HEVARIM[[#This Row],[קוד מעמד]]),הנחות!$I$2:$K$21,3,0)</f>
        <v>0</v>
      </c>
      <c r="AA39" t="b">
        <f>ISERROR(VLOOKUP(HEVARIM[[#This Row],[קוד תקציב]],'[2]ריכוז נתונים'!A:A,1,0))</f>
        <v>1</v>
      </c>
      <c r="AB39" s="1">
        <f t="shared" si="1"/>
        <v>0</v>
      </c>
      <c r="AC39" s="2">
        <f ca="1">IF(HEVARIM[[#This Row],[בר מצוה]]&gt;0,YEAR(TODAY())+'תקציבים מיוחדים'!$F$5-HEVARIM[[#This Row],[גיל]],0)</f>
        <v>0</v>
      </c>
      <c r="AD39" s="1">
        <f t="shared" si="2"/>
        <v>0</v>
      </c>
      <c r="AE39" s="2">
        <f ca="1">IF(HEVARIM[[#This Row],[בת מצוה]]&gt;0,YEAR(TODAY())+'תקציבים מיוחדים'!$F$5-HEVARIM[[#This Row],[גיל]],0)</f>
        <v>0</v>
      </c>
      <c r="AF39" s="1">
        <f>IF(AND($S39&gt;="רווק",$Z39=1),AF$4*IF(HEVARIM[[#This Row],[גיל]]&gt;$AF$3,1,(($G39-AF$2)/(AF$3-AF$2))),0)</f>
        <v>0</v>
      </c>
      <c r="AG3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9" s="1">
        <f t="shared" si="3"/>
        <v>0</v>
      </c>
      <c r="AI39" s="2">
        <f ca="1">IF(AH39&gt;0,YEAR(TODAY())+'תקציבים מיוחדים'!$F$7-HEVARIM[[#This Row],[גיל]],0)</f>
        <v>0</v>
      </c>
      <c r="AJ39" s="9">
        <f>IF(AND(ISERROR(VLOOKUP(H39,'[2]ריכוז נתונים'!A:L,1,0)),P39="1     "),1,0)</f>
        <v>0</v>
      </c>
      <c r="AK3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" s="1">
        <f>IF(AND(VALUE(HEVARIM[[#This Row],[קוד מעמד]])=1,HEVARIM[[#This Row],[ותק מחברה 40]]&lt;25),HEVARIM[[#This Row],[ותק מחברה 40]]/25*הנחות!$C$4,0)</f>
        <v>0</v>
      </c>
      <c r="AM39" s="9" t="str">
        <f ca="1">IF(HEVARIM[[#This Row],[דמי עזיבה 25 שנות ותק]]&gt;0,YEAR(TODAY())+25-ROUNDDOWN(HEVARIM[[#This Row],[ותק מחברה 40]],0),"")</f>
        <v/>
      </c>
      <c r="AN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" s="9" t="str">
        <f ca="1">IF(HEVARIM[[#This Row],[דמי עזיבה לגיל 65]]&gt;0,YEAR(TODAY())+64-ROUNDDOWN(HEVARIM[[#This Row],[גיל]],0),"")</f>
        <v/>
      </c>
      <c r="AP39" s="1">
        <f>SUMIF(HEVARIM[קוד תקציב],HEVARIM[[#This Row],[קוד תקציב משפחה מקורי]],HEVARIM[ותק מחברה 40])</f>
        <v>0</v>
      </c>
      <c r="AQ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" s="9">
        <f>IF(HEVARIM[[#This Row],[קוד מעמד]]="1     ",IFERROR(VLOOKUP(HEVARIM[[#This Row],[קוד תקציב]],'תקציב צביעה - לקראת השינוי'!A:F,4,0),0),0)</f>
        <v>0</v>
      </c>
      <c r="AT39" s="1"/>
    </row>
    <row r="40" spans="1:46">
      <c r="A40" t="s">
        <v>203</v>
      </c>
      <c r="B40" t="s">
        <v>204</v>
      </c>
      <c r="C40" t="s">
        <v>99</v>
      </c>
      <c r="D40" t="s">
        <v>205</v>
      </c>
      <c r="E40" t="s">
        <v>67</v>
      </c>
      <c r="F40" s="4">
        <v>44742</v>
      </c>
      <c r="G40">
        <v>3</v>
      </c>
      <c r="H40" t="s">
        <v>196</v>
      </c>
      <c r="I40" t="s">
        <v>197</v>
      </c>
      <c r="J40" s="4" t="s">
        <v>70</v>
      </c>
      <c r="K40" s="4" t="s">
        <v>81</v>
      </c>
      <c r="L40" t="s">
        <v>206</v>
      </c>
      <c r="M40" t="s">
        <v>193</v>
      </c>
      <c r="N40" t="s">
        <v>194</v>
      </c>
      <c r="O40">
        <f>IFERROR(VLOOKUP(HEVARIM[[#This Row],[קוד תקציב]],[2]תקציבים!A:L,6,0),0)</f>
        <v>0</v>
      </c>
      <c r="P40" s="5" t="s">
        <v>89</v>
      </c>
      <c r="Q40" t="s">
        <v>19</v>
      </c>
      <c r="R40" s="4">
        <v>44986</v>
      </c>
      <c r="S40" s="4" t="s">
        <v>90</v>
      </c>
      <c r="T40" s="96" t="s">
        <v>196</v>
      </c>
      <c r="U40" t="str">
        <f>VLOOKUP(HEVARIM[[#This Row],[גיל]],GIL,2,1)</f>
        <v>גנים</v>
      </c>
      <c r="V40" t="str">
        <f>IF(HEVARIM[[#This Row],[קוד מעמד]]="4     ",IF(HEVARIM[[#This Row],[גיל]]=1,1,IF(HEVARIM[[#This Row],[גיל]]&lt;=5,5,18)),"")</f>
        <v/>
      </c>
      <c r="W40">
        <f t="shared" si="0"/>
        <v>0</v>
      </c>
      <c r="X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">
        <f>IF(HEVARIM[[#This Row],[מצב משפחתי2]]="אלמן",'[2]ריכוז נתונים'!$AC$2,0)</f>
        <v>0</v>
      </c>
      <c r="Z40" s="3">
        <f>VLOOKUP(VALUE(HEVARIM[[#This Row],[קוד מעמד]]),הנחות!$I$2:$K$21,3,0)</f>
        <v>0</v>
      </c>
      <c r="AA40" t="b">
        <f>ISERROR(VLOOKUP(HEVARIM[[#This Row],[קוד תקציב]],'[2]ריכוז נתונים'!A:A,1,0))</f>
        <v>1</v>
      </c>
      <c r="AB40" s="1">
        <f t="shared" si="1"/>
        <v>0</v>
      </c>
      <c r="AC40" s="2">
        <f ca="1">IF(HEVARIM[[#This Row],[בר מצוה]]&gt;0,YEAR(TODAY())+'תקציבים מיוחדים'!$F$5-HEVARIM[[#This Row],[גיל]],0)</f>
        <v>0</v>
      </c>
      <c r="AD40" s="1">
        <f t="shared" si="2"/>
        <v>0</v>
      </c>
      <c r="AE40" s="2">
        <f ca="1">IF(HEVARIM[[#This Row],[בת מצוה]]&gt;0,YEAR(TODAY())+'תקציבים מיוחדים'!$F$5-HEVARIM[[#This Row],[גיל]],0)</f>
        <v>0</v>
      </c>
      <c r="AF40" s="1">
        <f>IF(AND($S40&gt;="רווק",$Z40=1),AF$4*IF(HEVARIM[[#This Row],[גיל]]&gt;$AF$3,1,(($G40-AF$2)/(AF$3-AF$2))),0)</f>
        <v>0</v>
      </c>
      <c r="AG4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0" s="1">
        <f t="shared" si="3"/>
        <v>0</v>
      </c>
      <c r="AI40" s="2">
        <f ca="1">IF(AH40&gt;0,YEAR(TODAY())+'תקציבים מיוחדים'!$F$7-HEVARIM[[#This Row],[גיל]],0)</f>
        <v>0</v>
      </c>
      <c r="AJ40" s="9">
        <f>IF(AND(ISERROR(VLOOKUP(H40,'[2]ריכוז נתונים'!A:L,1,0)),P40="1     "),1,0)</f>
        <v>0</v>
      </c>
      <c r="AK4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" s="1">
        <f>IF(AND(VALUE(HEVARIM[[#This Row],[קוד מעמד]])=1,HEVARIM[[#This Row],[ותק מחברה 40]]&lt;25),HEVARIM[[#This Row],[ותק מחברה 40]]/25*הנחות!$C$4,0)</f>
        <v>0</v>
      </c>
      <c r="AM40" s="9" t="str">
        <f ca="1">IF(HEVARIM[[#This Row],[דמי עזיבה 25 שנות ותק]]&gt;0,YEAR(TODAY())+25-ROUNDDOWN(HEVARIM[[#This Row],[ותק מחברה 40]],0),"")</f>
        <v/>
      </c>
      <c r="AN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" s="9" t="str">
        <f ca="1">IF(HEVARIM[[#This Row],[דמי עזיבה לגיל 65]]&gt;0,YEAR(TODAY())+64-ROUNDDOWN(HEVARIM[[#This Row],[גיל]],0),"")</f>
        <v/>
      </c>
      <c r="AP40" s="1">
        <f>SUMIF(HEVARIM[קוד תקציב],HEVARIM[[#This Row],[קוד תקציב משפחה מקורי]],HEVARIM[ותק מחברה 40])</f>
        <v>0</v>
      </c>
      <c r="AQ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" s="9">
        <f>IF(HEVARIM[[#This Row],[קוד מעמד]]="1     ",IFERROR(VLOOKUP(HEVARIM[[#This Row],[קוד תקציב]],'תקציב צביעה - לקראת השינוי'!A:F,4,0),0),0)</f>
        <v>0</v>
      </c>
      <c r="AT40" s="1"/>
    </row>
    <row r="41" spans="1:46">
      <c r="A41" t="s">
        <v>207</v>
      </c>
      <c r="B41" t="s">
        <v>208</v>
      </c>
      <c r="C41" t="s">
        <v>99</v>
      </c>
      <c r="D41" t="s">
        <v>209</v>
      </c>
      <c r="E41" t="s">
        <v>79</v>
      </c>
      <c r="F41" s="4">
        <v>45391</v>
      </c>
      <c r="G41">
        <v>1</v>
      </c>
      <c r="H41" t="s">
        <v>196</v>
      </c>
      <c r="I41" t="s">
        <v>197</v>
      </c>
      <c r="J41" s="4" t="s">
        <v>70</v>
      </c>
      <c r="K41" s="4" t="s">
        <v>81</v>
      </c>
      <c r="L41" t="s">
        <v>210</v>
      </c>
      <c r="M41" t="s">
        <v>193</v>
      </c>
      <c r="N41" t="s">
        <v>194</v>
      </c>
      <c r="O41">
        <f>IFERROR(VLOOKUP(HEVARIM[[#This Row],[קוד תקציב]],[2]תקציבים!A:L,6,0),0)</f>
        <v>0</v>
      </c>
      <c r="P41" s="5" t="s">
        <v>89</v>
      </c>
      <c r="Q41" t="s">
        <v>19</v>
      </c>
      <c r="R41" s="4">
        <v>45391</v>
      </c>
      <c r="S41" s="4" t="s">
        <v>90</v>
      </c>
      <c r="T41" s="96" t="s">
        <v>196</v>
      </c>
      <c r="U41" t="str">
        <f>VLOOKUP(HEVARIM[[#This Row],[גיל]],GIL,2,1)</f>
        <v>פעוט</v>
      </c>
      <c r="V41" t="str">
        <f>IF(HEVARIM[[#This Row],[קוד מעמד]]="4     ",IF(HEVARIM[[#This Row],[גיל]]=1,1,IF(HEVARIM[[#This Row],[גיל]]&lt;=5,5,18)),"")</f>
        <v/>
      </c>
      <c r="W41">
        <f t="shared" si="0"/>
        <v>0</v>
      </c>
      <c r="X4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">
        <f>IF(HEVARIM[[#This Row],[מצב משפחתי2]]="אלמן",'[2]ריכוז נתונים'!$AC$2,0)</f>
        <v>0</v>
      </c>
      <c r="Z41" s="3">
        <f>VLOOKUP(VALUE(HEVARIM[[#This Row],[קוד מעמד]]),הנחות!$I$2:$K$21,3,0)</f>
        <v>0</v>
      </c>
      <c r="AA41" t="b">
        <f>ISERROR(VLOOKUP(HEVARIM[[#This Row],[קוד תקציב]],'[2]ריכוז נתונים'!A:A,1,0))</f>
        <v>1</v>
      </c>
      <c r="AB41" s="1">
        <f t="shared" si="1"/>
        <v>0</v>
      </c>
      <c r="AC41" s="2">
        <f ca="1">IF(HEVARIM[[#This Row],[בר מצוה]]&gt;0,YEAR(TODAY())+'תקציבים מיוחדים'!$F$5-HEVARIM[[#This Row],[גיל]],0)</f>
        <v>0</v>
      </c>
      <c r="AD41" s="1">
        <f t="shared" si="2"/>
        <v>0</v>
      </c>
      <c r="AE41" s="2">
        <f ca="1">IF(HEVARIM[[#This Row],[בת מצוה]]&gt;0,YEAR(TODAY())+'תקציבים מיוחדים'!$F$5-HEVARIM[[#This Row],[גיל]],0)</f>
        <v>0</v>
      </c>
      <c r="AF41" s="1">
        <f>IF(AND($S41&gt;="רווק",$Z41=1),AF$4*IF(HEVARIM[[#This Row],[גיל]]&gt;$AF$3,1,(($G41-AF$2)/(AF$3-AF$2))),0)</f>
        <v>0</v>
      </c>
      <c r="AG4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1" s="1">
        <f t="shared" si="3"/>
        <v>0</v>
      </c>
      <c r="AI41" s="2">
        <f ca="1">IF(AH41&gt;0,YEAR(TODAY())+'תקציבים מיוחדים'!$F$7-HEVARIM[[#This Row],[גיל]],0)</f>
        <v>0</v>
      </c>
      <c r="AJ41" s="9">
        <f>IF(AND(ISERROR(VLOOKUP(H41,'[2]ריכוז נתונים'!A:L,1,0)),P41="1     "),1,0)</f>
        <v>0</v>
      </c>
      <c r="AK4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" s="1">
        <f>IF(AND(VALUE(HEVARIM[[#This Row],[קוד מעמד]])=1,HEVARIM[[#This Row],[ותק מחברה 40]]&lt;25),HEVARIM[[#This Row],[ותק מחברה 40]]/25*הנחות!$C$4,0)</f>
        <v>0</v>
      </c>
      <c r="AM41" s="9" t="str">
        <f ca="1">IF(HEVARIM[[#This Row],[דמי עזיבה 25 שנות ותק]]&gt;0,YEAR(TODAY())+25-ROUNDDOWN(HEVARIM[[#This Row],[ותק מחברה 40]],0),"")</f>
        <v/>
      </c>
      <c r="AN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" s="9" t="str">
        <f ca="1">IF(HEVARIM[[#This Row],[דמי עזיבה לגיל 65]]&gt;0,YEAR(TODAY())+64-ROUNDDOWN(HEVARIM[[#This Row],[גיל]],0),"")</f>
        <v/>
      </c>
      <c r="AP41" s="1">
        <f>SUMIF(HEVARIM[קוד תקציב],HEVARIM[[#This Row],[קוד תקציב משפחה מקורי]],HEVARIM[ותק מחברה 40])</f>
        <v>0</v>
      </c>
      <c r="AQ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" s="9">
        <f>IF(HEVARIM[[#This Row],[קוד מעמד]]="1     ",IFERROR(VLOOKUP(HEVARIM[[#This Row],[קוד תקציב]],'תקציב צביעה - לקראת השינוי'!A:F,4,0),0),0)</f>
        <v>0</v>
      </c>
      <c r="AT41" s="1"/>
    </row>
    <row r="42" spans="1:46">
      <c r="A42" t="s">
        <v>211</v>
      </c>
      <c r="B42" t="s">
        <v>212</v>
      </c>
      <c r="C42" t="s">
        <v>213</v>
      </c>
      <c r="D42" t="s">
        <v>214</v>
      </c>
      <c r="E42" t="s">
        <v>67</v>
      </c>
      <c r="F42" s="4">
        <v>23806</v>
      </c>
      <c r="G42">
        <v>60</v>
      </c>
      <c r="H42" t="s">
        <v>215</v>
      </c>
      <c r="I42" t="s">
        <v>216</v>
      </c>
      <c r="J42" s="4" t="s">
        <v>70</v>
      </c>
      <c r="K42" s="4" t="s">
        <v>71</v>
      </c>
      <c r="L42" t="s">
        <v>217</v>
      </c>
      <c r="M42" t="s">
        <v>211</v>
      </c>
      <c r="N42" t="s">
        <v>212</v>
      </c>
      <c r="O42">
        <f>IFERROR(VLOOKUP(HEVARIM[[#This Row],[קוד תקציב]],[2]תקציבים!A:L,6,0),0)</f>
        <v>1</v>
      </c>
      <c r="P42" s="5" t="s">
        <v>83</v>
      </c>
      <c r="Q42" t="s">
        <v>15</v>
      </c>
      <c r="R42" s="4">
        <v>40851</v>
      </c>
      <c r="S42" s="4" t="s">
        <v>74</v>
      </c>
      <c r="T42" s="96" t="s">
        <v>215</v>
      </c>
      <c r="U42" t="str">
        <f>VLOOKUP(HEVARIM[[#This Row],[גיל]],GIL,2,1)</f>
        <v>--</v>
      </c>
      <c r="V42" t="str">
        <f>IF(HEVARIM[[#This Row],[קוד מעמד]]="4     ",IF(HEVARIM[[#This Row],[גיל]]=1,1,IF(HEVARIM[[#This Row],[גיל]]&lt;=5,5,18)),"")</f>
        <v/>
      </c>
      <c r="W42">
        <f t="shared" si="0"/>
        <v>0</v>
      </c>
      <c r="X4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">
        <f>IF(HEVARIM[[#This Row],[מצב משפחתי2]]="אלמן",'[2]ריכוז נתונים'!$AC$2,0)</f>
        <v>0</v>
      </c>
      <c r="Z42" s="3">
        <f>VLOOKUP(VALUE(HEVARIM[[#This Row],[קוד מעמד]]),הנחות!$I$2:$K$21,3,0)</f>
        <v>0</v>
      </c>
      <c r="AA42" t="b">
        <f>ISERROR(VLOOKUP(HEVARIM[[#This Row],[קוד תקציב]],'[2]ריכוז נתונים'!A:A,1,0))</f>
        <v>0</v>
      </c>
      <c r="AB42" s="1">
        <f t="shared" si="1"/>
        <v>0</v>
      </c>
      <c r="AC42" s="2">
        <f ca="1">IF(HEVARIM[[#This Row],[בר מצוה]]&gt;0,YEAR(TODAY())+'תקציבים מיוחדים'!$F$5-HEVARIM[[#This Row],[גיל]],0)</f>
        <v>0</v>
      </c>
      <c r="AD42" s="1">
        <f t="shared" si="2"/>
        <v>0</v>
      </c>
      <c r="AE42" s="2">
        <f ca="1">IF(HEVARIM[[#This Row],[בת מצוה]]&gt;0,YEAR(TODAY())+'תקציבים מיוחדים'!$F$5-HEVARIM[[#This Row],[גיל]],0)</f>
        <v>0</v>
      </c>
      <c r="AF42" s="1">
        <f>IF(AND($S42&gt;="רווק",$Z42=1),AF$4*IF(HEVARIM[[#This Row],[גיל]]&gt;$AF$3,1,(($G42-AF$2)/(AF$3-AF$2))),0)</f>
        <v>0</v>
      </c>
      <c r="AG4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" s="1">
        <f t="shared" si="3"/>
        <v>0</v>
      </c>
      <c r="AI42" s="2">
        <f ca="1">IF(AH42&gt;0,YEAR(TODAY())+'תקציבים מיוחדים'!$F$7-HEVARIM[[#This Row],[גיל]],0)</f>
        <v>0</v>
      </c>
      <c r="AJ42" s="9">
        <f>IF(AND(ISERROR(VLOOKUP(H42,'[2]ריכוז נתונים'!A:L,1,0)),P42="1     "),1,0)</f>
        <v>0</v>
      </c>
      <c r="AK4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" s="1">
        <f>IF(AND(VALUE(HEVARIM[[#This Row],[קוד מעמד]])=1,HEVARIM[[#This Row],[ותק מחברה 40]]&lt;25),HEVARIM[[#This Row],[ותק מחברה 40]]/25*הנחות!$C$4,0)</f>
        <v>0</v>
      </c>
      <c r="AM42" s="9" t="str">
        <f ca="1">IF(HEVARIM[[#This Row],[דמי עזיבה 25 שנות ותק]]&gt;0,YEAR(TODAY())+25-ROUNDDOWN(HEVARIM[[#This Row],[ותק מחברה 40]],0),"")</f>
        <v/>
      </c>
      <c r="AN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" s="9" t="str">
        <f ca="1">IF(HEVARIM[[#This Row],[דמי עזיבה לגיל 65]]&gt;0,YEAR(TODAY())+64-ROUNDDOWN(HEVARIM[[#This Row],[גיל]],0),"")</f>
        <v/>
      </c>
      <c r="AP42" s="1">
        <f>SUMIF(HEVARIM[קוד תקציב],HEVARIM[[#This Row],[קוד תקציב משפחה מקורי]],HEVARIM[ותק מחברה 40])</f>
        <v>29.19</v>
      </c>
      <c r="AQ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" s="9">
        <f>IF(HEVARIM[[#This Row],[קוד מעמד]]="1     ",IFERROR(VLOOKUP(HEVARIM[[#This Row],[קוד תקציב]],'תקציב צביעה - לקראת השינוי'!A:F,4,0),0),0)</f>
        <v>0</v>
      </c>
      <c r="AT42" s="1"/>
    </row>
    <row r="43" spans="1:46">
      <c r="A43" t="s">
        <v>218</v>
      </c>
      <c r="B43" t="s">
        <v>219</v>
      </c>
      <c r="C43" t="s">
        <v>220</v>
      </c>
      <c r="D43" t="s">
        <v>221</v>
      </c>
      <c r="E43" t="s">
        <v>79</v>
      </c>
      <c r="F43" s="4">
        <v>27082</v>
      </c>
      <c r="G43">
        <v>51</v>
      </c>
      <c r="H43" t="s">
        <v>215</v>
      </c>
      <c r="I43" t="s">
        <v>216</v>
      </c>
      <c r="J43" s="4" t="s">
        <v>70</v>
      </c>
      <c r="K43" s="4" t="s">
        <v>71</v>
      </c>
      <c r="L43" t="s">
        <v>222</v>
      </c>
      <c r="M43" t="s">
        <v>218</v>
      </c>
      <c r="N43" t="s">
        <v>219</v>
      </c>
      <c r="O43">
        <f>IFERROR(VLOOKUP(HEVARIM[[#This Row],[קוד תקציב]],[2]תקציבים!A:L,6,0),0)</f>
        <v>1</v>
      </c>
      <c r="P43" s="5" t="s">
        <v>104</v>
      </c>
      <c r="Q43" t="s">
        <v>11</v>
      </c>
      <c r="R43" s="4">
        <v>36576</v>
      </c>
      <c r="S43" s="4" t="s">
        <v>74</v>
      </c>
      <c r="T43" s="96" t="s">
        <v>215</v>
      </c>
      <c r="U43" t="str">
        <f>VLOOKUP(HEVARIM[[#This Row],[גיל]],GIL,2,1)</f>
        <v>--</v>
      </c>
      <c r="V43" t="str">
        <f>IF(HEVARIM[[#This Row],[קוד מעמד]]="4     ",IF(HEVARIM[[#This Row],[גיל]]=1,1,IF(HEVARIM[[#This Row],[גיל]]&lt;=5,5,18)),"")</f>
        <v/>
      </c>
      <c r="W43">
        <f t="shared" si="0"/>
        <v>0</v>
      </c>
      <c r="X4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">
        <f>IF(HEVARIM[[#This Row],[מצב משפחתי2]]="אלמן",'[2]ריכוז נתונים'!$AC$2,0)</f>
        <v>0</v>
      </c>
      <c r="Z43" s="3">
        <f>VLOOKUP(VALUE(HEVARIM[[#This Row],[קוד מעמד]]),הנחות!$I$2:$K$21,3,0)</f>
        <v>0</v>
      </c>
      <c r="AA43" t="b">
        <f>ISERROR(VLOOKUP(HEVARIM[[#This Row],[קוד תקציב]],'[2]ריכוז נתונים'!A:A,1,0))</f>
        <v>0</v>
      </c>
      <c r="AB43" s="1">
        <f t="shared" si="1"/>
        <v>0</v>
      </c>
      <c r="AC43" s="2">
        <f ca="1">IF(HEVARIM[[#This Row],[בר מצוה]]&gt;0,YEAR(TODAY())+'תקציבים מיוחדים'!$F$5-HEVARIM[[#This Row],[גיל]],0)</f>
        <v>0</v>
      </c>
      <c r="AD43" s="1">
        <f t="shared" si="2"/>
        <v>0</v>
      </c>
      <c r="AE43" s="2">
        <f ca="1">IF(HEVARIM[[#This Row],[בת מצוה]]&gt;0,YEAR(TODAY())+'תקציבים מיוחדים'!$F$5-HEVARIM[[#This Row],[גיל]],0)</f>
        <v>0</v>
      </c>
      <c r="AF43" s="1">
        <f>IF(AND($S43&gt;="רווק",$Z43=1),AF$4*IF(HEVARIM[[#This Row],[גיל]]&gt;$AF$3,1,(($G43-AF$2)/(AF$3-AF$2))),0)</f>
        <v>0</v>
      </c>
      <c r="AG4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3" s="1">
        <f t="shared" si="3"/>
        <v>0</v>
      </c>
      <c r="AI43" s="2">
        <f ca="1">IF(AH43&gt;0,YEAR(TODAY())+'תקציבים מיוחדים'!$F$7-HEVARIM[[#This Row],[גיל]],0)</f>
        <v>0</v>
      </c>
      <c r="AJ43" s="9">
        <f>IF(AND(ISERROR(VLOOKUP(H43,'[2]ריכוז נתונים'!A:L,1,0)),P43="1     "),1,0)</f>
        <v>0</v>
      </c>
      <c r="AK43" s="1">
        <f>IF(VALUE(HEVARIM[[#This Row],[קוד מעמד]])=1,VLOOKUP((IF(LEFT(HEVARIM[[#This Row],[קוד חבר]],1)="0",HEVARIM[[#This Row],[קוד חבר]],VALUE(HEVARIM[[#This Row],[קוד חבר]]))),'ותק חברה 40'!AQ:AW,7,0),"")</f>
        <v>29.19</v>
      </c>
      <c r="AL43" s="1">
        <f>IF(AND(VALUE(HEVARIM[[#This Row],[קוד מעמד]])=1,HEVARIM[[#This Row],[ותק מחברה 40]]&lt;25),HEVARIM[[#This Row],[ותק מחברה 40]]/25*הנחות!$C$4,0)</f>
        <v>0</v>
      </c>
      <c r="AM43" s="9" t="str">
        <f ca="1">IF(HEVARIM[[#This Row],[דמי עזיבה 25 שנות ותק]]&gt;0,YEAR(TODAY())+25-ROUNDDOWN(HEVARIM[[#This Row],[ותק מחברה 40]],0),"")</f>
        <v/>
      </c>
      <c r="AN43" s="1">
        <f>IF(AND(VALUE(HEVARIM[[#This Row],[קוד מעמד]])=1,HEVARIM[[#This Row],[ותק מחברה 40]]&gt;25,HEVARIM[[#This Row],[גיל]]&lt;65),הנחות!$C$14+(HEVARIM[[#This Row],[ותק מחברה 40]]-25)*הנחות!$C$10*0.25,0)</f>
        <v>38044.010812500004</v>
      </c>
      <c r="AO43" s="9">
        <f ca="1">IF(HEVARIM[[#This Row],[דמי עזיבה לגיל 65]]&gt;0,YEAR(TODAY())+64-ROUNDDOWN(HEVARIM[[#This Row],[גיל]],0),"")</f>
        <v>2039</v>
      </c>
      <c r="AP43" s="1">
        <f>SUMIF(HEVARIM[קוד תקציב],HEVARIM[[#This Row],[קוד תקציב משפחה מקורי]],HEVARIM[ותק מחברה 40])</f>
        <v>29.19</v>
      </c>
      <c r="AQ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6562.5</v>
      </c>
      <c r="AS43" s="9">
        <f>IF(HEVARIM[[#This Row],[קוד מעמד]]="1     ",IFERROR(VLOOKUP(HEVARIM[[#This Row],[קוד תקציב]],'תקציב צביעה - לקראת השינוי'!A:F,4,0),0),0)</f>
        <v>2028</v>
      </c>
      <c r="AT43" s="1"/>
    </row>
    <row r="44" spans="1:46">
      <c r="A44" t="s">
        <v>223</v>
      </c>
      <c r="B44" t="s">
        <v>224</v>
      </c>
      <c r="C44" t="s">
        <v>213</v>
      </c>
      <c r="D44" t="s">
        <v>225</v>
      </c>
      <c r="E44" t="s">
        <v>67</v>
      </c>
      <c r="F44" s="4">
        <v>41939</v>
      </c>
      <c r="G44">
        <v>11</v>
      </c>
      <c r="H44" t="s">
        <v>215</v>
      </c>
      <c r="I44" t="s">
        <v>216</v>
      </c>
      <c r="J44" s="4" t="s">
        <v>70</v>
      </c>
      <c r="K44" s="4" t="s">
        <v>71</v>
      </c>
      <c r="L44" t="s">
        <v>226</v>
      </c>
      <c r="M44" t="s">
        <v>218</v>
      </c>
      <c r="N44" t="s">
        <v>219</v>
      </c>
      <c r="O44">
        <f>IFERROR(VLOOKUP(HEVARIM[[#This Row],[קוד תקציב]],[2]תקציבים!A:L,6,0),0)</f>
        <v>1</v>
      </c>
      <c r="P44" s="5" t="s">
        <v>227</v>
      </c>
      <c r="Q44" t="s">
        <v>14</v>
      </c>
      <c r="R44" s="4">
        <v>41939</v>
      </c>
      <c r="S44" s="4" t="s">
        <v>90</v>
      </c>
      <c r="T44" s="96" t="s">
        <v>215</v>
      </c>
      <c r="U44" t="str">
        <f>VLOOKUP(HEVARIM[[#This Row],[גיל]],GIL,2,1)</f>
        <v>יסודי</v>
      </c>
      <c r="V44">
        <f>IF(HEVARIM[[#This Row],[קוד מעמד]]="4     ",IF(HEVARIM[[#This Row],[גיל]]=1,1,IF(HEVARIM[[#This Row],[גיל]]&lt;=5,5,18)),"")</f>
        <v>18</v>
      </c>
      <c r="W44">
        <f t="shared" si="0"/>
        <v>0</v>
      </c>
      <c r="X4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">
        <f>IF(HEVARIM[[#This Row],[מצב משפחתי2]]="אלמן",'[2]ריכוז נתונים'!$AC$2,0)</f>
        <v>0</v>
      </c>
      <c r="Z44" s="3">
        <f>VLOOKUP(VALUE(HEVARIM[[#This Row],[קוד מעמד]]),הנחות!$I$2:$K$21,3,0)</f>
        <v>1</v>
      </c>
      <c r="AA44" t="b">
        <f>ISERROR(VLOOKUP(HEVARIM[[#This Row],[קוד תקציב]],'[2]ריכוז נתונים'!A:A,1,0))</f>
        <v>0</v>
      </c>
      <c r="AB44" s="1">
        <f t="shared" si="1"/>
        <v>6062.6923076923076</v>
      </c>
      <c r="AC44" s="2">
        <f ca="1">IF(HEVARIM[[#This Row],[בר מצוה]]&gt;0,YEAR(TODAY())+'תקציבים מיוחדים'!$F$5-HEVARIM[[#This Row],[גיל]],0)</f>
        <v>2028</v>
      </c>
      <c r="AD44" s="1">
        <f t="shared" si="2"/>
        <v>0</v>
      </c>
      <c r="AE44" s="2">
        <f ca="1">IF(HEVARIM[[#This Row],[בת מצוה]]&gt;0,YEAR(TODAY())+'תקציבים מיוחדים'!$F$5-HEVARIM[[#This Row],[גיל]],0)</f>
        <v>0</v>
      </c>
      <c r="AF44" s="1">
        <f>IF(AND($S44&gt;="רווק",$Z44=1),AF$4*IF(HEVARIM[[#This Row],[גיל]]&gt;$AF$3,1,(($G44-AF$2)/(AF$3-AF$2))),0)</f>
        <v>31697.023809523813</v>
      </c>
      <c r="AG44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44" s="1">
        <f t="shared" si="3"/>
        <v>55308.261904761908</v>
      </c>
      <c r="AI44" s="2">
        <f ca="1">IF(AH44&gt;0,YEAR(TODAY())+'תקציבים מיוחדים'!$F$7-HEVARIM[[#This Row],[גיל]],0)</f>
        <v>2036</v>
      </c>
      <c r="AJ44" s="9">
        <f>IF(AND(ISERROR(VLOOKUP(H44,'[2]ריכוז נתונים'!A:L,1,0)),P44="1     "),1,0)</f>
        <v>0</v>
      </c>
      <c r="AK4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4" s="1">
        <f>IF(AND(VALUE(HEVARIM[[#This Row],[קוד מעמד]])=1,HEVARIM[[#This Row],[ותק מחברה 40]]&lt;25),HEVARIM[[#This Row],[ותק מחברה 40]]/25*הנחות!$C$4,0)</f>
        <v>0</v>
      </c>
      <c r="AM44" s="9" t="str">
        <f ca="1">IF(HEVARIM[[#This Row],[דמי עזיבה 25 שנות ותק]]&gt;0,YEAR(TODAY())+25-ROUNDDOWN(HEVARIM[[#This Row],[ותק מחברה 40]],0),"")</f>
        <v/>
      </c>
      <c r="AN4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" s="9" t="str">
        <f ca="1">IF(HEVARIM[[#This Row],[דמי עזיבה לגיל 65]]&gt;0,YEAR(TODAY())+64-ROUNDDOWN(HEVARIM[[#This Row],[גיל]],0),"")</f>
        <v/>
      </c>
      <c r="AP44" s="1">
        <f>SUMIF(HEVARIM[קוד תקציב],HEVARIM[[#This Row],[קוד תקציב משפחה מקורי]],HEVARIM[ותק מחברה 40])</f>
        <v>29.19</v>
      </c>
      <c r="AQ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4" s="9">
        <f>IF(HEVARIM[[#This Row],[קוד מעמד]]="1     ",IFERROR(VLOOKUP(HEVARIM[[#This Row],[קוד תקציב]],'תקציב צביעה - לקראת השינוי'!A:F,4,0),0),0)</f>
        <v>0</v>
      </c>
      <c r="AT44" s="1"/>
    </row>
    <row r="45" spans="1:46">
      <c r="A45" t="s">
        <v>123</v>
      </c>
      <c r="B45" t="s">
        <v>124</v>
      </c>
      <c r="C45" t="s">
        <v>65</v>
      </c>
      <c r="D45" t="s">
        <v>125</v>
      </c>
      <c r="E45" t="s">
        <v>67</v>
      </c>
      <c r="F45" s="4">
        <v>35900</v>
      </c>
      <c r="G45">
        <v>27</v>
      </c>
      <c r="H45" t="s">
        <v>126</v>
      </c>
      <c r="I45" t="s">
        <v>127</v>
      </c>
      <c r="J45" s="4" t="s">
        <v>70</v>
      </c>
      <c r="K45" s="4" t="s">
        <v>71</v>
      </c>
      <c r="L45" t="s">
        <v>128</v>
      </c>
      <c r="M45" t="s">
        <v>123</v>
      </c>
      <c r="N45" t="s">
        <v>124</v>
      </c>
      <c r="O45">
        <f>IFERROR(VLOOKUP(HEVARIM[[#This Row],[קוד תקציב]],[2]תקציבים!A:L,6,0),0)</f>
        <v>0</v>
      </c>
      <c r="P45" s="5" t="s">
        <v>129</v>
      </c>
      <c r="Q45" t="s">
        <v>26</v>
      </c>
      <c r="R45" s="4">
        <v>45549</v>
      </c>
      <c r="S45" s="4" t="s">
        <v>90</v>
      </c>
      <c r="T45" s="96" t="s">
        <v>215</v>
      </c>
      <c r="U45" t="str">
        <f>VLOOKUP(HEVARIM[[#This Row],[גיל]],GIL,2,1)</f>
        <v>--</v>
      </c>
      <c r="V45" t="str">
        <f>IF(HEVARIM[[#This Row],[קוד מעמד]]="4     ",IF(HEVARIM[[#This Row],[גיל]]=1,1,IF(HEVARIM[[#This Row],[גיל]]&lt;=5,5,18)),"")</f>
        <v/>
      </c>
      <c r="W45">
        <f t="shared" si="0"/>
        <v>0</v>
      </c>
      <c r="X4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">
        <f>IF(HEVARIM[[#This Row],[מצב משפחתי2]]="אלמן",'[2]ריכוז נתונים'!$AC$2,0)</f>
        <v>0</v>
      </c>
      <c r="Z45" s="3">
        <f>VLOOKUP(VALUE(HEVARIM[[#This Row],[קוד מעמד]]),הנחות!$I$2:$K$21,3,0)</f>
        <v>1</v>
      </c>
      <c r="AA45" t="b">
        <f>ISERROR(VLOOKUP(HEVARIM[[#This Row],[קוד תקציב]],'[2]ריכוז נתונים'!A:A,1,0))</f>
        <v>1</v>
      </c>
      <c r="AB45" s="1">
        <f t="shared" si="1"/>
        <v>0</v>
      </c>
      <c r="AC45" s="2">
        <f ca="1">IF(HEVARIM[[#This Row],[בר מצוה]]&gt;0,YEAR(TODAY())+'תקציבים מיוחדים'!$F$5-HEVARIM[[#This Row],[גיל]],0)</f>
        <v>0</v>
      </c>
      <c r="AD45" s="1">
        <f t="shared" si="2"/>
        <v>0</v>
      </c>
      <c r="AE45" s="2">
        <f ca="1">IF(HEVARIM[[#This Row],[בת מצוה]]&gt;0,YEAR(TODAY())+'תקציבים מיוחדים'!$F$5-HEVARIM[[#This Row],[גיל]],0)</f>
        <v>0</v>
      </c>
      <c r="AF45" s="1">
        <f>IF(AND($S45&gt;="רווק",$Z45=1),AF$4*IF(HEVARIM[[#This Row],[גיל]]&gt;$AF$3,1,(($G45-AF$2)/(AF$3-AF$2))),0)</f>
        <v>60512.5</v>
      </c>
      <c r="AG45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5" s="1">
        <f t="shared" si="3"/>
        <v>0</v>
      </c>
      <c r="AI45" s="2">
        <f ca="1">IF(AH45&gt;0,YEAR(TODAY())+'תקציבים מיוחדים'!$F$7-HEVARIM[[#This Row],[גיל]],0)</f>
        <v>0</v>
      </c>
      <c r="AJ45" s="9">
        <f>IF(AND(ISERROR(VLOOKUP(H45,'[2]ריכוז נתונים'!A:L,1,0)),P45="1     "),1,0)</f>
        <v>0</v>
      </c>
      <c r="AK4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" s="1">
        <f>IF(AND(VALUE(HEVARIM[[#This Row],[קוד מעמד]])=1,HEVARIM[[#This Row],[ותק מחברה 40]]&lt;25),HEVARIM[[#This Row],[ותק מחברה 40]]/25*הנחות!$C$4,0)</f>
        <v>0</v>
      </c>
      <c r="AM45" s="9" t="str">
        <f ca="1">IF(HEVARIM[[#This Row],[דמי עזיבה 25 שנות ותק]]&gt;0,YEAR(TODAY())+25-ROUNDDOWN(HEVARIM[[#This Row],[ותק מחברה 40]],0),"")</f>
        <v/>
      </c>
      <c r="AN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" s="9" t="str">
        <f ca="1">IF(HEVARIM[[#This Row],[דמי עזיבה לגיל 65]]&gt;0,YEAR(TODAY())+64-ROUNDDOWN(HEVARIM[[#This Row],[גיל]],0),"")</f>
        <v/>
      </c>
      <c r="AP45" s="1">
        <f>SUMIF(HEVARIM[קוד תקציב],HEVARIM[[#This Row],[קוד תקציב משפחה מקורי]],HEVARIM[ותק מחברה 40])</f>
        <v>29.19</v>
      </c>
      <c r="AQ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" s="9">
        <f>IF(HEVARIM[[#This Row],[קוד מעמד]]="1     ",IFERROR(VLOOKUP(HEVARIM[[#This Row],[קוד תקציב]],'תקציב צביעה - לקראת השינוי'!A:F,4,0),0),0)</f>
        <v>0</v>
      </c>
      <c r="AT45" s="1"/>
    </row>
    <row r="46" spans="1:46">
      <c r="A46" t="s">
        <v>282</v>
      </c>
      <c r="B46" t="s">
        <v>283</v>
      </c>
      <c r="C46" t="s">
        <v>278</v>
      </c>
      <c r="D46" t="s">
        <v>284</v>
      </c>
      <c r="E46" t="s">
        <v>79</v>
      </c>
      <c r="F46" s="4">
        <v>36714</v>
      </c>
      <c r="G46">
        <v>25</v>
      </c>
      <c r="H46" t="s">
        <v>280</v>
      </c>
      <c r="I46" t="s">
        <v>281</v>
      </c>
      <c r="J46" s="4" t="s">
        <v>70</v>
      </c>
      <c r="K46" s="4" t="s">
        <v>81</v>
      </c>
      <c r="L46" t="s">
        <v>285</v>
      </c>
      <c r="M46" t="s">
        <v>282</v>
      </c>
      <c r="N46" t="s">
        <v>283</v>
      </c>
      <c r="O46">
        <f>IFERROR(VLOOKUP(HEVARIM[[#This Row],[קוד תקציב]],[2]תקציבים!A:L,6,0),0)</f>
        <v>0</v>
      </c>
      <c r="P46" s="5" t="s">
        <v>129</v>
      </c>
      <c r="Q46" t="s">
        <v>26</v>
      </c>
      <c r="R46" s="4">
        <v>45901</v>
      </c>
      <c r="S46" s="4" t="s">
        <v>74</v>
      </c>
      <c r="T46" s="96" t="s">
        <v>237</v>
      </c>
      <c r="U46" t="str">
        <f>VLOOKUP(HEVARIM[[#This Row],[גיל]],GIL,2,1)</f>
        <v>--</v>
      </c>
      <c r="V46" t="str">
        <f>IF(HEVARIM[[#This Row],[קוד מעמד]]="4     ",IF(HEVARIM[[#This Row],[גיל]]=1,1,IF(HEVARIM[[#This Row],[גיל]]&lt;=5,5,18)),"")</f>
        <v/>
      </c>
      <c r="W46">
        <f t="shared" si="0"/>
        <v>0</v>
      </c>
      <c r="X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">
        <f>IF(HEVARIM[[#This Row],[מצב משפחתי2]]="אלמן",'[2]ריכוז נתונים'!$AC$2,0)</f>
        <v>0</v>
      </c>
      <c r="Z46" s="3">
        <f>VLOOKUP(VALUE(HEVARIM[[#This Row],[קוד מעמד]]),הנחות!$I$2:$K$21,3,0)</f>
        <v>1</v>
      </c>
      <c r="AA46" t="b">
        <f>ISERROR(VLOOKUP(HEVARIM[[#This Row],[קוד תקציב]],'[2]ריכוז נתונים'!A:A,1,0))</f>
        <v>1</v>
      </c>
      <c r="AB46" s="1">
        <f t="shared" si="1"/>
        <v>0</v>
      </c>
      <c r="AC46" s="2">
        <f ca="1">IF(HEVARIM[[#This Row],[בר מצוה]]&gt;0,YEAR(TODAY())+'תקציבים מיוחדים'!$F$5-HEVARIM[[#This Row],[גיל]],0)</f>
        <v>0</v>
      </c>
      <c r="AD46" s="1">
        <f t="shared" si="2"/>
        <v>0</v>
      </c>
      <c r="AE46" s="2">
        <f ca="1">IF(HEVARIM[[#This Row],[בת מצוה]]&gt;0,YEAR(TODAY())+'תקציבים מיוחדים'!$F$5-HEVARIM[[#This Row],[גיל]],0)</f>
        <v>0</v>
      </c>
      <c r="AF46" s="1">
        <f>IF(AND($S46&gt;="רווק",$Z46=1),AF$4*IF(HEVARIM[[#This Row],[גיל]]&gt;$AF$3,1,(($G46-AF$2)/(AF$3-AF$2))),0)</f>
        <v>0</v>
      </c>
      <c r="AG4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" s="1">
        <f t="shared" si="3"/>
        <v>0</v>
      </c>
      <c r="AI46" s="2">
        <f ca="1">IF(AH46&gt;0,YEAR(TODAY())+'תקציבים מיוחדים'!$F$7-HEVARIM[[#This Row],[גיל]],0)</f>
        <v>0</v>
      </c>
      <c r="AJ46" s="9">
        <f>IF(AND(ISERROR(VLOOKUP(H46,'[2]ריכוז נתונים'!A:L,1,0)),P46="1     "),1,0)</f>
        <v>0</v>
      </c>
      <c r="AK4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" s="1">
        <f>IF(AND(VALUE(HEVARIM[[#This Row],[קוד מעמד]])=1,HEVARIM[[#This Row],[ותק מחברה 40]]&lt;25),HEVARIM[[#This Row],[ותק מחברה 40]]/25*הנחות!$C$4,0)</f>
        <v>0</v>
      </c>
      <c r="AM46" s="9" t="str">
        <f ca="1">IF(HEVARIM[[#This Row],[דמי עזיבה 25 שנות ותק]]&gt;0,YEAR(TODAY())+25-ROUNDDOWN(HEVARIM[[#This Row],[ותק מחברה 40]],0),"")</f>
        <v/>
      </c>
      <c r="AN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" s="9" t="str">
        <f ca="1">IF(HEVARIM[[#This Row],[דמי עזיבה לגיל 65]]&gt;0,YEAR(TODAY())+64-ROUNDDOWN(HEVARIM[[#This Row],[גיל]],0),"")</f>
        <v/>
      </c>
      <c r="AP46" s="1">
        <f>SUMIF(HEVARIM[קוד תקציב],HEVARIM[[#This Row],[קוד תקציב משפחה מקורי]],HEVARIM[ותק מחברה 40])</f>
        <v>37.36</v>
      </c>
      <c r="AQ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" s="9">
        <f>IF(HEVARIM[[#This Row],[קוד מעמד]]="1     ",IFERROR(VLOOKUP(HEVARIM[[#This Row],[קוד תקציב]],'תקציב צביעה - לקראת השינוי'!A:F,4,0),0),0)</f>
        <v>0</v>
      </c>
      <c r="AT46" s="1"/>
    </row>
    <row r="47" spans="1:46">
      <c r="A47" t="s">
        <v>240</v>
      </c>
      <c r="B47" t="s">
        <v>241</v>
      </c>
      <c r="C47" t="s">
        <v>242</v>
      </c>
      <c r="D47" t="s">
        <v>243</v>
      </c>
      <c r="E47" t="s">
        <v>67</v>
      </c>
      <c r="F47" s="4">
        <v>30016</v>
      </c>
      <c r="G47">
        <v>43</v>
      </c>
      <c r="H47" t="s">
        <v>244</v>
      </c>
      <c r="I47" t="s">
        <v>245</v>
      </c>
      <c r="J47" s="4" t="s">
        <v>70</v>
      </c>
      <c r="K47" s="4" t="s">
        <v>71</v>
      </c>
      <c r="L47" t="s">
        <v>246</v>
      </c>
      <c r="M47" t="s">
        <v>240</v>
      </c>
      <c r="N47" t="s">
        <v>241</v>
      </c>
      <c r="O47">
        <f>IFERROR(VLOOKUP(HEVARIM[[#This Row],[קוד תקציב]],[2]תקציבים!A:L,6,0),0)</f>
        <v>1</v>
      </c>
      <c r="P47" s="5" t="s">
        <v>104</v>
      </c>
      <c r="Q47" t="s">
        <v>11</v>
      </c>
      <c r="R47" s="4">
        <v>41394</v>
      </c>
      <c r="S47" s="4" t="s">
        <v>74</v>
      </c>
      <c r="T47" s="96" t="s">
        <v>244</v>
      </c>
      <c r="U47" t="str">
        <f>VLOOKUP(HEVARIM[[#This Row],[גיל]],GIL,2,1)</f>
        <v>--</v>
      </c>
      <c r="V47" t="str">
        <f>IF(HEVARIM[[#This Row],[קוד מעמד]]="4     ",IF(HEVARIM[[#This Row],[גיל]]=1,1,IF(HEVARIM[[#This Row],[גיל]]&lt;=5,5,18)),"")</f>
        <v/>
      </c>
      <c r="W47">
        <f t="shared" si="0"/>
        <v>0</v>
      </c>
      <c r="X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">
        <f>IF(HEVARIM[[#This Row],[מצב משפחתי2]]="אלמן",'[2]ריכוז נתונים'!$AC$2,0)</f>
        <v>0</v>
      </c>
      <c r="Z47" s="3">
        <f>VLOOKUP(VALUE(HEVARIM[[#This Row],[קוד מעמד]]),הנחות!$I$2:$K$21,3,0)</f>
        <v>0</v>
      </c>
      <c r="AA47" t="b">
        <f>ISERROR(VLOOKUP(HEVARIM[[#This Row],[קוד תקציב]],'[2]ריכוז נתונים'!A:A,1,0))</f>
        <v>0</v>
      </c>
      <c r="AB47" s="1">
        <f t="shared" si="1"/>
        <v>0</v>
      </c>
      <c r="AC47" s="2">
        <f ca="1">IF(HEVARIM[[#This Row],[בר מצוה]]&gt;0,YEAR(TODAY())+'תקציבים מיוחדים'!$F$5-HEVARIM[[#This Row],[גיל]],0)</f>
        <v>0</v>
      </c>
      <c r="AD47" s="1">
        <f t="shared" si="2"/>
        <v>0</v>
      </c>
      <c r="AE47" s="2">
        <f ca="1">IF(HEVARIM[[#This Row],[בת מצוה]]&gt;0,YEAR(TODAY())+'תקציבים מיוחדים'!$F$5-HEVARIM[[#This Row],[גיל]],0)</f>
        <v>0</v>
      </c>
      <c r="AF47" s="1">
        <f>IF(AND($S47&gt;="רווק",$Z47=1),AF$4*IF(HEVARIM[[#This Row],[גיל]]&gt;$AF$3,1,(($G47-AF$2)/(AF$3-AF$2))),0)</f>
        <v>0</v>
      </c>
      <c r="AG4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" s="1">
        <f t="shared" si="3"/>
        <v>0</v>
      </c>
      <c r="AI47" s="2">
        <f ca="1">IF(AH47&gt;0,YEAR(TODAY())+'תקציבים מיוחדים'!$F$7-HEVARIM[[#This Row],[גיל]],0)</f>
        <v>0</v>
      </c>
      <c r="AJ47" s="9">
        <f>IF(AND(ISERROR(VLOOKUP(H47,'[2]ריכוז נתונים'!A:L,1,0)),P47="1     "),1,0)</f>
        <v>0</v>
      </c>
      <c r="AK47" s="1">
        <f>IF(VALUE(HEVARIM[[#This Row],[קוד מעמד]])=1,VLOOKUP((IF(LEFT(HEVARIM[[#This Row],[קוד חבר]],1)="0",HEVARIM[[#This Row],[קוד חבר]],VALUE(HEVARIM[[#This Row],[קוד חבר]]))),'ותק חברה 40'!AQ:AW,7,0),"")</f>
        <v>14.8</v>
      </c>
      <c r="AL47" s="1">
        <f>IF(AND(VALUE(HEVARIM[[#This Row],[קוד מעמד]])=1,HEVARIM[[#This Row],[ותק מחברה 40]]&lt;25),HEVARIM[[#This Row],[ותק מחברה 40]]/25*הנחות!$C$4,0)</f>
        <v>22220.490600000001</v>
      </c>
      <c r="AM47" s="9">
        <f ca="1">IF(HEVARIM[[#This Row],[דמי עזיבה 25 שנות ותק]]&gt;0,YEAR(TODAY())+25-ROUNDDOWN(HEVARIM[[#This Row],[ותק מחברה 40]],0),"")</f>
        <v>2037</v>
      </c>
      <c r="AN4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" s="9" t="str">
        <f ca="1">IF(HEVARIM[[#This Row],[דמי עזיבה לגיל 65]]&gt;0,YEAR(TODAY())+64-ROUNDDOWN(HEVARIM[[#This Row],[גיל]],0),"")</f>
        <v/>
      </c>
      <c r="AP47" s="1">
        <f>SUMIF(HEVARIM[קוד תקציב],HEVARIM[[#This Row],[קוד תקציב משפחה מקורי]],HEVARIM[ותק מחברה 40])</f>
        <v>14.8</v>
      </c>
      <c r="AQ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7" s="9">
        <f>IF(HEVARIM[[#This Row],[קוד מעמד]]="1     ",IFERROR(VLOOKUP(HEVARIM[[#This Row],[קוד תקציב]],'תקציב צביעה - לקראת השינוי'!A:F,4,0),0),0)</f>
        <v>0</v>
      </c>
      <c r="AT47" s="1"/>
    </row>
    <row r="48" spans="1:46">
      <c r="A48" t="s">
        <v>255</v>
      </c>
      <c r="B48" t="s">
        <v>256</v>
      </c>
      <c r="C48" t="s">
        <v>141</v>
      </c>
      <c r="D48" t="s">
        <v>257</v>
      </c>
      <c r="E48" t="s">
        <v>79</v>
      </c>
      <c r="F48" s="4">
        <v>19263</v>
      </c>
      <c r="G48">
        <v>73</v>
      </c>
      <c r="H48" t="s">
        <v>258</v>
      </c>
      <c r="I48" t="s">
        <v>256</v>
      </c>
      <c r="J48" s="4" t="s">
        <v>70</v>
      </c>
      <c r="K48" s="4" t="s">
        <v>71</v>
      </c>
      <c r="L48" t="s">
        <v>259</v>
      </c>
      <c r="M48" t="s">
        <v>255</v>
      </c>
      <c r="N48" t="s">
        <v>256</v>
      </c>
      <c r="O48">
        <f>IFERROR(VLOOKUP(HEVARIM[[#This Row],[קוד תקציב]],[2]תקציבים!A:L,6,0),0)</f>
        <v>1</v>
      </c>
      <c r="P48" s="5" t="s">
        <v>104</v>
      </c>
      <c r="Q48" t="s">
        <v>11</v>
      </c>
      <c r="R48" s="4">
        <v>28855</v>
      </c>
      <c r="S48" s="4" t="s">
        <v>145</v>
      </c>
      <c r="T48" s="96" t="s">
        <v>258</v>
      </c>
      <c r="U48" t="str">
        <f>VLOOKUP(HEVARIM[[#This Row],[גיל]],GIL,2,1)</f>
        <v>--</v>
      </c>
      <c r="V48" t="str">
        <f>IF(HEVARIM[[#This Row],[קוד מעמד]]="4     ",IF(HEVARIM[[#This Row],[גיל]]=1,1,IF(HEVARIM[[#This Row],[גיל]]&lt;=5,5,18)),"")</f>
        <v/>
      </c>
      <c r="W48">
        <f t="shared" si="0"/>
        <v>1564</v>
      </c>
      <c r="X4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8">
        <f>IF(HEVARIM[[#This Row],[מצב משפחתי2]]="אלמן",'[2]ריכוז נתונים'!$AC$2,0)</f>
        <v>0</v>
      </c>
      <c r="Z48" s="3">
        <f>VLOOKUP(VALUE(HEVARIM[[#This Row],[קוד מעמד]]),הנחות!$I$2:$K$21,3,0)</f>
        <v>0</v>
      </c>
      <c r="AA48" t="b">
        <f>ISERROR(VLOOKUP(HEVARIM[[#This Row],[קוד תקציב]],'[2]ריכוז נתונים'!A:A,1,0))</f>
        <v>0</v>
      </c>
      <c r="AB48" s="1">
        <f t="shared" si="1"/>
        <v>0</v>
      </c>
      <c r="AC48" s="2">
        <f ca="1">IF(HEVARIM[[#This Row],[בר מצוה]]&gt;0,YEAR(TODAY())+'תקציבים מיוחדים'!$F$5-HEVARIM[[#This Row],[גיל]],0)</f>
        <v>0</v>
      </c>
      <c r="AD48" s="1">
        <f t="shared" si="2"/>
        <v>0</v>
      </c>
      <c r="AE48" s="2">
        <f ca="1">IF(HEVARIM[[#This Row],[בת מצוה]]&gt;0,YEAR(TODAY())+'תקציבים מיוחדים'!$F$5-HEVARIM[[#This Row],[גיל]],0)</f>
        <v>0</v>
      </c>
      <c r="AF48" s="1">
        <f>IF(AND($S48&gt;="רווק",$Z48=1),AF$4*IF(HEVARIM[[#This Row],[גיל]]&gt;$AF$3,1,(($G48-AF$2)/(AF$3-AF$2))),0)</f>
        <v>0</v>
      </c>
      <c r="AG4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8" s="1">
        <f t="shared" si="3"/>
        <v>0</v>
      </c>
      <c r="AI48" s="2">
        <f ca="1">IF(AH48&gt;0,YEAR(TODAY())+'תקציבים מיוחדים'!$F$7-HEVARIM[[#This Row],[גיל]],0)</f>
        <v>0</v>
      </c>
      <c r="AJ48" s="9">
        <f>IF(AND(ISERROR(VLOOKUP(H48,'[2]ריכוז נתונים'!A:L,1,0)),P48="1     "),1,0)</f>
        <v>0</v>
      </c>
      <c r="AK48" s="1">
        <f>IF(VALUE(HEVARIM[[#This Row],[קוד מעמד]])=1,VLOOKUP((IF(LEFT(HEVARIM[[#This Row],[קוד חבר]],1)="0",HEVARIM[[#This Row],[קוד חבר]],VALUE(HEVARIM[[#This Row],[קוד חבר]]))),'ותק חברה 40'!AQ:AW,7,0),"")</f>
        <v>43.44</v>
      </c>
      <c r="AL48" s="1">
        <f>IF(AND(VALUE(HEVARIM[[#This Row],[קוד מעמד]])=1,HEVARIM[[#This Row],[ותק מחברה 40]]&lt;25),HEVARIM[[#This Row],[ותק מחברה 40]]/25*הנחות!$C$4,0)</f>
        <v>0</v>
      </c>
      <c r="AM48" s="9" t="str">
        <f ca="1">IF(HEVARIM[[#This Row],[דמי עזיבה 25 שנות ותק]]&gt;0,YEAR(TODAY())+25-ROUNDDOWN(HEVARIM[[#This Row],[ותק מחברה 40]],0),"")</f>
        <v/>
      </c>
      <c r="AN4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" s="9" t="str">
        <f ca="1">IF(HEVARIM[[#This Row],[דמי עזיבה לגיל 65]]&gt;0,YEAR(TODAY())+64-ROUNDDOWN(HEVARIM[[#This Row],[גיל]],0),"")</f>
        <v/>
      </c>
      <c r="AP48" s="1">
        <f>SUMIF(HEVARIM[קוד תקציב],HEVARIM[[#This Row],[קוד תקציב משפחה מקורי]],HEVARIM[ותק מחברה 40])</f>
        <v>43.44</v>
      </c>
      <c r="AQ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48" s="9">
        <f>IF(HEVARIM[[#This Row],[קוד מעמד]]="1     ",IFERROR(VLOOKUP(HEVARIM[[#This Row],[קוד תקציב]],'תקציב צביעה - לקראת השינוי'!A:F,4,0),0),0)</f>
        <v>2032</v>
      </c>
      <c r="AT48" s="1"/>
    </row>
    <row r="49" spans="1:46">
      <c r="A49" t="s">
        <v>266</v>
      </c>
      <c r="B49" t="s">
        <v>267</v>
      </c>
      <c r="C49" t="s">
        <v>176</v>
      </c>
      <c r="D49" t="s">
        <v>268</v>
      </c>
      <c r="E49" t="s">
        <v>79</v>
      </c>
      <c r="F49" s="4">
        <v>34313</v>
      </c>
      <c r="G49">
        <v>32</v>
      </c>
      <c r="H49" t="s">
        <v>263</v>
      </c>
      <c r="I49" t="s">
        <v>264</v>
      </c>
      <c r="J49" s="4" t="s">
        <v>70</v>
      </c>
      <c r="K49" s="4" t="s">
        <v>81</v>
      </c>
      <c r="L49" t="s">
        <v>269</v>
      </c>
      <c r="M49" t="s">
        <v>260</v>
      </c>
      <c r="N49" t="s">
        <v>261</v>
      </c>
      <c r="O49">
        <f>IFERROR(VLOOKUP(HEVARIM[[#This Row],[קוד תקציב]],[2]תקציבים!A:L,6,0),0)</f>
        <v>0</v>
      </c>
      <c r="P49" s="5" t="s">
        <v>83</v>
      </c>
      <c r="Q49" t="s">
        <v>15</v>
      </c>
      <c r="R49" s="4">
        <v>43733</v>
      </c>
      <c r="S49" s="4" t="s">
        <v>74</v>
      </c>
      <c r="T49" s="96" t="s">
        <v>263</v>
      </c>
      <c r="U49" t="str">
        <f>VLOOKUP(HEVARIM[[#This Row],[גיל]],GIL,2,1)</f>
        <v>--</v>
      </c>
      <c r="V49" t="str">
        <f>IF(HEVARIM[[#This Row],[קוד מעמד]]="4     ",IF(HEVARIM[[#This Row],[גיל]]=1,1,IF(HEVARIM[[#This Row],[גיל]]&lt;=5,5,18)),"")</f>
        <v/>
      </c>
      <c r="W49">
        <f t="shared" si="0"/>
        <v>0</v>
      </c>
      <c r="X4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">
        <f>IF(HEVARIM[[#This Row],[מצב משפחתי2]]="אלמן",'[2]ריכוז נתונים'!$AC$2,0)</f>
        <v>0</v>
      </c>
      <c r="Z49" s="3">
        <f>VLOOKUP(VALUE(HEVARIM[[#This Row],[קוד מעמד]]),הנחות!$I$2:$K$21,3,0)</f>
        <v>0</v>
      </c>
      <c r="AA49" t="b">
        <f>ISERROR(VLOOKUP(HEVARIM[[#This Row],[קוד תקציב]],'[2]ריכוז נתונים'!A:A,1,0))</f>
        <v>1</v>
      </c>
      <c r="AB49" s="1">
        <f t="shared" si="1"/>
        <v>0</v>
      </c>
      <c r="AC49" s="2">
        <f ca="1">IF(HEVARIM[[#This Row],[בר מצוה]]&gt;0,YEAR(TODAY())+'תקציבים מיוחדים'!$F$5-HEVARIM[[#This Row],[גיל]],0)</f>
        <v>0</v>
      </c>
      <c r="AD49" s="1">
        <f t="shared" si="2"/>
        <v>0</v>
      </c>
      <c r="AE49" s="2">
        <f ca="1">IF(HEVARIM[[#This Row],[בת מצוה]]&gt;0,YEAR(TODAY())+'תקציבים מיוחדים'!$F$5-HEVARIM[[#This Row],[גיל]],0)</f>
        <v>0</v>
      </c>
      <c r="AF49" s="1">
        <f>IF(AND($S49&gt;="רווק",$Z49=1),AF$4*IF(HEVARIM[[#This Row],[גיל]]&gt;$AF$3,1,(($G49-AF$2)/(AF$3-AF$2))),0)</f>
        <v>0</v>
      </c>
      <c r="AG4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9" s="1">
        <f t="shared" si="3"/>
        <v>0</v>
      </c>
      <c r="AI49" s="2">
        <f ca="1">IF(AH49&gt;0,YEAR(TODAY())+'תקציבים מיוחדים'!$F$7-HEVARIM[[#This Row],[גיל]],0)</f>
        <v>0</v>
      </c>
      <c r="AJ49" s="9">
        <f>IF(AND(ISERROR(VLOOKUP(H49,'[2]ריכוז נתונים'!A:L,1,0)),P49="1     "),1,0)</f>
        <v>0</v>
      </c>
      <c r="AK4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" s="1">
        <f>IF(AND(VALUE(HEVARIM[[#This Row],[קוד מעמד]])=1,HEVARIM[[#This Row],[ותק מחברה 40]]&lt;25),HEVARIM[[#This Row],[ותק מחברה 40]]/25*הנחות!$C$4,0)</f>
        <v>0</v>
      </c>
      <c r="AM49" s="9" t="str">
        <f ca="1">IF(HEVARIM[[#This Row],[דמי עזיבה 25 שנות ותק]]&gt;0,YEAR(TODAY())+25-ROUNDDOWN(HEVARIM[[#This Row],[ותק מחברה 40]],0),"")</f>
        <v/>
      </c>
      <c r="AN4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" s="9" t="str">
        <f ca="1">IF(HEVARIM[[#This Row],[דמי עזיבה לגיל 65]]&gt;0,YEAR(TODAY())+64-ROUNDDOWN(HEVARIM[[#This Row],[גיל]],0),"")</f>
        <v/>
      </c>
      <c r="AP49" s="1">
        <f>SUMIF(HEVARIM[קוד תקציב],HEVARIM[[#This Row],[קוד תקציב משפחה מקורי]],HEVARIM[ותק מחברה 40])</f>
        <v>0</v>
      </c>
      <c r="AQ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" s="9">
        <f>IF(HEVARIM[[#This Row],[קוד מעמד]]="1     ",IFERROR(VLOOKUP(HEVARIM[[#This Row],[קוד תקציב]],'תקציב צביעה - לקראת השינוי'!A:F,4,0),0),0)</f>
        <v>0</v>
      </c>
      <c r="AT49" s="1"/>
    </row>
    <row r="50" spans="1:46">
      <c r="A50" t="s">
        <v>270</v>
      </c>
      <c r="B50" t="s">
        <v>271</v>
      </c>
      <c r="C50" t="s">
        <v>176</v>
      </c>
      <c r="D50" t="s">
        <v>272</v>
      </c>
      <c r="E50" t="s">
        <v>67</v>
      </c>
      <c r="F50" s="4">
        <v>43791</v>
      </c>
      <c r="G50">
        <v>6</v>
      </c>
      <c r="H50" t="s">
        <v>263</v>
      </c>
      <c r="I50" t="s">
        <v>264</v>
      </c>
      <c r="J50" s="4" t="s">
        <v>70</v>
      </c>
      <c r="K50" s="4" t="s">
        <v>81</v>
      </c>
      <c r="L50" t="s">
        <v>273</v>
      </c>
      <c r="M50" t="s">
        <v>260</v>
      </c>
      <c r="N50" t="s">
        <v>261</v>
      </c>
      <c r="O50">
        <f>IFERROR(VLOOKUP(HEVARIM[[#This Row],[קוד תקציב]],[2]תקציבים!A:L,6,0),0)</f>
        <v>0</v>
      </c>
      <c r="P50" s="5" t="s">
        <v>89</v>
      </c>
      <c r="Q50" t="s">
        <v>19</v>
      </c>
      <c r="R50" s="4">
        <v>43793</v>
      </c>
      <c r="S50" s="4" t="s">
        <v>90</v>
      </c>
      <c r="T50" s="96" t="s">
        <v>263</v>
      </c>
      <c r="U50" t="str">
        <f>VLOOKUP(HEVARIM[[#This Row],[גיל]],GIL,2,1)</f>
        <v>יסודי</v>
      </c>
      <c r="V50" t="str">
        <f>IF(HEVARIM[[#This Row],[קוד מעמד]]="4     ",IF(HEVARIM[[#This Row],[גיל]]=1,1,IF(HEVARIM[[#This Row],[גיל]]&lt;=5,5,18)),"")</f>
        <v/>
      </c>
      <c r="W50">
        <f t="shared" si="0"/>
        <v>0</v>
      </c>
      <c r="X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">
        <f>IF(HEVARIM[[#This Row],[מצב משפחתי2]]="אלמן",'[2]ריכוז נתונים'!$AC$2,0)</f>
        <v>0</v>
      </c>
      <c r="Z50" s="3">
        <f>VLOOKUP(VALUE(HEVARIM[[#This Row],[קוד מעמד]]),הנחות!$I$2:$K$21,3,0)</f>
        <v>0</v>
      </c>
      <c r="AA50" t="b">
        <f>ISERROR(VLOOKUP(HEVARIM[[#This Row],[קוד תקציב]],'[2]ריכוז נתונים'!A:A,1,0))</f>
        <v>1</v>
      </c>
      <c r="AB50" s="1">
        <f t="shared" si="1"/>
        <v>0</v>
      </c>
      <c r="AC50" s="2">
        <f ca="1">IF(HEVARIM[[#This Row],[בר מצוה]]&gt;0,YEAR(TODAY())+'תקציבים מיוחדים'!$F$5-HEVARIM[[#This Row],[גיל]],0)</f>
        <v>0</v>
      </c>
      <c r="AD50" s="1">
        <f t="shared" si="2"/>
        <v>0</v>
      </c>
      <c r="AE50" s="2">
        <f ca="1">IF(HEVARIM[[#This Row],[בת מצוה]]&gt;0,YEAR(TODAY())+'תקציבים מיוחדים'!$F$5-HEVARIM[[#This Row],[גיל]],0)</f>
        <v>0</v>
      </c>
      <c r="AF50" s="1">
        <f>IF(AND($S50&gt;="רווק",$Z50=1),AF$4*IF(HEVARIM[[#This Row],[גיל]]&gt;$AF$3,1,(($G50-AF$2)/(AF$3-AF$2))),0)</f>
        <v>0</v>
      </c>
      <c r="AG5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0" s="1">
        <f t="shared" si="3"/>
        <v>0</v>
      </c>
      <c r="AI50" s="2">
        <f ca="1">IF(AH50&gt;0,YEAR(TODAY())+'תקציבים מיוחדים'!$F$7-HEVARIM[[#This Row],[גיל]],0)</f>
        <v>0</v>
      </c>
      <c r="AJ50" s="9">
        <f>IF(AND(ISERROR(VLOOKUP(H50,'[2]ריכוז נתונים'!A:L,1,0)),P50="1     "),1,0)</f>
        <v>0</v>
      </c>
      <c r="AK5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" s="1">
        <f>IF(AND(VALUE(HEVARIM[[#This Row],[קוד מעמד]])=1,HEVARIM[[#This Row],[ותק מחברה 40]]&lt;25),HEVARIM[[#This Row],[ותק מחברה 40]]/25*הנחות!$C$4,0)</f>
        <v>0</v>
      </c>
      <c r="AM50" s="9" t="str">
        <f ca="1">IF(HEVARIM[[#This Row],[דמי עזיבה 25 שנות ותק]]&gt;0,YEAR(TODAY())+25-ROUNDDOWN(HEVARIM[[#This Row],[ותק מחברה 40]],0),"")</f>
        <v/>
      </c>
      <c r="AN5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" s="9" t="str">
        <f ca="1">IF(HEVARIM[[#This Row],[דמי עזיבה לגיל 65]]&gt;0,YEAR(TODAY())+64-ROUNDDOWN(HEVARIM[[#This Row],[גיל]],0),"")</f>
        <v/>
      </c>
      <c r="AP50" s="1">
        <f>SUMIF(HEVARIM[קוד תקציב],HEVARIM[[#This Row],[קוד תקציב משפחה מקורי]],HEVARIM[ותק מחברה 40])</f>
        <v>0</v>
      </c>
      <c r="AQ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" s="9">
        <f>IF(HEVARIM[[#This Row],[קוד מעמד]]="1     ",IFERROR(VLOOKUP(HEVARIM[[#This Row],[קוד תקציב]],'תקציב צביעה - לקראת השינוי'!A:F,4,0),0),0)</f>
        <v>0</v>
      </c>
      <c r="AT50" s="1"/>
    </row>
    <row r="51" spans="1:46">
      <c r="A51" t="s">
        <v>274</v>
      </c>
      <c r="B51" t="s">
        <v>275</v>
      </c>
      <c r="C51" t="s">
        <v>176</v>
      </c>
      <c r="D51" t="s">
        <v>276</v>
      </c>
      <c r="E51" t="s">
        <v>79</v>
      </c>
      <c r="F51" s="4">
        <v>44275</v>
      </c>
      <c r="G51">
        <v>4</v>
      </c>
      <c r="H51" t="s">
        <v>263</v>
      </c>
      <c r="I51" t="s">
        <v>264</v>
      </c>
      <c r="J51" s="4" t="s">
        <v>70</v>
      </c>
      <c r="K51" s="4" t="s">
        <v>81</v>
      </c>
      <c r="L51" t="s">
        <v>277</v>
      </c>
      <c r="M51" t="s">
        <v>260</v>
      </c>
      <c r="N51" t="s">
        <v>261</v>
      </c>
      <c r="O51">
        <f>IFERROR(VLOOKUP(HEVARIM[[#This Row],[קוד תקציב]],[2]תקציבים!A:L,6,0),0)</f>
        <v>0</v>
      </c>
      <c r="P51" s="5" t="s">
        <v>89</v>
      </c>
      <c r="Q51" t="s">
        <v>19</v>
      </c>
      <c r="R51" s="4">
        <v>44275</v>
      </c>
      <c r="S51" s="4" t="s">
        <v>90</v>
      </c>
      <c r="T51" s="96" t="s">
        <v>263</v>
      </c>
      <c r="U51" t="str">
        <f>VLOOKUP(HEVARIM[[#This Row],[גיל]],GIL,2,1)</f>
        <v>גנים</v>
      </c>
      <c r="V51" t="str">
        <f>IF(HEVARIM[[#This Row],[קוד מעמד]]="4     ",IF(HEVARIM[[#This Row],[גיל]]=1,1,IF(HEVARIM[[#This Row],[גיל]]&lt;=5,5,18)),"")</f>
        <v/>
      </c>
      <c r="W51">
        <f t="shared" si="0"/>
        <v>0</v>
      </c>
      <c r="X5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">
        <f>IF(HEVARIM[[#This Row],[מצב משפחתי2]]="אלמן",'[2]ריכוז נתונים'!$AC$2,0)</f>
        <v>0</v>
      </c>
      <c r="Z51" s="3">
        <f>VLOOKUP(VALUE(HEVARIM[[#This Row],[קוד מעמד]]),הנחות!$I$2:$K$21,3,0)</f>
        <v>0</v>
      </c>
      <c r="AA51" t="b">
        <f>ISERROR(VLOOKUP(HEVARIM[[#This Row],[קוד תקציב]],'[2]ריכוז נתונים'!A:A,1,0))</f>
        <v>1</v>
      </c>
      <c r="AB51" s="1">
        <f t="shared" si="1"/>
        <v>0</v>
      </c>
      <c r="AC51" s="2">
        <f ca="1">IF(HEVARIM[[#This Row],[בר מצוה]]&gt;0,YEAR(TODAY())+'תקציבים מיוחדים'!$F$5-HEVARIM[[#This Row],[גיל]],0)</f>
        <v>0</v>
      </c>
      <c r="AD51" s="1">
        <f t="shared" si="2"/>
        <v>0</v>
      </c>
      <c r="AE51" s="2">
        <f ca="1">IF(HEVARIM[[#This Row],[בת מצוה]]&gt;0,YEAR(TODAY())+'תקציבים מיוחדים'!$F$5-HEVARIM[[#This Row],[גיל]],0)</f>
        <v>0</v>
      </c>
      <c r="AF51" s="1">
        <f>IF(AND($S51&gt;="רווק",$Z51=1),AF$4*IF(HEVARIM[[#This Row],[גיל]]&gt;$AF$3,1,(($G51-AF$2)/(AF$3-AF$2))),0)</f>
        <v>0</v>
      </c>
      <c r="AG5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1" s="1">
        <f t="shared" si="3"/>
        <v>0</v>
      </c>
      <c r="AI51" s="2">
        <f ca="1">IF(AH51&gt;0,YEAR(TODAY())+'תקציבים מיוחדים'!$F$7-HEVARIM[[#This Row],[גיל]],0)</f>
        <v>0</v>
      </c>
      <c r="AJ51" s="9">
        <f>IF(AND(ISERROR(VLOOKUP(H51,'[2]ריכוז נתונים'!A:L,1,0)),P51="1     "),1,0)</f>
        <v>0</v>
      </c>
      <c r="AK5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" s="1">
        <f>IF(AND(VALUE(HEVARIM[[#This Row],[קוד מעמד]])=1,HEVARIM[[#This Row],[ותק מחברה 40]]&lt;25),HEVARIM[[#This Row],[ותק מחברה 40]]/25*הנחות!$C$4,0)</f>
        <v>0</v>
      </c>
      <c r="AM51" s="9" t="str">
        <f ca="1">IF(HEVARIM[[#This Row],[דמי עזיבה 25 שנות ותק]]&gt;0,YEAR(TODAY())+25-ROUNDDOWN(HEVARIM[[#This Row],[ותק מחברה 40]],0),"")</f>
        <v/>
      </c>
      <c r="AN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" s="9" t="str">
        <f ca="1">IF(HEVARIM[[#This Row],[דמי עזיבה לגיל 65]]&gt;0,YEAR(TODAY())+64-ROUNDDOWN(HEVARIM[[#This Row],[גיל]],0),"")</f>
        <v/>
      </c>
      <c r="AP51" s="1">
        <f>SUMIF(HEVARIM[קוד תקציב],HEVARIM[[#This Row],[קוד תקציב משפחה מקורי]],HEVARIM[ותק מחברה 40])</f>
        <v>0</v>
      </c>
      <c r="AQ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" s="9">
        <f>IF(HEVARIM[[#This Row],[קוד מעמד]]="1     ",IFERROR(VLOOKUP(HEVARIM[[#This Row],[קוד תקציב]],'תקציב צביעה - לקראת השינוי'!A:F,4,0),0),0)</f>
        <v>0</v>
      </c>
      <c r="AT51" s="1"/>
    </row>
    <row r="52" spans="1:46">
      <c r="A52" t="s">
        <v>293</v>
      </c>
      <c r="B52" t="s">
        <v>294</v>
      </c>
      <c r="C52" t="s">
        <v>99</v>
      </c>
      <c r="D52" t="s">
        <v>295</v>
      </c>
      <c r="E52" t="s">
        <v>79</v>
      </c>
      <c r="F52" s="4">
        <v>30447</v>
      </c>
      <c r="G52">
        <v>42</v>
      </c>
      <c r="H52" t="s">
        <v>290</v>
      </c>
      <c r="I52" t="s">
        <v>291</v>
      </c>
      <c r="J52" s="4" t="s">
        <v>70</v>
      </c>
      <c r="K52" s="4" t="s">
        <v>71</v>
      </c>
      <c r="L52" t="s">
        <v>296</v>
      </c>
      <c r="M52" t="s">
        <v>287</v>
      </c>
      <c r="N52" t="s">
        <v>288</v>
      </c>
      <c r="O52">
        <f>IFERROR(VLOOKUP(HEVARIM[[#This Row],[קוד תקציב]],[2]תקציבים!A:L,6,0),0)</f>
        <v>2</v>
      </c>
      <c r="P52" s="5" t="s">
        <v>104</v>
      </c>
      <c r="Q52" t="s">
        <v>11</v>
      </c>
      <c r="R52" s="4">
        <v>41609</v>
      </c>
      <c r="S52" s="4" t="s">
        <v>74</v>
      </c>
      <c r="T52" s="96" t="s">
        <v>290</v>
      </c>
      <c r="U52" t="str">
        <f>VLOOKUP(HEVARIM[[#This Row],[גיל]],GIL,2,1)</f>
        <v>--</v>
      </c>
      <c r="V52" t="str">
        <f>IF(HEVARIM[[#This Row],[קוד מעמד]]="4     ",IF(HEVARIM[[#This Row],[גיל]]=1,1,IF(HEVARIM[[#This Row],[גיל]]&lt;=5,5,18)),"")</f>
        <v/>
      </c>
      <c r="W52">
        <f t="shared" si="0"/>
        <v>0</v>
      </c>
      <c r="X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">
        <f>IF(HEVARIM[[#This Row],[מצב משפחתי2]]="אלמן",'[2]ריכוז נתונים'!$AC$2,0)</f>
        <v>0</v>
      </c>
      <c r="Z52" s="3">
        <f>VLOOKUP(VALUE(HEVARIM[[#This Row],[קוד מעמד]]),הנחות!$I$2:$K$21,3,0)</f>
        <v>0</v>
      </c>
      <c r="AA52" t="b">
        <f>ISERROR(VLOOKUP(HEVARIM[[#This Row],[קוד תקציב]],'[2]ריכוז נתונים'!A:A,1,0))</f>
        <v>0</v>
      </c>
      <c r="AB52" s="1">
        <f t="shared" si="1"/>
        <v>0</v>
      </c>
      <c r="AC52" s="2">
        <f ca="1">IF(HEVARIM[[#This Row],[בר מצוה]]&gt;0,YEAR(TODAY())+'תקציבים מיוחדים'!$F$5-HEVARIM[[#This Row],[גיל]],0)</f>
        <v>0</v>
      </c>
      <c r="AD52" s="1">
        <f t="shared" si="2"/>
        <v>0</v>
      </c>
      <c r="AE52" s="2">
        <f ca="1">IF(HEVARIM[[#This Row],[בת מצוה]]&gt;0,YEAR(TODAY())+'תקציבים מיוחדים'!$F$5-HEVARIM[[#This Row],[גיל]],0)</f>
        <v>0</v>
      </c>
      <c r="AF52" s="1">
        <f>IF(AND($S52&gt;="רווק",$Z52=1),AF$4*IF(HEVARIM[[#This Row],[גיל]]&gt;$AF$3,1,(($G52-AF$2)/(AF$3-AF$2))),0)</f>
        <v>0</v>
      </c>
      <c r="AG5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" s="1">
        <f t="shared" si="3"/>
        <v>0</v>
      </c>
      <c r="AI52" s="2">
        <f ca="1">IF(AH52&gt;0,YEAR(TODAY())+'תקציבים מיוחדים'!$F$7-HEVARIM[[#This Row],[גיל]],0)</f>
        <v>0</v>
      </c>
      <c r="AJ52" s="9">
        <f>IF(AND(ISERROR(VLOOKUP(H52,'[2]ריכוז נתונים'!A:L,1,0)),P52="1     "),1,0)</f>
        <v>0</v>
      </c>
      <c r="AK52" s="1">
        <f>IF(VALUE(HEVARIM[[#This Row],[קוד מעמד]])=1,VLOOKUP((IF(LEFT(HEVARIM[[#This Row],[קוד חבר]],1)="0",HEVARIM[[#This Row],[קוד חבר]],VALUE(HEVARIM[[#This Row],[קוד חבר]]))),'ותק חברה 40'!AQ:AW,7,0),"")</f>
        <v>13.76</v>
      </c>
      <c r="AL52" s="1">
        <f>IF(AND(VALUE(HEVARIM[[#This Row],[קוד מעמד]])=1,HEVARIM[[#This Row],[ותק מחברה 40]]&lt;25),HEVARIM[[#This Row],[ותק מחברה 40]]/25*הנחות!$C$4,0)</f>
        <v>20659.050719999999</v>
      </c>
      <c r="AM52" s="9">
        <f ca="1">IF(HEVARIM[[#This Row],[דמי עזיבה 25 שנות ותק]]&gt;0,YEAR(TODAY())+25-ROUNDDOWN(HEVARIM[[#This Row],[ותק מחברה 40]],0),"")</f>
        <v>2038</v>
      </c>
      <c r="AN5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" s="9" t="str">
        <f ca="1">IF(HEVARIM[[#This Row],[דמי עזיבה לגיל 65]]&gt;0,YEAR(TODAY())+64-ROUNDDOWN(HEVARIM[[#This Row],[גיל]],0),"")</f>
        <v/>
      </c>
      <c r="AP52" s="1">
        <f>SUMIF(HEVARIM[קוד תקציב],HEVARIM[[#This Row],[קוד תקציב משפחה מקורי]],HEVARIM[ותק מחברה 40])</f>
        <v>27.52</v>
      </c>
      <c r="AQ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52" s="9">
        <f>IF(HEVARIM[[#This Row],[קוד מעמד]]="1     ",IFERROR(VLOOKUP(HEVARIM[[#This Row],[קוד תקציב]],'תקציב צביעה - לקראת השינוי'!A:F,4,0),0),0)</f>
        <v>2034</v>
      </c>
      <c r="AT52" s="1"/>
    </row>
    <row r="53" spans="1:46">
      <c r="A53" t="s">
        <v>297</v>
      </c>
      <c r="B53" t="s">
        <v>298</v>
      </c>
      <c r="C53" t="s">
        <v>99</v>
      </c>
      <c r="D53" t="s">
        <v>299</v>
      </c>
      <c r="E53" t="s">
        <v>67</v>
      </c>
      <c r="F53" s="4">
        <v>40300</v>
      </c>
      <c r="G53">
        <v>15</v>
      </c>
      <c r="H53" t="s">
        <v>290</v>
      </c>
      <c r="I53" t="s">
        <v>291</v>
      </c>
      <c r="J53" s="4" t="s">
        <v>70</v>
      </c>
      <c r="K53" s="4" t="s">
        <v>71</v>
      </c>
      <c r="L53" t="s">
        <v>300</v>
      </c>
      <c r="M53" t="s">
        <v>287</v>
      </c>
      <c r="N53" t="s">
        <v>288</v>
      </c>
      <c r="O53">
        <f>IFERROR(VLOOKUP(HEVARIM[[#This Row],[קוד תקציב]],[2]תקציבים!A:L,6,0),0)</f>
        <v>2</v>
      </c>
      <c r="P53" s="5" t="s">
        <v>227</v>
      </c>
      <c r="Q53" t="s">
        <v>14</v>
      </c>
      <c r="R53" s="4">
        <v>41609</v>
      </c>
      <c r="S53" s="4" t="s">
        <v>90</v>
      </c>
      <c r="T53" s="96" t="s">
        <v>290</v>
      </c>
      <c r="U53" t="str">
        <f>VLOOKUP(HEVARIM[[#This Row],[גיל]],GIL,2,1)</f>
        <v>תיכון</v>
      </c>
      <c r="V53">
        <f>IF(HEVARIM[[#This Row],[קוד מעמד]]="4     ",IF(HEVARIM[[#This Row],[גיל]]=1,1,IF(HEVARIM[[#This Row],[גיל]]&lt;=5,5,18)),"")</f>
        <v>18</v>
      </c>
      <c r="W53">
        <f t="shared" si="0"/>
        <v>0</v>
      </c>
      <c r="X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">
        <f>IF(HEVARIM[[#This Row],[מצב משפחתי2]]="אלמן",'[2]ריכוז נתונים'!$AC$2,0)</f>
        <v>0</v>
      </c>
      <c r="Z53" s="3">
        <f>VLOOKUP(VALUE(HEVARIM[[#This Row],[קוד מעמד]]),הנחות!$I$2:$K$21,3,0)</f>
        <v>1</v>
      </c>
      <c r="AA53" t="b">
        <f>ISERROR(VLOOKUP(HEVARIM[[#This Row],[קוד תקציב]],'[2]ריכוז נתונים'!A:A,1,0))</f>
        <v>0</v>
      </c>
      <c r="AB53" s="1">
        <f t="shared" si="1"/>
        <v>0</v>
      </c>
      <c r="AC53" s="2">
        <f ca="1">IF(HEVARIM[[#This Row],[בר מצוה]]&gt;0,YEAR(TODAY())+'תקציבים מיוחדים'!$F$5-HEVARIM[[#This Row],[גיל]],0)</f>
        <v>0</v>
      </c>
      <c r="AD53" s="1">
        <f t="shared" si="2"/>
        <v>0</v>
      </c>
      <c r="AE53" s="2">
        <f ca="1">IF(HEVARIM[[#This Row],[בת מצוה]]&gt;0,YEAR(TODAY())+'תקציבים מיוחדים'!$F$5-HEVARIM[[#This Row],[גיל]],0)</f>
        <v>0</v>
      </c>
      <c r="AF53" s="1">
        <f>IF(AND($S53&gt;="רווק",$Z53=1),AF$4*IF(HEVARIM[[#This Row],[גיל]]&gt;$AF$3,1,(($G53-AF$2)/(AF$3-AF$2))),0)</f>
        <v>43223.21428571429</v>
      </c>
      <c r="AG53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53" s="1">
        <f t="shared" si="3"/>
        <v>75420.357142857145</v>
      </c>
      <c r="AI53" s="2">
        <f ca="1">IF(AH53&gt;0,YEAR(TODAY())+'תקציבים מיוחדים'!$F$7-HEVARIM[[#This Row],[גיל]],0)</f>
        <v>2032</v>
      </c>
      <c r="AJ53" s="9">
        <f>IF(AND(ISERROR(VLOOKUP(H53,'[2]ריכוז נתונים'!A:L,1,0)),P53="1     "),1,0)</f>
        <v>0</v>
      </c>
      <c r="AK5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3" s="1">
        <f>IF(AND(VALUE(HEVARIM[[#This Row],[קוד מעמד]])=1,HEVARIM[[#This Row],[ותק מחברה 40]]&lt;25),HEVARIM[[#This Row],[ותק מחברה 40]]/25*הנחות!$C$4,0)</f>
        <v>0</v>
      </c>
      <c r="AM53" s="9" t="str">
        <f ca="1">IF(HEVARIM[[#This Row],[דמי עזיבה 25 שנות ותק]]&gt;0,YEAR(TODAY())+25-ROUNDDOWN(HEVARIM[[#This Row],[ותק מחברה 40]],0),"")</f>
        <v/>
      </c>
      <c r="AN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" s="9" t="str">
        <f ca="1">IF(HEVARIM[[#This Row],[דמי עזיבה לגיל 65]]&gt;0,YEAR(TODAY())+64-ROUNDDOWN(HEVARIM[[#This Row],[גיל]],0),"")</f>
        <v/>
      </c>
      <c r="AP53" s="1">
        <f>SUMIF(HEVARIM[קוד תקציב],HEVARIM[[#This Row],[קוד תקציב משפחה מקורי]],HEVARIM[ותק מחברה 40])</f>
        <v>27.52</v>
      </c>
      <c r="AQ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" s="9">
        <f>IF(HEVARIM[[#This Row],[קוד מעמד]]="1     ",IFERROR(VLOOKUP(HEVARIM[[#This Row],[קוד תקציב]],'תקציב צביעה - לקראת השינוי'!A:F,4,0),0),0)</f>
        <v>0</v>
      </c>
      <c r="AT53" s="1"/>
    </row>
    <row r="54" spans="1:46">
      <c r="A54" t="s">
        <v>301</v>
      </c>
      <c r="B54" t="s">
        <v>302</v>
      </c>
      <c r="C54" t="s">
        <v>99</v>
      </c>
      <c r="D54" t="s">
        <v>303</v>
      </c>
      <c r="E54" t="s">
        <v>67</v>
      </c>
      <c r="F54" s="4">
        <v>41087</v>
      </c>
      <c r="G54">
        <v>13</v>
      </c>
      <c r="H54" t="s">
        <v>290</v>
      </c>
      <c r="I54" t="s">
        <v>291</v>
      </c>
      <c r="J54" s="4" t="s">
        <v>70</v>
      </c>
      <c r="K54" s="4" t="s">
        <v>71</v>
      </c>
      <c r="L54" t="s">
        <v>304</v>
      </c>
      <c r="M54" t="s">
        <v>287</v>
      </c>
      <c r="N54" t="s">
        <v>288</v>
      </c>
      <c r="O54">
        <f>IFERROR(VLOOKUP(HEVARIM[[#This Row],[קוד תקציב]],[2]תקציבים!A:L,6,0),0)</f>
        <v>2</v>
      </c>
      <c r="P54" s="5" t="s">
        <v>227</v>
      </c>
      <c r="Q54" t="s">
        <v>14</v>
      </c>
      <c r="R54" s="4">
        <v>41609</v>
      </c>
      <c r="S54" s="4" t="s">
        <v>90</v>
      </c>
      <c r="T54" s="96" t="s">
        <v>290</v>
      </c>
      <c r="U54" t="str">
        <f>VLOOKUP(HEVARIM[[#This Row],[גיל]],GIL,2,1)</f>
        <v>חטיבה</v>
      </c>
      <c r="V54">
        <f>IF(HEVARIM[[#This Row],[קוד מעמד]]="4     ",IF(HEVARIM[[#This Row],[גיל]]=1,1,IF(HEVARIM[[#This Row],[גיל]]&lt;=5,5,18)),"")</f>
        <v>18</v>
      </c>
      <c r="W54">
        <f t="shared" si="0"/>
        <v>0</v>
      </c>
      <c r="X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">
        <f>IF(HEVARIM[[#This Row],[מצב משפחתי2]]="אלמן",'[2]ריכוז נתונים'!$AC$2,0)</f>
        <v>0</v>
      </c>
      <c r="Z54" s="3">
        <f>VLOOKUP(VALUE(HEVARIM[[#This Row],[קוד מעמד]]),הנחות!$I$2:$K$21,3,0)</f>
        <v>1</v>
      </c>
      <c r="AA54" t="b">
        <f>ISERROR(VLOOKUP(HEVARIM[[#This Row],[קוד תקציב]],'[2]ריכוז נתונים'!A:A,1,0))</f>
        <v>0</v>
      </c>
      <c r="AB54" s="1">
        <f t="shared" si="1"/>
        <v>7165</v>
      </c>
      <c r="AC54" s="2">
        <f ca="1">IF(HEVARIM[[#This Row],[בר מצוה]]&gt;0,YEAR(TODAY())+'תקציבים מיוחדים'!$F$5-HEVARIM[[#This Row],[גיל]],0)</f>
        <v>2026</v>
      </c>
      <c r="AD54" s="1">
        <f t="shared" si="2"/>
        <v>0</v>
      </c>
      <c r="AE54" s="2">
        <f ca="1">IF(HEVARIM[[#This Row],[בת מצוה]]&gt;0,YEAR(TODAY())+'תקציבים מיוחדים'!$F$5-HEVARIM[[#This Row],[גיל]],0)</f>
        <v>0</v>
      </c>
      <c r="AF54" s="1">
        <f>IF(AND($S54&gt;="רווק",$Z54=1),AF$4*IF(HEVARIM[[#This Row],[גיל]]&gt;$AF$3,1,(($G54-AF$2)/(AF$3-AF$2))),0)</f>
        <v>37460.119047619046</v>
      </c>
      <c r="AG54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54" s="1">
        <f t="shared" si="3"/>
        <v>65364.309523809527</v>
      </c>
      <c r="AI54" s="2">
        <f ca="1">IF(AH54&gt;0,YEAR(TODAY())+'תקציבים מיוחדים'!$F$7-HEVARIM[[#This Row],[גיל]],0)</f>
        <v>2034</v>
      </c>
      <c r="AJ54" s="9">
        <f>IF(AND(ISERROR(VLOOKUP(H54,'[2]ריכוז נתונים'!A:L,1,0)),P54="1     "),1,0)</f>
        <v>0</v>
      </c>
      <c r="AK5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" s="1">
        <f>IF(AND(VALUE(HEVARIM[[#This Row],[קוד מעמד]])=1,HEVARIM[[#This Row],[ותק מחברה 40]]&lt;25),HEVARIM[[#This Row],[ותק מחברה 40]]/25*הנחות!$C$4,0)</f>
        <v>0</v>
      </c>
      <c r="AM54" s="9" t="str">
        <f ca="1">IF(HEVARIM[[#This Row],[דמי עזיבה 25 שנות ותק]]&gt;0,YEAR(TODAY())+25-ROUNDDOWN(HEVARIM[[#This Row],[ותק מחברה 40]],0),"")</f>
        <v/>
      </c>
      <c r="AN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" s="9" t="str">
        <f ca="1">IF(HEVARIM[[#This Row],[דמי עזיבה לגיל 65]]&gt;0,YEAR(TODAY())+64-ROUNDDOWN(HEVARIM[[#This Row],[גיל]],0),"")</f>
        <v/>
      </c>
      <c r="AP54" s="1">
        <f>SUMIF(HEVARIM[קוד תקציב],HEVARIM[[#This Row],[קוד תקציב משפחה מקורי]],HEVARIM[ותק מחברה 40])</f>
        <v>27.52</v>
      </c>
      <c r="AQ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" s="9">
        <f>IF(HEVARIM[[#This Row],[קוד מעמד]]="1     ",IFERROR(VLOOKUP(HEVARIM[[#This Row],[קוד תקציב]],'תקציב צביעה - לקראת השינוי'!A:F,4,0),0),0)</f>
        <v>0</v>
      </c>
      <c r="AT54" s="1"/>
    </row>
    <row r="55" spans="1:46">
      <c r="A55" t="s">
        <v>305</v>
      </c>
      <c r="B55" t="s">
        <v>306</v>
      </c>
      <c r="C55" t="s">
        <v>99</v>
      </c>
      <c r="D55" t="s">
        <v>307</v>
      </c>
      <c r="E55" t="s">
        <v>79</v>
      </c>
      <c r="F55" s="4">
        <v>42183</v>
      </c>
      <c r="G55">
        <v>10</v>
      </c>
      <c r="H55" t="s">
        <v>290</v>
      </c>
      <c r="I55" t="s">
        <v>291</v>
      </c>
      <c r="J55" s="4" t="s">
        <v>70</v>
      </c>
      <c r="K55" s="4" t="s">
        <v>71</v>
      </c>
      <c r="L55" t="s">
        <v>308</v>
      </c>
      <c r="M55" t="s">
        <v>287</v>
      </c>
      <c r="N55" t="s">
        <v>288</v>
      </c>
      <c r="O55">
        <f>IFERROR(VLOOKUP(HEVARIM[[#This Row],[קוד תקציב]],[2]תקציבים!A:L,6,0),0)</f>
        <v>2</v>
      </c>
      <c r="P55" s="5" t="s">
        <v>227</v>
      </c>
      <c r="Q55" t="s">
        <v>14</v>
      </c>
      <c r="R55" s="4">
        <v>42183</v>
      </c>
      <c r="S55" s="4" t="s">
        <v>90</v>
      </c>
      <c r="T55" s="96" t="s">
        <v>290</v>
      </c>
      <c r="U55" t="str">
        <f>VLOOKUP(HEVARIM[[#This Row],[גיל]],GIL,2,1)</f>
        <v>יסודי</v>
      </c>
      <c r="V55">
        <f>IF(HEVARIM[[#This Row],[קוד מעמד]]="4     ",IF(HEVARIM[[#This Row],[גיל]]=1,1,IF(HEVARIM[[#This Row],[גיל]]&lt;=5,5,18)),"")</f>
        <v>18</v>
      </c>
      <c r="W55">
        <f t="shared" si="0"/>
        <v>0</v>
      </c>
      <c r="X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">
        <f>IF(HEVARIM[[#This Row],[מצב משפחתי2]]="אלמן",'[2]ריכוז נתונים'!$AC$2,0)</f>
        <v>0</v>
      </c>
      <c r="Z55" s="3">
        <f>VLOOKUP(VALUE(HEVARIM[[#This Row],[קוד מעמד]]),הנחות!$I$2:$K$21,3,0)</f>
        <v>1</v>
      </c>
      <c r="AA55" t="b">
        <f>ISERROR(VLOOKUP(HEVARIM[[#This Row],[קוד תקציב]],'[2]ריכוז נתונים'!A:A,1,0))</f>
        <v>0</v>
      </c>
      <c r="AB55" s="1">
        <f t="shared" si="1"/>
        <v>0</v>
      </c>
      <c r="AC55" s="2">
        <f ca="1">IF(HEVARIM[[#This Row],[בר מצוה]]&gt;0,YEAR(TODAY())+'תקציבים מיוחדים'!$F$5-HEVARIM[[#This Row],[גיל]],0)</f>
        <v>0</v>
      </c>
      <c r="AD55" s="1">
        <f t="shared" si="2"/>
        <v>5511.5384615384619</v>
      </c>
      <c r="AE55" s="2">
        <f ca="1">IF(HEVARIM[[#This Row],[בת מצוה]]&gt;0,YEAR(TODAY())+'תקציבים מיוחדים'!$F$5-HEVARIM[[#This Row],[גיל]],0)</f>
        <v>2029</v>
      </c>
      <c r="AF55" s="1">
        <f>IF(AND($S55&gt;="רווק",$Z55=1),AF$4*IF(HEVARIM[[#This Row],[גיל]]&gt;$AF$3,1,(($G55-AF$2)/(AF$3-AF$2))),0)</f>
        <v>28815.476190476187</v>
      </c>
      <c r="AG55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55" s="1">
        <f t="shared" si="3"/>
        <v>50280.238095238092</v>
      </c>
      <c r="AI55" s="2">
        <f ca="1">IF(AH55&gt;0,YEAR(TODAY())+'תקציבים מיוחדים'!$F$7-HEVARIM[[#This Row],[גיל]],0)</f>
        <v>2037</v>
      </c>
      <c r="AJ55" s="9">
        <f>IF(AND(ISERROR(VLOOKUP(H55,'[2]ריכוז נתונים'!A:L,1,0)),P55="1     "),1,0)</f>
        <v>0</v>
      </c>
      <c r="AK5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" s="1">
        <f>IF(AND(VALUE(HEVARIM[[#This Row],[קוד מעמד]])=1,HEVARIM[[#This Row],[ותק מחברה 40]]&lt;25),HEVARIM[[#This Row],[ותק מחברה 40]]/25*הנחות!$C$4,0)</f>
        <v>0</v>
      </c>
      <c r="AM55" s="9" t="str">
        <f ca="1">IF(HEVARIM[[#This Row],[דמי עזיבה 25 שנות ותק]]&gt;0,YEAR(TODAY())+25-ROUNDDOWN(HEVARIM[[#This Row],[ותק מחברה 40]],0),"")</f>
        <v/>
      </c>
      <c r="AN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" s="9" t="str">
        <f ca="1">IF(HEVARIM[[#This Row],[דמי עזיבה לגיל 65]]&gt;0,YEAR(TODAY())+64-ROUNDDOWN(HEVARIM[[#This Row],[גיל]],0),"")</f>
        <v/>
      </c>
      <c r="AP55" s="1">
        <f>SUMIF(HEVARIM[קוד תקציב],HEVARIM[[#This Row],[קוד תקציב משפחה מקורי]],HEVARIM[ותק מחברה 40])</f>
        <v>27.52</v>
      </c>
      <c r="AQ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" s="9">
        <f>IF(HEVARIM[[#This Row],[קוד מעמד]]="1     ",IFERROR(VLOOKUP(HEVARIM[[#This Row],[קוד תקציב]],'תקציב צביעה - לקראת השינוי'!A:F,4,0),0),0)</f>
        <v>0</v>
      </c>
      <c r="AT55" s="1"/>
    </row>
    <row r="56" spans="1:46">
      <c r="A56" t="s">
        <v>309</v>
      </c>
      <c r="B56" t="s">
        <v>310</v>
      </c>
      <c r="C56" t="s">
        <v>99</v>
      </c>
      <c r="D56" t="s">
        <v>311</v>
      </c>
      <c r="E56" t="s">
        <v>79</v>
      </c>
      <c r="F56" s="4">
        <v>43571</v>
      </c>
      <c r="G56">
        <v>6</v>
      </c>
      <c r="H56" t="s">
        <v>290</v>
      </c>
      <c r="I56" t="s">
        <v>291</v>
      </c>
      <c r="J56" s="4" t="s">
        <v>70</v>
      </c>
      <c r="K56" s="4" t="s">
        <v>71</v>
      </c>
      <c r="L56" t="s">
        <v>312</v>
      </c>
      <c r="M56" t="s">
        <v>287</v>
      </c>
      <c r="N56" t="s">
        <v>288</v>
      </c>
      <c r="O56">
        <f>IFERROR(VLOOKUP(HEVARIM[[#This Row],[קוד תקציב]],[2]תקציבים!A:L,6,0),0)</f>
        <v>2</v>
      </c>
      <c r="P56" s="5" t="s">
        <v>227</v>
      </c>
      <c r="Q56" t="s">
        <v>14</v>
      </c>
      <c r="R56" s="4">
        <v>43571</v>
      </c>
      <c r="S56" s="4" t="s">
        <v>90</v>
      </c>
      <c r="T56" s="96" t="s">
        <v>290</v>
      </c>
      <c r="U56" t="str">
        <f>VLOOKUP(HEVARIM[[#This Row],[גיל]],GIL,2,1)</f>
        <v>יסודי</v>
      </c>
      <c r="V56">
        <f>IF(HEVARIM[[#This Row],[קוד מעמד]]="4     ",IF(HEVARIM[[#This Row],[גיל]]=1,1,IF(HEVARIM[[#This Row],[גיל]]&lt;=5,5,18)),"")</f>
        <v>18</v>
      </c>
      <c r="W56">
        <f t="shared" si="0"/>
        <v>0</v>
      </c>
      <c r="X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">
        <f>IF(HEVARIM[[#This Row],[מצב משפחתי2]]="אלמן",'[2]ריכוז נתונים'!$AC$2,0)</f>
        <v>0</v>
      </c>
      <c r="Z56" s="3">
        <f>VLOOKUP(VALUE(HEVARIM[[#This Row],[קוד מעמד]]),הנחות!$I$2:$K$21,3,0)</f>
        <v>1</v>
      </c>
      <c r="AA56" t="b">
        <f>ISERROR(VLOOKUP(HEVARIM[[#This Row],[קוד תקציב]],'[2]ריכוז נתונים'!A:A,1,0))</f>
        <v>0</v>
      </c>
      <c r="AB56" s="1">
        <f t="shared" si="1"/>
        <v>0</v>
      </c>
      <c r="AC56" s="2">
        <f ca="1">IF(HEVARIM[[#This Row],[בר מצוה]]&gt;0,YEAR(TODAY())+'תקציבים מיוחדים'!$F$5-HEVARIM[[#This Row],[גיל]],0)</f>
        <v>0</v>
      </c>
      <c r="AD56" s="1">
        <f t="shared" si="2"/>
        <v>3306.9230769230771</v>
      </c>
      <c r="AE56" s="2">
        <f ca="1">IF(HEVARIM[[#This Row],[בת מצוה]]&gt;0,YEAR(TODAY())+'תקציבים מיוחדים'!$F$5-HEVARIM[[#This Row],[גיל]],0)</f>
        <v>2033</v>
      </c>
      <c r="AF56" s="1">
        <f>IF(AND($S56&gt;="רווק",$Z56=1),AF$4*IF(HEVARIM[[#This Row],[גיל]]&gt;$AF$3,1,(($G56-AF$2)/(AF$3-AF$2))),0)</f>
        <v>17289.285714285714</v>
      </c>
      <c r="AG56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56" s="1">
        <f t="shared" si="3"/>
        <v>30168.142857142855</v>
      </c>
      <c r="AI56" s="2">
        <f ca="1">IF(AH56&gt;0,YEAR(TODAY())+'תקציבים מיוחדים'!$F$7-HEVARIM[[#This Row],[גיל]],0)</f>
        <v>2041</v>
      </c>
      <c r="AJ56" s="9">
        <f>IF(AND(ISERROR(VLOOKUP(H56,'[2]ריכוז נתונים'!A:L,1,0)),P56="1     "),1,0)</f>
        <v>0</v>
      </c>
      <c r="AK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" s="1">
        <f>IF(AND(VALUE(HEVARIM[[#This Row],[קוד מעמד]])=1,HEVARIM[[#This Row],[ותק מחברה 40]]&lt;25),HEVARIM[[#This Row],[ותק מחברה 40]]/25*הנחות!$C$4,0)</f>
        <v>0</v>
      </c>
      <c r="AM56" s="9" t="str">
        <f ca="1">IF(HEVARIM[[#This Row],[דמי עזיבה 25 שנות ותק]]&gt;0,YEAR(TODAY())+25-ROUNDDOWN(HEVARIM[[#This Row],[ותק מחברה 40]],0),"")</f>
        <v/>
      </c>
      <c r="AN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" s="9" t="str">
        <f ca="1">IF(HEVARIM[[#This Row],[דמי עזיבה לגיל 65]]&gt;0,YEAR(TODAY())+64-ROUNDDOWN(HEVARIM[[#This Row],[גיל]],0),"")</f>
        <v/>
      </c>
      <c r="AP56" s="1">
        <f>SUMIF(HEVARIM[קוד תקציב],HEVARIM[[#This Row],[קוד תקציב משפחה מקורי]],HEVARIM[ותק מחברה 40])</f>
        <v>27.52</v>
      </c>
      <c r="AQ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" s="9">
        <f>IF(HEVARIM[[#This Row],[קוד מעמד]]="1     ",IFERROR(VLOOKUP(HEVARIM[[#This Row],[קוד תקציב]],'תקציב צביעה - לקראת השינוי'!A:F,4,0),0),0)</f>
        <v>0</v>
      </c>
      <c r="AT56" s="1"/>
    </row>
    <row r="57" spans="1:46">
      <c r="A57" t="s">
        <v>319</v>
      </c>
      <c r="B57" t="s">
        <v>320</v>
      </c>
      <c r="C57" t="s">
        <v>65</v>
      </c>
      <c r="D57" t="s">
        <v>321</v>
      </c>
      <c r="E57" t="s">
        <v>79</v>
      </c>
      <c r="F57" s="4">
        <v>33145</v>
      </c>
      <c r="G57">
        <v>35</v>
      </c>
      <c r="H57" t="s">
        <v>316</v>
      </c>
      <c r="I57" t="s">
        <v>317</v>
      </c>
      <c r="J57" s="4" t="s">
        <v>70</v>
      </c>
      <c r="K57" s="4" t="s">
        <v>71</v>
      </c>
      <c r="L57" t="s">
        <v>322</v>
      </c>
      <c r="M57" t="s">
        <v>313</v>
      </c>
      <c r="N57" t="s">
        <v>314</v>
      </c>
      <c r="O57">
        <f>IFERROR(VLOOKUP(HEVARIM[[#This Row],[קוד תקציב]],[2]תקציבים!A:L,6,0),0)</f>
        <v>2</v>
      </c>
      <c r="P57" s="5" t="s">
        <v>104</v>
      </c>
      <c r="Q57" t="s">
        <v>11</v>
      </c>
      <c r="R57" s="4">
        <v>43885</v>
      </c>
      <c r="S57" s="4" t="s">
        <v>74</v>
      </c>
      <c r="T57" s="96" t="s">
        <v>316</v>
      </c>
      <c r="U57" t="str">
        <f>VLOOKUP(HEVARIM[[#This Row],[גיל]],GIL,2,1)</f>
        <v>--</v>
      </c>
      <c r="V57" t="str">
        <f>IF(HEVARIM[[#This Row],[קוד מעמד]]="4     ",IF(HEVARIM[[#This Row],[גיל]]=1,1,IF(HEVARIM[[#This Row],[גיל]]&lt;=5,5,18)),"")</f>
        <v/>
      </c>
      <c r="W57">
        <f t="shared" si="0"/>
        <v>0</v>
      </c>
      <c r="X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">
        <f>IF(HEVARIM[[#This Row],[מצב משפחתי2]]="אלמן",'[2]ריכוז נתונים'!$AC$2,0)</f>
        <v>0</v>
      </c>
      <c r="Z57" s="3">
        <f>VLOOKUP(VALUE(HEVARIM[[#This Row],[קוד מעמד]]),הנחות!$I$2:$K$21,3,0)</f>
        <v>0</v>
      </c>
      <c r="AA57" t="b">
        <f>ISERROR(VLOOKUP(HEVARIM[[#This Row],[קוד תקציב]],'[2]ריכוז נתונים'!A:A,1,0))</f>
        <v>0</v>
      </c>
      <c r="AB57" s="1">
        <f t="shared" si="1"/>
        <v>0</v>
      </c>
      <c r="AC57" s="2">
        <f ca="1">IF(HEVARIM[[#This Row],[בר מצוה]]&gt;0,YEAR(TODAY())+'תקציבים מיוחדים'!$F$5-HEVARIM[[#This Row],[גיל]],0)</f>
        <v>0</v>
      </c>
      <c r="AD57" s="1">
        <f t="shared" si="2"/>
        <v>0</v>
      </c>
      <c r="AE57" s="2">
        <f ca="1">IF(HEVARIM[[#This Row],[בת מצוה]]&gt;0,YEAR(TODAY())+'תקציבים מיוחדים'!$F$5-HEVARIM[[#This Row],[גיל]],0)</f>
        <v>0</v>
      </c>
      <c r="AF57" s="1">
        <f>IF(AND($S57&gt;="רווק",$Z57=1),AF$4*IF(HEVARIM[[#This Row],[גיל]]&gt;$AF$3,1,(($G57-AF$2)/(AF$3-AF$2))),0)</f>
        <v>0</v>
      </c>
      <c r="AG5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7" s="1">
        <f t="shared" si="3"/>
        <v>0</v>
      </c>
      <c r="AI57" s="2">
        <f ca="1">IF(AH57&gt;0,YEAR(TODAY())+'תקציבים מיוחדים'!$F$7-HEVARIM[[#This Row],[גיל]],0)</f>
        <v>0</v>
      </c>
      <c r="AJ57" s="9">
        <f>IF(AND(ISERROR(VLOOKUP(H57,'[2]ריכוז נתונים'!A:L,1,0)),P57="1     "),1,0)</f>
        <v>0</v>
      </c>
      <c r="AK57" s="1">
        <f>IF(VALUE(HEVARIM[[#This Row],[קוד מעמד]])=1,VLOOKUP((IF(LEFT(HEVARIM[[#This Row],[קוד חבר]],1)="0",HEVARIM[[#This Row],[קוד חבר]],VALUE(HEVARIM[[#This Row],[קוד חבר]]))),'ותק חברה 40'!AQ:AW,7,0),"")</f>
        <v>7.58</v>
      </c>
      <c r="AL57" s="1">
        <f>IF(AND(VALUE(HEVARIM[[#This Row],[קוד מעמד]])=1,HEVARIM[[#This Row],[ותק מחברה 40]]&lt;25),HEVARIM[[#This Row],[ותק מחברה 40]]/25*הנחות!$C$4,0)</f>
        <v>11380.49451</v>
      </c>
      <c r="AM57" s="9">
        <f ca="1">IF(HEVARIM[[#This Row],[דמי עזיבה 25 שנות ותק]]&gt;0,YEAR(TODAY())+25-ROUNDDOWN(HEVARIM[[#This Row],[ותק מחברה 40]],0),"")</f>
        <v>2044</v>
      </c>
      <c r="AN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" s="9" t="str">
        <f ca="1">IF(HEVARIM[[#This Row],[דמי עזיבה לגיל 65]]&gt;0,YEAR(TODAY())+64-ROUNDDOWN(HEVARIM[[#This Row],[גיל]],0),"")</f>
        <v/>
      </c>
      <c r="AP57" s="1">
        <f>SUMIF(HEVARIM[קוד תקציב],HEVARIM[[#This Row],[קוד תקציב משפחה מקורי]],HEVARIM[ותק מחברה 40])</f>
        <v>15.16</v>
      </c>
      <c r="AQ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" s="9">
        <f>IF(HEVARIM[[#This Row],[קוד מעמד]]="1     ",IFERROR(VLOOKUP(HEVARIM[[#This Row],[קוד תקציב]],'תקציב צביעה - לקראת השינוי'!A:F,4,0),0),0)</f>
        <v>0</v>
      </c>
      <c r="AT57" s="1"/>
    </row>
    <row r="58" spans="1:46">
      <c r="A58" t="s">
        <v>323</v>
      </c>
      <c r="B58" t="s">
        <v>324</v>
      </c>
      <c r="C58" t="s">
        <v>65</v>
      </c>
      <c r="D58" t="s">
        <v>325</v>
      </c>
      <c r="E58" t="s">
        <v>79</v>
      </c>
      <c r="F58" s="4">
        <v>41008</v>
      </c>
      <c r="G58">
        <v>13</v>
      </c>
      <c r="H58" t="s">
        <v>316</v>
      </c>
      <c r="I58" t="s">
        <v>317</v>
      </c>
      <c r="J58" s="4" t="s">
        <v>70</v>
      </c>
      <c r="K58" s="4" t="s">
        <v>71</v>
      </c>
      <c r="L58" t="s">
        <v>326</v>
      </c>
      <c r="M58" t="s">
        <v>313</v>
      </c>
      <c r="N58" t="s">
        <v>314</v>
      </c>
      <c r="O58">
        <f>IFERROR(VLOOKUP(HEVARIM[[#This Row],[קוד תקציב]],[2]תקציבים!A:L,6,0),0)</f>
        <v>2</v>
      </c>
      <c r="P58" s="5" t="s">
        <v>227</v>
      </c>
      <c r="Q58" t="s">
        <v>14</v>
      </c>
      <c r="R58" s="4">
        <v>43132</v>
      </c>
      <c r="S58" s="4" t="s">
        <v>90</v>
      </c>
      <c r="T58" s="96" t="s">
        <v>316</v>
      </c>
      <c r="U58" t="str">
        <f>VLOOKUP(HEVARIM[[#This Row],[גיל]],GIL,2,1)</f>
        <v>חטיבה</v>
      </c>
      <c r="V58">
        <f>IF(HEVARIM[[#This Row],[קוד מעמד]]="4     ",IF(HEVARIM[[#This Row],[גיל]]=1,1,IF(HEVARIM[[#This Row],[גיל]]&lt;=5,5,18)),"")</f>
        <v>18</v>
      </c>
      <c r="W58">
        <f t="shared" si="0"/>
        <v>0</v>
      </c>
      <c r="X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">
        <f>IF(HEVARIM[[#This Row],[מצב משפחתי2]]="אלמן",'[2]ריכוז נתונים'!$AC$2,0)</f>
        <v>0</v>
      </c>
      <c r="Z58" s="3">
        <f>VLOOKUP(VALUE(HEVARIM[[#This Row],[קוד מעמד]]),הנחות!$I$2:$K$21,3,0)</f>
        <v>1</v>
      </c>
      <c r="AA58" t="b">
        <f>ISERROR(VLOOKUP(HEVARIM[[#This Row],[קוד תקציב]],'[2]ריכוז נתונים'!A:A,1,0))</f>
        <v>0</v>
      </c>
      <c r="AB58" s="1">
        <f t="shared" si="1"/>
        <v>0</v>
      </c>
      <c r="AC58" s="2">
        <f ca="1">IF(HEVARIM[[#This Row],[בר מצוה]]&gt;0,YEAR(TODAY())+'תקציבים מיוחדים'!$F$5-HEVARIM[[#This Row],[גיל]],0)</f>
        <v>0</v>
      </c>
      <c r="AD58" s="1">
        <f t="shared" si="2"/>
        <v>7165</v>
      </c>
      <c r="AE58" s="2">
        <f ca="1">IF(HEVARIM[[#This Row],[בת מצוה]]&gt;0,YEAR(TODAY())+'תקציבים מיוחדים'!$F$5-HEVARIM[[#This Row],[גיל]],0)</f>
        <v>2026</v>
      </c>
      <c r="AF58" s="1">
        <f>IF(AND($S58&gt;="רווק",$Z58=1),AF$4*IF(HEVARIM[[#This Row],[גיל]]&gt;$AF$3,1,(($G58-AF$2)/(AF$3-AF$2))),0)</f>
        <v>37460.119047619046</v>
      </c>
      <c r="AG58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58" s="1">
        <f t="shared" si="3"/>
        <v>65364.309523809527</v>
      </c>
      <c r="AI58" s="2">
        <f ca="1">IF(AH58&gt;0,YEAR(TODAY())+'תקציבים מיוחדים'!$F$7-HEVARIM[[#This Row],[גיל]],0)</f>
        <v>2034</v>
      </c>
      <c r="AJ58" s="9">
        <f>IF(AND(ISERROR(VLOOKUP(H58,'[2]ריכוז נתונים'!A:L,1,0)),P58="1     "),1,0)</f>
        <v>0</v>
      </c>
      <c r="AK5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" s="1">
        <f>IF(AND(VALUE(HEVARIM[[#This Row],[קוד מעמד]])=1,HEVARIM[[#This Row],[ותק מחברה 40]]&lt;25),HEVARIM[[#This Row],[ותק מחברה 40]]/25*הנחות!$C$4,0)</f>
        <v>0</v>
      </c>
      <c r="AM58" s="9" t="str">
        <f ca="1">IF(HEVARIM[[#This Row],[דמי עזיבה 25 שנות ותק]]&gt;0,YEAR(TODAY())+25-ROUNDDOWN(HEVARIM[[#This Row],[ותק מחברה 40]],0),"")</f>
        <v/>
      </c>
      <c r="AN5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" s="9" t="str">
        <f ca="1">IF(HEVARIM[[#This Row],[דמי עזיבה לגיל 65]]&gt;0,YEAR(TODAY())+64-ROUNDDOWN(HEVARIM[[#This Row],[גיל]],0),"")</f>
        <v/>
      </c>
      <c r="AP58" s="1">
        <f>SUMIF(HEVARIM[קוד תקציב],HEVARIM[[#This Row],[קוד תקציב משפחה מקורי]],HEVARIM[ותק מחברה 40])</f>
        <v>15.16</v>
      </c>
      <c r="AQ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" s="9">
        <f>IF(HEVARIM[[#This Row],[קוד מעמד]]="1     ",IFERROR(VLOOKUP(HEVARIM[[#This Row],[קוד תקציב]],'תקציב צביעה - לקראת השינוי'!A:F,4,0),0),0)</f>
        <v>0</v>
      </c>
      <c r="AT58" s="1"/>
    </row>
    <row r="59" spans="1:46">
      <c r="A59" t="s">
        <v>327</v>
      </c>
      <c r="B59" t="s">
        <v>328</v>
      </c>
      <c r="C59" t="s">
        <v>65</v>
      </c>
      <c r="D59" t="s">
        <v>329</v>
      </c>
      <c r="E59" t="s">
        <v>67</v>
      </c>
      <c r="F59" s="4">
        <v>42117</v>
      </c>
      <c r="G59">
        <v>10</v>
      </c>
      <c r="H59" t="s">
        <v>316</v>
      </c>
      <c r="I59" t="s">
        <v>317</v>
      </c>
      <c r="J59" s="4" t="s">
        <v>70</v>
      </c>
      <c r="K59" s="4" t="s">
        <v>71</v>
      </c>
      <c r="L59" t="s">
        <v>330</v>
      </c>
      <c r="M59" t="s">
        <v>313</v>
      </c>
      <c r="N59" t="s">
        <v>314</v>
      </c>
      <c r="O59">
        <f>IFERROR(VLOOKUP(HEVARIM[[#This Row],[קוד תקציב]],[2]תקציבים!A:L,6,0),0)</f>
        <v>2</v>
      </c>
      <c r="P59" s="5" t="s">
        <v>227</v>
      </c>
      <c r="Q59" t="s">
        <v>14</v>
      </c>
      <c r="R59" s="4">
        <v>43132</v>
      </c>
      <c r="S59" s="4" t="s">
        <v>90</v>
      </c>
      <c r="T59" s="96" t="s">
        <v>316</v>
      </c>
      <c r="U59" t="str">
        <f>VLOOKUP(HEVARIM[[#This Row],[גיל]],GIL,2,1)</f>
        <v>יסודי</v>
      </c>
      <c r="V59">
        <f>IF(HEVARIM[[#This Row],[קוד מעמד]]="4     ",IF(HEVARIM[[#This Row],[גיל]]=1,1,IF(HEVARIM[[#This Row],[גיל]]&lt;=5,5,18)),"")</f>
        <v>18</v>
      </c>
      <c r="W59">
        <f t="shared" si="0"/>
        <v>0</v>
      </c>
      <c r="X5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">
        <f>IF(HEVARIM[[#This Row],[מצב משפחתי2]]="אלמן",'[2]ריכוז נתונים'!$AC$2,0)</f>
        <v>0</v>
      </c>
      <c r="Z59" s="3">
        <f>VLOOKUP(VALUE(HEVARIM[[#This Row],[קוד מעמד]]),הנחות!$I$2:$K$21,3,0)</f>
        <v>1</v>
      </c>
      <c r="AA59" t="b">
        <f>ISERROR(VLOOKUP(HEVARIM[[#This Row],[קוד תקציב]],'[2]ריכוז נתונים'!A:A,1,0))</f>
        <v>0</v>
      </c>
      <c r="AB59" s="1">
        <f t="shared" si="1"/>
        <v>5511.5384615384619</v>
      </c>
      <c r="AC59" s="2">
        <f ca="1">IF(HEVARIM[[#This Row],[בר מצוה]]&gt;0,YEAR(TODAY())+'תקציבים מיוחדים'!$F$5-HEVARIM[[#This Row],[גיל]],0)</f>
        <v>2029</v>
      </c>
      <c r="AD59" s="1">
        <f t="shared" si="2"/>
        <v>0</v>
      </c>
      <c r="AE59" s="2">
        <f ca="1">IF(HEVARIM[[#This Row],[בת מצוה]]&gt;0,YEAR(TODAY())+'תקציבים מיוחדים'!$F$5-HEVARIM[[#This Row],[גיל]],0)</f>
        <v>0</v>
      </c>
      <c r="AF59" s="1">
        <f>IF(AND($S59&gt;="רווק",$Z59=1),AF$4*IF(HEVARIM[[#This Row],[גיל]]&gt;$AF$3,1,(($G59-AF$2)/(AF$3-AF$2))),0)</f>
        <v>28815.476190476187</v>
      </c>
      <c r="AG59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59" s="1">
        <f t="shared" si="3"/>
        <v>50280.238095238092</v>
      </c>
      <c r="AI59" s="2">
        <f ca="1">IF(AH59&gt;0,YEAR(TODAY())+'תקציבים מיוחדים'!$F$7-HEVARIM[[#This Row],[גיל]],0)</f>
        <v>2037</v>
      </c>
      <c r="AJ59" s="9">
        <f>IF(AND(ISERROR(VLOOKUP(H59,'[2]ריכוז נתונים'!A:L,1,0)),P59="1     "),1,0)</f>
        <v>0</v>
      </c>
      <c r="AK5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" s="1">
        <f>IF(AND(VALUE(HEVARIM[[#This Row],[קוד מעמד]])=1,HEVARIM[[#This Row],[ותק מחברה 40]]&lt;25),HEVARIM[[#This Row],[ותק מחברה 40]]/25*הנחות!$C$4,0)</f>
        <v>0</v>
      </c>
      <c r="AM59" s="9" t="str">
        <f ca="1">IF(HEVARIM[[#This Row],[דמי עזיבה 25 שנות ותק]]&gt;0,YEAR(TODAY())+25-ROUNDDOWN(HEVARIM[[#This Row],[ותק מחברה 40]],0),"")</f>
        <v/>
      </c>
      <c r="AN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" s="9" t="str">
        <f ca="1">IF(HEVARIM[[#This Row],[דמי עזיבה לגיל 65]]&gt;0,YEAR(TODAY())+64-ROUNDDOWN(HEVARIM[[#This Row],[גיל]],0),"")</f>
        <v/>
      </c>
      <c r="AP59" s="1">
        <f>SUMIF(HEVARIM[קוד תקציב],HEVARIM[[#This Row],[קוד תקציב משפחה מקורי]],HEVARIM[ותק מחברה 40])</f>
        <v>15.16</v>
      </c>
      <c r="AQ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" s="9">
        <f>IF(HEVARIM[[#This Row],[קוד מעמד]]="1     ",IFERROR(VLOOKUP(HEVARIM[[#This Row],[קוד תקציב]],'תקציב צביעה - לקראת השינוי'!A:F,4,0),0),0)</f>
        <v>0</v>
      </c>
      <c r="AT59" s="1"/>
    </row>
    <row r="60" spans="1:46">
      <c r="A60" t="s">
        <v>331</v>
      </c>
      <c r="B60" t="s">
        <v>332</v>
      </c>
      <c r="C60" t="s">
        <v>65</v>
      </c>
      <c r="D60" t="s">
        <v>333</v>
      </c>
      <c r="E60" t="s">
        <v>67</v>
      </c>
      <c r="F60" s="4">
        <v>43295</v>
      </c>
      <c r="G60">
        <v>7</v>
      </c>
      <c r="H60" t="s">
        <v>316</v>
      </c>
      <c r="I60" t="s">
        <v>317</v>
      </c>
      <c r="J60" s="4" t="s">
        <v>70</v>
      </c>
      <c r="K60" s="4" t="s">
        <v>71</v>
      </c>
      <c r="L60" t="s">
        <v>334</v>
      </c>
      <c r="M60" t="s">
        <v>313</v>
      </c>
      <c r="N60" t="s">
        <v>314</v>
      </c>
      <c r="O60">
        <f>IFERROR(VLOOKUP(HEVARIM[[#This Row],[קוד תקציב]],[2]תקציבים!A:L,6,0),0)</f>
        <v>2</v>
      </c>
      <c r="P60" s="5" t="s">
        <v>227</v>
      </c>
      <c r="Q60" t="s">
        <v>14</v>
      </c>
      <c r="R60" s="4">
        <v>43295</v>
      </c>
      <c r="S60" s="4" t="s">
        <v>90</v>
      </c>
      <c r="T60" s="96" t="s">
        <v>316</v>
      </c>
      <c r="U60" t="str">
        <f>VLOOKUP(HEVARIM[[#This Row],[גיל]],GIL,2,1)</f>
        <v>יסודי</v>
      </c>
      <c r="V60">
        <f>IF(HEVARIM[[#This Row],[קוד מעמד]]="4     ",IF(HEVARIM[[#This Row],[גיל]]=1,1,IF(HEVARIM[[#This Row],[גיל]]&lt;=5,5,18)),"")</f>
        <v>18</v>
      </c>
      <c r="W60">
        <f t="shared" si="0"/>
        <v>0</v>
      </c>
      <c r="X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">
        <f>IF(HEVARIM[[#This Row],[מצב משפחתי2]]="אלמן",'[2]ריכוז נתונים'!$AC$2,0)</f>
        <v>0</v>
      </c>
      <c r="Z60" s="3">
        <f>VLOOKUP(VALUE(HEVARIM[[#This Row],[קוד מעמד]]),הנחות!$I$2:$K$21,3,0)</f>
        <v>1</v>
      </c>
      <c r="AA60" t="b">
        <f>ISERROR(VLOOKUP(HEVARIM[[#This Row],[קוד תקציב]],'[2]ריכוז נתונים'!A:A,1,0))</f>
        <v>0</v>
      </c>
      <c r="AB60" s="1">
        <f t="shared" si="1"/>
        <v>3858.0769230769229</v>
      </c>
      <c r="AC60" s="2">
        <f ca="1">IF(HEVARIM[[#This Row],[בר מצוה]]&gt;0,YEAR(TODAY())+'תקציבים מיוחדים'!$F$5-HEVARIM[[#This Row],[גיל]],0)</f>
        <v>2032</v>
      </c>
      <c r="AD60" s="1">
        <f t="shared" si="2"/>
        <v>0</v>
      </c>
      <c r="AE60" s="2">
        <f ca="1">IF(HEVARIM[[#This Row],[בת מצוה]]&gt;0,YEAR(TODAY())+'תקציבים מיוחדים'!$F$5-HEVARIM[[#This Row],[גיל]],0)</f>
        <v>0</v>
      </c>
      <c r="AF60" s="1">
        <f>IF(AND($S60&gt;="רווק",$Z60=1),AF$4*IF(HEVARIM[[#This Row],[גיל]]&gt;$AF$3,1,(($G60-AF$2)/(AF$3-AF$2))),0)</f>
        <v>20170.833333333332</v>
      </c>
      <c r="AG60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60" s="1">
        <f t="shared" si="3"/>
        <v>35196.166666666664</v>
      </c>
      <c r="AI60" s="2">
        <f ca="1">IF(AH60&gt;0,YEAR(TODAY())+'תקציבים מיוחדים'!$F$7-HEVARIM[[#This Row],[גיל]],0)</f>
        <v>2040</v>
      </c>
      <c r="AJ60" s="9">
        <f>IF(AND(ISERROR(VLOOKUP(H60,'[2]ריכוז נתונים'!A:L,1,0)),P60="1     "),1,0)</f>
        <v>0</v>
      </c>
      <c r="AK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0" s="1">
        <f>IF(AND(VALUE(HEVARIM[[#This Row],[קוד מעמד]])=1,HEVARIM[[#This Row],[ותק מחברה 40]]&lt;25),HEVARIM[[#This Row],[ותק מחברה 40]]/25*הנחות!$C$4,0)</f>
        <v>0</v>
      </c>
      <c r="AM60" s="9" t="str">
        <f ca="1">IF(HEVARIM[[#This Row],[דמי עזיבה 25 שנות ותק]]&gt;0,YEAR(TODAY())+25-ROUNDDOWN(HEVARIM[[#This Row],[ותק מחברה 40]],0),"")</f>
        <v/>
      </c>
      <c r="AN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" s="9" t="str">
        <f ca="1">IF(HEVARIM[[#This Row],[דמי עזיבה לגיל 65]]&gt;0,YEAR(TODAY())+64-ROUNDDOWN(HEVARIM[[#This Row],[גיל]],0),"")</f>
        <v/>
      </c>
      <c r="AP60" s="1">
        <f>SUMIF(HEVARIM[קוד תקציב],HEVARIM[[#This Row],[קוד תקציב משפחה מקורי]],HEVARIM[ותק מחברה 40])</f>
        <v>15.16</v>
      </c>
      <c r="AQ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" s="9">
        <f>IF(HEVARIM[[#This Row],[קוד מעמד]]="1     ",IFERROR(VLOOKUP(HEVARIM[[#This Row],[קוד תקציב]],'תקציב צביעה - לקראת השינוי'!A:F,4,0),0),0)</f>
        <v>0</v>
      </c>
      <c r="AT60" s="1"/>
    </row>
    <row r="61" spans="1:46">
      <c r="A61" t="s">
        <v>335</v>
      </c>
      <c r="B61" t="s">
        <v>336</v>
      </c>
      <c r="C61" t="s">
        <v>65</v>
      </c>
      <c r="D61" t="s">
        <v>337</v>
      </c>
      <c r="E61" t="s">
        <v>67</v>
      </c>
      <c r="F61" s="4">
        <v>44477</v>
      </c>
      <c r="G61">
        <v>4</v>
      </c>
      <c r="H61" t="s">
        <v>316</v>
      </c>
      <c r="I61" t="s">
        <v>317</v>
      </c>
      <c r="J61" s="4" t="s">
        <v>70</v>
      </c>
      <c r="K61" s="4" t="s">
        <v>71</v>
      </c>
      <c r="L61" t="s">
        <v>338</v>
      </c>
      <c r="M61" t="s">
        <v>313</v>
      </c>
      <c r="N61" t="s">
        <v>314</v>
      </c>
      <c r="O61">
        <f>IFERROR(VLOOKUP(HEVARIM[[#This Row],[קוד תקציב]],[2]תקציבים!A:L,6,0),0)</f>
        <v>2</v>
      </c>
      <c r="P61" s="5" t="s">
        <v>227</v>
      </c>
      <c r="Q61" t="s">
        <v>14</v>
      </c>
      <c r="R61" s="4">
        <v>44477</v>
      </c>
      <c r="S61" s="4" t="s">
        <v>90</v>
      </c>
      <c r="T61" s="96" t="s">
        <v>316</v>
      </c>
      <c r="U61" t="str">
        <f>VLOOKUP(HEVARIM[[#This Row],[גיל]],GIL,2,1)</f>
        <v>גנים</v>
      </c>
      <c r="V61">
        <f>IF(HEVARIM[[#This Row],[קוד מעמד]]="4     ",IF(HEVARIM[[#This Row],[גיל]]=1,1,IF(HEVARIM[[#This Row],[גיל]]&lt;=5,5,18)),"")</f>
        <v>5</v>
      </c>
      <c r="W61">
        <f t="shared" si="0"/>
        <v>0</v>
      </c>
      <c r="X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">
        <f>IF(HEVARIM[[#This Row],[מצב משפחתי2]]="אלמן",'[2]ריכוז נתונים'!$AC$2,0)</f>
        <v>0</v>
      </c>
      <c r="Z61" s="3">
        <f>VLOOKUP(VALUE(HEVARIM[[#This Row],[קוד מעמד]]),הנחות!$I$2:$K$21,3,0)</f>
        <v>1</v>
      </c>
      <c r="AA61" t="b">
        <f>ISERROR(VLOOKUP(HEVARIM[[#This Row],[קוד תקציב]],'[2]ריכוז נתונים'!A:A,1,0))</f>
        <v>0</v>
      </c>
      <c r="AB61" s="1">
        <f t="shared" si="1"/>
        <v>2204.6153846153848</v>
      </c>
      <c r="AC61" s="2">
        <f ca="1">IF(HEVARIM[[#This Row],[בר מצוה]]&gt;0,YEAR(TODAY())+'תקציבים מיוחדים'!$F$5-HEVARIM[[#This Row],[גיל]],0)</f>
        <v>2035</v>
      </c>
      <c r="AD61" s="1">
        <f t="shared" si="2"/>
        <v>0</v>
      </c>
      <c r="AE61" s="2">
        <f ca="1">IF(HEVARIM[[#This Row],[בת מצוה]]&gt;0,YEAR(TODAY())+'תקציבים מיוחדים'!$F$5-HEVARIM[[#This Row],[גיל]],0)</f>
        <v>0</v>
      </c>
      <c r="AF61" s="1">
        <f>IF(AND($S61&gt;="רווק",$Z61=1),AF$4*IF(HEVARIM[[#This Row],[גיל]]&gt;$AF$3,1,(($G61-AF$2)/(AF$3-AF$2))),0)</f>
        <v>11526.190476190475</v>
      </c>
      <c r="AG61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61" s="1">
        <f t="shared" si="3"/>
        <v>20112.095238095237</v>
      </c>
      <c r="AI61" s="2">
        <f ca="1">IF(AH61&gt;0,YEAR(TODAY())+'תקציבים מיוחדים'!$F$7-HEVARIM[[#This Row],[גיל]],0)</f>
        <v>2043</v>
      </c>
      <c r="AJ61" s="9">
        <f>IF(AND(ISERROR(VLOOKUP(H61,'[2]ריכוז נתונים'!A:L,1,0)),P61="1     "),1,0)</f>
        <v>0</v>
      </c>
      <c r="AK6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" s="1">
        <f>IF(AND(VALUE(HEVARIM[[#This Row],[קוד מעמד]])=1,HEVARIM[[#This Row],[ותק מחברה 40]]&lt;25),HEVARIM[[#This Row],[ותק מחברה 40]]/25*הנחות!$C$4,0)</f>
        <v>0</v>
      </c>
      <c r="AM61" s="9" t="str">
        <f ca="1">IF(HEVARIM[[#This Row],[דמי עזיבה 25 שנות ותק]]&gt;0,YEAR(TODAY())+25-ROUNDDOWN(HEVARIM[[#This Row],[ותק מחברה 40]],0),"")</f>
        <v/>
      </c>
      <c r="AN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" s="9" t="str">
        <f ca="1">IF(HEVARIM[[#This Row],[דמי עזיבה לגיל 65]]&gt;0,YEAR(TODAY())+64-ROUNDDOWN(HEVARIM[[#This Row],[גיל]],0),"")</f>
        <v/>
      </c>
      <c r="AP61" s="1">
        <f>SUMIF(HEVARIM[קוד תקציב],HEVARIM[[#This Row],[קוד תקציב משפחה מקורי]],HEVARIM[ותק מחברה 40])</f>
        <v>15.16</v>
      </c>
      <c r="AQ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" s="9">
        <f>IF(HEVARIM[[#This Row],[קוד מעמד]]="1     ",IFERROR(VLOOKUP(HEVARIM[[#This Row],[קוד תקציב]],'תקציב צביעה - לקראת השינוי'!A:F,4,0),0),0)</f>
        <v>0</v>
      </c>
      <c r="AT61" s="1"/>
    </row>
    <row r="62" spans="1:46">
      <c r="A62" t="s">
        <v>339</v>
      </c>
      <c r="B62" t="s">
        <v>340</v>
      </c>
      <c r="C62" t="s">
        <v>65</v>
      </c>
      <c r="D62" t="s">
        <v>341</v>
      </c>
      <c r="E62" t="s">
        <v>67</v>
      </c>
      <c r="F62" s="4">
        <v>45797</v>
      </c>
      <c r="G62">
        <v>0</v>
      </c>
      <c r="H62" t="s">
        <v>316</v>
      </c>
      <c r="I62" t="s">
        <v>317</v>
      </c>
      <c r="J62" s="4" t="s">
        <v>70</v>
      </c>
      <c r="K62" s="4" t="s">
        <v>71</v>
      </c>
      <c r="L62" t="s">
        <v>342</v>
      </c>
      <c r="M62" t="s">
        <v>313</v>
      </c>
      <c r="N62" t="s">
        <v>314</v>
      </c>
      <c r="O62">
        <f>IFERROR(VLOOKUP(HEVARIM[[#This Row],[קוד תקציב]],[2]תקציבים!A:L,6,0),0)</f>
        <v>2</v>
      </c>
      <c r="P62" s="5" t="s">
        <v>227</v>
      </c>
      <c r="Q62" t="s">
        <v>14</v>
      </c>
      <c r="R62" s="4">
        <v>45797</v>
      </c>
      <c r="S62" s="4" t="s">
        <v>90</v>
      </c>
      <c r="T62" s="96" t="s">
        <v>316</v>
      </c>
      <c r="U62" t="str">
        <f>VLOOKUP(HEVARIM[[#This Row],[גיל]],GIL,2,1)</f>
        <v>פעוט</v>
      </c>
      <c r="V62">
        <f>IF(HEVARIM[[#This Row],[קוד מעמד]]="4     ",IF(HEVARIM[[#This Row],[גיל]]=1,1,IF(HEVARIM[[#This Row],[גיל]]&lt;=5,5,18)),"")</f>
        <v>5</v>
      </c>
      <c r="W62">
        <f t="shared" si="0"/>
        <v>0</v>
      </c>
      <c r="X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">
        <f>IF(HEVARIM[[#This Row],[מצב משפחתי2]]="אלמן",'[2]ריכוז נתונים'!$AC$2,0)</f>
        <v>0</v>
      </c>
      <c r="Z62" s="3">
        <f>VLOOKUP(VALUE(HEVARIM[[#This Row],[קוד מעמד]]),הנחות!$I$2:$K$21,3,0)</f>
        <v>1</v>
      </c>
      <c r="AA62" t="b">
        <f>ISERROR(VLOOKUP(HEVARIM[[#This Row],[קוד תקציב]],'[2]ריכוז נתונים'!A:A,1,0))</f>
        <v>0</v>
      </c>
      <c r="AB62" s="1">
        <f t="shared" si="1"/>
        <v>0</v>
      </c>
      <c r="AC62" s="2">
        <f ca="1">IF(HEVARIM[[#This Row],[בר מצוה]]&gt;0,YEAR(TODAY())+'תקציבים מיוחדים'!$F$5-HEVARIM[[#This Row],[גיל]],0)</f>
        <v>0</v>
      </c>
      <c r="AD62" s="1">
        <f t="shared" si="2"/>
        <v>0</v>
      </c>
      <c r="AE62" s="2">
        <f ca="1">IF(HEVARIM[[#This Row],[בת מצוה]]&gt;0,YEAR(TODAY())+'תקציבים מיוחדים'!$F$5-HEVARIM[[#This Row],[גיל]],0)</f>
        <v>0</v>
      </c>
      <c r="AF62" s="1">
        <f>IF(AND($S62&gt;="רווק",$Z62=1),AF$4*IF(HEVARIM[[#This Row],[גיל]]&gt;$AF$3,1,(($G62-AF$2)/(AF$3-AF$2))),0)</f>
        <v>0</v>
      </c>
      <c r="AG6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2" s="1">
        <f t="shared" si="3"/>
        <v>0</v>
      </c>
      <c r="AI62" s="2">
        <f ca="1">IF(AH62&gt;0,YEAR(TODAY())+'תקציבים מיוחדים'!$F$7-HEVARIM[[#This Row],[גיל]],0)</f>
        <v>0</v>
      </c>
      <c r="AJ62" s="9">
        <f>IF(AND(ISERROR(VLOOKUP(H62,'[2]ריכוז נתונים'!A:L,1,0)),P62="1     "),1,0)</f>
        <v>0</v>
      </c>
      <c r="AK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" s="1">
        <f>IF(AND(VALUE(HEVARIM[[#This Row],[קוד מעמד]])=1,HEVARIM[[#This Row],[ותק מחברה 40]]&lt;25),HEVARIM[[#This Row],[ותק מחברה 40]]/25*הנחות!$C$4,0)</f>
        <v>0</v>
      </c>
      <c r="AM62" s="9" t="str">
        <f ca="1">IF(HEVARIM[[#This Row],[דמי עזיבה 25 שנות ותק]]&gt;0,YEAR(TODAY())+25-ROUNDDOWN(HEVARIM[[#This Row],[ותק מחברה 40]],0),"")</f>
        <v/>
      </c>
      <c r="AN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" s="9" t="str">
        <f ca="1">IF(HEVARIM[[#This Row],[דמי עזיבה לגיל 65]]&gt;0,YEAR(TODAY())+64-ROUNDDOWN(HEVARIM[[#This Row],[גיל]],0),"")</f>
        <v/>
      </c>
      <c r="AP62" s="1">
        <f>SUMIF(HEVARIM[קוד תקציב],HEVARIM[[#This Row],[קוד תקציב משפחה מקורי]],HEVARIM[ותק מחברה 40])</f>
        <v>15.16</v>
      </c>
      <c r="AQ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" s="9">
        <f>IF(HEVARIM[[#This Row],[קוד מעמד]]="1     ",IFERROR(VLOOKUP(HEVARIM[[#This Row],[קוד תקציב]],'תקציב צביעה - לקראת השינוי'!A:F,4,0),0),0)</f>
        <v>0</v>
      </c>
      <c r="AT62" s="1"/>
    </row>
    <row r="63" spans="1:46">
      <c r="A63" t="s">
        <v>343</v>
      </c>
      <c r="B63" t="s">
        <v>344</v>
      </c>
      <c r="C63" t="s">
        <v>345</v>
      </c>
      <c r="D63" t="s">
        <v>346</v>
      </c>
      <c r="E63" t="s">
        <v>67</v>
      </c>
      <c r="F63" s="4">
        <v>37705</v>
      </c>
      <c r="G63">
        <v>22</v>
      </c>
      <c r="H63" t="s">
        <v>347</v>
      </c>
      <c r="I63" t="s">
        <v>348</v>
      </c>
      <c r="J63" s="4" t="s">
        <v>70</v>
      </c>
      <c r="K63" s="4" t="s">
        <v>81</v>
      </c>
      <c r="L63" t="s">
        <v>349</v>
      </c>
      <c r="M63" t="s">
        <v>343</v>
      </c>
      <c r="N63" t="s">
        <v>344</v>
      </c>
      <c r="O63">
        <f>IFERROR(VLOOKUP(HEVARIM[[#This Row],[קוד תקציב]],[2]תקציבים!A:L,6,0),0)</f>
        <v>0</v>
      </c>
      <c r="P63" s="5" t="s">
        <v>83</v>
      </c>
      <c r="Q63" t="s">
        <v>15</v>
      </c>
      <c r="R63" s="4">
        <v>45123</v>
      </c>
      <c r="S63" s="4" t="s">
        <v>74</v>
      </c>
      <c r="T63" s="96" t="s">
        <v>347</v>
      </c>
      <c r="U63" t="str">
        <f>VLOOKUP(HEVARIM[[#This Row],[גיל]],GIL,2,1)</f>
        <v>--</v>
      </c>
      <c r="V63" t="str">
        <f>IF(HEVARIM[[#This Row],[קוד מעמד]]="4     ",IF(HEVARIM[[#This Row],[גיל]]=1,1,IF(HEVARIM[[#This Row],[גיל]]&lt;=5,5,18)),"")</f>
        <v/>
      </c>
      <c r="W63">
        <f t="shared" si="0"/>
        <v>0</v>
      </c>
      <c r="X6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">
        <f>IF(HEVARIM[[#This Row],[מצב משפחתי2]]="אלמן",'[2]ריכוז נתונים'!$AC$2,0)</f>
        <v>0</v>
      </c>
      <c r="Z63" s="3">
        <f>VLOOKUP(VALUE(HEVARIM[[#This Row],[קוד מעמד]]),הנחות!$I$2:$K$21,3,0)</f>
        <v>0</v>
      </c>
      <c r="AA63" t="b">
        <f>ISERROR(VLOOKUP(HEVARIM[[#This Row],[קוד תקציב]],'[2]ריכוז נתונים'!A:A,1,0))</f>
        <v>1</v>
      </c>
      <c r="AB63" s="1">
        <f t="shared" si="1"/>
        <v>0</v>
      </c>
      <c r="AC63" s="2">
        <f ca="1">IF(HEVARIM[[#This Row],[בר מצוה]]&gt;0,YEAR(TODAY())+'תקציבים מיוחדים'!$F$5-HEVARIM[[#This Row],[גיל]],0)</f>
        <v>0</v>
      </c>
      <c r="AD63" s="1">
        <f t="shared" si="2"/>
        <v>0</v>
      </c>
      <c r="AE63" s="2">
        <f ca="1">IF(HEVARIM[[#This Row],[בת מצוה]]&gt;0,YEAR(TODAY())+'תקציבים מיוחדים'!$F$5-HEVARIM[[#This Row],[גיל]],0)</f>
        <v>0</v>
      </c>
      <c r="AF63" s="1">
        <f>IF(AND($S63&gt;="רווק",$Z63=1),AF$4*IF(HEVARIM[[#This Row],[גיל]]&gt;$AF$3,1,(($G63-AF$2)/(AF$3-AF$2))),0)</f>
        <v>0</v>
      </c>
      <c r="AG6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" s="1">
        <f t="shared" si="3"/>
        <v>0</v>
      </c>
      <c r="AI63" s="2">
        <f ca="1">IF(AH63&gt;0,YEAR(TODAY())+'תקציבים מיוחדים'!$F$7-HEVARIM[[#This Row],[גיל]],0)</f>
        <v>0</v>
      </c>
      <c r="AJ63" s="9">
        <f>IF(AND(ISERROR(VLOOKUP(H63,'[2]ריכוז נתונים'!A:L,1,0)),P63="1     "),1,0)</f>
        <v>0</v>
      </c>
      <c r="AK6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" s="1">
        <f>IF(AND(VALUE(HEVARIM[[#This Row],[קוד מעמד]])=1,HEVARIM[[#This Row],[ותק מחברה 40]]&lt;25),HEVARIM[[#This Row],[ותק מחברה 40]]/25*הנחות!$C$4,0)</f>
        <v>0</v>
      </c>
      <c r="AM63" s="9" t="str">
        <f ca="1">IF(HEVARIM[[#This Row],[דמי עזיבה 25 שנות ותק]]&gt;0,YEAR(TODAY())+25-ROUNDDOWN(HEVARIM[[#This Row],[ותק מחברה 40]],0),"")</f>
        <v/>
      </c>
      <c r="AN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" s="9" t="str">
        <f ca="1">IF(HEVARIM[[#This Row],[דמי עזיבה לגיל 65]]&gt;0,YEAR(TODAY())+64-ROUNDDOWN(HEVARIM[[#This Row],[גיל]],0),"")</f>
        <v/>
      </c>
      <c r="AP63" s="1">
        <f>SUMIF(HEVARIM[קוד תקציב],HEVARIM[[#This Row],[קוד תקציב משפחה מקורי]],HEVARIM[ותק מחברה 40])</f>
        <v>0</v>
      </c>
      <c r="AQ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" s="9">
        <f>IF(HEVARIM[[#This Row],[קוד מעמד]]="1     ",IFERROR(VLOOKUP(HEVARIM[[#This Row],[קוד תקציב]],'תקציב צביעה - לקראת השינוי'!A:F,4,0),0),0)</f>
        <v>0</v>
      </c>
      <c r="AT63" s="1"/>
    </row>
    <row r="64" spans="1:46">
      <c r="A64" t="s">
        <v>354</v>
      </c>
      <c r="B64" t="s">
        <v>355</v>
      </c>
      <c r="C64" t="s">
        <v>345</v>
      </c>
      <c r="D64" t="s">
        <v>356</v>
      </c>
      <c r="E64" t="s">
        <v>79</v>
      </c>
      <c r="F64" s="4">
        <v>45733</v>
      </c>
      <c r="G64">
        <v>0</v>
      </c>
      <c r="H64" t="s">
        <v>347</v>
      </c>
      <c r="I64" t="s">
        <v>348</v>
      </c>
      <c r="J64" s="4" t="s">
        <v>70</v>
      </c>
      <c r="K64" s="4" t="s">
        <v>81</v>
      </c>
      <c r="L64" t="s">
        <v>357</v>
      </c>
      <c r="M64" t="s">
        <v>343</v>
      </c>
      <c r="N64" t="s">
        <v>344</v>
      </c>
      <c r="O64">
        <f>IFERROR(VLOOKUP(HEVARIM[[#This Row],[קוד תקציב]],[2]תקציבים!A:L,6,0),0)</f>
        <v>0</v>
      </c>
      <c r="P64" s="5" t="s">
        <v>89</v>
      </c>
      <c r="Q64" t="s">
        <v>19</v>
      </c>
      <c r="R64" s="4">
        <v>45733</v>
      </c>
      <c r="S64" s="4" t="s">
        <v>90</v>
      </c>
      <c r="T64" s="96" t="s">
        <v>347</v>
      </c>
      <c r="U64" t="str">
        <f>VLOOKUP(HEVARIM[[#This Row],[גיל]],GIL,2,1)</f>
        <v>פעוט</v>
      </c>
      <c r="V64" t="str">
        <f>IF(HEVARIM[[#This Row],[קוד מעמד]]="4     ",IF(HEVARIM[[#This Row],[גיל]]=1,1,IF(HEVARIM[[#This Row],[גיל]]&lt;=5,5,18)),"")</f>
        <v/>
      </c>
      <c r="W64">
        <f t="shared" si="0"/>
        <v>0</v>
      </c>
      <c r="X6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">
        <f>IF(HEVARIM[[#This Row],[מצב משפחתי2]]="אלמן",'[2]ריכוז נתונים'!$AC$2,0)</f>
        <v>0</v>
      </c>
      <c r="Z64" s="3">
        <f>VLOOKUP(VALUE(HEVARIM[[#This Row],[קוד מעמד]]),הנחות!$I$2:$K$21,3,0)</f>
        <v>0</v>
      </c>
      <c r="AA64" t="b">
        <f>ISERROR(VLOOKUP(HEVARIM[[#This Row],[קוד תקציב]],'[2]ריכוז נתונים'!A:A,1,0))</f>
        <v>1</v>
      </c>
      <c r="AB64" s="1">
        <f t="shared" si="1"/>
        <v>0</v>
      </c>
      <c r="AC64" s="2">
        <f ca="1">IF(HEVARIM[[#This Row],[בר מצוה]]&gt;0,YEAR(TODAY())+'תקציבים מיוחדים'!$F$5-HEVARIM[[#This Row],[גיל]],0)</f>
        <v>0</v>
      </c>
      <c r="AD64" s="1">
        <f t="shared" si="2"/>
        <v>0</v>
      </c>
      <c r="AE64" s="2">
        <f ca="1">IF(HEVARIM[[#This Row],[בת מצוה]]&gt;0,YEAR(TODAY())+'תקציבים מיוחדים'!$F$5-HEVARIM[[#This Row],[גיל]],0)</f>
        <v>0</v>
      </c>
      <c r="AF64" s="1">
        <f>IF(AND($S64&gt;="רווק",$Z64=1),AF$4*IF(HEVARIM[[#This Row],[גיל]]&gt;$AF$3,1,(($G64-AF$2)/(AF$3-AF$2))),0)</f>
        <v>0</v>
      </c>
      <c r="AG6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4" s="1">
        <f t="shared" si="3"/>
        <v>0</v>
      </c>
      <c r="AI64" s="2">
        <f ca="1">IF(AH64&gt;0,YEAR(TODAY())+'תקציבים מיוחדים'!$F$7-HEVARIM[[#This Row],[גיל]],0)</f>
        <v>0</v>
      </c>
      <c r="AJ64" s="9">
        <f>IF(AND(ISERROR(VLOOKUP(H64,'[2]ריכוז נתונים'!A:L,1,0)),P64="1     "),1,0)</f>
        <v>0</v>
      </c>
      <c r="AK6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" s="1">
        <f>IF(AND(VALUE(HEVARIM[[#This Row],[קוד מעמד]])=1,HEVARIM[[#This Row],[ותק מחברה 40]]&lt;25),HEVARIM[[#This Row],[ותק מחברה 40]]/25*הנחות!$C$4,0)</f>
        <v>0</v>
      </c>
      <c r="AM64" s="9" t="str">
        <f ca="1">IF(HEVARIM[[#This Row],[דמי עזיבה 25 שנות ותק]]&gt;0,YEAR(TODAY())+25-ROUNDDOWN(HEVARIM[[#This Row],[ותק מחברה 40]],0),"")</f>
        <v/>
      </c>
      <c r="AN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" s="9" t="str">
        <f ca="1">IF(HEVARIM[[#This Row],[דמי עזיבה לגיל 65]]&gt;0,YEAR(TODAY())+64-ROUNDDOWN(HEVARIM[[#This Row],[גיל]],0),"")</f>
        <v/>
      </c>
      <c r="AP64" s="1">
        <f>SUMIF(HEVARIM[קוד תקציב],HEVARIM[[#This Row],[קוד תקציב משפחה מקורי]],HEVARIM[ותק מחברה 40])</f>
        <v>0</v>
      </c>
      <c r="AQ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" s="9">
        <f>IF(HEVARIM[[#This Row],[קוד מעמד]]="1     ",IFERROR(VLOOKUP(HEVARIM[[#This Row],[קוד תקציב]],'תקציב צביעה - לקראת השינוי'!A:F,4,0),0),0)</f>
        <v>0</v>
      </c>
      <c r="AT64" s="1"/>
    </row>
    <row r="65" spans="1:46">
      <c r="A65" t="s">
        <v>358</v>
      </c>
      <c r="B65" t="s">
        <v>359</v>
      </c>
      <c r="C65" t="s">
        <v>345</v>
      </c>
      <c r="D65" t="s">
        <v>360</v>
      </c>
      <c r="E65" t="s">
        <v>79</v>
      </c>
      <c r="F65" s="4">
        <v>45733</v>
      </c>
      <c r="G65">
        <v>0</v>
      </c>
      <c r="H65" t="s">
        <v>347</v>
      </c>
      <c r="I65" t="s">
        <v>348</v>
      </c>
      <c r="J65" s="4" t="s">
        <v>70</v>
      </c>
      <c r="K65" s="4" t="s">
        <v>81</v>
      </c>
      <c r="L65" t="s">
        <v>361</v>
      </c>
      <c r="M65" t="s">
        <v>343</v>
      </c>
      <c r="N65" t="s">
        <v>344</v>
      </c>
      <c r="O65">
        <f>IFERROR(VLOOKUP(HEVARIM[[#This Row],[קוד תקציב]],[2]תקציבים!A:L,6,0),0)</f>
        <v>0</v>
      </c>
      <c r="P65" s="5" t="s">
        <v>89</v>
      </c>
      <c r="Q65" t="s">
        <v>19</v>
      </c>
      <c r="R65" s="4">
        <v>45733</v>
      </c>
      <c r="S65" s="4" t="s">
        <v>90</v>
      </c>
      <c r="T65" s="96" t="s">
        <v>347</v>
      </c>
      <c r="U65" t="str">
        <f>VLOOKUP(HEVARIM[[#This Row],[גיל]],GIL,2,1)</f>
        <v>פעוט</v>
      </c>
      <c r="V65" t="str">
        <f>IF(HEVARIM[[#This Row],[קוד מעמד]]="4     ",IF(HEVARIM[[#This Row],[גיל]]=1,1,IF(HEVARIM[[#This Row],[גיל]]&lt;=5,5,18)),"")</f>
        <v/>
      </c>
      <c r="W65">
        <f t="shared" si="0"/>
        <v>0</v>
      </c>
      <c r="X6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">
        <f>IF(HEVARIM[[#This Row],[מצב משפחתי2]]="אלמן",'[2]ריכוז נתונים'!$AC$2,0)</f>
        <v>0</v>
      </c>
      <c r="Z65" s="3">
        <f>VLOOKUP(VALUE(HEVARIM[[#This Row],[קוד מעמד]]),הנחות!$I$2:$K$21,3,0)</f>
        <v>0</v>
      </c>
      <c r="AA65" t="b">
        <f>ISERROR(VLOOKUP(HEVARIM[[#This Row],[קוד תקציב]],'[2]ריכוז נתונים'!A:A,1,0))</f>
        <v>1</v>
      </c>
      <c r="AB65" s="1">
        <f t="shared" si="1"/>
        <v>0</v>
      </c>
      <c r="AC65" s="2">
        <f ca="1">IF(HEVARIM[[#This Row],[בר מצוה]]&gt;0,YEAR(TODAY())+'תקציבים מיוחדים'!$F$5-HEVARIM[[#This Row],[גיל]],0)</f>
        <v>0</v>
      </c>
      <c r="AD65" s="1">
        <f t="shared" si="2"/>
        <v>0</v>
      </c>
      <c r="AE65" s="2">
        <f ca="1">IF(HEVARIM[[#This Row],[בת מצוה]]&gt;0,YEAR(TODAY())+'תקציבים מיוחדים'!$F$5-HEVARIM[[#This Row],[גיל]],0)</f>
        <v>0</v>
      </c>
      <c r="AF65" s="1">
        <f>IF(AND($S65&gt;="רווק",$Z65=1),AF$4*IF(HEVARIM[[#This Row],[גיל]]&gt;$AF$3,1,(($G65-AF$2)/(AF$3-AF$2))),0)</f>
        <v>0</v>
      </c>
      <c r="AG6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" s="1">
        <f t="shared" si="3"/>
        <v>0</v>
      </c>
      <c r="AI65" s="2">
        <f ca="1">IF(AH65&gt;0,YEAR(TODAY())+'תקציבים מיוחדים'!$F$7-HEVARIM[[#This Row],[גיל]],0)</f>
        <v>0</v>
      </c>
      <c r="AJ65" s="9">
        <f>IF(AND(ISERROR(VLOOKUP(H65,'[2]ריכוז נתונים'!A:L,1,0)),P65="1     "),1,0)</f>
        <v>0</v>
      </c>
      <c r="AK6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" s="1">
        <f>IF(AND(VALUE(HEVARIM[[#This Row],[קוד מעמד]])=1,HEVARIM[[#This Row],[ותק מחברה 40]]&lt;25),HEVARIM[[#This Row],[ותק מחברה 40]]/25*הנחות!$C$4,0)</f>
        <v>0</v>
      </c>
      <c r="AM65" s="9" t="str">
        <f ca="1">IF(HEVARIM[[#This Row],[דמי עזיבה 25 שנות ותק]]&gt;0,YEAR(TODAY())+25-ROUNDDOWN(HEVARIM[[#This Row],[ותק מחברה 40]],0),"")</f>
        <v/>
      </c>
      <c r="AN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" s="9" t="str">
        <f ca="1">IF(HEVARIM[[#This Row],[דמי עזיבה לגיל 65]]&gt;0,YEAR(TODAY())+64-ROUNDDOWN(HEVARIM[[#This Row],[גיל]],0),"")</f>
        <v/>
      </c>
      <c r="AP65" s="1">
        <f>SUMIF(HEVARIM[קוד תקציב],HEVARIM[[#This Row],[קוד תקציב משפחה מקורי]],HEVARIM[ותק מחברה 40])</f>
        <v>0</v>
      </c>
      <c r="AQ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" s="9">
        <f>IF(HEVARIM[[#This Row],[קוד מעמד]]="1     ",IFERROR(VLOOKUP(HEVARIM[[#This Row],[קוד תקציב]],'תקציב צביעה - לקראת השינוי'!A:F,4,0),0),0)</f>
        <v>0</v>
      </c>
      <c r="AT65" s="1"/>
    </row>
    <row r="66" spans="1:46">
      <c r="A66" t="s">
        <v>362</v>
      </c>
      <c r="B66" t="s">
        <v>363</v>
      </c>
      <c r="C66" t="s">
        <v>364</v>
      </c>
      <c r="D66" t="s">
        <v>365</v>
      </c>
      <c r="E66" t="s">
        <v>67</v>
      </c>
      <c r="F66" s="4">
        <v>32280</v>
      </c>
      <c r="G66">
        <v>37</v>
      </c>
      <c r="H66" t="s">
        <v>366</v>
      </c>
      <c r="I66" t="s">
        <v>367</v>
      </c>
      <c r="J66" s="4" t="s">
        <v>70</v>
      </c>
      <c r="K66" s="4" t="s">
        <v>71</v>
      </c>
      <c r="L66" t="s">
        <v>368</v>
      </c>
      <c r="M66" t="s">
        <v>362</v>
      </c>
      <c r="N66" t="s">
        <v>363</v>
      </c>
      <c r="O66">
        <f>IFERROR(VLOOKUP(HEVARIM[[#This Row],[קוד תקציב]],[2]תקציבים!A:L,6,0),0)</f>
        <v>2</v>
      </c>
      <c r="P66" s="5" t="s">
        <v>104</v>
      </c>
      <c r="Q66" t="s">
        <v>11</v>
      </c>
      <c r="R66" s="4">
        <v>43429</v>
      </c>
      <c r="S66" s="4" t="s">
        <v>74</v>
      </c>
      <c r="T66" s="96" t="s">
        <v>366</v>
      </c>
      <c r="U66" t="str">
        <f>VLOOKUP(HEVARIM[[#This Row],[גיל]],GIL,2,1)</f>
        <v>--</v>
      </c>
      <c r="V66" t="str">
        <f>IF(HEVARIM[[#This Row],[קוד מעמד]]="4     ",IF(HEVARIM[[#This Row],[גיל]]=1,1,IF(HEVARIM[[#This Row],[גיל]]&lt;=5,5,18)),"")</f>
        <v/>
      </c>
      <c r="W66">
        <f t="shared" si="0"/>
        <v>0</v>
      </c>
      <c r="X6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">
        <f>IF(HEVARIM[[#This Row],[מצב משפחתי2]]="אלמן",'[2]ריכוז נתונים'!$AC$2,0)</f>
        <v>0</v>
      </c>
      <c r="Z66" s="3">
        <f>VLOOKUP(VALUE(HEVARIM[[#This Row],[קוד מעמד]]),הנחות!$I$2:$K$21,3,0)</f>
        <v>0</v>
      </c>
      <c r="AA66" t="b">
        <f>ISERROR(VLOOKUP(HEVARIM[[#This Row],[קוד תקציב]],'[2]ריכוז נתונים'!A:A,1,0))</f>
        <v>0</v>
      </c>
      <c r="AB66" s="1">
        <f t="shared" si="1"/>
        <v>0</v>
      </c>
      <c r="AC66" s="2">
        <f ca="1">IF(HEVARIM[[#This Row],[בר מצוה]]&gt;0,YEAR(TODAY())+'תקציבים מיוחדים'!$F$5-HEVARIM[[#This Row],[גיל]],0)</f>
        <v>0</v>
      </c>
      <c r="AD66" s="1">
        <f t="shared" si="2"/>
        <v>0</v>
      </c>
      <c r="AE66" s="2">
        <f ca="1">IF(HEVARIM[[#This Row],[בת מצוה]]&gt;0,YEAR(TODAY())+'תקציבים מיוחדים'!$F$5-HEVARIM[[#This Row],[גיל]],0)</f>
        <v>0</v>
      </c>
      <c r="AF66" s="1">
        <f>IF(AND($S66&gt;="רווק",$Z66=1),AF$4*IF(HEVARIM[[#This Row],[גיל]]&gt;$AF$3,1,(($G66-AF$2)/(AF$3-AF$2))),0)</f>
        <v>0</v>
      </c>
      <c r="AG6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" s="1">
        <f t="shared" si="3"/>
        <v>0</v>
      </c>
      <c r="AI66" s="2">
        <f ca="1">IF(AH66&gt;0,YEAR(TODAY())+'תקציבים מיוחדים'!$F$7-HEVARIM[[#This Row],[גיל]],0)</f>
        <v>0</v>
      </c>
      <c r="AJ66" s="9">
        <f>IF(AND(ISERROR(VLOOKUP(H66,'[2]ריכוז נתונים'!A:L,1,0)),P66="1     "),1,0)</f>
        <v>0</v>
      </c>
      <c r="AK66" s="1">
        <f>IF(VALUE(HEVARIM[[#This Row],[קוד מעמד]])=1,VLOOKUP((IF(LEFT(HEVARIM[[#This Row],[קוד חבר]],1)="0",HEVARIM[[#This Row],[קוד חבר]],VALUE(HEVARIM[[#This Row],[קוד חבר]]))),'ותק חברה 40'!AQ:AW,7,0),"")</f>
        <v>8.84</v>
      </c>
      <c r="AL66" s="1">
        <f>IF(AND(VALUE(HEVARIM[[#This Row],[קוד מעמד]])=1,HEVARIM[[#This Row],[ותק מחברה 40]]&lt;25),HEVARIM[[#This Row],[ותק מחברה 40]]/25*הנחות!$C$4,0)</f>
        <v>13272.238979999996</v>
      </c>
      <c r="AM66" s="9">
        <f ca="1">IF(HEVARIM[[#This Row],[דמי עזיבה 25 שנות ותק]]&gt;0,YEAR(TODAY())+25-ROUNDDOWN(HEVARIM[[#This Row],[ותק מחברה 40]],0),"")</f>
        <v>2043</v>
      </c>
      <c r="AN6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" s="9" t="str">
        <f ca="1">IF(HEVARIM[[#This Row],[דמי עזיבה לגיל 65]]&gt;0,YEAR(TODAY())+64-ROUNDDOWN(HEVARIM[[#This Row],[גיל]],0),"")</f>
        <v/>
      </c>
      <c r="AP66" s="1">
        <f>SUMIF(HEVARIM[קוד תקציב],HEVARIM[[#This Row],[קוד תקציב משפחה מקורי]],HEVARIM[ותק מחברה 40])</f>
        <v>17.68</v>
      </c>
      <c r="AQ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" s="9">
        <f>IF(HEVARIM[[#This Row],[קוד מעמד]]="1     ",IFERROR(VLOOKUP(HEVARIM[[#This Row],[קוד תקציב]],'תקציב צביעה - לקראת השינוי'!A:F,4,0),0),0)</f>
        <v>0</v>
      </c>
      <c r="AT66" s="1"/>
    </row>
    <row r="67" spans="1:46">
      <c r="A67" t="s">
        <v>369</v>
      </c>
      <c r="B67" t="s">
        <v>370</v>
      </c>
      <c r="C67" t="s">
        <v>364</v>
      </c>
      <c r="D67" t="s">
        <v>371</v>
      </c>
      <c r="E67" t="s">
        <v>79</v>
      </c>
      <c r="F67" s="4">
        <v>32869</v>
      </c>
      <c r="G67">
        <v>36</v>
      </c>
      <c r="H67" t="s">
        <v>366</v>
      </c>
      <c r="I67" t="s">
        <v>367</v>
      </c>
      <c r="J67" s="4" t="s">
        <v>70</v>
      </c>
      <c r="K67" s="4" t="s">
        <v>71</v>
      </c>
      <c r="L67" t="s">
        <v>372</v>
      </c>
      <c r="M67" t="s">
        <v>362</v>
      </c>
      <c r="N67" t="s">
        <v>363</v>
      </c>
      <c r="O67">
        <f>IFERROR(VLOOKUP(HEVARIM[[#This Row],[קוד תקציב]],[2]תקציבים!A:L,6,0),0)</f>
        <v>2</v>
      </c>
      <c r="P67" s="5" t="s">
        <v>104</v>
      </c>
      <c r="Q67" t="s">
        <v>11</v>
      </c>
      <c r="R67" s="4">
        <v>43429</v>
      </c>
      <c r="S67" s="4" t="s">
        <v>74</v>
      </c>
      <c r="T67" s="96" t="s">
        <v>366</v>
      </c>
      <c r="U67" t="str">
        <f>VLOOKUP(HEVARIM[[#This Row],[גיל]],GIL,2,1)</f>
        <v>--</v>
      </c>
      <c r="V67" t="str">
        <f>IF(HEVARIM[[#This Row],[קוד מעמד]]="4     ",IF(HEVARIM[[#This Row],[גיל]]=1,1,IF(HEVARIM[[#This Row],[גיל]]&lt;=5,5,18)),"")</f>
        <v/>
      </c>
      <c r="W67">
        <f t="shared" si="0"/>
        <v>0</v>
      </c>
      <c r="X6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7">
        <f>IF(HEVARIM[[#This Row],[מצב משפחתי2]]="אלמן",'[2]ריכוז נתונים'!$AC$2,0)</f>
        <v>0</v>
      </c>
      <c r="Z67" s="3">
        <f>VLOOKUP(VALUE(HEVARIM[[#This Row],[קוד מעמד]]),הנחות!$I$2:$K$21,3,0)</f>
        <v>0</v>
      </c>
      <c r="AA67" t="b">
        <f>ISERROR(VLOOKUP(HEVARIM[[#This Row],[קוד תקציב]],'[2]ריכוז נתונים'!A:A,1,0))</f>
        <v>0</v>
      </c>
      <c r="AB67" s="1">
        <f t="shared" si="1"/>
        <v>0</v>
      </c>
      <c r="AC67" s="2">
        <f ca="1">IF(HEVARIM[[#This Row],[בר מצוה]]&gt;0,YEAR(TODAY())+'תקציבים מיוחדים'!$F$5-HEVARIM[[#This Row],[גיל]],0)</f>
        <v>0</v>
      </c>
      <c r="AD67" s="1">
        <f t="shared" si="2"/>
        <v>0</v>
      </c>
      <c r="AE67" s="2">
        <f ca="1">IF(HEVARIM[[#This Row],[בת מצוה]]&gt;0,YEAR(TODAY())+'תקציבים מיוחדים'!$F$5-HEVARIM[[#This Row],[גיל]],0)</f>
        <v>0</v>
      </c>
      <c r="AF67" s="1">
        <f>IF(AND($S67&gt;="רווק",$Z67=1),AF$4*IF(HEVARIM[[#This Row],[גיל]]&gt;$AF$3,1,(($G67-AF$2)/(AF$3-AF$2))),0)</f>
        <v>0</v>
      </c>
      <c r="AG6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" s="1">
        <f t="shared" si="3"/>
        <v>0</v>
      </c>
      <c r="AI67" s="2">
        <f ca="1">IF(AH67&gt;0,YEAR(TODAY())+'תקציבים מיוחדים'!$F$7-HEVARIM[[#This Row],[גיל]],0)</f>
        <v>0</v>
      </c>
      <c r="AJ67" s="9">
        <f>IF(AND(ISERROR(VLOOKUP(H67,'[2]ריכוז נתונים'!A:L,1,0)),P67="1     "),1,0)</f>
        <v>0</v>
      </c>
      <c r="AK67" s="1">
        <f>IF(VALUE(HEVARIM[[#This Row],[קוד מעמד]])=1,VLOOKUP((IF(LEFT(HEVARIM[[#This Row],[קוד חבר]],1)="0",HEVARIM[[#This Row],[קוד חבר]],VALUE(HEVARIM[[#This Row],[קוד חבר]]))),'ותק חברה 40'!AQ:AW,7,0),"")</f>
        <v>8.84</v>
      </c>
      <c r="AL67" s="1">
        <f>IF(AND(VALUE(HEVARIM[[#This Row],[קוד מעמד]])=1,HEVARIM[[#This Row],[ותק מחברה 40]]&lt;25),HEVARIM[[#This Row],[ותק מחברה 40]]/25*הנחות!$C$4,0)</f>
        <v>13272.238979999996</v>
      </c>
      <c r="AM67" s="9">
        <f ca="1">IF(HEVARIM[[#This Row],[דמי עזיבה 25 שנות ותק]]&gt;0,YEAR(TODAY())+25-ROUNDDOWN(HEVARIM[[#This Row],[ותק מחברה 40]],0),"")</f>
        <v>2043</v>
      </c>
      <c r="AN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" s="9" t="str">
        <f ca="1">IF(HEVARIM[[#This Row],[דמי עזיבה לגיל 65]]&gt;0,YEAR(TODAY())+64-ROUNDDOWN(HEVARIM[[#This Row],[גיל]],0),"")</f>
        <v/>
      </c>
      <c r="AP67" s="1">
        <f>SUMIF(HEVARIM[קוד תקציב],HEVARIM[[#This Row],[קוד תקציב משפחה מקורי]],HEVARIM[ותק מחברה 40])</f>
        <v>17.68</v>
      </c>
      <c r="AQ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7" s="9">
        <f>IF(HEVARIM[[#This Row],[קוד מעמד]]="1     ",IFERROR(VLOOKUP(HEVARIM[[#This Row],[קוד תקציב]],'תקציב צביעה - לקראת השינוי'!A:F,4,0),0),0)</f>
        <v>0</v>
      </c>
      <c r="AT67" s="1"/>
    </row>
    <row r="68" spans="1:46">
      <c r="A68" t="s">
        <v>373</v>
      </c>
      <c r="B68" t="s">
        <v>374</v>
      </c>
      <c r="C68" t="s">
        <v>364</v>
      </c>
      <c r="D68" t="s">
        <v>375</v>
      </c>
      <c r="E68" t="s">
        <v>79</v>
      </c>
      <c r="F68" s="4">
        <v>41583</v>
      </c>
      <c r="G68">
        <v>12</v>
      </c>
      <c r="H68" t="s">
        <v>366</v>
      </c>
      <c r="I68" t="s">
        <v>367</v>
      </c>
      <c r="J68" s="4" t="s">
        <v>70</v>
      </c>
      <c r="K68" s="4" t="s">
        <v>71</v>
      </c>
      <c r="L68" t="s">
        <v>376</v>
      </c>
      <c r="M68" t="s">
        <v>362</v>
      </c>
      <c r="N68" t="s">
        <v>363</v>
      </c>
      <c r="O68">
        <f>IFERROR(VLOOKUP(HEVARIM[[#This Row],[קוד תקציב]],[2]תקציבים!A:L,6,0),0)</f>
        <v>2</v>
      </c>
      <c r="P68" s="5" t="s">
        <v>227</v>
      </c>
      <c r="Q68" t="s">
        <v>14</v>
      </c>
      <c r="R68" s="4">
        <v>42675</v>
      </c>
      <c r="S68" s="4" t="s">
        <v>90</v>
      </c>
      <c r="T68" s="96" t="s">
        <v>366</v>
      </c>
      <c r="U68" t="str">
        <f>VLOOKUP(HEVARIM[[#This Row],[גיל]],GIL,2,1)</f>
        <v>יסודי</v>
      </c>
      <c r="V68">
        <f>IF(HEVARIM[[#This Row],[קוד מעמד]]="4     ",IF(HEVARIM[[#This Row],[גיל]]=1,1,IF(HEVARIM[[#This Row],[גיל]]&lt;=5,5,18)),"")</f>
        <v>18</v>
      </c>
      <c r="W68">
        <f t="shared" si="0"/>
        <v>0</v>
      </c>
      <c r="X6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8">
        <f>IF(HEVARIM[[#This Row],[מצב משפחתי2]]="אלמן",'[2]ריכוז נתונים'!$AC$2,0)</f>
        <v>0</v>
      </c>
      <c r="Z68" s="3">
        <f>VLOOKUP(VALUE(HEVARIM[[#This Row],[קוד מעמד]]),הנחות!$I$2:$K$21,3,0)</f>
        <v>1</v>
      </c>
      <c r="AA68" t="b">
        <f>ISERROR(VLOOKUP(HEVARIM[[#This Row],[קוד תקציב]],'[2]ריכוז נתונים'!A:A,1,0))</f>
        <v>0</v>
      </c>
      <c r="AB68" s="1">
        <f t="shared" si="1"/>
        <v>0</v>
      </c>
      <c r="AC68" s="2">
        <f ca="1">IF(HEVARIM[[#This Row],[בר מצוה]]&gt;0,YEAR(TODAY())+'תקציבים מיוחדים'!$F$5-HEVARIM[[#This Row],[גיל]],0)</f>
        <v>0</v>
      </c>
      <c r="AD68" s="1">
        <f t="shared" si="2"/>
        <v>6613.8461538461543</v>
      </c>
      <c r="AE68" s="2">
        <f ca="1">IF(HEVARIM[[#This Row],[בת מצוה]]&gt;0,YEAR(TODAY())+'תקציבים מיוחדים'!$F$5-HEVARIM[[#This Row],[גיל]],0)</f>
        <v>2027</v>
      </c>
      <c r="AF68" s="1">
        <f>IF(AND($S68&gt;="רווק",$Z68=1),AF$4*IF(HEVARIM[[#This Row],[גיל]]&gt;$AF$3,1,(($G68-AF$2)/(AF$3-AF$2))),0)</f>
        <v>34578.571428571428</v>
      </c>
      <c r="AG68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68" s="1">
        <f t="shared" si="3"/>
        <v>60336.28571428571</v>
      </c>
      <c r="AI68" s="2">
        <f ca="1">IF(AH68&gt;0,YEAR(TODAY())+'תקציבים מיוחדים'!$F$7-HEVARIM[[#This Row],[גיל]],0)</f>
        <v>2035</v>
      </c>
      <c r="AJ68" s="9">
        <f>IF(AND(ISERROR(VLOOKUP(H68,'[2]ריכוז נתונים'!A:L,1,0)),P68="1     "),1,0)</f>
        <v>0</v>
      </c>
      <c r="AK6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8" s="1">
        <f>IF(AND(VALUE(HEVARIM[[#This Row],[קוד מעמד]])=1,HEVARIM[[#This Row],[ותק מחברה 40]]&lt;25),HEVARIM[[#This Row],[ותק מחברה 40]]/25*הנחות!$C$4,0)</f>
        <v>0</v>
      </c>
      <c r="AM68" s="9" t="str">
        <f ca="1">IF(HEVARIM[[#This Row],[דמי עזיבה 25 שנות ותק]]&gt;0,YEAR(TODAY())+25-ROUNDDOWN(HEVARIM[[#This Row],[ותק מחברה 40]],0),"")</f>
        <v/>
      </c>
      <c r="AN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" s="9" t="str">
        <f ca="1">IF(HEVARIM[[#This Row],[דמי עזיבה לגיל 65]]&gt;0,YEAR(TODAY())+64-ROUNDDOWN(HEVARIM[[#This Row],[גיל]],0),"")</f>
        <v/>
      </c>
      <c r="AP68" s="1">
        <f>SUMIF(HEVARIM[קוד תקציב],HEVARIM[[#This Row],[קוד תקציב משפחה מקורי]],HEVARIM[ותק מחברה 40])</f>
        <v>17.68</v>
      </c>
      <c r="AQ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8" s="9">
        <f>IF(HEVARIM[[#This Row],[קוד מעמד]]="1     ",IFERROR(VLOOKUP(HEVARIM[[#This Row],[קוד תקציב]],'תקציב צביעה - לקראת השינוי'!A:F,4,0),0),0)</f>
        <v>0</v>
      </c>
      <c r="AT68" s="1"/>
    </row>
    <row r="69" spans="1:46">
      <c r="A69" t="s">
        <v>377</v>
      </c>
      <c r="B69" t="s">
        <v>378</v>
      </c>
      <c r="C69" t="s">
        <v>364</v>
      </c>
      <c r="D69" t="s">
        <v>379</v>
      </c>
      <c r="E69" t="s">
        <v>79</v>
      </c>
      <c r="F69" s="4">
        <v>42963</v>
      </c>
      <c r="G69">
        <v>8</v>
      </c>
      <c r="H69" t="s">
        <v>366</v>
      </c>
      <c r="I69" t="s">
        <v>367</v>
      </c>
      <c r="J69" s="4" t="s">
        <v>70</v>
      </c>
      <c r="K69" s="4" t="s">
        <v>71</v>
      </c>
      <c r="L69" t="s">
        <v>380</v>
      </c>
      <c r="M69" t="s">
        <v>362</v>
      </c>
      <c r="N69" t="s">
        <v>363</v>
      </c>
      <c r="O69">
        <f>IFERROR(VLOOKUP(HEVARIM[[#This Row],[קוד תקציב]],[2]תקציבים!A:L,6,0),0)</f>
        <v>2</v>
      </c>
      <c r="P69" s="5" t="s">
        <v>227</v>
      </c>
      <c r="Q69" t="s">
        <v>14</v>
      </c>
      <c r="R69" s="4">
        <v>42963</v>
      </c>
      <c r="S69" s="4" t="s">
        <v>90</v>
      </c>
      <c r="T69" s="96" t="s">
        <v>366</v>
      </c>
      <c r="U69" t="str">
        <f>VLOOKUP(HEVARIM[[#This Row],[גיל]],GIL,2,1)</f>
        <v>יסודי</v>
      </c>
      <c r="V69">
        <f>IF(HEVARIM[[#This Row],[קוד מעמד]]="4     ",IF(HEVARIM[[#This Row],[גיל]]=1,1,IF(HEVARIM[[#This Row],[גיל]]&lt;=5,5,18)),"")</f>
        <v>18</v>
      </c>
      <c r="W69">
        <f t="shared" si="0"/>
        <v>0</v>
      </c>
      <c r="X6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9">
        <f>IF(HEVARIM[[#This Row],[מצב משפחתי2]]="אלמן",'[2]ריכוז נתונים'!$AC$2,0)</f>
        <v>0</v>
      </c>
      <c r="Z69" s="3">
        <f>VLOOKUP(VALUE(HEVARIM[[#This Row],[קוד מעמד]]),הנחות!$I$2:$K$21,3,0)</f>
        <v>1</v>
      </c>
      <c r="AA69" t="b">
        <f>ISERROR(VLOOKUP(HEVARIM[[#This Row],[קוד תקציב]],'[2]ריכוז נתונים'!A:A,1,0))</f>
        <v>0</v>
      </c>
      <c r="AB69" s="1">
        <f t="shared" si="1"/>
        <v>0</v>
      </c>
      <c r="AC69" s="2">
        <f ca="1">IF(HEVARIM[[#This Row],[בר מצוה]]&gt;0,YEAR(TODAY())+'תקציבים מיוחדים'!$F$5-HEVARIM[[#This Row],[גיל]],0)</f>
        <v>0</v>
      </c>
      <c r="AD69" s="1">
        <f t="shared" si="2"/>
        <v>4409.2307692307695</v>
      </c>
      <c r="AE69" s="2">
        <f ca="1">IF(HEVARIM[[#This Row],[בת מצוה]]&gt;0,YEAR(TODAY())+'תקציבים מיוחדים'!$F$5-HEVARIM[[#This Row],[גיל]],0)</f>
        <v>2031</v>
      </c>
      <c r="AF69" s="1">
        <f>IF(AND($S69&gt;="רווק",$Z69=1),AF$4*IF(HEVARIM[[#This Row],[גיל]]&gt;$AF$3,1,(($G69-AF$2)/(AF$3-AF$2))),0)</f>
        <v>23052.38095238095</v>
      </c>
      <c r="AG69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69" s="1">
        <f t="shared" si="3"/>
        <v>40224.190476190473</v>
      </c>
      <c r="AI69" s="2">
        <f ca="1">IF(AH69&gt;0,YEAR(TODAY())+'תקציבים מיוחדים'!$F$7-HEVARIM[[#This Row],[גיל]],0)</f>
        <v>2039</v>
      </c>
      <c r="AJ69" s="9">
        <f>IF(AND(ISERROR(VLOOKUP(H69,'[2]ריכוז נתונים'!A:L,1,0)),P69="1     "),1,0)</f>
        <v>0</v>
      </c>
      <c r="AK6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9" s="1">
        <f>IF(AND(VALUE(HEVARIM[[#This Row],[קוד מעמד]])=1,HEVARIM[[#This Row],[ותק מחברה 40]]&lt;25),HEVARIM[[#This Row],[ותק מחברה 40]]/25*הנחות!$C$4,0)</f>
        <v>0</v>
      </c>
      <c r="AM69" s="9" t="str">
        <f ca="1">IF(HEVARIM[[#This Row],[דמי עזיבה 25 שנות ותק]]&gt;0,YEAR(TODAY())+25-ROUNDDOWN(HEVARIM[[#This Row],[ותק מחברה 40]],0),"")</f>
        <v/>
      </c>
      <c r="AN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" s="9" t="str">
        <f ca="1">IF(HEVARIM[[#This Row],[דמי עזיבה לגיל 65]]&gt;0,YEAR(TODAY())+64-ROUNDDOWN(HEVARIM[[#This Row],[גיל]],0),"")</f>
        <v/>
      </c>
      <c r="AP69" s="1">
        <f>SUMIF(HEVARIM[קוד תקציב],HEVARIM[[#This Row],[קוד תקציב משפחה מקורי]],HEVARIM[ותק מחברה 40])</f>
        <v>17.68</v>
      </c>
      <c r="AQ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9" s="9">
        <f>IF(HEVARIM[[#This Row],[קוד מעמד]]="1     ",IFERROR(VLOOKUP(HEVARIM[[#This Row],[קוד תקציב]],'תקציב צביעה - לקראת השינוי'!A:F,4,0),0),0)</f>
        <v>0</v>
      </c>
      <c r="AT69" s="1"/>
    </row>
    <row r="70" spans="1:46">
      <c r="A70" t="s">
        <v>381</v>
      </c>
      <c r="B70" t="s">
        <v>382</v>
      </c>
      <c r="C70" t="s">
        <v>364</v>
      </c>
      <c r="D70" t="s">
        <v>383</v>
      </c>
      <c r="E70" t="s">
        <v>79</v>
      </c>
      <c r="F70" s="4">
        <v>43737</v>
      </c>
      <c r="G70">
        <v>6</v>
      </c>
      <c r="H70" t="s">
        <v>366</v>
      </c>
      <c r="I70" t="s">
        <v>367</v>
      </c>
      <c r="J70" s="4" t="s">
        <v>70</v>
      </c>
      <c r="K70" s="4" t="s">
        <v>71</v>
      </c>
      <c r="L70" t="s">
        <v>384</v>
      </c>
      <c r="M70" t="s">
        <v>362</v>
      </c>
      <c r="N70" t="s">
        <v>363</v>
      </c>
      <c r="O70">
        <f>IFERROR(VLOOKUP(HEVARIM[[#This Row],[קוד תקציב]],[2]תקציבים!A:L,6,0),0)</f>
        <v>2</v>
      </c>
      <c r="P70" s="5" t="s">
        <v>227</v>
      </c>
      <c r="Q70" t="s">
        <v>14</v>
      </c>
      <c r="R70" s="4">
        <v>43737</v>
      </c>
      <c r="S70" s="4" t="s">
        <v>90</v>
      </c>
      <c r="T70" s="96" t="s">
        <v>366</v>
      </c>
      <c r="U70" t="str">
        <f>VLOOKUP(HEVARIM[[#This Row],[גיל]],GIL,2,1)</f>
        <v>יסודי</v>
      </c>
      <c r="V70">
        <f>IF(HEVARIM[[#This Row],[קוד מעמד]]="4     ",IF(HEVARIM[[#This Row],[גיל]]=1,1,IF(HEVARIM[[#This Row],[גיל]]&lt;=5,5,18)),"")</f>
        <v>18</v>
      </c>
      <c r="W70">
        <f t="shared" ref="W70:W133" si="4">IF(G70&lt;67,0,
 IF(O70=1,
   IF(G70&gt;=80,1896-231,1795-231),
 IF(O70=2,
   IF(G70&gt;=80,2899-332,2697-332),
 0))
)</f>
        <v>0</v>
      </c>
      <c r="X7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0">
        <f>IF(HEVARIM[[#This Row],[מצב משפחתי2]]="אלמן",'[2]ריכוז נתונים'!$AC$2,0)</f>
        <v>0</v>
      </c>
      <c r="Z70" s="3">
        <f>VLOOKUP(VALUE(HEVARIM[[#This Row],[קוד מעמד]]),הנחות!$I$2:$K$21,3,0)</f>
        <v>1</v>
      </c>
      <c r="AA70" t="b">
        <f>ISERROR(VLOOKUP(HEVARIM[[#This Row],[קוד תקציב]],'[2]ריכוז נתונים'!A:A,1,0))</f>
        <v>0</v>
      </c>
      <c r="AB70" s="1">
        <f t="shared" ref="AB70:AB133" si="5">IF(AND($G70&gt;=AC$2,$G70&lt;=AC$3,$E70="ז ",$Z70=1),AC$4*(($G70-AC$2)/(AC$3-AC$2)),0)</f>
        <v>0</v>
      </c>
      <c r="AC70" s="2">
        <f ca="1">IF(HEVARIM[[#This Row],[בר מצוה]]&gt;0,YEAR(TODAY())+'תקציבים מיוחדים'!$F$5-HEVARIM[[#This Row],[גיל]],0)</f>
        <v>0</v>
      </c>
      <c r="AD70" s="1">
        <f t="shared" ref="AD70:AD133" si="6">IF(AND($G70&gt;=AE$2,$G70&lt;=AE$3,$E70="נ ",$Z70=1),AE$4*(($G70-AE$2)/(AE$3-AE$2)),0)</f>
        <v>3306.9230769230771</v>
      </c>
      <c r="AE70" s="2">
        <f ca="1">IF(HEVARIM[[#This Row],[בת מצוה]]&gt;0,YEAR(TODAY())+'תקציבים מיוחדים'!$F$5-HEVARIM[[#This Row],[גיל]],0)</f>
        <v>2033</v>
      </c>
      <c r="AF70" s="1">
        <f>IF(AND($S70&gt;="רווק",$Z70=1),AF$4*IF(HEVARIM[[#This Row],[גיל]]&gt;$AF$3,1,(($G70-AF$2)/(AF$3-AF$2))),0)</f>
        <v>17289.285714285714</v>
      </c>
      <c r="AG70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70" s="1">
        <f t="shared" ref="AH70:AH133" si="7">IF(AND($G70&gt;=AI$2,$G70&lt;=AI$3,$Z70=1),AI$4*(($G70-AI$2)/(AI$3-AI$2)),0)</f>
        <v>30168.142857142855</v>
      </c>
      <c r="AI70" s="2">
        <f ca="1">IF(AH70&gt;0,YEAR(TODAY())+'תקציבים מיוחדים'!$F$7-HEVARIM[[#This Row],[גיל]],0)</f>
        <v>2041</v>
      </c>
      <c r="AJ70" s="9">
        <f>IF(AND(ISERROR(VLOOKUP(H70,'[2]ריכוז נתונים'!A:L,1,0)),P70="1     "),1,0)</f>
        <v>0</v>
      </c>
      <c r="AK7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70" s="1">
        <f>IF(AND(VALUE(HEVARIM[[#This Row],[קוד מעמד]])=1,HEVARIM[[#This Row],[ותק מחברה 40]]&lt;25),HEVARIM[[#This Row],[ותק מחברה 40]]/25*הנחות!$C$4,0)</f>
        <v>0</v>
      </c>
      <c r="AM70" s="9" t="str">
        <f ca="1">IF(HEVARIM[[#This Row],[דמי עזיבה 25 שנות ותק]]&gt;0,YEAR(TODAY())+25-ROUNDDOWN(HEVARIM[[#This Row],[ותק מחברה 40]],0),"")</f>
        <v/>
      </c>
      <c r="AN7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" s="9" t="str">
        <f ca="1">IF(HEVARIM[[#This Row],[דמי עזיבה לגיל 65]]&gt;0,YEAR(TODAY())+64-ROUNDDOWN(HEVARIM[[#This Row],[גיל]],0),"")</f>
        <v/>
      </c>
      <c r="AP70" s="1">
        <f>SUMIF(HEVARIM[קוד תקציב],HEVARIM[[#This Row],[קוד תקציב משפחה מקורי]],HEVARIM[ותק מחברה 40])</f>
        <v>17.68</v>
      </c>
      <c r="AQ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70" s="9">
        <f>IF(HEVARIM[[#This Row],[קוד מעמד]]="1     ",IFERROR(VLOOKUP(HEVARIM[[#This Row],[קוד תקציב]],'תקציב צביעה - לקראת השינוי'!A:F,4,0),0),0)</f>
        <v>0</v>
      </c>
      <c r="AT70" s="1"/>
    </row>
    <row r="71" spans="1:46">
      <c r="A71" t="s">
        <v>396</v>
      </c>
      <c r="B71" t="s">
        <v>397</v>
      </c>
      <c r="C71" t="s">
        <v>398</v>
      </c>
      <c r="D71" t="s">
        <v>399</v>
      </c>
      <c r="E71" t="s">
        <v>79</v>
      </c>
      <c r="F71" s="4">
        <v>36418</v>
      </c>
      <c r="G71">
        <v>26</v>
      </c>
      <c r="H71" t="s">
        <v>393</v>
      </c>
      <c r="I71" t="s">
        <v>394</v>
      </c>
      <c r="J71" s="4" t="s">
        <v>70</v>
      </c>
      <c r="K71" s="4" t="s">
        <v>81</v>
      </c>
      <c r="L71" t="s">
        <v>400</v>
      </c>
      <c r="M71" t="s">
        <v>390</v>
      </c>
      <c r="N71" t="s">
        <v>391</v>
      </c>
      <c r="O71">
        <f>IFERROR(VLOOKUP(HEVARIM[[#This Row],[קוד תקציב]],[2]תקציבים!A:L,6,0),0)</f>
        <v>0</v>
      </c>
      <c r="P71" s="5" t="s">
        <v>83</v>
      </c>
      <c r="Q71" t="s">
        <v>15</v>
      </c>
      <c r="R71" s="4">
        <v>45172</v>
      </c>
      <c r="S71" s="4" t="s">
        <v>74</v>
      </c>
      <c r="T71" s="96" t="s">
        <v>393</v>
      </c>
      <c r="U71" t="str">
        <f>VLOOKUP(HEVARIM[[#This Row],[גיל]],GIL,2,1)</f>
        <v>--</v>
      </c>
      <c r="V71" t="str">
        <f>IF(HEVARIM[[#This Row],[קוד מעמד]]="4     ",IF(HEVARIM[[#This Row],[גיל]]=1,1,IF(HEVARIM[[#This Row],[גיל]]&lt;=5,5,18)),"")</f>
        <v/>
      </c>
      <c r="W71">
        <f t="shared" si="4"/>
        <v>0</v>
      </c>
      <c r="X7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1">
        <f>IF(HEVARIM[[#This Row],[מצב משפחתי2]]="אלמן",'[2]ריכוז נתונים'!$AC$2,0)</f>
        <v>0</v>
      </c>
      <c r="Z71" s="3">
        <f>VLOOKUP(VALUE(HEVARIM[[#This Row],[קוד מעמד]]),הנחות!$I$2:$K$21,3,0)</f>
        <v>0</v>
      </c>
      <c r="AA71" t="b">
        <f>ISERROR(VLOOKUP(HEVARIM[[#This Row],[קוד תקציב]],'[2]ריכוז נתונים'!A:A,1,0))</f>
        <v>1</v>
      </c>
      <c r="AB71" s="1">
        <f t="shared" si="5"/>
        <v>0</v>
      </c>
      <c r="AC71" s="2">
        <f ca="1">IF(HEVARIM[[#This Row],[בר מצוה]]&gt;0,YEAR(TODAY())+'תקציבים מיוחדים'!$F$5-HEVARIM[[#This Row],[גיל]],0)</f>
        <v>0</v>
      </c>
      <c r="AD71" s="1">
        <f t="shared" si="6"/>
        <v>0</v>
      </c>
      <c r="AE71" s="2">
        <f ca="1">IF(HEVARIM[[#This Row],[בת מצוה]]&gt;0,YEAR(TODAY())+'תקציבים מיוחדים'!$F$5-HEVARIM[[#This Row],[גיל]],0)</f>
        <v>0</v>
      </c>
      <c r="AF71" s="1">
        <f>IF(AND($S71&gt;="רווק",$Z71=1),AF$4*IF(HEVARIM[[#This Row],[גיל]]&gt;$AF$3,1,(($G71-AF$2)/(AF$3-AF$2))),0)</f>
        <v>0</v>
      </c>
      <c r="AG7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1" s="1">
        <f t="shared" si="7"/>
        <v>0</v>
      </c>
      <c r="AI71" s="2">
        <f ca="1">IF(AH71&gt;0,YEAR(TODAY())+'תקציבים מיוחדים'!$F$7-HEVARIM[[#This Row],[גיל]],0)</f>
        <v>0</v>
      </c>
      <c r="AJ71" s="9">
        <f>IF(AND(ISERROR(VLOOKUP(H71,'[2]ריכוז נתונים'!A:L,1,0)),P71="1     "),1,0)</f>
        <v>0</v>
      </c>
      <c r="AK7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71" s="1">
        <f>IF(AND(VALUE(HEVARIM[[#This Row],[קוד מעמד]])=1,HEVARIM[[#This Row],[ותק מחברה 40]]&lt;25),HEVARIM[[#This Row],[ותק מחברה 40]]/25*הנחות!$C$4,0)</f>
        <v>0</v>
      </c>
      <c r="AM71" s="9" t="str">
        <f ca="1">IF(HEVARIM[[#This Row],[דמי עזיבה 25 שנות ותק]]&gt;0,YEAR(TODAY())+25-ROUNDDOWN(HEVARIM[[#This Row],[ותק מחברה 40]],0),"")</f>
        <v/>
      </c>
      <c r="AN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1" s="9" t="str">
        <f ca="1">IF(HEVARIM[[#This Row],[דמי עזיבה לגיל 65]]&gt;0,YEAR(TODAY())+64-ROUNDDOWN(HEVARIM[[#This Row],[גיל]],0),"")</f>
        <v/>
      </c>
      <c r="AP71" s="1">
        <f>SUMIF(HEVARIM[קוד תקציב],HEVARIM[[#This Row],[קוד תקציב משפחה מקורי]],HEVARIM[ותק מחברה 40])</f>
        <v>0</v>
      </c>
      <c r="AQ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71" s="9">
        <f>IF(HEVARIM[[#This Row],[קוד מעמד]]="1     ",IFERROR(VLOOKUP(HEVARIM[[#This Row],[קוד תקציב]],'תקציב צביעה - לקראת השינוי'!A:F,4,0),0),0)</f>
        <v>0</v>
      </c>
      <c r="AT71" s="1"/>
    </row>
    <row r="72" spans="1:46">
      <c r="A72" t="s">
        <v>410</v>
      </c>
      <c r="B72" t="s">
        <v>411</v>
      </c>
      <c r="C72" t="s">
        <v>412</v>
      </c>
      <c r="D72" t="s">
        <v>413</v>
      </c>
      <c r="E72" t="s">
        <v>67</v>
      </c>
      <c r="F72" s="4">
        <v>28026</v>
      </c>
      <c r="G72">
        <v>49</v>
      </c>
      <c r="H72" t="s">
        <v>250</v>
      </c>
      <c r="I72" t="s">
        <v>251</v>
      </c>
      <c r="J72" s="4" t="s">
        <v>70</v>
      </c>
      <c r="K72" s="4" t="s">
        <v>71</v>
      </c>
      <c r="L72" t="s">
        <v>414</v>
      </c>
      <c r="M72" t="s">
        <v>253</v>
      </c>
      <c r="N72" t="s">
        <v>254</v>
      </c>
      <c r="O72">
        <f>IFERROR(VLOOKUP(HEVARIM[[#This Row],[קוד תקציב]],[2]תקציבים!A:L,6,0),0)</f>
        <v>1</v>
      </c>
      <c r="P72" s="5" t="s">
        <v>83</v>
      </c>
      <c r="Q72" t="s">
        <v>15</v>
      </c>
      <c r="R72" s="4">
        <v>45617</v>
      </c>
      <c r="S72" s="4" t="s">
        <v>415</v>
      </c>
      <c r="T72" s="96" t="s">
        <v>250</v>
      </c>
      <c r="U72" t="str">
        <f>VLOOKUP(HEVARIM[[#This Row],[גיל]],GIL,2,1)</f>
        <v>--</v>
      </c>
      <c r="V72" t="str">
        <f>IF(HEVARIM[[#This Row],[קוד מעמד]]="4     ",IF(HEVARIM[[#This Row],[גיל]]=1,1,IF(HEVARIM[[#This Row],[גיל]]&lt;=5,5,18)),"")</f>
        <v/>
      </c>
      <c r="W72">
        <f t="shared" si="4"/>
        <v>0</v>
      </c>
      <c r="X7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2">
        <f>IF(HEVARIM[[#This Row],[מצב משפחתי2]]="אלמן",'[2]ריכוז נתונים'!$AC$2,0)</f>
        <v>0</v>
      </c>
      <c r="Z72" s="3">
        <f>VLOOKUP(VALUE(HEVARIM[[#This Row],[קוד מעמד]]),הנחות!$I$2:$K$21,3,0)</f>
        <v>0</v>
      </c>
      <c r="AA72" t="b">
        <f>ISERROR(VLOOKUP(HEVARIM[[#This Row],[קוד תקציב]],'[2]ריכוז נתונים'!A:A,1,0))</f>
        <v>0</v>
      </c>
      <c r="AB72" s="1">
        <f t="shared" si="5"/>
        <v>0</v>
      </c>
      <c r="AC72" s="2">
        <f ca="1">IF(HEVARIM[[#This Row],[בר מצוה]]&gt;0,YEAR(TODAY())+'תקציבים מיוחדים'!$F$5-HEVARIM[[#This Row],[גיל]],0)</f>
        <v>0</v>
      </c>
      <c r="AD72" s="1">
        <f t="shared" si="6"/>
        <v>0</v>
      </c>
      <c r="AE72" s="2">
        <f ca="1">IF(HEVARIM[[#This Row],[בת מצוה]]&gt;0,YEAR(TODAY())+'תקציבים מיוחדים'!$F$5-HEVARIM[[#This Row],[גיל]],0)</f>
        <v>0</v>
      </c>
      <c r="AF72" s="1">
        <f>IF(AND($S72&gt;="רווק",$Z72=1),AF$4*IF(HEVARIM[[#This Row],[גיל]]&gt;$AF$3,1,(($G72-AF$2)/(AF$3-AF$2))),0)</f>
        <v>0</v>
      </c>
      <c r="AG7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2" s="1">
        <f t="shared" si="7"/>
        <v>0</v>
      </c>
      <c r="AI72" s="2">
        <f ca="1">IF(AH72&gt;0,YEAR(TODAY())+'תקציבים מיוחדים'!$F$7-HEVARIM[[#This Row],[גיל]],0)</f>
        <v>0</v>
      </c>
      <c r="AJ72" s="9">
        <f>IF(AND(ISERROR(VLOOKUP(H72,'[2]ריכוז נתונים'!A:L,1,0)),P72="1     "),1,0)</f>
        <v>0</v>
      </c>
      <c r="AK7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72" s="1">
        <f>IF(AND(VALUE(HEVARIM[[#This Row],[קוד מעמד]])=1,HEVARIM[[#This Row],[ותק מחברה 40]]&lt;25),HEVARIM[[#This Row],[ותק מחברה 40]]/25*הנחות!$C$4,0)</f>
        <v>0</v>
      </c>
      <c r="AM72" s="9" t="str">
        <f ca="1">IF(HEVARIM[[#This Row],[דמי עזיבה 25 שנות ותק]]&gt;0,YEAR(TODAY())+25-ROUNDDOWN(HEVARIM[[#This Row],[ותק מחברה 40]],0),"")</f>
        <v/>
      </c>
      <c r="AN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2" s="9" t="str">
        <f ca="1">IF(HEVARIM[[#This Row],[דמי עזיבה לגיל 65]]&gt;0,YEAR(TODAY())+64-ROUNDDOWN(HEVARIM[[#This Row],[גיל]],0),"")</f>
        <v/>
      </c>
      <c r="AP72" s="1">
        <f>SUMIF(HEVARIM[קוד תקציב],HEVARIM[[#This Row],[קוד תקציב משפחה מקורי]],HEVARIM[ותק מחברה 40])</f>
        <v>18.18</v>
      </c>
      <c r="AQ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72" s="9">
        <f>IF(HEVARIM[[#This Row],[קוד מעמד]]="1     ",IFERROR(VLOOKUP(HEVARIM[[#This Row],[קוד תקציב]],'תקציב צביעה - לקראת השינוי'!A:F,4,0),0),0)</f>
        <v>0</v>
      </c>
      <c r="AT72" s="1"/>
    </row>
    <row r="73" spans="1:46">
      <c r="A73" t="s">
        <v>253</v>
      </c>
      <c r="B73" t="s">
        <v>254</v>
      </c>
      <c r="C73" t="s">
        <v>416</v>
      </c>
      <c r="D73" t="s">
        <v>417</v>
      </c>
      <c r="E73" t="s">
        <v>79</v>
      </c>
      <c r="F73" s="4">
        <v>31177</v>
      </c>
      <c r="G73">
        <v>40</v>
      </c>
      <c r="H73" t="s">
        <v>250</v>
      </c>
      <c r="I73" t="s">
        <v>251</v>
      </c>
      <c r="J73" s="4" t="s">
        <v>70</v>
      </c>
      <c r="K73" s="4" t="s">
        <v>71</v>
      </c>
      <c r="L73" t="s">
        <v>418</v>
      </c>
      <c r="M73" t="s">
        <v>253</v>
      </c>
      <c r="N73" t="s">
        <v>254</v>
      </c>
      <c r="O73">
        <f>IFERROR(VLOOKUP(HEVARIM[[#This Row],[קוד תקציב]],[2]תקציבים!A:L,6,0),0)</f>
        <v>1</v>
      </c>
      <c r="P73" s="5" t="s">
        <v>104</v>
      </c>
      <c r="Q73" t="s">
        <v>11</v>
      </c>
      <c r="R73" s="4">
        <v>39814</v>
      </c>
      <c r="S73" s="4" t="s">
        <v>74</v>
      </c>
      <c r="T73" s="96" t="s">
        <v>250</v>
      </c>
      <c r="U73" t="str">
        <f>VLOOKUP(HEVARIM[[#This Row],[גיל]],GIL,2,1)</f>
        <v>--</v>
      </c>
      <c r="V73" t="str">
        <f>IF(HEVARIM[[#This Row],[קוד מעמד]]="4     ",IF(HEVARIM[[#This Row],[גיל]]=1,1,IF(HEVARIM[[#This Row],[גיל]]&lt;=5,5,18)),"")</f>
        <v/>
      </c>
      <c r="W73">
        <f t="shared" si="4"/>
        <v>0</v>
      </c>
      <c r="X7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3">
        <f>IF(HEVARIM[[#This Row],[מצב משפחתי2]]="אלמן",'[2]ריכוז נתונים'!$AC$2,0)</f>
        <v>0</v>
      </c>
      <c r="Z73" s="3">
        <f>VLOOKUP(VALUE(HEVARIM[[#This Row],[קוד מעמד]]),הנחות!$I$2:$K$21,3,0)</f>
        <v>0</v>
      </c>
      <c r="AA73" t="b">
        <f>ISERROR(VLOOKUP(HEVARIM[[#This Row],[קוד תקציב]],'[2]ריכוז נתונים'!A:A,1,0))</f>
        <v>0</v>
      </c>
      <c r="AB73" s="1">
        <f t="shared" si="5"/>
        <v>0</v>
      </c>
      <c r="AC73" s="2">
        <f ca="1">IF(HEVARIM[[#This Row],[בר מצוה]]&gt;0,YEAR(TODAY())+'תקציבים מיוחדים'!$F$5-HEVARIM[[#This Row],[גיל]],0)</f>
        <v>0</v>
      </c>
      <c r="AD73" s="1">
        <f t="shared" si="6"/>
        <v>0</v>
      </c>
      <c r="AE73" s="2">
        <f ca="1">IF(HEVARIM[[#This Row],[בת מצוה]]&gt;0,YEAR(TODAY())+'תקציבים מיוחדים'!$F$5-HEVARIM[[#This Row],[גיל]],0)</f>
        <v>0</v>
      </c>
      <c r="AF73" s="1">
        <f>IF(AND($S73&gt;="רווק",$Z73=1),AF$4*IF(HEVARIM[[#This Row],[גיל]]&gt;$AF$3,1,(($G73-AF$2)/(AF$3-AF$2))),0)</f>
        <v>0</v>
      </c>
      <c r="AG7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3" s="1">
        <f t="shared" si="7"/>
        <v>0</v>
      </c>
      <c r="AI73" s="2">
        <f ca="1">IF(AH73&gt;0,YEAR(TODAY())+'תקציבים מיוחדים'!$F$7-HEVARIM[[#This Row],[גיל]],0)</f>
        <v>0</v>
      </c>
      <c r="AJ73" s="9">
        <f>IF(AND(ISERROR(VLOOKUP(H73,'[2]ריכוז נתונים'!A:L,1,0)),P73="1     "),1,0)</f>
        <v>0</v>
      </c>
      <c r="AK73" s="1">
        <f>IF(VALUE(HEVARIM[[#This Row],[קוד מעמד]])=1,VLOOKUP((IF(LEFT(HEVARIM[[#This Row],[קוד חבר]],1)="0",HEVARIM[[#This Row],[קוד חבר]],VALUE(HEVARIM[[#This Row],[קוד חבר]]))),'ותק חברה 40'!AQ:AW,7,0),"")</f>
        <v>18.18</v>
      </c>
      <c r="AL73" s="1">
        <f>IF(AND(VALUE(HEVARIM[[#This Row],[קוד מעמד]])=1,HEVARIM[[#This Row],[ותק מחברה 40]]&lt;25),HEVARIM[[#This Row],[ותק מחברה 40]]/25*הנחות!$C$4,0)</f>
        <v>27295.170209999997</v>
      </c>
      <c r="AM73" s="9">
        <f ca="1">IF(HEVARIM[[#This Row],[דמי עזיבה 25 שנות ותק]]&gt;0,YEAR(TODAY())+25-ROUNDDOWN(HEVARIM[[#This Row],[ותק מחברה 40]],0),"")</f>
        <v>2033</v>
      </c>
      <c r="AN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3" s="9" t="str">
        <f ca="1">IF(HEVARIM[[#This Row],[דמי עזיבה לגיל 65]]&gt;0,YEAR(TODAY())+64-ROUNDDOWN(HEVARIM[[#This Row],[גיל]],0),"")</f>
        <v/>
      </c>
      <c r="AP73" s="1">
        <f>SUMIF(HEVARIM[קוד תקציב],HEVARIM[[#This Row],[קוד תקציב משפחה מקורי]],HEVARIM[ותק מחברה 40])</f>
        <v>18.18</v>
      </c>
      <c r="AQ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73" s="9">
        <f>IF(HEVARIM[[#This Row],[קוד מעמד]]="1     ",IFERROR(VLOOKUP(HEVARIM[[#This Row],[קוד תקציב]],'תקציב צביעה - לקראת השינוי'!A:F,4,0),0),0)</f>
        <v>0</v>
      </c>
      <c r="AT73" s="1"/>
    </row>
    <row r="74" spans="1:46">
      <c r="A74" t="s">
        <v>247</v>
      </c>
      <c r="B74" t="s">
        <v>248</v>
      </c>
      <c r="C74" t="s">
        <v>242</v>
      </c>
      <c r="D74" t="s">
        <v>249</v>
      </c>
      <c r="E74" t="s">
        <v>67</v>
      </c>
      <c r="F74" s="4">
        <v>41452</v>
      </c>
      <c r="G74">
        <v>12</v>
      </c>
      <c r="H74" t="s">
        <v>250</v>
      </c>
      <c r="I74" t="s">
        <v>251</v>
      </c>
      <c r="J74" s="4" t="s">
        <v>70</v>
      </c>
      <c r="K74" s="4" t="s">
        <v>71</v>
      </c>
      <c r="L74" t="s">
        <v>252</v>
      </c>
      <c r="M74" t="s">
        <v>253</v>
      </c>
      <c r="N74" t="s">
        <v>254</v>
      </c>
      <c r="O74">
        <f>IFERROR(VLOOKUP(HEVARIM[[#This Row],[קוד תקציב]],[2]תקציבים!A:L,6,0),0)</f>
        <v>1</v>
      </c>
      <c r="P74" s="5" t="s">
        <v>227</v>
      </c>
      <c r="Q74" t="s">
        <v>14</v>
      </c>
      <c r="R74" s="4">
        <v>41452</v>
      </c>
      <c r="S74" s="4" t="s">
        <v>90</v>
      </c>
      <c r="T74" s="96" t="s">
        <v>250</v>
      </c>
      <c r="U74" t="str">
        <f>VLOOKUP(HEVARIM[[#This Row],[גיל]],GIL,2,1)</f>
        <v>יסודי</v>
      </c>
      <c r="V74">
        <f>IF(HEVARIM[[#This Row],[קוד מעמד]]="4     ",IF(HEVARIM[[#This Row],[גיל]]=1,1,IF(HEVARIM[[#This Row],[גיל]]&lt;=5,5,18)),"")</f>
        <v>18</v>
      </c>
      <c r="W74">
        <f t="shared" si="4"/>
        <v>0</v>
      </c>
      <c r="X7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4">
        <f>IF(HEVARIM[[#This Row],[מצב משפחתי2]]="אלמן",'[2]ריכוז נתונים'!$AC$2,0)</f>
        <v>0</v>
      </c>
      <c r="Z74" s="3">
        <f>VLOOKUP(VALUE(HEVARIM[[#This Row],[קוד מעמד]]),הנחות!$I$2:$K$21,3,0)</f>
        <v>1</v>
      </c>
      <c r="AA74" t="b">
        <f>ISERROR(VLOOKUP(HEVARIM[[#This Row],[קוד תקציב]],'[2]ריכוז נתונים'!A:A,1,0))</f>
        <v>0</v>
      </c>
      <c r="AB74" s="1">
        <f t="shared" si="5"/>
        <v>6613.8461538461543</v>
      </c>
      <c r="AC74" s="2">
        <f ca="1">IF(HEVARIM[[#This Row],[בר מצוה]]&gt;0,YEAR(TODAY())+'תקציבים מיוחדים'!$F$5-HEVARIM[[#This Row],[גיל]],0)</f>
        <v>2027</v>
      </c>
      <c r="AD74" s="1">
        <f t="shared" si="6"/>
        <v>0</v>
      </c>
      <c r="AE74" s="2">
        <f ca="1">IF(HEVARIM[[#This Row],[בת מצוה]]&gt;0,YEAR(TODAY())+'תקציבים מיוחדים'!$F$5-HEVARIM[[#This Row],[גיל]],0)</f>
        <v>0</v>
      </c>
      <c r="AF74" s="1">
        <f>IF(AND($S74&gt;="רווק",$Z74=1),AF$4*IF(HEVARIM[[#This Row],[גיל]]&gt;$AF$3,1,(($G74-AF$2)/(AF$3-AF$2))),0)</f>
        <v>34578.571428571428</v>
      </c>
      <c r="AG74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74" s="1">
        <f t="shared" si="7"/>
        <v>60336.28571428571</v>
      </c>
      <c r="AI74" s="2">
        <f ca="1">IF(AH74&gt;0,YEAR(TODAY())+'תקציבים מיוחדים'!$F$7-HEVARIM[[#This Row],[גיל]],0)</f>
        <v>2035</v>
      </c>
      <c r="AJ74" s="9">
        <f>IF(AND(ISERROR(VLOOKUP(H74,'[2]ריכוז נתונים'!A:L,1,0)),P74="1     "),1,0)</f>
        <v>0</v>
      </c>
      <c r="AK7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74" s="1">
        <f>IF(AND(VALUE(HEVARIM[[#This Row],[קוד מעמד]])=1,HEVARIM[[#This Row],[ותק מחברה 40]]&lt;25),HEVARIM[[#This Row],[ותק מחברה 40]]/25*הנחות!$C$4,0)</f>
        <v>0</v>
      </c>
      <c r="AM74" s="9" t="str">
        <f ca="1">IF(HEVARIM[[#This Row],[דמי עזיבה 25 שנות ותק]]&gt;0,YEAR(TODAY())+25-ROUNDDOWN(HEVARIM[[#This Row],[ותק מחברה 40]],0),"")</f>
        <v/>
      </c>
      <c r="AN7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4" s="9" t="str">
        <f ca="1">IF(HEVARIM[[#This Row],[דמי עזיבה לגיל 65]]&gt;0,YEAR(TODAY())+64-ROUNDDOWN(HEVARIM[[#This Row],[גיל]],0),"")</f>
        <v/>
      </c>
      <c r="AP74" s="1">
        <f>SUMIF(HEVARIM[קוד תקציב],HEVARIM[[#This Row],[קוד תקציב משפחה מקורי]],HEVARIM[ותק מחברה 40])</f>
        <v>18.18</v>
      </c>
      <c r="AQ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74" s="9">
        <f>IF(HEVARIM[[#This Row],[קוד מעמד]]="1     ",IFERROR(VLOOKUP(HEVARIM[[#This Row],[קוד תקציב]],'תקציב צביעה - לקראת השינוי'!A:F,4,0),0),0)</f>
        <v>0</v>
      </c>
      <c r="AT74" s="1"/>
    </row>
    <row r="75" spans="1:46">
      <c r="A75" t="s">
        <v>450</v>
      </c>
      <c r="B75" t="s">
        <v>451</v>
      </c>
      <c r="C75" t="s">
        <v>431</v>
      </c>
      <c r="D75" t="s">
        <v>279</v>
      </c>
      <c r="E75" t="s">
        <v>67</v>
      </c>
      <c r="F75" s="4">
        <v>27313</v>
      </c>
      <c r="G75">
        <v>51</v>
      </c>
      <c r="H75" t="s">
        <v>452</v>
      </c>
      <c r="I75" t="s">
        <v>453</v>
      </c>
      <c r="J75" s="4" t="s">
        <v>70</v>
      </c>
      <c r="K75" s="4" t="s">
        <v>454</v>
      </c>
      <c r="L75" t="s">
        <v>455</v>
      </c>
      <c r="M75" t="s">
        <v>450</v>
      </c>
      <c r="N75" t="s">
        <v>451</v>
      </c>
      <c r="O75">
        <f>IFERROR(VLOOKUP(HEVARIM[[#This Row],[קוד תקציב]],[2]תקציבים!A:L,6,0),0)</f>
        <v>2</v>
      </c>
      <c r="P75" s="5" t="s">
        <v>104</v>
      </c>
      <c r="Q75" t="s">
        <v>11</v>
      </c>
      <c r="R75" s="4">
        <v>40806</v>
      </c>
      <c r="S75" s="4" t="s">
        <v>74</v>
      </c>
      <c r="T75" s="96" t="s">
        <v>433</v>
      </c>
      <c r="U75" t="str">
        <f>VLOOKUP(HEVARIM[[#This Row],[גיל]],GIL,2,1)</f>
        <v>--</v>
      </c>
      <c r="V75" t="str">
        <f>IF(HEVARIM[[#This Row],[קוד מעמד]]="4     ",IF(HEVARIM[[#This Row],[גיל]]=1,1,IF(HEVARIM[[#This Row],[גיל]]&lt;=5,5,18)),"")</f>
        <v/>
      </c>
      <c r="W75">
        <f t="shared" si="4"/>
        <v>0</v>
      </c>
      <c r="X7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5">
        <f>IF(HEVARIM[[#This Row],[מצב משפחתי2]]="אלמן",'[2]ריכוז נתונים'!$AC$2,0)</f>
        <v>0</v>
      </c>
      <c r="Z75" s="3">
        <f>VLOOKUP(VALUE(HEVARIM[[#This Row],[קוד מעמד]]),הנחות!$I$2:$K$21,3,0)</f>
        <v>0</v>
      </c>
      <c r="AA75" t="b">
        <f>ISERROR(VLOOKUP(HEVARIM[[#This Row],[קוד תקציב]],'[2]ריכוז נתונים'!A:A,1,0))</f>
        <v>0</v>
      </c>
      <c r="AB75" s="1">
        <f t="shared" si="5"/>
        <v>0</v>
      </c>
      <c r="AC75" s="2">
        <f ca="1">IF(HEVARIM[[#This Row],[בר מצוה]]&gt;0,YEAR(TODAY())+'תקציבים מיוחדים'!$F$5-HEVARIM[[#This Row],[גיל]],0)</f>
        <v>0</v>
      </c>
      <c r="AD75" s="1">
        <f t="shared" si="6"/>
        <v>0</v>
      </c>
      <c r="AE75" s="2">
        <f ca="1">IF(HEVARIM[[#This Row],[בת מצוה]]&gt;0,YEAR(TODAY())+'תקציבים מיוחדים'!$F$5-HEVARIM[[#This Row],[גיל]],0)</f>
        <v>0</v>
      </c>
      <c r="AF75" s="1">
        <f>IF(AND($S75&gt;="רווק",$Z75=1),AF$4*IF(HEVARIM[[#This Row],[גיל]]&gt;$AF$3,1,(($G75-AF$2)/(AF$3-AF$2))),0)</f>
        <v>0</v>
      </c>
      <c r="AG7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5" s="1">
        <f t="shared" si="7"/>
        <v>0</v>
      </c>
      <c r="AI75" s="2">
        <f ca="1">IF(AH75&gt;0,YEAR(TODAY())+'תקציבים מיוחדים'!$F$7-HEVARIM[[#This Row],[גיל]],0)</f>
        <v>0</v>
      </c>
      <c r="AJ75" s="9">
        <f>IF(AND(ISERROR(VLOOKUP(H75,'[2]ריכוז נתונים'!A:L,1,0)),P75="1     "),1,0)</f>
        <v>0</v>
      </c>
      <c r="AK75" s="1">
        <f>IF(VALUE(HEVARIM[[#This Row],[קוד מעמד]])=1,VLOOKUP((IF(LEFT(HEVARIM[[#This Row],[קוד חבר]],1)="0",HEVARIM[[#This Row],[קוד חבר]],VALUE(HEVARIM[[#This Row],[קוד חבר]]))),'ותק חברה 40'!AQ:AW,7,0),"")</f>
        <v>15.68</v>
      </c>
      <c r="AL75" s="1">
        <f>IF(AND(VALUE(HEVARIM[[#This Row],[קוד מעמד]])=1,HEVARIM[[#This Row],[ותק מחברה 40]]&lt;25),HEVARIM[[#This Row],[ותק מחברה 40]]/25*הנחות!$C$4,0)</f>
        <v>23541.708959999996</v>
      </c>
      <c r="AM75" s="9">
        <f ca="1">IF(HEVARIM[[#This Row],[דמי עזיבה 25 שנות ותק]]&gt;0,YEAR(TODAY())+25-ROUNDDOWN(HEVARIM[[#This Row],[ותק מחברה 40]],0),"")</f>
        <v>2036</v>
      </c>
      <c r="AN7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5" s="9" t="str">
        <f ca="1">IF(HEVARIM[[#This Row],[דמי עזיבה לגיל 65]]&gt;0,YEAR(TODAY())+64-ROUNDDOWN(HEVARIM[[#This Row],[גיל]],0),"")</f>
        <v/>
      </c>
      <c r="AP75" s="1">
        <f>SUMIF(HEVARIM[קוד תקציב],HEVARIM[[#This Row],[קוד תקציב משפחה מקורי]],HEVARIM[ותק מחברה 40])</f>
        <v>96</v>
      </c>
      <c r="AQ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75" s="9">
        <f>IF(HEVARIM[[#This Row],[קוד מעמד]]="1     ",IFERROR(VLOOKUP(HEVARIM[[#This Row],[קוד תקציב]],'תקציב צביעה - לקראת השינוי'!A:F,4,0),0),0)</f>
        <v>2032</v>
      </c>
      <c r="AT75" s="1"/>
    </row>
    <row r="76" spans="1:46">
      <c r="A76" t="s">
        <v>429</v>
      </c>
      <c r="B76" t="s">
        <v>430</v>
      </c>
      <c r="C76" t="s">
        <v>431</v>
      </c>
      <c r="D76" t="s">
        <v>432</v>
      </c>
      <c r="E76" t="s">
        <v>67</v>
      </c>
      <c r="F76" s="4">
        <v>18714</v>
      </c>
      <c r="G76">
        <v>74</v>
      </c>
      <c r="H76" t="s">
        <v>433</v>
      </c>
      <c r="I76" t="s">
        <v>434</v>
      </c>
      <c r="J76" s="4" t="s">
        <v>70</v>
      </c>
      <c r="K76" s="4" t="s">
        <v>71</v>
      </c>
      <c r="L76" t="s">
        <v>435</v>
      </c>
      <c r="M76" t="s">
        <v>429</v>
      </c>
      <c r="N76" t="s">
        <v>430</v>
      </c>
      <c r="O76">
        <f>IFERROR(VLOOKUP(HEVARIM[[#This Row],[קוד תקציב]],[2]תקציבים!A:L,6,0),0)</f>
        <v>2</v>
      </c>
      <c r="P76" s="5" t="s">
        <v>104</v>
      </c>
      <c r="Q76" t="s">
        <v>11</v>
      </c>
      <c r="R76" s="4">
        <v>25568</v>
      </c>
      <c r="S76" s="4" t="s">
        <v>74</v>
      </c>
      <c r="T76" s="96" t="s">
        <v>433</v>
      </c>
      <c r="U76" t="str">
        <f>VLOOKUP(HEVARIM[[#This Row],[גיל]],GIL,2,1)</f>
        <v>--</v>
      </c>
      <c r="V76" t="str">
        <f>IF(HEVARIM[[#This Row],[קוד מעמד]]="4     ",IF(HEVARIM[[#This Row],[גיל]]=1,1,IF(HEVARIM[[#This Row],[גיל]]&lt;=5,5,18)),"")</f>
        <v/>
      </c>
      <c r="W76">
        <f t="shared" si="4"/>
        <v>2365</v>
      </c>
      <c r="X7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6">
        <f>IF(HEVARIM[[#This Row],[מצב משפחתי2]]="אלמן",'[2]ריכוז נתונים'!$AC$2,0)</f>
        <v>0</v>
      </c>
      <c r="Z76" s="3">
        <f>VLOOKUP(VALUE(HEVARIM[[#This Row],[קוד מעמד]]),הנחות!$I$2:$K$21,3,0)</f>
        <v>0</v>
      </c>
      <c r="AA76" t="b">
        <f>ISERROR(VLOOKUP(HEVARIM[[#This Row],[קוד תקציב]],'[2]ריכוז נתונים'!A:A,1,0))</f>
        <v>0</v>
      </c>
      <c r="AB76" s="1">
        <f t="shared" si="5"/>
        <v>0</v>
      </c>
      <c r="AC76" s="2">
        <f ca="1">IF(HEVARIM[[#This Row],[בר מצוה]]&gt;0,YEAR(TODAY())+'תקציבים מיוחדים'!$F$5-HEVARIM[[#This Row],[גיל]],0)</f>
        <v>0</v>
      </c>
      <c r="AD76" s="1">
        <f t="shared" si="6"/>
        <v>0</v>
      </c>
      <c r="AE76" s="2">
        <f ca="1">IF(HEVARIM[[#This Row],[בת מצוה]]&gt;0,YEAR(TODAY())+'תקציבים מיוחדים'!$F$5-HEVARIM[[#This Row],[גיל]],0)</f>
        <v>0</v>
      </c>
      <c r="AF76" s="1">
        <f>IF(AND($S76&gt;="רווק",$Z76=1),AF$4*IF(HEVARIM[[#This Row],[גיל]]&gt;$AF$3,1,(($G76-AF$2)/(AF$3-AF$2))),0)</f>
        <v>0</v>
      </c>
      <c r="AG7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6" s="1">
        <f t="shared" si="7"/>
        <v>0</v>
      </c>
      <c r="AI76" s="2">
        <f ca="1">IF(AH76&gt;0,YEAR(TODAY())+'תקציבים מיוחדים'!$F$7-HEVARIM[[#This Row],[גיל]],0)</f>
        <v>0</v>
      </c>
      <c r="AJ76" s="9">
        <f>IF(AND(ISERROR(VLOOKUP(H76,'[2]ריכוז נתונים'!A:L,1,0)),P76="1     "),1,0)</f>
        <v>0</v>
      </c>
      <c r="AK76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6" s="1">
        <f>IF(AND(VALUE(HEVARIM[[#This Row],[קוד מעמד]])=1,HEVARIM[[#This Row],[ותק מחברה 40]]&lt;25),HEVARIM[[#This Row],[ותק מחברה 40]]/25*הנחות!$C$4,0)</f>
        <v>0</v>
      </c>
      <c r="AM76" s="9" t="str">
        <f ca="1">IF(HEVARIM[[#This Row],[דמי עזיבה 25 שנות ותק]]&gt;0,YEAR(TODAY())+25-ROUNDDOWN(HEVARIM[[#This Row],[ותק מחברה 40]],0),"")</f>
        <v/>
      </c>
      <c r="AN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6" s="9" t="str">
        <f ca="1">IF(HEVARIM[[#This Row],[דמי עזיבה לגיל 65]]&gt;0,YEAR(TODAY())+64-ROUNDDOWN(HEVARIM[[#This Row],[גיל]],0),"")</f>
        <v/>
      </c>
      <c r="AP76" s="1">
        <f>SUMIF(HEVARIM[קוד תקציב],HEVARIM[[#This Row],[קוד תקציב משפחה מקורי]],HEVARIM[ותק מחברה 40])</f>
        <v>96</v>
      </c>
      <c r="AQ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76" s="9">
        <f>IF(HEVARIM[[#This Row],[קוד מעמד]]="1     ",IFERROR(VLOOKUP(HEVARIM[[#This Row],[קוד תקציב]],'תקציב צביעה - לקראת השינוי'!A:F,4,0),0),0)</f>
        <v>2033</v>
      </c>
      <c r="AT76" s="1"/>
    </row>
    <row r="77" spans="1:46">
      <c r="A77" t="s">
        <v>436</v>
      </c>
      <c r="B77" t="s">
        <v>437</v>
      </c>
      <c r="C77" t="s">
        <v>431</v>
      </c>
      <c r="D77" t="s">
        <v>438</v>
      </c>
      <c r="E77" t="s">
        <v>79</v>
      </c>
      <c r="F77" s="4">
        <v>18987</v>
      </c>
      <c r="G77">
        <v>74</v>
      </c>
      <c r="H77" t="s">
        <v>433</v>
      </c>
      <c r="I77" t="s">
        <v>434</v>
      </c>
      <c r="J77" s="4" t="s">
        <v>70</v>
      </c>
      <c r="K77" s="4" t="s">
        <v>71</v>
      </c>
      <c r="L77" t="s">
        <v>439</v>
      </c>
      <c r="M77" t="s">
        <v>429</v>
      </c>
      <c r="N77" t="s">
        <v>430</v>
      </c>
      <c r="O77">
        <f>IFERROR(VLOOKUP(HEVARIM[[#This Row],[קוד תקציב]],[2]תקציבים!A:L,6,0),0)</f>
        <v>2</v>
      </c>
      <c r="P77" s="5" t="s">
        <v>104</v>
      </c>
      <c r="Q77" t="s">
        <v>11</v>
      </c>
      <c r="R77" s="4">
        <v>27029</v>
      </c>
      <c r="S77" s="4" t="s">
        <v>74</v>
      </c>
      <c r="T77" s="96" t="s">
        <v>433</v>
      </c>
      <c r="U77" t="str">
        <f>VLOOKUP(HEVARIM[[#This Row],[גיל]],GIL,2,1)</f>
        <v>--</v>
      </c>
      <c r="V77" t="str">
        <f>IF(HEVARIM[[#This Row],[קוד מעמד]]="4     ",IF(HEVARIM[[#This Row],[גיל]]=1,1,IF(HEVARIM[[#This Row],[גיל]]&lt;=5,5,18)),"")</f>
        <v/>
      </c>
      <c r="W77">
        <f t="shared" si="4"/>
        <v>2365</v>
      </c>
      <c r="X7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7">
        <f>IF(HEVARIM[[#This Row],[מצב משפחתי2]]="אלמן",'[2]ריכוז נתונים'!$AC$2,0)</f>
        <v>0</v>
      </c>
      <c r="Z77" s="3">
        <f>VLOOKUP(VALUE(HEVARIM[[#This Row],[קוד מעמד]]),הנחות!$I$2:$K$21,3,0)</f>
        <v>0</v>
      </c>
      <c r="AA77" t="b">
        <f>ISERROR(VLOOKUP(HEVARIM[[#This Row],[קוד תקציב]],'[2]ריכוז נתונים'!A:A,1,0))</f>
        <v>0</v>
      </c>
      <c r="AB77" s="1">
        <f t="shared" si="5"/>
        <v>0</v>
      </c>
      <c r="AC77" s="2">
        <f ca="1">IF(HEVARIM[[#This Row],[בר מצוה]]&gt;0,YEAR(TODAY())+'תקציבים מיוחדים'!$F$5-HEVARIM[[#This Row],[גיל]],0)</f>
        <v>0</v>
      </c>
      <c r="AD77" s="1">
        <f t="shared" si="6"/>
        <v>0</v>
      </c>
      <c r="AE77" s="2">
        <f ca="1">IF(HEVARIM[[#This Row],[בת מצוה]]&gt;0,YEAR(TODAY())+'תקציבים מיוחדים'!$F$5-HEVARIM[[#This Row],[גיל]],0)</f>
        <v>0</v>
      </c>
      <c r="AF77" s="1">
        <f>IF(AND($S77&gt;="רווק",$Z77=1),AF$4*IF(HEVARIM[[#This Row],[גיל]]&gt;$AF$3,1,(($G77-AF$2)/(AF$3-AF$2))),0)</f>
        <v>0</v>
      </c>
      <c r="AG7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7" s="1">
        <f t="shared" si="7"/>
        <v>0</v>
      </c>
      <c r="AI77" s="2">
        <f ca="1">IF(AH77&gt;0,YEAR(TODAY())+'תקציבים מיוחדים'!$F$7-HEVARIM[[#This Row],[גיל]],0)</f>
        <v>0</v>
      </c>
      <c r="AJ77" s="9">
        <f>IF(AND(ISERROR(VLOOKUP(H77,'[2]ריכוז נתונים'!A:L,1,0)),P77="1     "),1,0)</f>
        <v>0</v>
      </c>
      <c r="AK7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7" s="1">
        <f>IF(AND(VALUE(HEVARIM[[#This Row],[קוד מעמד]])=1,HEVARIM[[#This Row],[ותק מחברה 40]]&lt;25),HEVARIM[[#This Row],[ותק מחברה 40]]/25*הנחות!$C$4,0)</f>
        <v>0</v>
      </c>
      <c r="AM77" s="9" t="str">
        <f ca="1">IF(HEVARIM[[#This Row],[דמי עזיבה 25 שנות ותק]]&gt;0,YEAR(TODAY())+25-ROUNDDOWN(HEVARIM[[#This Row],[ותק מחברה 40]],0),"")</f>
        <v/>
      </c>
      <c r="AN7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7" s="9" t="str">
        <f ca="1">IF(HEVARIM[[#This Row],[דמי עזיבה לגיל 65]]&gt;0,YEAR(TODAY())+64-ROUNDDOWN(HEVARIM[[#This Row],[גיל]],0),"")</f>
        <v/>
      </c>
      <c r="AP77" s="1">
        <f>SUMIF(HEVARIM[קוד תקציב],HEVARIM[[#This Row],[קוד תקציב משפחה מקורי]],HEVARIM[ותק מחברה 40])</f>
        <v>96</v>
      </c>
      <c r="AQ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77" s="9">
        <f>IF(HEVARIM[[#This Row],[קוד מעמד]]="1     ",IFERROR(VLOOKUP(HEVARIM[[#This Row],[קוד תקציב]],'תקציב צביעה - לקראת השינוי'!A:F,4,0),0),0)</f>
        <v>2033</v>
      </c>
      <c r="AT77" s="1"/>
    </row>
    <row r="78" spans="1:46">
      <c r="A78" t="s">
        <v>572</v>
      </c>
      <c r="B78" t="s">
        <v>573</v>
      </c>
      <c r="C78" t="s">
        <v>431</v>
      </c>
      <c r="D78" t="s">
        <v>574</v>
      </c>
      <c r="E78" t="s">
        <v>67</v>
      </c>
      <c r="F78" s="4">
        <v>29312</v>
      </c>
      <c r="G78">
        <v>45</v>
      </c>
      <c r="H78" t="s">
        <v>575</v>
      </c>
      <c r="I78" t="s">
        <v>576</v>
      </c>
      <c r="J78" s="4" t="s">
        <v>70</v>
      </c>
      <c r="K78" s="4" t="s">
        <v>71</v>
      </c>
      <c r="L78" t="s">
        <v>577</v>
      </c>
      <c r="M78" t="s">
        <v>572</v>
      </c>
      <c r="N78" t="s">
        <v>573</v>
      </c>
      <c r="O78">
        <f>IFERROR(VLOOKUP(HEVARIM[[#This Row],[קוד תקציב]],[2]תקציבים!A:L,6,0),0)</f>
        <v>2</v>
      </c>
      <c r="P78" s="5" t="s">
        <v>104</v>
      </c>
      <c r="Q78" t="s">
        <v>11</v>
      </c>
      <c r="R78" s="4">
        <v>42199</v>
      </c>
      <c r="S78" s="4" t="s">
        <v>74</v>
      </c>
      <c r="T78" s="96" t="s">
        <v>433</v>
      </c>
      <c r="U78" t="str">
        <f>VLOOKUP(HEVARIM[[#This Row],[גיל]],GIL,2,1)</f>
        <v>--</v>
      </c>
      <c r="V78" t="str">
        <f>IF(HEVARIM[[#This Row],[קוד מעמד]]="4     ",IF(HEVARIM[[#This Row],[גיל]]=1,1,IF(HEVARIM[[#This Row],[גיל]]&lt;=5,5,18)),"")</f>
        <v/>
      </c>
      <c r="W78">
        <f t="shared" si="4"/>
        <v>0</v>
      </c>
      <c r="X7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8">
        <f>IF(HEVARIM[[#This Row],[מצב משפחתי2]]="אלמן",'[2]ריכוז נתונים'!$AC$2,0)</f>
        <v>0</v>
      </c>
      <c r="Z78" s="3">
        <f>VLOOKUP(VALUE(HEVARIM[[#This Row],[קוד מעמד]]),הנחות!$I$2:$K$21,3,0)</f>
        <v>0</v>
      </c>
      <c r="AA78" t="b">
        <f>ISERROR(VLOOKUP(HEVARIM[[#This Row],[קוד תקציב]],'[2]ריכוז נתונים'!A:A,1,0))</f>
        <v>0</v>
      </c>
      <c r="AB78" s="1">
        <f t="shared" si="5"/>
        <v>0</v>
      </c>
      <c r="AC78" s="2">
        <f ca="1">IF(HEVARIM[[#This Row],[בר מצוה]]&gt;0,YEAR(TODAY())+'תקציבים מיוחדים'!$F$5-HEVARIM[[#This Row],[גיל]],0)</f>
        <v>0</v>
      </c>
      <c r="AD78" s="1">
        <f t="shared" si="6"/>
        <v>0</v>
      </c>
      <c r="AE78" s="2">
        <f ca="1">IF(HEVARIM[[#This Row],[בת מצוה]]&gt;0,YEAR(TODAY())+'תקציבים מיוחדים'!$F$5-HEVARIM[[#This Row],[גיל]],0)</f>
        <v>0</v>
      </c>
      <c r="AF78" s="1">
        <f>IF(AND($S78&gt;="רווק",$Z78=1),AF$4*IF(HEVARIM[[#This Row],[גיל]]&gt;$AF$3,1,(($G78-AF$2)/(AF$3-AF$2))),0)</f>
        <v>0</v>
      </c>
      <c r="AG7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8" s="1">
        <f t="shared" si="7"/>
        <v>0</v>
      </c>
      <c r="AI78" s="2">
        <f ca="1">IF(AH78&gt;0,YEAR(TODAY())+'תקציבים מיוחדים'!$F$7-HEVARIM[[#This Row],[גיל]],0)</f>
        <v>0</v>
      </c>
      <c r="AJ78" s="9">
        <f>IF(AND(ISERROR(VLOOKUP(H78,'[2]ריכוז נתונים'!A:L,1,0)),P78="1     "),1,0)</f>
        <v>0</v>
      </c>
      <c r="AK78" s="1">
        <f>IF(VALUE(HEVARIM[[#This Row],[קוד מעמד]])=1,VLOOKUP((IF(LEFT(HEVARIM[[#This Row],[קוד חבר]],1)="0",HEVARIM[[#This Row],[קוד חבר]],VALUE(HEVARIM[[#This Row],[קוד חבר]]))),'ותק חברה 40'!AQ:AW,7,0),"")</f>
        <v>15.81</v>
      </c>
      <c r="AL78" s="1">
        <f>IF(AND(VALUE(HEVARIM[[#This Row],[קוד מעמד]])=1,HEVARIM[[#This Row],[ותק מחברה 40]]&lt;25),HEVARIM[[#This Row],[ותק מחברה 40]]/25*הנחות!$C$4,0)</f>
        <v>23736.888944999999</v>
      </c>
      <c r="AM78" s="9">
        <f ca="1">IF(HEVARIM[[#This Row],[דמי עזיבה 25 שנות ותק]]&gt;0,YEAR(TODAY())+25-ROUNDDOWN(HEVARIM[[#This Row],[ותק מחברה 40]],0),"")</f>
        <v>2036</v>
      </c>
      <c r="AN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8" s="9" t="str">
        <f ca="1">IF(HEVARIM[[#This Row],[דמי עזיבה לגיל 65]]&gt;0,YEAR(TODAY())+64-ROUNDDOWN(HEVARIM[[#This Row],[גיל]],0),"")</f>
        <v/>
      </c>
      <c r="AP78" s="1">
        <f>SUMIF(HEVARIM[קוד תקציב],HEVARIM[[#This Row],[קוד תקציב משפחה מקורי]],HEVARIM[ותק מחברה 40])</f>
        <v>96</v>
      </c>
      <c r="AQ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78" s="9">
        <f>IF(HEVARIM[[#This Row],[קוד מעמד]]="1     ",IFERROR(VLOOKUP(HEVARIM[[#This Row],[קוד תקציב]],'תקציב צביעה - לקראת השינוי'!A:F,4,0),0),0)</f>
        <v>2032</v>
      </c>
      <c r="AT78" s="1"/>
    </row>
    <row r="79" spans="1:46">
      <c r="A79" t="s">
        <v>2333</v>
      </c>
      <c r="B79" t="s">
        <v>2334</v>
      </c>
      <c r="C79" t="s">
        <v>2329</v>
      </c>
      <c r="D79" t="s">
        <v>1462</v>
      </c>
      <c r="E79" t="s">
        <v>79</v>
      </c>
      <c r="F79" s="4">
        <v>20555</v>
      </c>
      <c r="G79">
        <v>69</v>
      </c>
      <c r="H79" t="s">
        <v>2330</v>
      </c>
      <c r="I79" t="s">
        <v>2331</v>
      </c>
      <c r="J79" s="4" t="s">
        <v>70</v>
      </c>
      <c r="K79" s="4" t="s">
        <v>71</v>
      </c>
      <c r="L79" t="s">
        <v>2335</v>
      </c>
      <c r="M79" t="s">
        <v>2327</v>
      </c>
      <c r="N79" t="s">
        <v>2328</v>
      </c>
      <c r="O79">
        <f>IFERROR(VLOOKUP(HEVARIM[[#This Row],[קוד תקציב]],[2]תקציבים!A:L,6,0),0)</f>
        <v>2</v>
      </c>
      <c r="P79" s="5" t="s">
        <v>104</v>
      </c>
      <c r="Q79" t="s">
        <v>11</v>
      </c>
      <c r="R79" s="4">
        <v>33147</v>
      </c>
      <c r="S79" s="4" t="s">
        <v>74</v>
      </c>
      <c r="T79" s="96" t="s">
        <v>3828</v>
      </c>
      <c r="U79" t="str">
        <f>VLOOKUP(HEVARIM[[#This Row],[גיל]],GIL,2,1)</f>
        <v>--</v>
      </c>
      <c r="V79" t="str">
        <f>IF(HEVARIM[[#This Row],[קוד מעמד]]="4     ",IF(HEVARIM[[#This Row],[גיל]]=1,1,IF(HEVARIM[[#This Row],[גיל]]&lt;=5,5,18)),"")</f>
        <v/>
      </c>
      <c r="W79">
        <f t="shared" si="4"/>
        <v>2365</v>
      </c>
      <c r="X7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9">
        <f>IF(HEVARIM[[#This Row],[מצב משפחתי2]]="אלמן",'[2]ריכוז נתונים'!$AC$2,0)</f>
        <v>0</v>
      </c>
      <c r="Z79" s="3">
        <f>VLOOKUP(VALUE(HEVARIM[[#This Row],[קוד מעמד]]),הנחות!$I$2:$K$21,3,0)</f>
        <v>0</v>
      </c>
      <c r="AA79" t="b">
        <f>ISERROR(VLOOKUP(HEVARIM[[#This Row],[קוד תקציב]],'[2]ריכוז נתונים'!A:A,1,0))</f>
        <v>0</v>
      </c>
      <c r="AB79" s="1">
        <f t="shared" si="5"/>
        <v>0</v>
      </c>
      <c r="AC79" s="2">
        <f ca="1">IF(HEVARIM[[#This Row],[בר מצוה]]&gt;0,YEAR(TODAY())+'תקציבים מיוחדים'!$F$5-HEVARIM[[#This Row],[גיל]],0)</f>
        <v>0</v>
      </c>
      <c r="AD79" s="1">
        <f t="shared" si="6"/>
        <v>0</v>
      </c>
      <c r="AE79" s="2">
        <f ca="1">IF(HEVARIM[[#This Row],[בת מצוה]]&gt;0,YEAR(TODAY())+'תקציבים מיוחדים'!$F$5-HEVARIM[[#This Row],[גיל]],0)</f>
        <v>0</v>
      </c>
      <c r="AF79" s="1">
        <f>IF(AND($S79&gt;="רווק",$Z79=1),AF$4*IF(HEVARIM[[#This Row],[גיל]]&gt;$AF$3,1,(($G79-AF$2)/(AF$3-AF$2))),0)</f>
        <v>0</v>
      </c>
      <c r="AG7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9" s="1">
        <f t="shared" si="7"/>
        <v>0</v>
      </c>
      <c r="AI79" s="2">
        <f ca="1">IF(AH79&gt;0,YEAR(TODAY())+'תקציבים מיוחדים'!$F$7-HEVARIM[[#This Row],[גיל]],0)</f>
        <v>0</v>
      </c>
      <c r="AJ79" s="9">
        <f>IF(AND(ISERROR(VLOOKUP(H79,'[2]ריכוז נתונים'!A:L,1,0)),P79="1     "),1,0)</f>
        <v>0</v>
      </c>
      <c r="AK79" s="1">
        <f>IF(VALUE(HEVARIM[[#This Row],[קוד מעמד]])=1,VLOOKUP((IF(LEFT(HEVARIM[[#This Row],[קוד חבר]],1)="0",HEVARIM[[#This Row],[קוד חבר]],VALUE(HEVARIM[[#This Row],[קוד חבר]]))),'ותק חברה 40'!AQ:AW,7,0),"")</f>
        <v>35.19</v>
      </c>
      <c r="AL79" s="1">
        <f>IF(AND(VALUE(HEVARIM[[#This Row],[קוד מעמד]])=1,HEVARIM[[#This Row],[ותק מחברה 40]]&lt;25),HEVARIM[[#This Row],[ותק מחברה 40]]/25*הנחות!$C$4,0)</f>
        <v>0</v>
      </c>
      <c r="AM79" s="9" t="str">
        <f ca="1">IF(HEVARIM[[#This Row],[דמי עזיבה 25 שנות ותק]]&gt;0,YEAR(TODAY())+25-ROUNDDOWN(HEVARIM[[#This Row],[ותק מחברה 40]],0),"")</f>
        <v/>
      </c>
      <c r="AN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9" s="9" t="str">
        <f ca="1">IF(HEVARIM[[#This Row],[דמי עזיבה לגיל 65]]&gt;0,YEAR(TODAY())+64-ROUNDDOWN(HEVARIM[[#This Row],[גיל]],0),"")</f>
        <v/>
      </c>
      <c r="AP79" s="1">
        <f>SUMIF(HEVARIM[קוד תקציב],HEVARIM[[#This Row],[קוד תקציב משפחה מקורי]],HEVARIM[ותק מחברה 40])</f>
        <v>0</v>
      </c>
      <c r="AQ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79" s="9">
        <f>IF(HEVARIM[[#This Row],[קוד מעמד]]="1     ",IFERROR(VLOOKUP(HEVARIM[[#This Row],[קוד תקציב]],'תקציב צביעה - לקראת השינוי'!A:F,4,0),0),0)</f>
        <v>2030</v>
      </c>
      <c r="AT79" s="1"/>
    </row>
    <row r="80" spans="1:46">
      <c r="A80" t="s">
        <v>516</v>
      </c>
      <c r="B80" t="s">
        <v>517</v>
      </c>
      <c r="C80" t="s">
        <v>518</v>
      </c>
      <c r="D80" t="s">
        <v>519</v>
      </c>
      <c r="E80" t="s">
        <v>67</v>
      </c>
      <c r="F80" s="4">
        <v>20066</v>
      </c>
      <c r="G80">
        <v>71</v>
      </c>
      <c r="H80" t="s">
        <v>520</v>
      </c>
      <c r="I80" t="s">
        <v>521</v>
      </c>
      <c r="J80" s="4" t="s">
        <v>70</v>
      </c>
      <c r="K80" s="4" t="s">
        <v>71</v>
      </c>
      <c r="L80" t="s">
        <v>522</v>
      </c>
      <c r="M80" t="s">
        <v>516</v>
      </c>
      <c r="N80" t="s">
        <v>517</v>
      </c>
      <c r="O80">
        <f>IFERROR(VLOOKUP(HEVARIM[[#This Row],[קוד תקציב]],[2]תקציבים!A:L,6,0),0)</f>
        <v>2</v>
      </c>
      <c r="P80" s="5" t="s">
        <v>104</v>
      </c>
      <c r="Q80" t="s">
        <v>11</v>
      </c>
      <c r="R80" s="4">
        <v>28125</v>
      </c>
      <c r="S80" s="4" t="s">
        <v>74</v>
      </c>
      <c r="T80" s="96"/>
      <c r="U80" t="str">
        <f>VLOOKUP(HEVARIM[[#This Row],[גיל]],GIL,2,1)</f>
        <v>--</v>
      </c>
      <c r="V80" t="str">
        <f>IF(HEVARIM[[#This Row],[קוד מעמד]]="4     ",IF(HEVARIM[[#This Row],[גיל]]=1,1,IF(HEVARIM[[#This Row],[גיל]]&lt;=5,5,18)),"")</f>
        <v/>
      </c>
      <c r="W80">
        <f t="shared" si="4"/>
        <v>2365</v>
      </c>
      <c r="X8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80">
        <f>IF(HEVARIM[[#This Row],[מצב משפחתי2]]="אלמן",'[2]ריכוז נתונים'!$AC$2,0)</f>
        <v>0</v>
      </c>
      <c r="Z80" s="3">
        <f>VLOOKUP(VALUE(HEVARIM[[#This Row],[קוד מעמד]]),הנחות!$I$2:$K$21,3,0)</f>
        <v>0</v>
      </c>
      <c r="AA80" t="b">
        <f>ISERROR(VLOOKUP(HEVARIM[[#This Row],[קוד תקציב]],'[2]ריכוז נתונים'!A:A,1,0))</f>
        <v>0</v>
      </c>
      <c r="AB80" s="1">
        <f t="shared" si="5"/>
        <v>0</v>
      </c>
      <c r="AC80" s="2">
        <f ca="1">IF(HEVARIM[[#This Row],[בר מצוה]]&gt;0,YEAR(TODAY())+'תקציבים מיוחדים'!$F$5-HEVARIM[[#This Row],[גיל]],0)</f>
        <v>0</v>
      </c>
      <c r="AD80" s="1">
        <f t="shared" si="6"/>
        <v>0</v>
      </c>
      <c r="AE80" s="2">
        <f ca="1">IF(HEVARIM[[#This Row],[בת מצוה]]&gt;0,YEAR(TODAY())+'תקציבים מיוחדים'!$F$5-HEVARIM[[#This Row],[גיל]],0)</f>
        <v>0</v>
      </c>
      <c r="AF80" s="1">
        <f>IF(AND($S80&gt;="רווק",$Z80=1),AF$4*IF(HEVARIM[[#This Row],[גיל]]&gt;$AF$3,1,(($G80-AF$2)/(AF$3-AF$2))),0)</f>
        <v>0</v>
      </c>
      <c r="AG8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0" s="1">
        <f t="shared" si="7"/>
        <v>0</v>
      </c>
      <c r="AI80" s="2">
        <f ca="1">IF(AH80&gt;0,YEAR(TODAY())+'תקציבים מיוחדים'!$F$7-HEVARIM[[#This Row],[גיל]],0)</f>
        <v>0</v>
      </c>
      <c r="AJ80" s="9">
        <f>IF(AND(ISERROR(VLOOKUP(H80,'[2]ריכוז נתונים'!A:L,1,0)),P80="1     "),1,0)</f>
        <v>0</v>
      </c>
      <c r="AK80" s="1">
        <f>IF(VALUE(HEVARIM[[#This Row],[קוד מעמד]])=1,VLOOKUP((IF(LEFT(HEVARIM[[#This Row],[קוד חבר]],1)="0",HEVARIM[[#This Row],[קוד חבר]],VALUE(HEVARIM[[#This Row],[קוד חבר]]))),'ותק חברה 40'!AQ:AW,7,0),"")</f>
        <v>45.26</v>
      </c>
      <c r="AL80" s="1">
        <f>IF(AND(VALUE(HEVARIM[[#This Row],[קוד מעמד]])=1,HEVARIM[[#This Row],[ותק מחברה 40]]&lt;25),HEVARIM[[#This Row],[ותק מחברה 40]]/25*הנחות!$C$4,0)</f>
        <v>0</v>
      </c>
      <c r="AM80" s="9" t="str">
        <f ca="1">IF(HEVARIM[[#This Row],[דמי עזיבה 25 שנות ותק]]&gt;0,YEAR(TODAY())+25-ROUNDDOWN(HEVARIM[[#This Row],[ותק מחברה 40]],0),"")</f>
        <v/>
      </c>
      <c r="AN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0" s="9" t="str">
        <f ca="1">IF(HEVARIM[[#This Row],[דמי עזיבה לגיל 65]]&gt;0,YEAR(TODAY())+64-ROUNDDOWN(HEVARIM[[#This Row],[גיל]],0),"")</f>
        <v/>
      </c>
      <c r="AP80" s="1">
        <f>SUMIF(HEVARIM[קוד תקציב],HEVARIM[[#This Row],[קוד תקציב משפחה מקורי]],HEVARIM[ותק מחברה 40])</f>
        <v>0</v>
      </c>
      <c r="AQ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80" s="9">
        <f>IF(HEVARIM[[#This Row],[קוד מעמד]]="1     ",IFERROR(VLOOKUP(HEVARIM[[#This Row],[קוד תקציב]],'תקציב צביעה - לקראת השינוי'!A:F,4,0),0),0)</f>
        <v>2028</v>
      </c>
      <c r="AT80" s="1"/>
    </row>
    <row r="81" spans="1:46">
      <c r="A81" t="s">
        <v>603</v>
      </c>
      <c r="B81" t="s">
        <v>604</v>
      </c>
      <c r="C81" t="s">
        <v>431</v>
      </c>
      <c r="D81" t="s">
        <v>605</v>
      </c>
      <c r="E81" t="s">
        <v>67</v>
      </c>
      <c r="F81" s="4">
        <v>38275</v>
      </c>
      <c r="G81">
        <v>21</v>
      </c>
      <c r="H81" t="s">
        <v>452</v>
      </c>
      <c r="I81" t="s">
        <v>453</v>
      </c>
      <c r="J81" s="4" t="s">
        <v>70</v>
      </c>
      <c r="K81" s="4" t="s">
        <v>454</v>
      </c>
      <c r="L81" t="s">
        <v>606</v>
      </c>
      <c r="M81" t="s">
        <v>450</v>
      </c>
      <c r="N81" t="s">
        <v>451</v>
      </c>
      <c r="O81">
        <f>IFERROR(VLOOKUP(HEVARIM[[#This Row],[קוד תקציב]],[2]תקציבים!A:L,6,0),0)</f>
        <v>2</v>
      </c>
      <c r="P81" s="5" t="s">
        <v>545</v>
      </c>
      <c r="Q81" t="s">
        <v>13</v>
      </c>
      <c r="R81" s="4">
        <v>45519</v>
      </c>
      <c r="S81" s="4" t="s">
        <v>90</v>
      </c>
      <c r="T81" s="96" t="s">
        <v>452</v>
      </c>
      <c r="U81" t="str">
        <f>VLOOKUP(HEVARIM[[#This Row],[גיל]],GIL,2,1)</f>
        <v>--</v>
      </c>
      <c r="V81" t="str">
        <f>IF(HEVARIM[[#This Row],[קוד מעמד]]="4     ",IF(HEVARIM[[#This Row],[גיל]]=1,1,IF(HEVARIM[[#This Row],[גיל]]&lt;=5,5,18)),"")</f>
        <v/>
      </c>
      <c r="W81">
        <f t="shared" si="4"/>
        <v>0</v>
      </c>
      <c r="X8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81">
        <f>IF(HEVARIM[[#This Row],[מצב משפחתי2]]="אלמן",'[2]ריכוז נתונים'!$AC$2,0)</f>
        <v>0</v>
      </c>
      <c r="Z81" s="3">
        <f>VLOOKUP(VALUE(HEVARIM[[#This Row],[קוד מעמד]]),הנחות!$I$2:$K$21,3,0)</f>
        <v>1</v>
      </c>
      <c r="AA81" t="b">
        <f>ISERROR(VLOOKUP(HEVARIM[[#This Row],[קוד תקציב]],'[2]ריכוז נתונים'!A:A,1,0))</f>
        <v>0</v>
      </c>
      <c r="AB81" s="1">
        <f t="shared" si="5"/>
        <v>0</v>
      </c>
      <c r="AC81" s="2">
        <f ca="1">IF(HEVARIM[[#This Row],[בר מצוה]]&gt;0,YEAR(TODAY())+'תקציבים מיוחדים'!$F$5-HEVARIM[[#This Row],[גיל]],0)</f>
        <v>0</v>
      </c>
      <c r="AD81" s="1">
        <f t="shared" si="6"/>
        <v>0</v>
      </c>
      <c r="AE81" s="2">
        <f ca="1">IF(HEVARIM[[#This Row],[בת מצוה]]&gt;0,YEAR(TODAY())+'תקציבים מיוחדים'!$F$5-HEVARIM[[#This Row],[גיל]],0)</f>
        <v>0</v>
      </c>
      <c r="AF81" s="1">
        <f>IF(AND($S81&gt;="רווק",$Z81=1),AF$4*IF(HEVARIM[[#This Row],[גיל]]&gt;$AF$3,1,(($G81-AF$2)/(AF$3-AF$2))),0)</f>
        <v>60512.5</v>
      </c>
      <c r="AG81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81" s="1">
        <f t="shared" si="7"/>
        <v>105588.5</v>
      </c>
      <c r="AI81" s="2">
        <f ca="1">IF(AH81&gt;0,YEAR(TODAY())+'תקציבים מיוחדים'!$F$7-HEVARIM[[#This Row],[גיל]],0)</f>
        <v>2026</v>
      </c>
      <c r="AJ81" s="9">
        <f>IF(AND(ISERROR(VLOOKUP(H81,'[2]ריכוז נתונים'!A:L,1,0)),P81="1     "),1,0)</f>
        <v>0</v>
      </c>
      <c r="AK8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81" s="1">
        <f>IF(AND(VALUE(HEVARIM[[#This Row],[קוד מעמד]])=1,HEVARIM[[#This Row],[ותק מחברה 40]]&lt;25),HEVARIM[[#This Row],[ותק מחברה 40]]/25*הנחות!$C$4,0)</f>
        <v>0</v>
      </c>
      <c r="AM81" s="9" t="str">
        <f ca="1">IF(HEVARIM[[#This Row],[דמי עזיבה 25 שנות ותק]]&gt;0,YEAR(TODAY())+25-ROUNDDOWN(HEVARIM[[#This Row],[ותק מחברה 40]],0),"")</f>
        <v/>
      </c>
      <c r="AN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1" s="9" t="str">
        <f ca="1">IF(HEVARIM[[#This Row],[דמי עזיבה לגיל 65]]&gt;0,YEAR(TODAY())+64-ROUNDDOWN(HEVARIM[[#This Row],[גיל]],0),"")</f>
        <v/>
      </c>
      <c r="AP81" s="1">
        <f>SUMIF(HEVARIM[קוד תקציב],HEVARIM[[#This Row],[קוד תקציב משפחה מקורי]],HEVARIM[ותק מחברה 40])</f>
        <v>31.36</v>
      </c>
      <c r="AQ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81" s="9">
        <f>IF(HEVARIM[[#This Row],[קוד מעמד]]="1     ",IFERROR(VLOOKUP(HEVARIM[[#This Row],[קוד תקציב]],'תקציב צביעה - לקראת השינוי'!A:F,4,0),0),0)</f>
        <v>0</v>
      </c>
      <c r="AT81" s="1"/>
    </row>
    <row r="82" spans="1:46">
      <c r="A82" t="s">
        <v>594</v>
      </c>
      <c r="B82" t="s">
        <v>595</v>
      </c>
      <c r="C82" t="s">
        <v>431</v>
      </c>
      <c r="D82" t="s">
        <v>596</v>
      </c>
      <c r="E82" t="s">
        <v>67</v>
      </c>
      <c r="F82" s="4">
        <v>39208</v>
      </c>
      <c r="G82">
        <v>18</v>
      </c>
      <c r="H82" t="s">
        <v>452</v>
      </c>
      <c r="I82" t="s">
        <v>453</v>
      </c>
      <c r="J82" s="4" t="s">
        <v>70</v>
      </c>
      <c r="K82" s="4" t="s">
        <v>454</v>
      </c>
      <c r="L82" t="s">
        <v>597</v>
      </c>
      <c r="M82" t="s">
        <v>450</v>
      </c>
      <c r="N82" t="s">
        <v>451</v>
      </c>
      <c r="O82">
        <f>IFERROR(VLOOKUP(HEVARIM[[#This Row],[קוד תקציב]],[2]תקציבים!A:L,6,0),0)</f>
        <v>2</v>
      </c>
      <c r="P82" s="5" t="s">
        <v>1688</v>
      </c>
      <c r="Q82" t="s">
        <v>20</v>
      </c>
      <c r="R82" s="4">
        <v>45901</v>
      </c>
      <c r="S82" s="4" t="s">
        <v>90</v>
      </c>
      <c r="T82" s="96" t="s">
        <v>452</v>
      </c>
      <c r="U82" t="str">
        <f>VLOOKUP(HEVARIM[[#This Row],[גיל]],GIL,2,1)</f>
        <v>--</v>
      </c>
      <c r="V82" t="str">
        <f>IF(HEVARIM[[#This Row],[קוד מעמד]]="4     ",IF(HEVARIM[[#This Row],[גיל]]=1,1,IF(HEVARIM[[#This Row],[גיל]]&lt;=5,5,18)),"")</f>
        <v/>
      </c>
      <c r="W82">
        <f t="shared" si="4"/>
        <v>0</v>
      </c>
      <c r="X8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82">
        <f>IF(HEVARIM[[#This Row],[מצב משפחתי2]]="אלמן",'[2]ריכוז נתונים'!$AC$2,0)</f>
        <v>0</v>
      </c>
      <c r="Z82" s="3">
        <f>VLOOKUP(VALUE(HEVARIM[[#This Row],[קוד מעמד]]),הנחות!$I$2:$K$21,3,0)</f>
        <v>1</v>
      </c>
      <c r="AA82" t="b">
        <f>ISERROR(VLOOKUP(HEVARIM[[#This Row],[קוד תקציב]],'[2]ריכוז נתונים'!A:A,1,0))</f>
        <v>0</v>
      </c>
      <c r="AB82" s="1">
        <f t="shared" si="5"/>
        <v>0</v>
      </c>
      <c r="AC82" s="2">
        <f ca="1">IF(HEVARIM[[#This Row],[בר מצוה]]&gt;0,YEAR(TODAY())+'תקציבים מיוחדים'!$F$5-HEVARIM[[#This Row],[גיל]],0)</f>
        <v>0</v>
      </c>
      <c r="AD82" s="1">
        <f t="shared" si="6"/>
        <v>0</v>
      </c>
      <c r="AE82" s="2">
        <f ca="1">IF(HEVARIM[[#This Row],[בת מצוה]]&gt;0,YEAR(TODAY())+'תקציבים מיוחדים'!$F$5-HEVARIM[[#This Row],[גיל]],0)</f>
        <v>0</v>
      </c>
      <c r="AF82" s="1">
        <f>IF(AND($S82&gt;="רווק",$Z82=1),AF$4*IF(HEVARIM[[#This Row],[גיל]]&gt;$AF$3,1,(($G82-AF$2)/(AF$3-AF$2))),0)</f>
        <v>51867.857142857138</v>
      </c>
      <c r="AG82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82" s="1">
        <f t="shared" si="7"/>
        <v>90504.428571428565</v>
      </c>
      <c r="AI82" s="2">
        <f ca="1">IF(AH82&gt;0,YEAR(TODAY())+'תקציבים מיוחדים'!$F$7-HEVARIM[[#This Row],[גיל]],0)</f>
        <v>2029</v>
      </c>
      <c r="AJ82" s="9">
        <f>IF(AND(ISERROR(VLOOKUP(H82,'[2]ריכוז נתונים'!A:L,1,0)),P82="1     "),1,0)</f>
        <v>0</v>
      </c>
      <c r="AK8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82" s="1">
        <f>IF(AND(VALUE(HEVARIM[[#This Row],[קוד מעמד]])=1,HEVARIM[[#This Row],[ותק מחברה 40]]&lt;25),HEVARIM[[#This Row],[ותק מחברה 40]]/25*הנחות!$C$4,0)</f>
        <v>0</v>
      </c>
      <c r="AM82" s="9" t="str">
        <f ca="1">IF(HEVARIM[[#This Row],[דמי עזיבה 25 שנות ותק]]&gt;0,YEAR(TODAY())+25-ROUNDDOWN(HEVARIM[[#This Row],[ותק מחברה 40]],0),"")</f>
        <v/>
      </c>
      <c r="AN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2" s="9" t="str">
        <f ca="1">IF(HEVARIM[[#This Row],[דמי עזיבה לגיל 65]]&gt;0,YEAR(TODAY())+64-ROUNDDOWN(HEVARIM[[#This Row],[גיל]],0),"")</f>
        <v/>
      </c>
      <c r="AP82" s="1">
        <f>SUMIF(HEVARIM[קוד תקציב],HEVARIM[[#This Row],[קוד תקציב משפחה מקורי]],HEVARIM[ותק מחברה 40])</f>
        <v>31.36</v>
      </c>
      <c r="AQ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82" s="9">
        <f>IF(HEVARIM[[#This Row],[קוד מעמד]]="1     ",IFERROR(VLOOKUP(HEVARIM[[#This Row],[קוד תקציב]],'תקציב צביעה - לקראת השינוי'!A:F,4,0),0),0)</f>
        <v>0</v>
      </c>
      <c r="AT82" s="1"/>
    </row>
    <row r="83" spans="1:46">
      <c r="A83" t="s">
        <v>456</v>
      </c>
      <c r="B83" t="s">
        <v>457</v>
      </c>
      <c r="C83" t="s">
        <v>431</v>
      </c>
      <c r="D83" t="s">
        <v>458</v>
      </c>
      <c r="E83" t="s">
        <v>79</v>
      </c>
      <c r="F83" s="4">
        <v>27356</v>
      </c>
      <c r="G83">
        <v>51</v>
      </c>
      <c r="H83" t="s">
        <v>452</v>
      </c>
      <c r="I83" t="s">
        <v>453</v>
      </c>
      <c r="J83" s="4" t="s">
        <v>70</v>
      </c>
      <c r="K83" s="4" t="s">
        <v>454</v>
      </c>
      <c r="L83" t="s">
        <v>459</v>
      </c>
      <c r="M83" t="s">
        <v>450</v>
      </c>
      <c r="N83" t="s">
        <v>451</v>
      </c>
      <c r="O83">
        <f>IFERROR(VLOOKUP(HEVARIM[[#This Row],[קוד תקציב]],[2]תקציבים!A:L,6,0),0)</f>
        <v>2</v>
      </c>
      <c r="P83" s="5" t="s">
        <v>104</v>
      </c>
      <c r="Q83" t="s">
        <v>11</v>
      </c>
      <c r="R83" s="4">
        <v>40806</v>
      </c>
      <c r="S83" s="4" t="s">
        <v>74</v>
      </c>
      <c r="T83" s="96" t="s">
        <v>452</v>
      </c>
      <c r="U83" t="str">
        <f>VLOOKUP(HEVARIM[[#This Row],[גיל]],GIL,2,1)</f>
        <v>--</v>
      </c>
      <c r="V83" t="str">
        <f>IF(HEVARIM[[#This Row],[קוד מעמד]]="4     ",IF(HEVARIM[[#This Row],[גיל]]=1,1,IF(HEVARIM[[#This Row],[גיל]]&lt;=5,5,18)),"")</f>
        <v/>
      </c>
      <c r="W83">
        <f t="shared" si="4"/>
        <v>0</v>
      </c>
      <c r="X8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83">
        <f>IF(HEVARIM[[#This Row],[מצב משפחתי2]]="אלמן",'[2]ריכוז נתונים'!$AC$2,0)</f>
        <v>0</v>
      </c>
      <c r="Z83" s="3">
        <f>VLOOKUP(VALUE(HEVARIM[[#This Row],[קוד מעמד]]),הנחות!$I$2:$K$21,3,0)</f>
        <v>0</v>
      </c>
      <c r="AA83" t="b">
        <f>ISERROR(VLOOKUP(HEVARIM[[#This Row],[קוד תקציב]],'[2]ריכוז נתונים'!A:A,1,0))</f>
        <v>0</v>
      </c>
      <c r="AB83" s="1">
        <f t="shared" si="5"/>
        <v>0</v>
      </c>
      <c r="AC83" s="2">
        <f ca="1">IF(HEVARIM[[#This Row],[בר מצוה]]&gt;0,YEAR(TODAY())+'תקציבים מיוחדים'!$F$5-HEVARIM[[#This Row],[גיל]],0)</f>
        <v>0</v>
      </c>
      <c r="AD83" s="1">
        <f t="shared" si="6"/>
        <v>0</v>
      </c>
      <c r="AE83" s="2">
        <f ca="1">IF(HEVARIM[[#This Row],[בת מצוה]]&gt;0,YEAR(TODAY())+'תקציבים מיוחדים'!$F$5-HEVARIM[[#This Row],[גיל]],0)</f>
        <v>0</v>
      </c>
      <c r="AF83" s="1">
        <f>IF(AND($S83&gt;="רווק",$Z83=1),AF$4*IF(HEVARIM[[#This Row],[גיל]]&gt;$AF$3,1,(($G83-AF$2)/(AF$3-AF$2))),0)</f>
        <v>0</v>
      </c>
      <c r="AG8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3" s="1">
        <f t="shared" si="7"/>
        <v>0</v>
      </c>
      <c r="AI83" s="2">
        <f ca="1">IF(AH83&gt;0,YEAR(TODAY())+'תקציבים מיוחדים'!$F$7-HEVARIM[[#This Row],[גיל]],0)</f>
        <v>0</v>
      </c>
      <c r="AJ83" s="9">
        <f>IF(AND(ISERROR(VLOOKUP(H83,'[2]ריכוז נתונים'!A:L,1,0)),P83="1     "),1,0)</f>
        <v>0</v>
      </c>
      <c r="AK83" s="1">
        <f>IF(VALUE(HEVARIM[[#This Row],[קוד מעמד]])=1,VLOOKUP((IF(LEFT(HEVARIM[[#This Row],[קוד חבר]],1)="0",HEVARIM[[#This Row],[קוד חבר]],VALUE(HEVARIM[[#This Row],[קוד חבר]]))),'ותק חברה 40'!AQ:AW,7,0),"")</f>
        <v>15.68</v>
      </c>
      <c r="AL83" s="1">
        <f>IF(AND(VALUE(HEVARIM[[#This Row],[קוד מעמד]])=1,HEVARIM[[#This Row],[ותק מחברה 40]]&lt;25),HEVARIM[[#This Row],[ותק מחברה 40]]/25*הנחות!$C$4,0)</f>
        <v>23541.708959999996</v>
      </c>
      <c r="AM83" s="9">
        <f ca="1">IF(HEVARIM[[#This Row],[דמי עזיבה 25 שנות ותק]]&gt;0,YEAR(TODAY())+25-ROUNDDOWN(HEVARIM[[#This Row],[ותק מחברה 40]],0),"")</f>
        <v>2036</v>
      </c>
      <c r="AN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3" s="9" t="str">
        <f ca="1">IF(HEVARIM[[#This Row],[דמי עזיבה לגיל 65]]&gt;0,YEAR(TODAY())+64-ROUNDDOWN(HEVARIM[[#This Row],[גיל]],0),"")</f>
        <v/>
      </c>
      <c r="AP83" s="1">
        <f>SUMIF(HEVARIM[קוד תקציב],HEVARIM[[#This Row],[קוד תקציב משפחה מקורי]],HEVARIM[ותק מחברה 40])</f>
        <v>31.36</v>
      </c>
      <c r="AQ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83" s="9">
        <f>IF(HEVARIM[[#This Row],[קוד מעמד]]="1     ",IFERROR(VLOOKUP(HEVARIM[[#This Row],[קוד תקציב]],'תקציב צביעה - לקראת השינוי'!A:F,4,0),0),0)</f>
        <v>2032</v>
      </c>
      <c r="AT83" s="1"/>
    </row>
    <row r="84" spans="1:46">
      <c r="A84" t="s">
        <v>460</v>
      </c>
      <c r="B84" t="s">
        <v>461</v>
      </c>
      <c r="C84" t="s">
        <v>431</v>
      </c>
      <c r="D84" t="s">
        <v>462</v>
      </c>
      <c r="E84" t="s">
        <v>67</v>
      </c>
      <c r="F84" s="4">
        <v>40832</v>
      </c>
      <c r="G84">
        <v>14</v>
      </c>
      <c r="H84" t="s">
        <v>452</v>
      </c>
      <c r="I84" t="s">
        <v>453</v>
      </c>
      <c r="J84" s="4" t="s">
        <v>70</v>
      </c>
      <c r="K84" s="4" t="s">
        <v>454</v>
      </c>
      <c r="L84" t="s">
        <v>463</v>
      </c>
      <c r="M84" t="s">
        <v>450</v>
      </c>
      <c r="N84" t="s">
        <v>451</v>
      </c>
      <c r="O84">
        <f>IFERROR(VLOOKUP(HEVARIM[[#This Row],[קוד תקציב]],[2]תקציבים!A:L,6,0),0)</f>
        <v>2</v>
      </c>
      <c r="P84" s="5" t="s">
        <v>227</v>
      </c>
      <c r="Q84" t="s">
        <v>14</v>
      </c>
      <c r="R84" s="4">
        <v>40832</v>
      </c>
      <c r="S84" s="4" t="s">
        <v>90</v>
      </c>
      <c r="T84" s="96" t="s">
        <v>452</v>
      </c>
      <c r="U84" t="str">
        <f>VLOOKUP(HEVARIM[[#This Row],[גיל]],GIL,2,1)</f>
        <v>חטיבה</v>
      </c>
      <c r="V84">
        <f>IF(HEVARIM[[#This Row],[קוד מעמד]]="4     ",IF(HEVARIM[[#This Row],[גיל]]=1,1,IF(HEVARIM[[#This Row],[גיל]]&lt;=5,5,18)),"")</f>
        <v>18</v>
      </c>
      <c r="W84">
        <f t="shared" si="4"/>
        <v>0</v>
      </c>
      <c r="X8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84">
        <f>IF(HEVARIM[[#This Row],[מצב משפחתי2]]="אלמן",'[2]ריכוז נתונים'!$AC$2,0)</f>
        <v>0</v>
      </c>
      <c r="Z84" s="3">
        <f>VLOOKUP(VALUE(HEVARIM[[#This Row],[קוד מעמד]]),הנחות!$I$2:$K$21,3,0)</f>
        <v>1</v>
      </c>
      <c r="AA84" t="b">
        <f>ISERROR(VLOOKUP(HEVARIM[[#This Row],[קוד תקציב]],'[2]ריכוז נתונים'!A:A,1,0))</f>
        <v>0</v>
      </c>
      <c r="AB84" s="1">
        <f t="shared" si="5"/>
        <v>0</v>
      </c>
      <c r="AC84" s="2">
        <f ca="1">IF(HEVARIM[[#This Row],[בר מצוה]]&gt;0,YEAR(TODAY())+'תקציבים מיוחדים'!$F$5-HEVARIM[[#This Row],[גיל]],0)</f>
        <v>0</v>
      </c>
      <c r="AD84" s="1">
        <f t="shared" si="6"/>
        <v>0</v>
      </c>
      <c r="AE84" s="2">
        <f ca="1">IF(HEVARIM[[#This Row],[בת מצוה]]&gt;0,YEAR(TODAY())+'תקציבים מיוחדים'!$F$5-HEVARIM[[#This Row],[גיל]],0)</f>
        <v>0</v>
      </c>
      <c r="AF84" s="1">
        <f>IF(AND($S84&gt;="רווק",$Z84=1),AF$4*IF(HEVARIM[[#This Row],[גיל]]&gt;$AF$3,1,(($G84-AF$2)/(AF$3-AF$2))),0)</f>
        <v>40341.666666666664</v>
      </c>
      <c r="AG84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84" s="1">
        <f t="shared" si="7"/>
        <v>70392.333333333328</v>
      </c>
      <c r="AI84" s="2">
        <f ca="1">IF(AH84&gt;0,YEAR(TODAY())+'תקציבים מיוחדים'!$F$7-HEVARIM[[#This Row],[גיל]],0)</f>
        <v>2033</v>
      </c>
      <c r="AJ84" s="9">
        <f>IF(AND(ISERROR(VLOOKUP(H84,'[2]ריכוז נתונים'!A:L,1,0)),P84="1     "),1,0)</f>
        <v>0</v>
      </c>
      <c r="AK8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84" s="1">
        <f>IF(AND(VALUE(HEVARIM[[#This Row],[קוד מעמד]])=1,HEVARIM[[#This Row],[ותק מחברה 40]]&lt;25),HEVARIM[[#This Row],[ותק מחברה 40]]/25*הנחות!$C$4,0)</f>
        <v>0</v>
      </c>
      <c r="AM84" s="9" t="str">
        <f ca="1">IF(HEVARIM[[#This Row],[דמי עזיבה 25 שנות ותק]]&gt;0,YEAR(TODAY())+25-ROUNDDOWN(HEVARIM[[#This Row],[ותק מחברה 40]],0),"")</f>
        <v/>
      </c>
      <c r="AN8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4" s="9" t="str">
        <f ca="1">IF(HEVARIM[[#This Row],[דמי עזיבה לגיל 65]]&gt;0,YEAR(TODAY())+64-ROUNDDOWN(HEVARIM[[#This Row],[גיל]],0),"")</f>
        <v/>
      </c>
      <c r="AP84" s="1">
        <f>SUMIF(HEVARIM[קוד תקציב],HEVARIM[[#This Row],[קוד תקציב משפחה מקורי]],HEVARIM[ותק מחברה 40])</f>
        <v>31.36</v>
      </c>
      <c r="AQ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84" s="9">
        <f>IF(HEVARIM[[#This Row],[קוד מעמד]]="1     ",IFERROR(VLOOKUP(HEVARIM[[#This Row],[קוד תקציב]],'תקציב צביעה - לקראת השינוי'!A:F,4,0),0),0)</f>
        <v>0</v>
      </c>
      <c r="AT84" s="1"/>
    </row>
    <row r="85" spans="1:46">
      <c r="A85" t="s">
        <v>464</v>
      </c>
      <c r="B85" t="s">
        <v>465</v>
      </c>
      <c r="C85" t="s">
        <v>466</v>
      </c>
      <c r="D85" t="s">
        <v>467</v>
      </c>
      <c r="E85" t="s">
        <v>67</v>
      </c>
      <c r="F85" s="4">
        <v>20499</v>
      </c>
      <c r="G85">
        <v>69</v>
      </c>
      <c r="H85" t="s">
        <v>468</v>
      </c>
      <c r="I85" t="s">
        <v>469</v>
      </c>
      <c r="J85" s="4" t="s">
        <v>70</v>
      </c>
      <c r="K85" s="4" t="s">
        <v>71</v>
      </c>
      <c r="L85" t="s">
        <v>470</v>
      </c>
      <c r="M85" t="s">
        <v>464</v>
      </c>
      <c r="N85" t="s">
        <v>465</v>
      </c>
      <c r="O85">
        <f>IFERROR(VLOOKUP(HEVARIM[[#This Row],[קוד תקציב]],[2]תקציבים!A:L,6,0),0)</f>
        <v>2</v>
      </c>
      <c r="P85" s="5" t="s">
        <v>104</v>
      </c>
      <c r="Q85" t="s">
        <v>11</v>
      </c>
      <c r="R85" s="4">
        <v>27394</v>
      </c>
      <c r="S85" s="4" t="s">
        <v>74</v>
      </c>
      <c r="T85" s="96" t="s">
        <v>468</v>
      </c>
      <c r="U85" t="str">
        <f>VLOOKUP(HEVARIM[[#This Row],[גיל]],GIL,2,1)</f>
        <v>--</v>
      </c>
      <c r="V85" t="str">
        <f>IF(HEVARIM[[#This Row],[קוד מעמד]]="4     ",IF(HEVARIM[[#This Row],[גיל]]=1,1,IF(HEVARIM[[#This Row],[גיל]]&lt;=5,5,18)),"")</f>
        <v/>
      </c>
      <c r="W85">
        <f t="shared" si="4"/>
        <v>2365</v>
      </c>
      <c r="X8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85">
        <f>IF(HEVARIM[[#This Row],[מצב משפחתי2]]="אלמן",'[2]ריכוז נתונים'!$AC$2,0)</f>
        <v>0</v>
      </c>
      <c r="Z85" s="3">
        <f>VLOOKUP(VALUE(HEVARIM[[#This Row],[קוד מעמד]]),הנחות!$I$2:$K$21,3,0)</f>
        <v>0</v>
      </c>
      <c r="AA85" t="b">
        <f>ISERROR(VLOOKUP(HEVARIM[[#This Row],[קוד תקציב]],'[2]ריכוז נתונים'!A:A,1,0))</f>
        <v>0</v>
      </c>
      <c r="AB85" s="1">
        <f t="shared" si="5"/>
        <v>0</v>
      </c>
      <c r="AC85" s="2">
        <f ca="1">IF(HEVARIM[[#This Row],[בר מצוה]]&gt;0,YEAR(TODAY())+'תקציבים מיוחדים'!$F$5-HEVARIM[[#This Row],[גיל]],0)</f>
        <v>0</v>
      </c>
      <c r="AD85" s="1">
        <f t="shared" si="6"/>
        <v>0</v>
      </c>
      <c r="AE85" s="2">
        <f ca="1">IF(HEVARIM[[#This Row],[בת מצוה]]&gt;0,YEAR(TODAY())+'תקציבים מיוחדים'!$F$5-HEVARIM[[#This Row],[גיל]],0)</f>
        <v>0</v>
      </c>
      <c r="AF85" s="1">
        <f>IF(AND($S85&gt;="רווק",$Z85=1),AF$4*IF(HEVARIM[[#This Row],[גיל]]&gt;$AF$3,1,(($G85-AF$2)/(AF$3-AF$2))),0)</f>
        <v>0</v>
      </c>
      <c r="AG8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5" s="1">
        <f t="shared" si="7"/>
        <v>0</v>
      </c>
      <c r="AI85" s="2">
        <f ca="1">IF(AH85&gt;0,YEAR(TODAY())+'תקציבים מיוחדים'!$F$7-HEVARIM[[#This Row],[גיל]],0)</f>
        <v>0</v>
      </c>
      <c r="AJ85" s="9">
        <f>IF(AND(ISERROR(VLOOKUP(H85,'[2]ריכוז נתונים'!A:L,1,0)),P85="1     "),1,0)</f>
        <v>0</v>
      </c>
      <c r="AK85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85" s="1">
        <f>IF(AND(VALUE(HEVARIM[[#This Row],[קוד מעמד]])=1,HEVARIM[[#This Row],[ותק מחברה 40]]&lt;25),HEVARIM[[#This Row],[ותק מחברה 40]]/25*הנחות!$C$4,0)</f>
        <v>0</v>
      </c>
      <c r="AM85" s="9" t="str">
        <f ca="1">IF(HEVARIM[[#This Row],[דמי עזיבה 25 שנות ותק]]&gt;0,YEAR(TODAY())+25-ROUNDDOWN(HEVARIM[[#This Row],[ותק מחברה 40]],0),"")</f>
        <v/>
      </c>
      <c r="AN8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5" s="9" t="str">
        <f ca="1">IF(HEVARIM[[#This Row],[דמי עזיבה לגיל 65]]&gt;0,YEAR(TODAY())+64-ROUNDDOWN(HEVARIM[[#This Row],[גיל]],0),"")</f>
        <v/>
      </c>
      <c r="AP85" s="1">
        <f>SUMIF(HEVARIM[קוד תקציב],HEVARIM[[#This Row],[קוד תקציב משפחה מקורי]],HEVARIM[ותק מחברה 40])</f>
        <v>86.87</v>
      </c>
      <c r="AQ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85" s="9">
        <f>IF(HEVARIM[[#This Row],[קוד מעמד]]="1     ",IFERROR(VLOOKUP(HEVARIM[[#This Row],[קוד תקציב]],'תקציב צביעה - לקראת השינוי'!A:F,4,0),0),0)</f>
        <v>2033</v>
      </c>
      <c r="AT85" s="1"/>
    </row>
    <row r="86" spans="1:46">
      <c r="A86" t="s">
        <v>471</v>
      </c>
      <c r="B86" t="s">
        <v>472</v>
      </c>
      <c r="C86" t="s">
        <v>466</v>
      </c>
      <c r="D86" t="s">
        <v>473</v>
      </c>
      <c r="E86" t="s">
        <v>79</v>
      </c>
      <c r="F86" s="4">
        <v>22094</v>
      </c>
      <c r="G86">
        <v>65</v>
      </c>
      <c r="H86" t="s">
        <v>468</v>
      </c>
      <c r="I86" t="s">
        <v>469</v>
      </c>
      <c r="J86" s="4" t="s">
        <v>70</v>
      </c>
      <c r="K86" s="4" t="s">
        <v>71</v>
      </c>
      <c r="L86" t="s">
        <v>474</v>
      </c>
      <c r="M86" t="s">
        <v>464</v>
      </c>
      <c r="N86" t="s">
        <v>465</v>
      </c>
      <c r="O86">
        <f>IFERROR(VLOOKUP(HEVARIM[[#This Row],[קוד תקציב]],[2]תקציבים!A:L,6,0),0)</f>
        <v>2</v>
      </c>
      <c r="P86" s="5" t="s">
        <v>104</v>
      </c>
      <c r="Q86" t="s">
        <v>11</v>
      </c>
      <c r="R86" s="4">
        <v>31741</v>
      </c>
      <c r="S86" s="4" t="s">
        <v>74</v>
      </c>
      <c r="T86" s="96" t="s">
        <v>468</v>
      </c>
      <c r="U86" t="str">
        <f>VLOOKUP(HEVARIM[[#This Row],[גיל]],GIL,2,1)</f>
        <v>--</v>
      </c>
      <c r="V86" t="str">
        <f>IF(HEVARIM[[#This Row],[קוד מעמד]]="4     ",IF(HEVARIM[[#This Row],[גיל]]=1,1,IF(HEVARIM[[#This Row],[גיל]]&lt;=5,5,18)),"")</f>
        <v/>
      </c>
      <c r="W86">
        <f t="shared" si="4"/>
        <v>0</v>
      </c>
      <c r="X8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86">
        <f>IF(HEVARIM[[#This Row],[מצב משפחתי2]]="אלמן",'[2]ריכוז נתונים'!$AC$2,0)</f>
        <v>0</v>
      </c>
      <c r="Z86" s="3">
        <f>VLOOKUP(VALUE(HEVARIM[[#This Row],[קוד מעמד]]),הנחות!$I$2:$K$21,3,0)</f>
        <v>0</v>
      </c>
      <c r="AA86" t="b">
        <f>ISERROR(VLOOKUP(HEVARIM[[#This Row],[קוד תקציב]],'[2]ריכוז נתונים'!A:A,1,0))</f>
        <v>0</v>
      </c>
      <c r="AB86" s="1">
        <f t="shared" si="5"/>
        <v>0</v>
      </c>
      <c r="AC86" s="2">
        <f ca="1">IF(HEVARIM[[#This Row],[בר מצוה]]&gt;0,YEAR(TODAY())+'תקציבים מיוחדים'!$F$5-HEVARIM[[#This Row],[גיל]],0)</f>
        <v>0</v>
      </c>
      <c r="AD86" s="1">
        <f t="shared" si="6"/>
        <v>0</v>
      </c>
      <c r="AE86" s="2">
        <f ca="1">IF(HEVARIM[[#This Row],[בת מצוה]]&gt;0,YEAR(TODAY())+'תקציבים מיוחדים'!$F$5-HEVARIM[[#This Row],[גיל]],0)</f>
        <v>0</v>
      </c>
      <c r="AF86" s="1">
        <f>IF(AND($S86&gt;="רווק",$Z86=1),AF$4*IF(HEVARIM[[#This Row],[גיל]]&gt;$AF$3,1,(($G86-AF$2)/(AF$3-AF$2))),0)</f>
        <v>0</v>
      </c>
      <c r="AG8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6" s="1">
        <f t="shared" si="7"/>
        <v>0</v>
      </c>
      <c r="AI86" s="2">
        <f ca="1">IF(AH86&gt;0,YEAR(TODAY())+'תקציבים מיוחדים'!$F$7-HEVARIM[[#This Row],[גיל]],0)</f>
        <v>0</v>
      </c>
      <c r="AJ86" s="9">
        <f>IF(AND(ISERROR(VLOOKUP(H86,'[2]ריכוז נתונים'!A:L,1,0)),P86="1     "),1,0)</f>
        <v>0</v>
      </c>
      <c r="AK86" s="1">
        <f>IF(VALUE(HEVARIM[[#This Row],[קוד מעמד]])=1,VLOOKUP((IF(LEFT(HEVARIM[[#This Row],[קוד חבר]],1)="0",HEVARIM[[#This Row],[קוד חבר]],VALUE(HEVARIM[[#This Row],[קוד חבר]]))),'ותק חברה 40'!AQ:AW,7,0),"")</f>
        <v>38.869999999999997</v>
      </c>
      <c r="AL86" s="1">
        <f>IF(AND(VALUE(HEVARIM[[#This Row],[קוד מעמד]])=1,HEVARIM[[#This Row],[ותק מחברה 40]]&lt;25),HEVARIM[[#This Row],[ותק מחברה 40]]/25*הנחות!$C$4,0)</f>
        <v>0</v>
      </c>
      <c r="AM86" s="9" t="str">
        <f ca="1">IF(HEVARIM[[#This Row],[דמי עזיבה 25 שנות ותק]]&gt;0,YEAR(TODAY())+25-ROUNDDOWN(HEVARIM[[#This Row],[ותק מחברה 40]],0),"")</f>
        <v/>
      </c>
      <c r="AN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6" s="9" t="str">
        <f ca="1">IF(HEVARIM[[#This Row],[דמי עזיבה לגיל 65]]&gt;0,YEAR(TODAY())+64-ROUNDDOWN(HEVARIM[[#This Row],[גיל]],0),"")</f>
        <v/>
      </c>
      <c r="AP86" s="1">
        <f>SUMIF(HEVARIM[קוד תקציב],HEVARIM[[#This Row],[קוד תקציב משפחה מקורי]],HEVARIM[ותק מחברה 40])</f>
        <v>86.87</v>
      </c>
      <c r="AQ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86" s="9">
        <f>IF(HEVARIM[[#This Row],[קוד מעמד]]="1     ",IFERROR(VLOOKUP(HEVARIM[[#This Row],[קוד תקציב]],'תקציב צביעה - לקראת השינוי'!A:F,4,0),0),0)</f>
        <v>2033</v>
      </c>
      <c r="AT86" s="1"/>
    </row>
    <row r="87" spans="1:46">
      <c r="A87" t="s">
        <v>668</v>
      </c>
      <c r="B87" t="s">
        <v>669</v>
      </c>
      <c r="C87" t="s">
        <v>466</v>
      </c>
      <c r="D87" t="s">
        <v>670</v>
      </c>
      <c r="E87" t="s">
        <v>67</v>
      </c>
      <c r="F87" s="4">
        <v>32483</v>
      </c>
      <c r="G87">
        <v>37</v>
      </c>
      <c r="H87" t="s">
        <v>671</v>
      </c>
      <c r="I87" t="s">
        <v>669</v>
      </c>
      <c r="J87" s="4" t="s">
        <v>70</v>
      </c>
      <c r="K87" s="4" t="s">
        <v>81</v>
      </c>
      <c r="L87" t="s">
        <v>672</v>
      </c>
      <c r="M87" t="s">
        <v>668</v>
      </c>
      <c r="N87" t="s">
        <v>669</v>
      </c>
      <c r="O87">
        <f>IFERROR(VLOOKUP(HEVARIM[[#This Row],[קוד תקציב]],[2]תקציבים!A:L,6,0),0)</f>
        <v>0</v>
      </c>
      <c r="P87" s="5" t="s">
        <v>83</v>
      </c>
      <c r="Q87" t="s">
        <v>15</v>
      </c>
      <c r="R87" s="4">
        <v>43862</v>
      </c>
      <c r="S87" s="4" t="s">
        <v>145</v>
      </c>
      <c r="T87" s="96" t="s">
        <v>468</v>
      </c>
      <c r="U87" t="str">
        <f>VLOOKUP(HEVARIM[[#This Row],[גיל]],GIL,2,1)</f>
        <v>--</v>
      </c>
      <c r="V87" t="str">
        <f>IF(HEVARIM[[#This Row],[קוד מעמד]]="4     ",IF(HEVARIM[[#This Row],[גיל]]=1,1,IF(HEVARIM[[#This Row],[גיל]]&lt;=5,5,18)),"")</f>
        <v/>
      </c>
      <c r="W87">
        <f t="shared" si="4"/>
        <v>0</v>
      </c>
      <c r="X8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87">
        <f>IF(HEVARIM[[#This Row],[מצב משפחתי2]]="אלמן",'[2]ריכוז נתונים'!$AC$2,0)</f>
        <v>0</v>
      </c>
      <c r="Z87" s="3">
        <f>VLOOKUP(VALUE(HEVARIM[[#This Row],[קוד מעמד]]),הנחות!$I$2:$K$21,3,0)</f>
        <v>0</v>
      </c>
      <c r="AA87" t="b">
        <f>ISERROR(VLOOKUP(HEVARIM[[#This Row],[קוד תקציב]],'[2]ריכוז נתונים'!A:A,1,0))</f>
        <v>1</v>
      </c>
      <c r="AB87" s="1">
        <f t="shared" si="5"/>
        <v>0</v>
      </c>
      <c r="AC87" s="2">
        <f ca="1">IF(HEVARIM[[#This Row],[בר מצוה]]&gt;0,YEAR(TODAY())+'תקציבים מיוחדים'!$F$5-HEVARIM[[#This Row],[גיל]],0)</f>
        <v>0</v>
      </c>
      <c r="AD87" s="1">
        <f t="shared" si="6"/>
        <v>0</v>
      </c>
      <c r="AE87" s="2">
        <f ca="1">IF(HEVARIM[[#This Row],[בת מצוה]]&gt;0,YEAR(TODAY())+'תקציבים מיוחדים'!$F$5-HEVARIM[[#This Row],[גיל]],0)</f>
        <v>0</v>
      </c>
      <c r="AF87" s="1">
        <f>IF(AND($S87&gt;="רווק",$Z87=1),AF$4*IF(HEVARIM[[#This Row],[גיל]]&gt;$AF$3,1,(($G87-AF$2)/(AF$3-AF$2))),0)</f>
        <v>0</v>
      </c>
      <c r="AG8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7" s="1">
        <f t="shared" si="7"/>
        <v>0</v>
      </c>
      <c r="AI87" s="2">
        <f ca="1">IF(AH87&gt;0,YEAR(TODAY())+'תקציבים מיוחדים'!$F$7-HEVARIM[[#This Row],[גיל]],0)</f>
        <v>0</v>
      </c>
      <c r="AJ87" s="9">
        <f>IF(AND(ISERROR(VLOOKUP(H87,'[2]ריכוז נתונים'!A:L,1,0)),P87="1     "),1,0)</f>
        <v>0</v>
      </c>
      <c r="AK8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87" s="1">
        <f>IF(AND(VALUE(HEVARIM[[#This Row],[קוד מעמד]])=1,HEVARIM[[#This Row],[ותק מחברה 40]]&lt;25),HEVARIM[[#This Row],[ותק מחברה 40]]/25*הנחות!$C$4,0)</f>
        <v>0</v>
      </c>
      <c r="AM87" s="9" t="str">
        <f ca="1">IF(HEVARIM[[#This Row],[דמי עזיבה 25 שנות ותק]]&gt;0,YEAR(TODAY())+25-ROUNDDOWN(HEVARIM[[#This Row],[ותק מחברה 40]],0),"")</f>
        <v/>
      </c>
      <c r="AN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7" s="9" t="str">
        <f ca="1">IF(HEVARIM[[#This Row],[דמי עזיבה לגיל 65]]&gt;0,YEAR(TODAY())+64-ROUNDDOWN(HEVARIM[[#This Row],[גיל]],0),"")</f>
        <v/>
      </c>
      <c r="AP87" s="1">
        <f>SUMIF(HEVARIM[קוד תקציב],HEVARIM[[#This Row],[קוד תקציב משפחה מקורי]],HEVARIM[ותק מחברה 40])</f>
        <v>86.87</v>
      </c>
      <c r="AQ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87" s="9">
        <f>IF(HEVARIM[[#This Row],[קוד מעמד]]="1     ",IFERROR(VLOOKUP(HEVARIM[[#This Row],[קוד תקציב]],'תקציב צביעה - לקראת השינוי'!A:F,4,0),0),0)</f>
        <v>0</v>
      </c>
      <c r="AT87" s="1"/>
    </row>
    <row r="88" spans="1:46">
      <c r="A88" t="s">
        <v>475</v>
      </c>
      <c r="B88" t="s">
        <v>3829</v>
      </c>
      <c r="C88" t="s">
        <v>482</v>
      </c>
      <c r="D88" t="s">
        <v>476</v>
      </c>
      <c r="E88" t="s">
        <v>67</v>
      </c>
      <c r="F88" s="4">
        <v>20283</v>
      </c>
      <c r="G88">
        <v>70</v>
      </c>
      <c r="H88" t="s">
        <v>477</v>
      </c>
      <c r="I88" t="s">
        <v>478</v>
      </c>
      <c r="J88" s="4" t="s">
        <v>70</v>
      </c>
      <c r="K88" s="4" t="s">
        <v>71</v>
      </c>
      <c r="L88" t="s">
        <v>479</v>
      </c>
      <c r="M88" t="s">
        <v>475</v>
      </c>
      <c r="N88" t="s">
        <v>3829</v>
      </c>
      <c r="O88">
        <f>IFERROR(VLOOKUP(HEVARIM[[#This Row],[קוד תקציב]],[2]תקציבים!A:L,6,0),0)</f>
        <v>2</v>
      </c>
      <c r="P88" s="5" t="s">
        <v>104</v>
      </c>
      <c r="Q88" t="s">
        <v>11</v>
      </c>
      <c r="R88" s="4">
        <v>32660</v>
      </c>
      <c r="S88" s="4" t="s">
        <v>74</v>
      </c>
      <c r="T88" s="96" t="s">
        <v>477</v>
      </c>
      <c r="U88" t="str">
        <f>VLOOKUP(HEVARIM[[#This Row],[גיל]],GIL,2,1)</f>
        <v>--</v>
      </c>
      <c r="V88" t="str">
        <f>IF(HEVARIM[[#This Row],[קוד מעמד]]="4     ",IF(HEVARIM[[#This Row],[גיל]]=1,1,IF(HEVARIM[[#This Row],[גיל]]&lt;=5,5,18)),"")</f>
        <v/>
      </c>
      <c r="W88">
        <f t="shared" si="4"/>
        <v>2365</v>
      </c>
      <c r="X8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88">
        <f>IF(HEVARIM[[#This Row],[מצב משפחתי2]]="אלמן",'[2]ריכוז נתונים'!$AC$2,0)</f>
        <v>0</v>
      </c>
      <c r="Z88" s="3">
        <f>VLOOKUP(VALUE(HEVARIM[[#This Row],[קוד מעמד]]),הנחות!$I$2:$K$21,3,0)</f>
        <v>0</v>
      </c>
      <c r="AA88" t="b">
        <f>ISERROR(VLOOKUP(HEVARIM[[#This Row],[קוד תקציב]],'[2]ריכוז נתונים'!A:A,1,0))</f>
        <v>0</v>
      </c>
      <c r="AB88" s="1">
        <f t="shared" si="5"/>
        <v>0</v>
      </c>
      <c r="AC88" s="2">
        <f ca="1">IF(HEVARIM[[#This Row],[בר מצוה]]&gt;0,YEAR(TODAY())+'תקציבים מיוחדים'!$F$5-HEVARIM[[#This Row],[גיל]],0)</f>
        <v>0</v>
      </c>
      <c r="AD88" s="1">
        <f t="shared" si="6"/>
        <v>0</v>
      </c>
      <c r="AE88" s="2">
        <f ca="1">IF(HEVARIM[[#This Row],[בת מצוה]]&gt;0,YEAR(TODAY())+'תקציבים מיוחדים'!$F$5-HEVARIM[[#This Row],[גיל]],0)</f>
        <v>0</v>
      </c>
      <c r="AF88" s="1">
        <f>IF(AND($S88&gt;="רווק",$Z88=1),AF$4*IF(HEVARIM[[#This Row],[גיל]]&gt;$AF$3,1,(($G88-AF$2)/(AF$3-AF$2))),0)</f>
        <v>0</v>
      </c>
      <c r="AG8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8" s="1">
        <f t="shared" si="7"/>
        <v>0</v>
      </c>
      <c r="AI88" s="2">
        <f ca="1">IF(AH88&gt;0,YEAR(TODAY())+'תקציבים מיוחדים'!$F$7-HEVARIM[[#This Row],[גיל]],0)</f>
        <v>0</v>
      </c>
      <c r="AJ88" s="9">
        <f>IF(AND(ISERROR(VLOOKUP(H88,'[2]ריכוז נתונים'!A:L,1,0)),P88="1     "),1,0)</f>
        <v>0</v>
      </c>
      <c r="AK88" s="1">
        <f>IF(VALUE(HEVARIM[[#This Row],[קוד מעמד]])=1,VLOOKUP((IF(LEFT(HEVARIM[[#This Row],[קוד חבר]],1)="0",HEVARIM[[#This Row],[קוד חבר]],VALUE(HEVARIM[[#This Row],[קוד חבר]]))),'ותק חברה 40'!AQ:AW,7,0),"")</f>
        <v>36.76</v>
      </c>
      <c r="AL88" s="1">
        <f>IF(AND(VALUE(HEVARIM[[#This Row],[קוד מעמד]])=1,HEVARIM[[#This Row],[ותק מחברה 40]]&lt;25),HEVARIM[[#This Row],[ותק מחברה 40]]/25*הנחות!$C$4,0)</f>
        <v>0</v>
      </c>
      <c r="AM88" s="9" t="str">
        <f ca="1">IF(HEVARIM[[#This Row],[דמי עזיבה 25 שנות ותק]]&gt;0,YEAR(TODAY())+25-ROUNDDOWN(HEVARIM[[#This Row],[ותק מחברה 40]],0),"")</f>
        <v/>
      </c>
      <c r="AN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88" s="9" t="str">
        <f ca="1">IF(HEVARIM[[#This Row],[דמי עזיבה לגיל 65]]&gt;0,YEAR(TODAY())+64-ROUNDDOWN(HEVARIM[[#This Row],[גיל]],0),"")</f>
        <v/>
      </c>
      <c r="AP88" s="1">
        <f>SUMIF(HEVARIM[קוד תקציב],HEVARIM[[#This Row],[קוד תקציב משפחה מקורי]],HEVARIM[ותק מחברה 40])</f>
        <v>73.66</v>
      </c>
      <c r="AQ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88" s="9">
        <f>IF(HEVARIM[[#This Row],[קוד מעמד]]="1     ",IFERROR(VLOOKUP(HEVARIM[[#This Row],[קוד תקציב]],'תקציב צביעה - לקראת השינוי'!A:F,4,0),0),0)</f>
        <v>2027</v>
      </c>
      <c r="AT88" s="1"/>
    </row>
    <row r="89" spans="1:46">
      <c r="A89" t="s">
        <v>480</v>
      </c>
      <c r="B89" t="s">
        <v>481</v>
      </c>
      <c r="C89" t="s">
        <v>482</v>
      </c>
      <c r="D89" t="s">
        <v>483</v>
      </c>
      <c r="E89" t="s">
        <v>79</v>
      </c>
      <c r="F89" s="4">
        <v>22339</v>
      </c>
      <c r="G89">
        <v>64</v>
      </c>
      <c r="H89" t="s">
        <v>477</v>
      </c>
      <c r="I89" t="s">
        <v>478</v>
      </c>
      <c r="J89" s="4" t="s">
        <v>70</v>
      </c>
      <c r="K89" s="4" t="s">
        <v>71</v>
      </c>
      <c r="L89" t="s">
        <v>484</v>
      </c>
      <c r="M89" t="s">
        <v>475</v>
      </c>
      <c r="N89" t="s">
        <v>3829</v>
      </c>
      <c r="O89">
        <f>IFERROR(VLOOKUP(HEVARIM[[#This Row],[קוד תקציב]],[2]תקציבים!A:L,6,0),0)</f>
        <v>2</v>
      </c>
      <c r="P89" s="5" t="s">
        <v>104</v>
      </c>
      <c r="Q89" t="s">
        <v>11</v>
      </c>
      <c r="R89" s="4">
        <v>32660</v>
      </c>
      <c r="S89" s="4" t="s">
        <v>74</v>
      </c>
      <c r="T89" s="96" t="s">
        <v>477</v>
      </c>
      <c r="U89" t="str">
        <f>VLOOKUP(HEVARIM[[#This Row],[גיל]],GIL,2,1)</f>
        <v>--</v>
      </c>
      <c r="V89" t="str">
        <f>IF(HEVARIM[[#This Row],[קוד מעמד]]="4     ",IF(HEVARIM[[#This Row],[גיל]]=1,1,IF(HEVARIM[[#This Row],[גיל]]&lt;=5,5,18)),"")</f>
        <v/>
      </c>
      <c r="W89">
        <f t="shared" si="4"/>
        <v>0</v>
      </c>
      <c r="X8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89">
        <f>IF(HEVARIM[[#This Row],[מצב משפחתי2]]="אלמן",'[2]ריכוז נתונים'!$AC$2,0)</f>
        <v>0</v>
      </c>
      <c r="Z89" s="3">
        <f>VLOOKUP(VALUE(HEVARIM[[#This Row],[קוד מעמד]]),הנחות!$I$2:$K$21,3,0)</f>
        <v>0</v>
      </c>
      <c r="AA89" t="b">
        <f>ISERROR(VLOOKUP(HEVARIM[[#This Row],[קוד תקציב]],'[2]ריכוז נתונים'!A:A,1,0))</f>
        <v>0</v>
      </c>
      <c r="AB89" s="1">
        <f t="shared" si="5"/>
        <v>0</v>
      </c>
      <c r="AC89" s="2">
        <f ca="1">IF(HEVARIM[[#This Row],[בר מצוה]]&gt;0,YEAR(TODAY())+'תקציבים מיוחדים'!$F$5-HEVARIM[[#This Row],[גיל]],0)</f>
        <v>0</v>
      </c>
      <c r="AD89" s="1">
        <f t="shared" si="6"/>
        <v>0</v>
      </c>
      <c r="AE89" s="2">
        <f ca="1">IF(HEVARIM[[#This Row],[בת מצוה]]&gt;0,YEAR(TODAY())+'תקציבים מיוחדים'!$F$5-HEVARIM[[#This Row],[גיל]],0)</f>
        <v>0</v>
      </c>
      <c r="AF89" s="1">
        <f>IF(AND($S89&gt;="רווק",$Z89=1),AF$4*IF(HEVARIM[[#This Row],[גיל]]&gt;$AF$3,1,(($G89-AF$2)/(AF$3-AF$2))),0)</f>
        <v>0</v>
      </c>
      <c r="AG8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89" s="1">
        <f t="shared" si="7"/>
        <v>0</v>
      </c>
      <c r="AI89" s="2">
        <f ca="1">IF(AH89&gt;0,YEAR(TODAY())+'תקציבים מיוחדים'!$F$7-HEVARIM[[#This Row],[גיל]],0)</f>
        <v>0</v>
      </c>
      <c r="AJ89" s="9">
        <f>IF(AND(ISERROR(VLOOKUP(H89,'[2]ריכוז נתונים'!A:L,1,0)),P89="1     "),1,0)</f>
        <v>0</v>
      </c>
      <c r="AK89" s="1">
        <f>IF(VALUE(HEVARIM[[#This Row],[קוד מעמד]])=1,VLOOKUP((IF(LEFT(HEVARIM[[#This Row],[קוד חבר]],1)="0",HEVARIM[[#This Row],[קוד חבר]],VALUE(HEVARIM[[#This Row],[קוד חבר]]))),'ותק חברה 40'!AQ:AW,7,0),"")</f>
        <v>36.9</v>
      </c>
      <c r="AL89" s="1">
        <f>IF(AND(VALUE(HEVARIM[[#This Row],[קוד מעמד]])=1,HEVARIM[[#This Row],[ותק מחברה 40]]&lt;25),HEVARIM[[#This Row],[ותק מחברה 40]]/25*הנחות!$C$4,0)</f>
        <v>0</v>
      </c>
      <c r="AM89" s="9" t="str">
        <f ca="1">IF(HEVARIM[[#This Row],[דמי עזיבה 25 שנות ותק]]&gt;0,YEAR(TODAY())+25-ROUNDDOWN(HEVARIM[[#This Row],[ותק מחברה 40]],0),"")</f>
        <v/>
      </c>
      <c r="AN89" s="1">
        <f>IF(AND(VALUE(HEVARIM[[#This Row],[קוד מעמד]])=1,HEVARIM[[#This Row],[ותק מחברה 40]]&gt;25,HEVARIM[[#This Row],[גיל]]&lt;65),הנחות!$C$14+(HEVARIM[[#This Row],[ותק מחברה 40]]-25)*הנחות!$C$10*0.25,0)</f>
        <v>58714.858124999999</v>
      </c>
      <c r="AO89" s="9">
        <f ca="1">IF(HEVARIM[[#This Row],[דמי עזיבה לגיל 65]]&gt;0,YEAR(TODAY())+64-ROUNDDOWN(HEVARIM[[#This Row],[גיל]],0),"")</f>
        <v>2026</v>
      </c>
      <c r="AP89" s="1">
        <f>SUMIF(HEVARIM[קוד תקציב],HEVARIM[[#This Row],[קוד תקציב משפחה מקורי]],HEVARIM[ותק מחברה 40])</f>
        <v>73.66</v>
      </c>
      <c r="AQ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89" s="9">
        <f>IF(HEVARIM[[#This Row],[קוד מעמד]]="1     ",IFERROR(VLOOKUP(HEVARIM[[#This Row],[קוד תקציב]],'תקציב צביעה - לקראת השינוי'!A:F,4,0),0),0)</f>
        <v>2027</v>
      </c>
      <c r="AT89" s="1"/>
    </row>
    <row r="90" spans="1:46">
      <c r="A90" t="s">
        <v>485</v>
      </c>
      <c r="B90" t="s">
        <v>486</v>
      </c>
      <c r="C90" t="s">
        <v>487</v>
      </c>
      <c r="D90" t="s">
        <v>488</v>
      </c>
      <c r="E90" t="s">
        <v>67</v>
      </c>
      <c r="F90" s="4">
        <v>19124</v>
      </c>
      <c r="G90">
        <v>73</v>
      </c>
      <c r="H90" t="s">
        <v>489</v>
      </c>
      <c r="I90" t="s">
        <v>490</v>
      </c>
      <c r="J90" s="4" t="s">
        <v>70</v>
      </c>
      <c r="K90" s="4" t="s">
        <v>71</v>
      </c>
      <c r="L90" t="s">
        <v>491</v>
      </c>
      <c r="M90" t="s">
        <v>485</v>
      </c>
      <c r="N90" t="s">
        <v>486</v>
      </c>
      <c r="O90">
        <f>IFERROR(VLOOKUP(HEVARIM[[#This Row],[קוד תקציב]],[2]תקציבים!A:L,6,0),0)</f>
        <v>2</v>
      </c>
      <c r="P90" s="5" t="s">
        <v>104</v>
      </c>
      <c r="Q90" t="s">
        <v>11</v>
      </c>
      <c r="R90" s="4">
        <v>25933</v>
      </c>
      <c r="S90" s="4" t="s">
        <v>74</v>
      </c>
      <c r="T90" s="96" t="s">
        <v>489</v>
      </c>
      <c r="U90" t="str">
        <f>VLOOKUP(HEVARIM[[#This Row],[גיל]],GIL,2,1)</f>
        <v>--</v>
      </c>
      <c r="V90" t="str">
        <f>IF(HEVARIM[[#This Row],[קוד מעמד]]="4     ",IF(HEVARIM[[#This Row],[גיל]]=1,1,IF(HEVARIM[[#This Row],[גיל]]&lt;=5,5,18)),"")</f>
        <v/>
      </c>
      <c r="W90">
        <f t="shared" si="4"/>
        <v>2365</v>
      </c>
      <c r="X9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0">
        <f>IF(HEVARIM[[#This Row],[מצב משפחתי2]]="אלמן",'[2]ריכוז נתונים'!$AC$2,0)</f>
        <v>0</v>
      </c>
      <c r="Z90" s="3">
        <f>VLOOKUP(VALUE(HEVARIM[[#This Row],[קוד מעמד]]),הנחות!$I$2:$K$21,3,0)</f>
        <v>0</v>
      </c>
      <c r="AA90" t="b">
        <f>ISERROR(VLOOKUP(HEVARIM[[#This Row],[קוד תקציב]],'[2]ריכוז נתונים'!A:A,1,0))</f>
        <v>0</v>
      </c>
      <c r="AB90" s="1">
        <f t="shared" si="5"/>
        <v>0</v>
      </c>
      <c r="AC90" s="2">
        <f ca="1">IF(HEVARIM[[#This Row],[בר מצוה]]&gt;0,YEAR(TODAY())+'תקציבים מיוחדים'!$F$5-HEVARIM[[#This Row],[גיל]],0)</f>
        <v>0</v>
      </c>
      <c r="AD90" s="1">
        <f t="shared" si="6"/>
        <v>0</v>
      </c>
      <c r="AE90" s="2">
        <f ca="1">IF(HEVARIM[[#This Row],[בת מצוה]]&gt;0,YEAR(TODAY())+'תקציבים מיוחדים'!$F$5-HEVARIM[[#This Row],[גיל]],0)</f>
        <v>0</v>
      </c>
      <c r="AF90" s="1">
        <f>IF(AND($S90&gt;="רווק",$Z90=1),AF$4*IF(HEVARIM[[#This Row],[גיל]]&gt;$AF$3,1,(($G90-AF$2)/(AF$3-AF$2))),0)</f>
        <v>0</v>
      </c>
      <c r="AG9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0" s="1">
        <f t="shared" si="7"/>
        <v>0</v>
      </c>
      <c r="AI90" s="2">
        <f ca="1">IF(AH90&gt;0,YEAR(TODAY())+'תקציבים מיוחדים'!$F$7-HEVARIM[[#This Row],[גיל]],0)</f>
        <v>0</v>
      </c>
      <c r="AJ90" s="9">
        <f>IF(AND(ISERROR(VLOOKUP(H90,'[2]ריכוז נתונים'!A:L,1,0)),P90="1     "),1,0)</f>
        <v>0</v>
      </c>
      <c r="AK9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90" s="1">
        <f>IF(AND(VALUE(HEVARIM[[#This Row],[קוד מעמד]])=1,HEVARIM[[#This Row],[ותק מחברה 40]]&lt;25),HEVARIM[[#This Row],[ותק מחברה 40]]/25*הנחות!$C$4,0)</f>
        <v>0</v>
      </c>
      <c r="AM90" s="9" t="str">
        <f ca="1">IF(HEVARIM[[#This Row],[דמי עזיבה 25 שנות ותק]]&gt;0,YEAR(TODAY())+25-ROUNDDOWN(HEVARIM[[#This Row],[ותק מחברה 40]],0),"")</f>
        <v/>
      </c>
      <c r="AN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0" s="9" t="str">
        <f ca="1">IF(HEVARIM[[#This Row],[דמי עזיבה לגיל 65]]&gt;0,YEAR(TODAY())+64-ROUNDDOWN(HEVARIM[[#This Row],[גיל]],0),"")</f>
        <v/>
      </c>
      <c r="AP90" s="1">
        <f>SUMIF(HEVARIM[קוד תקציב],HEVARIM[[#This Row],[קוד תקציב משפחה מקורי]],HEVARIM[ותק מחברה 40])</f>
        <v>95.82</v>
      </c>
      <c r="AQ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90" s="9">
        <f>IF(HEVARIM[[#This Row],[קוד מעמד]]="1     ",IFERROR(VLOOKUP(HEVARIM[[#This Row],[קוד תקציב]],'תקציב צביעה - לקראת השינוי'!A:F,4,0),0),0)</f>
        <v>2034</v>
      </c>
      <c r="AT90" s="1"/>
    </row>
    <row r="91" spans="1:46">
      <c r="A91" t="s">
        <v>492</v>
      </c>
      <c r="B91" t="s">
        <v>493</v>
      </c>
      <c r="C91" t="s">
        <v>487</v>
      </c>
      <c r="D91" t="s">
        <v>221</v>
      </c>
      <c r="E91" t="s">
        <v>79</v>
      </c>
      <c r="F91" s="4">
        <v>19562</v>
      </c>
      <c r="G91">
        <v>72</v>
      </c>
      <c r="H91" t="s">
        <v>489</v>
      </c>
      <c r="I91" t="s">
        <v>490</v>
      </c>
      <c r="J91" s="4" t="s">
        <v>70</v>
      </c>
      <c r="K91" s="4" t="s">
        <v>71</v>
      </c>
      <c r="L91" t="s">
        <v>494</v>
      </c>
      <c r="M91" t="s">
        <v>485</v>
      </c>
      <c r="N91" t="s">
        <v>486</v>
      </c>
      <c r="O91">
        <f>IFERROR(VLOOKUP(HEVARIM[[#This Row],[קוד תקציב]],[2]תקציבים!A:L,6,0),0)</f>
        <v>2</v>
      </c>
      <c r="P91" s="5" t="s">
        <v>104</v>
      </c>
      <c r="Q91" t="s">
        <v>11</v>
      </c>
      <c r="R91" s="4">
        <v>27673</v>
      </c>
      <c r="S91" s="4" t="s">
        <v>74</v>
      </c>
      <c r="T91" s="96" t="s">
        <v>489</v>
      </c>
      <c r="U91" t="str">
        <f>VLOOKUP(HEVARIM[[#This Row],[גיל]],GIL,2,1)</f>
        <v>--</v>
      </c>
      <c r="V91" t="str">
        <f>IF(HEVARIM[[#This Row],[קוד מעמד]]="4     ",IF(HEVARIM[[#This Row],[גיל]]=1,1,IF(HEVARIM[[#This Row],[גיל]]&lt;=5,5,18)),"")</f>
        <v/>
      </c>
      <c r="W91">
        <f t="shared" si="4"/>
        <v>2365</v>
      </c>
      <c r="X9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1">
        <f>IF(HEVARIM[[#This Row],[מצב משפחתי2]]="אלמן",'[2]ריכוז נתונים'!$AC$2,0)</f>
        <v>0</v>
      </c>
      <c r="Z91" s="3">
        <f>VLOOKUP(VALUE(HEVARIM[[#This Row],[קוד מעמד]]),הנחות!$I$2:$K$21,3,0)</f>
        <v>0</v>
      </c>
      <c r="AA91" t="b">
        <f>ISERROR(VLOOKUP(HEVARIM[[#This Row],[קוד תקציב]],'[2]ריכוז נתונים'!A:A,1,0))</f>
        <v>0</v>
      </c>
      <c r="AB91" s="1">
        <f t="shared" si="5"/>
        <v>0</v>
      </c>
      <c r="AC91" s="2">
        <f ca="1">IF(HEVARIM[[#This Row],[בר מצוה]]&gt;0,YEAR(TODAY())+'תקציבים מיוחדים'!$F$5-HEVARIM[[#This Row],[גיל]],0)</f>
        <v>0</v>
      </c>
      <c r="AD91" s="1">
        <f t="shared" si="6"/>
        <v>0</v>
      </c>
      <c r="AE91" s="2">
        <f ca="1">IF(HEVARIM[[#This Row],[בת מצוה]]&gt;0,YEAR(TODAY())+'תקציבים מיוחדים'!$F$5-HEVARIM[[#This Row],[גיל]],0)</f>
        <v>0</v>
      </c>
      <c r="AF91" s="1">
        <f>IF(AND($S91&gt;="רווק",$Z91=1),AF$4*IF(HEVARIM[[#This Row],[גיל]]&gt;$AF$3,1,(($G91-AF$2)/(AF$3-AF$2))),0)</f>
        <v>0</v>
      </c>
      <c r="AG9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1" s="1">
        <f t="shared" si="7"/>
        <v>0</v>
      </c>
      <c r="AI91" s="2">
        <f ca="1">IF(AH91&gt;0,YEAR(TODAY())+'תקציבים מיוחדים'!$F$7-HEVARIM[[#This Row],[גיל]],0)</f>
        <v>0</v>
      </c>
      <c r="AJ91" s="9">
        <f>IF(AND(ISERROR(VLOOKUP(H91,'[2]ריכוז נתונים'!A:L,1,0)),P91="1     "),1,0)</f>
        <v>0</v>
      </c>
      <c r="AK91" s="1">
        <f>IF(VALUE(HEVARIM[[#This Row],[קוד מעמד]])=1,VLOOKUP((IF(LEFT(HEVARIM[[#This Row],[קוד חבר]],1)="0",HEVARIM[[#This Row],[קוד חבר]],VALUE(HEVARIM[[#This Row],[קוד חבר]]))),'ותק חברה 40'!AQ:AW,7,0),"")</f>
        <v>47.82</v>
      </c>
      <c r="AL91" s="1">
        <f>IF(AND(VALUE(HEVARIM[[#This Row],[קוד מעמד]])=1,HEVARIM[[#This Row],[ותק מחברה 40]]&lt;25),HEVARIM[[#This Row],[ותק מחברה 40]]/25*הנחות!$C$4,0)</f>
        <v>0</v>
      </c>
      <c r="AM91" s="9" t="str">
        <f ca="1">IF(HEVARIM[[#This Row],[דמי עזיבה 25 שנות ותק]]&gt;0,YEAR(TODAY())+25-ROUNDDOWN(HEVARIM[[#This Row],[ותק מחברה 40]],0),"")</f>
        <v/>
      </c>
      <c r="AN9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1" s="9" t="str">
        <f ca="1">IF(HEVARIM[[#This Row],[דמי עזיבה לגיל 65]]&gt;0,YEAR(TODAY())+64-ROUNDDOWN(HEVARIM[[#This Row],[גיל]],0),"")</f>
        <v/>
      </c>
      <c r="AP91" s="1">
        <f>SUMIF(HEVARIM[קוד תקציב],HEVARIM[[#This Row],[קוד תקציב משפחה מקורי]],HEVARIM[ותק מחברה 40])</f>
        <v>95.82</v>
      </c>
      <c r="AQ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91" s="9">
        <f>IF(HEVARIM[[#This Row],[קוד מעמד]]="1     ",IFERROR(VLOOKUP(HEVARIM[[#This Row],[קוד תקציב]],'תקציב צביעה - לקראת השינוי'!A:F,4,0),0),0)</f>
        <v>2034</v>
      </c>
      <c r="AT91" s="1"/>
    </row>
    <row r="92" spans="1:46">
      <c r="A92" t="s">
        <v>495</v>
      </c>
      <c r="B92" t="s">
        <v>496</v>
      </c>
      <c r="C92" t="s">
        <v>431</v>
      </c>
      <c r="D92" t="s">
        <v>497</v>
      </c>
      <c r="E92" t="s">
        <v>67</v>
      </c>
      <c r="F92" s="4">
        <v>19527</v>
      </c>
      <c r="G92">
        <v>72</v>
      </c>
      <c r="H92" t="s">
        <v>498</v>
      </c>
      <c r="I92" t="s">
        <v>499</v>
      </c>
      <c r="J92" s="4" t="s">
        <v>70</v>
      </c>
      <c r="K92" s="4" t="s">
        <v>71</v>
      </c>
      <c r="L92" t="s">
        <v>500</v>
      </c>
      <c r="M92" t="s">
        <v>495</v>
      </c>
      <c r="N92" t="s">
        <v>496</v>
      </c>
      <c r="O92">
        <f>IFERROR(VLOOKUP(HEVARIM[[#This Row],[קוד תקציב]],[2]תקציבים!A:L,6,0),0)</f>
        <v>2</v>
      </c>
      <c r="P92" s="5" t="s">
        <v>104</v>
      </c>
      <c r="Q92" t="s">
        <v>11</v>
      </c>
      <c r="R92" s="4">
        <v>19527</v>
      </c>
      <c r="S92" s="4" t="s">
        <v>74</v>
      </c>
      <c r="T92" s="96" t="s">
        <v>498</v>
      </c>
      <c r="U92" t="str">
        <f>VLOOKUP(HEVARIM[[#This Row],[גיל]],GIL,2,1)</f>
        <v>--</v>
      </c>
      <c r="V92" t="str">
        <f>IF(HEVARIM[[#This Row],[קוד מעמד]]="4     ",IF(HEVARIM[[#This Row],[גיל]]=1,1,IF(HEVARIM[[#This Row],[גיל]]&lt;=5,5,18)),"")</f>
        <v/>
      </c>
      <c r="W92">
        <f t="shared" si="4"/>
        <v>2365</v>
      </c>
      <c r="X9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2">
        <f>IF(HEVARIM[[#This Row],[מצב משפחתי2]]="אלמן",'[2]ריכוז נתונים'!$AC$2,0)</f>
        <v>0</v>
      </c>
      <c r="Z92" s="3">
        <f>VLOOKUP(VALUE(HEVARIM[[#This Row],[קוד מעמד]]),הנחות!$I$2:$K$21,3,0)</f>
        <v>0</v>
      </c>
      <c r="AA92" t="b">
        <f>ISERROR(VLOOKUP(HEVARIM[[#This Row],[קוד תקציב]],'[2]ריכוז נתונים'!A:A,1,0))</f>
        <v>0</v>
      </c>
      <c r="AB92" s="1">
        <f t="shared" si="5"/>
        <v>0</v>
      </c>
      <c r="AC92" s="2">
        <f ca="1">IF(HEVARIM[[#This Row],[בר מצוה]]&gt;0,YEAR(TODAY())+'תקציבים מיוחדים'!$F$5-HEVARIM[[#This Row],[גיל]],0)</f>
        <v>0</v>
      </c>
      <c r="AD92" s="1">
        <f t="shared" si="6"/>
        <v>0</v>
      </c>
      <c r="AE92" s="2">
        <f ca="1">IF(HEVARIM[[#This Row],[בת מצוה]]&gt;0,YEAR(TODAY())+'תקציבים מיוחדים'!$F$5-HEVARIM[[#This Row],[גיל]],0)</f>
        <v>0</v>
      </c>
      <c r="AF92" s="1">
        <f>IF(AND($S92&gt;="רווק",$Z92=1),AF$4*IF(HEVARIM[[#This Row],[גיל]]&gt;$AF$3,1,(($G92-AF$2)/(AF$3-AF$2))),0)</f>
        <v>0</v>
      </c>
      <c r="AG9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2" s="1">
        <f t="shared" si="7"/>
        <v>0</v>
      </c>
      <c r="AI92" s="2">
        <f ca="1">IF(AH92&gt;0,YEAR(TODAY())+'תקציבים מיוחדים'!$F$7-HEVARIM[[#This Row],[גיל]],0)</f>
        <v>0</v>
      </c>
      <c r="AJ92" s="9">
        <f>IF(AND(ISERROR(VLOOKUP(H92,'[2]ריכוז נתונים'!A:L,1,0)),P92="1     "),1,0)</f>
        <v>0</v>
      </c>
      <c r="AK92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92" s="1">
        <f>IF(AND(VALUE(HEVARIM[[#This Row],[קוד מעמד]])=1,HEVARIM[[#This Row],[ותק מחברה 40]]&lt;25),HEVARIM[[#This Row],[ותק מחברה 40]]/25*הנחות!$C$4,0)</f>
        <v>0</v>
      </c>
      <c r="AM92" s="9" t="str">
        <f ca="1">IF(HEVARIM[[#This Row],[דמי עזיבה 25 שנות ותק]]&gt;0,YEAR(TODAY())+25-ROUNDDOWN(HEVARIM[[#This Row],[ותק מחברה 40]],0),"")</f>
        <v/>
      </c>
      <c r="AN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2" s="9" t="str">
        <f ca="1">IF(HEVARIM[[#This Row],[דמי עזיבה לגיל 65]]&gt;0,YEAR(TODAY())+64-ROUNDDOWN(HEVARIM[[#This Row],[גיל]],0),"")</f>
        <v/>
      </c>
      <c r="AP92" s="1">
        <f>SUMIF(HEVARIM[קוד תקציב],HEVARIM[[#This Row],[קוד תקציב משפחה מקורי]],HEVARIM[ותק מחברה 40])</f>
        <v>96</v>
      </c>
      <c r="AQ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92" s="9">
        <f>IF(HEVARIM[[#This Row],[קוד מעמד]]="1     ",IFERROR(VLOOKUP(HEVARIM[[#This Row],[קוד תקציב]],'תקציב צביעה - לקראת השינוי'!A:F,4,0),0),0)</f>
        <v>2029</v>
      </c>
      <c r="AT92" s="1"/>
    </row>
    <row r="93" spans="1:46">
      <c r="A93" t="s">
        <v>501</v>
      </c>
      <c r="B93" t="s">
        <v>502</v>
      </c>
      <c r="C93" t="s">
        <v>431</v>
      </c>
      <c r="D93" t="s">
        <v>503</v>
      </c>
      <c r="E93" t="s">
        <v>79</v>
      </c>
      <c r="F93" s="4">
        <v>20456</v>
      </c>
      <c r="G93">
        <v>69</v>
      </c>
      <c r="H93" t="s">
        <v>498</v>
      </c>
      <c r="I93" t="s">
        <v>499</v>
      </c>
      <c r="J93" s="4" t="s">
        <v>70</v>
      </c>
      <c r="K93" s="4" t="s">
        <v>71</v>
      </c>
      <c r="L93" t="s">
        <v>504</v>
      </c>
      <c r="M93" t="s">
        <v>495</v>
      </c>
      <c r="N93" t="s">
        <v>496</v>
      </c>
      <c r="O93">
        <f>IFERROR(VLOOKUP(HEVARIM[[#This Row],[קוד תקציב]],[2]תקציבים!A:L,6,0),0)</f>
        <v>2</v>
      </c>
      <c r="P93" s="5" t="s">
        <v>104</v>
      </c>
      <c r="Q93" t="s">
        <v>11</v>
      </c>
      <c r="R93" s="4">
        <v>27029</v>
      </c>
      <c r="S93" s="4" t="s">
        <v>74</v>
      </c>
      <c r="T93" s="96" t="s">
        <v>498</v>
      </c>
      <c r="U93" t="str">
        <f>VLOOKUP(HEVARIM[[#This Row],[גיל]],GIL,2,1)</f>
        <v>--</v>
      </c>
      <c r="V93" t="str">
        <f>IF(HEVARIM[[#This Row],[קוד מעמד]]="4     ",IF(HEVARIM[[#This Row],[גיל]]=1,1,IF(HEVARIM[[#This Row],[גיל]]&lt;=5,5,18)),"")</f>
        <v/>
      </c>
      <c r="W93">
        <f t="shared" si="4"/>
        <v>2365</v>
      </c>
      <c r="X9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3">
        <f>IF(HEVARIM[[#This Row],[מצב משפחתי2]]="אלמן",'[2]ריכוז נתונים'!$AC$2,0)</f>
        <v>0</v>
      </c>
      <c r="Z93" s="3">
        <f>VLOOKUP(VALUE(HEVARIM[[#This Row],[קוד מעמד]]),הנחות!$I$2:$K$21,3,0)</f>
        <v>0</v>
      </c>
      <c r="AA93" t="b">
        <f>ISERROR(VLOOKUP(HEVARIM[[#This Row],[קוד תקציב]],'[2]ריכוז נתונים'!A:A,1,0))</f>
        <v>0</v>
      </c>
      <c r="AB93" s="1">
        <f t="shared" si="5"/>
        <v>0</v>
      </c>
      <c r="AC93" s="2">
        <f ca="1">IF(HEVARIM[[#This Row],[בר מצוה]]&gt;0,YEAR(TODAY())+'תקציבים מיוחדים'!$F$5-HEVARIM[[#This Row],[גיל]],0)</f>
        <v>0</v>
      </c>
      <c r="AD93" s="1">
        <f t="shared" si="6"/>
        <v>0</v>
      </c>
      <c r="AE93" s="2">
        <f ca="1">IF(HEVARIM[[#This Row],[בת מצוה]]&gt;0,YEAR(TODAY())+'תקציבים מיוחדים'!$F$5-HEVARIM[[#This Row],[גיל]],0)</f>
        <v>0</v>
      </c>
      <c r="AF93" s="1">
        <f>IF(AND($S93&gt;="רווק",$Z93=1),AF$4*IF(HEVARIM[[#This Row],[גיל]]&gt;$AF$3,1,(($G93-AF$2)/(AF$3-AF$2))),0)</f>
        <v>0</v>
      </c>
      <c r="AG9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3" s="1">
        <f t="shared" si="7"/>
        <v>0</v>
      </c>
      <c r="AI93" s="2">
        <f ca="1">IF(AH93&gt;0,YEAR(TODAY())+'תקציבים מיוחדים'!$F$7-HEVARIM[[#This Row],[גיל]],0)</f>
        <v>0</v>
      </c>
      <c r="AJ93" s="9">
        <f>IF(AND(ISERROR(VLOOKUP(H93,'[2]ריכוז נתונים'!A:L,1,0)),P93="1     "),1,0)</f>
        <v>0</v>
      </c>
      <c r="AK93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93" s="1">
        <f>IF(AND(VALUE(HEVARIM[[#This Row],[קוד מעמד]])=1,HEVARIM[[#This Row],[ותק מחברה 40]]&lt;25),HEVARIM[[#This Row],[ותק מחברה 40]]/25*הנחות!$C$4,0)</f>
        <v>0</v>
      </c>
      <c r="AM93" s="9" t="str">
        <f ca="1">IF(HEVARIM[[#This Row],[דמי עזיבה 25 שנות ותק]]&gt;0,YEAR(TODAY())+25-ROUNDDOWN(HEVARIM[[#This Row],[ותק מחברה 40]],0),"")</f>
        <v/>
      </c>
      <c r="AN9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3" s="9" t="str">
        <f ca="1">IF(HEVARIM[[#This Row],[דמי עזיבה לגיל 65]]&gt;0,YEAR(TODAY())+64-ROUNDDOWN(HEVARIM[[#This Row],[גיל]],0),"")</f>
        <v/>
      </c>
      <c r="AP93" s="1">
        <f>SUMIF(HEVARIM[קוד תקציב],HEVARIM[[#This Row],[קוד תקציב משפחה מקורי]],HEVARIM[ותק מחברה 40])</f>
        <v>96</v>
      </c>
      <c r="AQ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93" s="9">
        <f>IF(HEVARIM[[#This Row],[קוד מעמד]]="1     ",IFERROR(VLOOKUP(HEVARIM[[#This Row],[קוד תקציב]],'תקציב צביעה - לקראת השינוי'!A:F,4,0),0),0)</f>
        <v>2029</v>
      </c>
      <c r="AT93" s="1"/>
    </row>
    <row r="94" spans="1:46">
      <c r="A94" t="s">
        <v>505</v>
      </c>
      <c r="B94" t="s">
        <v>506</v>
      </c>
      <c r="C94" t="s">
        <v>507</v>
      </c>
      <c r="D94" t="s">
        <v>508</v>
      </c>
      <c r="E94" t="s">
        <v>67</v>
      </c>
      <c r="F94" s="4">
        <v>20385</v>
      </c>
      <c r="G94">
        <v>70</v>
      </c>
      <c r="H94" t="s">
        <v>509</v>
      </c>
      <c r="I94" t="s">
        <v>510</v>
      </c>
      <c r="J94" s="4" t="s">
        <v>70</v>
      </c>
      <c r="K94" s="4" t="s">
        <v>71</v>
      </c>
      <c r="L94" t="s">
        <v>511</v>
      </c>
      <c r="M94" t="s">
        <v>505</v>
      </c>
      <c r="N94" t="s">
        <v>506</v>
      </c>
      <c r="O94">
        <f>IFERROR(VLOOKUP(HEVARIM[[#This Row],[קוד תקציב]],[2]תקציבים!A:L,6,0),0)</f>
        <v>2</v>
      </c>
      <c r="P94" s="5" t="s">
        <v>104</v>
      </c>
      <c r="Q94" t="s">
        <v>11</v>
      </c>
      <c r="R94" s="4">
        <v>27029</v>
      </c>
      <c r="S94" s="4" t="s">
        <v>74</v>
      </c>
      <c r="T94" s="96" t="s">
        <v>509</v>
      </c>
      <c r="U94" t="str">
        <f>VLOOKUP(HEVARIM[[#This Row],[גיל]],GIL,2,1)</f>
        <v>--</v>
      </c>
      <c r="V94" t="str">
        <f>IF(HEVARIM[[#This Row],[קוד מעמד]]="4     ",IF(HEVARIM[[#This Row],[גיל]]=1,1,IF(HEVARIM[[#This Row],[גיל]]&lt;=5,5,18)),"")</f>
        <v/>
      </c>
      <c r="W94">
        <f t="shared" si="4"/>
        <v>2365</v>
      </c>
      <c r="X9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4">
        <f>IF(HEVARIM[[#This Row],[מצב משפחתי2]]="אלמן",'[2]ריכוז נתונים'!$AC$2,0)</f>
        <v>0</v>
      </c>
      <c r="Z94" s="3">
        <f>VLOOKUP(VALUE(HEVARIM[[#This Row],[קוד מעמד]]),הנחות!$I$2:$K$21,3,0)</f>
        <v>0</v>
      </c>
      <c r="AA94" t="b">
        <f>ISERROR(VLOOKUP(HEVARIM[[#This Row],[קוד תקציב]],'[2]ריכוז נתונים'!A:A,1,0))</f>
        <v>0</v>
      </c>
      <c r="AB94" s="1">
        <f t="shared" si="5"/>
        <v>0</v>
      </c>
      <c r="AC94" s="2">
        <f ca="1">IF(HEVARIM[[#This Row],[בר מצוה]]&gt;0,YEAR(TODAY())+'תקציבים מיוחדים'!$F$5-HEVARIM[[#This Row],[גיל]],0)</f>
        <v>0</v>
      </c>
      <c r="AD94" s="1">
        <f t="shared" si="6"/>
        <v>0</v>
      </c>
      <c r="AE94" s="2">
        <f ca="1">IF(HEVARIM[[#This Row],[בת מצוה]]&gt;0,YEAR(TODAY())+'תקציבים מיוחדים'!$F$5-HEVARIM[[#This Row],[גיל]],0)</f>
        <v>0</v>
      </c>
      <c r="AF94" s="1">
        <f>IF(AND($S94&gt;="רווק",$Z94=1),AF$4*IF(HEVARIM[[#This Row],[גיל]]&gt;$AF$3,1,(($G94-AF$2)/(AF$3-AF$2))),0)</f>
        <v>0</v>
      </c>
      <c r="AG9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4" s="1">
        <f t="shared" si="7"/>
        <v>0</v>
      </c>
      <c r="AI94" s="2">
        <f ca="1">IF(AH94&gt;0,YEAR(TODAY())+'תקציבים מיוחדים'!$F$7-HEVARIM[[#This Row],[גיל]],0)</f>
        <v>0</v>
      </c>
      <c r="AJ94" s="9">
        <f>IF(AND(ISERROR(VLOOKUP(H94,'[2]ריכוז נתונים'!A:L,1,0)),P94="1     "),1,0)</f>
        <v>0</v>
      </c>
      <c r="AK94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94" s="1">
        <f>IF(AND(VALUE(HEVARIM[[#This Row],[קוד מעמד]])=1,HEVARIM[[#This Row],[ותק מחברה 40]]&lt;25),HEVARIM[[#This Row],[ותק מחברה 40]]/25*הנחות!$C$4,0)</f>
        <v>0</v>
      </c>
      <c r="AM94" s="9" t="str">
        <f ca="1">IF(HEVARIM[[#This Row],[דמי עזיבה 25 שנות ותק]]&gt;0,YEAR(TODAY())+25-ROUNDDOWN(HEVARIM[[#This Row],[ותק מחברה 40]],0),"")</f>
        <v/>
      </c>
      <c r="AN9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4" s="9" t="str">
        <f ca="1">IF(HEVARIM[[#This Row],[דמי עזיבה לגיל 65]]&gt;0,YEAR(TODAY())+64-ROUNDDOWN(HEVARIM[[#This Row],[גיל]],0),"")</f>
        <v/>
      </c>
      <c r="AP94" s="1">
        <f>SUMIF(HEVARIM[קוד תקציב],HEVARIM[[#This Row],[קוד תקציב משפחה מקורי]],HEVARIM[ותק מחברה 40])</f>
        <v>96</v>
      </c>
      <c r="AQ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94" s="9">
        <f>IF(HEVARIM[[#This Row],[קוד מעמד]]="1     ",IFERROR(VLOOKUP(HEVARIM[[#This Row],[קוד תקציב]],'תקציב צביעה - לקראת השינוי'!A:F,4,0),0),0)</f>
        <v>2032</v>
      </c>
      <c r="AT94" s="1"/>
    </row>
    <row r="95" spans="1:46">
      <c r="A95" t="s">
        <v>512</v>
      </c>
      <c r="B95" t="s">
        <v>513</v>
      </c>
      <c r="C95" t="s">
        <v>507</v>
      </c>
      <c r="D95" t="s">
        <v>514</v>
      </c>
      <c r="E95" t="s">
        <v>79</v>
      </c>
      <c r="F95" s="4">
        <v>20265</v>
      </c>
      <c r="G95">
        <v>70</v>
      </c>
      <c r="H95" t="s">
        <v>509</v>
      </c>
      <c r="I95" t="s">
        <v>510</v>
      </c>
      <c r="J95" s="4" t="s">
        <v>70</v>
      </c>
      <c r="K95" s="4" t="s">
        <v>71</v>
      </c>
      <c r="L95" t="s">
        <v>515</v>
      </c>
      <c r="M95" t="s">
        <v>505</v>
      </c>
      <c r="N95" t="s">
        <v>506</v>
      </c>
      <c r="O95">
        <f>IFERROR(VLOOKUP(HEVARIM[[#This Row],[קוד תקציב]],[2]תקציבים!A:L,6,0),0)</f>
        <v>2</v>
      </c>
      <c r="P95" s="5" t="s">
        <v>104</v>
      </c>
      <c r="Q95" t="s">
        <v>11</v>
      </c>
      <c r="R95" s="4">
        <v>28490</v>
      </c>
      <c r="S95" s="4" t="s">
        <v>74</v>
      </c>
      <c r="T95" s="96" t="s">
        <v>509</v>
      </c>
      <c r="U95" t="str">
        <f>VLOOKUP(HEVARIM[[#This Row],[גיל]],GIL,2,1)</f>
        <v>--</v>
      </c>
      <c r="V95" t="str">
        <f>IF(HEVARIM[[#This Row],[קוד מעמד]]="4     ",IF(HEVARIM[[#This Row],[גיל]]=1,1,IF(HEVARIM[[#This Row],[גיל]]&lt;=5,5,18)),"")</f>
        <v/>
      </c>
      <c r="W95">
        <f t="shared" si="4"/>
        <v>2365</v>
      </c>
      <c r="X9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5">
        <f>IF(HEVARIM[[#This Row],[מצב משפחתי2]]="אלמן",'[2]ריכוז נתונים'!$AC$2,0)</f>
        <v>0</v>
      </c>
      <c r="Z95" s="3">
        <f>VLOOKUP(VALUE(HEVARIM[[#This Row],[קוד מעמד]]),הנחות!$I$2:$K$21,3,0)</f>
        <v>0</v>
      </c>
      <c r="AA95" t="b">
        <f>ISERROR(VLOOKUP(HEVARIM[[#This Row],[קוד תקציב]],'[2]ריכוז נתונים'!A:A,1,0))</f>
        <v>0</v>
      </c>
      <c r="AB95" s="1">
        <f t="shared" si="5"/>
        <v>0</v>
      </c>
      <c r="AC95" s="2">
        <f ca="1">IF(HEVARIM[[#This Row],[בר מצוה]]&gt;0,YEAR(TODAY())+'תקציבים מיוחדים'!$F$5-HEVARIM[[#This Row],[גיל]],0)</f>
        <v>0</v>
      </c>
      <c r="AD95" s="1">
        <f t="shared" si="6"/>
        <v>0</v>
      </c>
      <c r="AE95" s="2">
        <f ca="1">IF(HEVARIM[[#This Row],[בת מצוה]]&gt;0,YEAR(TODAY())+'תקציבים מיוחדים'!$F$5-HEVARIM[[#This Row],[גיל]],0)</f>
        <v>0</v>
      </c>
      <c r="AF95" s="1">
        <f>IF(AND($S95&gt;="רווק",$Z95=1),AF$4*IF(HEVARIM[[#This Row],[גיל]]&gt;$AF$3,1,(($G95-AF$2)/(AF$3-AF$2))),0)</f>
        <v>0</v>
      </c>
      <c r="AG9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5" s="1">
        <f t="shared" si="7"/>
        <v>0</v>
      </c>
      <c r="AI95" s="2">
        <f ca="1">IF(AH95&gt;0,YEAR(TODAY())+'תקציבים מיוחדים'!$F$7-HEVARIM[[#This Row],[גיל]],0)</f>
        <v>0</v>
      </c>
      <c r="AJ95" s="9">
        <f>IF(AND(ISERROR(VLOOKUP(H95,'[2]ריכוז נתונים'!A:L,1,0)),P95="1     "),1,0)</f>
        <v>0</v>
      </c>
      <c r="AK95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95" s="1">
        <f>IF(AND(VALUE(HEVARIM[[#This Row],[קוד מעמד]])=1,HEVARIM[[#This Row],[ותק מחברה 40]]&lt;25),HEVARIM[[#This Row],[ותק מחברה 40]]/25*הנחות!$C$4,0)</f>
        <v>0</v>
      </c>
      <c r="AM95" s="9" t="str">
        <f ca="1">IF(HEVARIM[[#This Row],[דמי עזיבה 25 שנות ותק]]&gt;0,YEAR(TODAY())+25-ROUNDDOWN(HEVARIM[[#This Row],[ותק מחברה 40]],0),"")</f>
        <v/>
      </c>
      <c r="AN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5" s="9" t="str">
        <f ca="1">IF(HEVARIM[[#This Row],[דמי עזיבה לגיל 65]]&gt;0,YEAR(TODAY())+64-ROUNDDOWN(HEVARIM[[#This Row],[גיל]],0),"")</f>
        <v/>
      </c>
      <c r="AP95" s="1">
        <f>SUMIF(HEVARIM[קוד תקציב],HEVARIM[[#This Row],[קוד תקציב משפחה מקורי]],HEVARIM[ותק מחברה 40])</f>
        <v>96</v>
      </c>
      <c r="AQ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95" s="9">
        <f>IF(HEVARIM[[#This Row],[קוד מעמד]]="1     ",IFERROR(VLOOKUP(HEVARIM[[#This Row],[קוד תקציב]],'תקציב צביעה - לקראת השינוי'!A:F,4,0),0),0)</f>
        <v>2032</v>
      </c>
      <c r="AT95" s="1"/>
    </row>
    <row r="96" spans="1:46">
      <c r="A96" t="s">
        <v>523</v>
      </c>
      <c r="B96" t="s">
        <v>524</v>
      </c>
      <c r="C96" t="s">
        <v>518</v>
      </c>
      <c r="D96" t="s">
        <v>503</v>
      </c>
      <c r="E96" t="s">
        <v>79</v>
      </c>
      <c r="F96" s="4">
        <v>20724</v>
      </c>
      <c r="G96">
        <v>69</v>
      </c>
      <c r="H96" t="s">
        <v>520</v>
      </c>
      <c r="I96" t="s">
        <v>521</v>
      </c>
      <c r="J96" s="4" t="s">
        <v>70</v>
      </c>
      <c r="K96" s="4" t="s">
        <v>71</v>
      </c>
      <c r="L96" t="s">
        <v>525</v>
      </c>
      <c r="M96" t="s">
        <v>516</v>
      </c>
      <c r="N96" t="s">
        <v>517</v>
      </c>
      <c r="O96">
        <f>IFERROR(VLOOKUP(HEVARIM[[#This Row],[קוד תקציב]],[2]תקציבים!A:L,6,0),0)</f>
        <v>2</v>
      </c>
      <c r="P96" s="5" t="s">
        <v>104</v>
      </c>
      <c r="Q96" t="s">
        <v>11</v>
      </c>
      <c r="R96" s="4">
        <v>29159</v>
      </c>
      <c r="S96" s="4" t="s">
        <v>74</v>
      </c>
      <c r="T96" s="96" t="s">
        <v>520</v>
      </c>
      <c r="U96" t="str">
        <f>VLOOKUP(HEVARIM[[#This Row],[גיל]],GIL,2,1)</f>
        <v>--</v>
      </c>
      <c r="V96" t="str">
        <f>IF(HEVARIM[[#This Row],[קוד מעמד]]="4     ",IF(HEVARIM[[#This Row],[גיל]]=1,1,IF(HEVARIM[[#This Row],[גיל]]&lt;=5,5,18)),"")</f>
        <v/>
      </c>
      <c r="W96">
        <f t="shared" si="4"/>
        <v>2365</v>
      </c>
      <c r="X9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6">
        <f>IF(HEVARIM[[#This Row],[מצב משפחתי2]]="אלמן",'[2]ריכוז נתונים'!$AC$2,0)</f>
        <v>0</v>
      </c>
      <c r="Z96" s="3">
        <f>VLOOKUP(VALUE(HEVARIM[[#This Row],[קוד מעמד]]),הנחות!$I$2:$K$21,3,0)</f>
        <v>0</v>
      </c>
      <c r="AA96" t="b">
        <f>ISERROR(VLOOKUP(HEVARIM[[#This Row],[קוד תקציב]],'[2]ריכוז נתונים'!A:A,1,0))</f>
        <v>0</v>
      </c>
      <c r="AB96" s="1">
        <f t="shared" si="5"/>
        <v>0</v>
      </c>
      <c r="AC96" s="2">
        <f ca="1">IF(HEVARIM[[#This Row],[בר מצוה]]&gt;0,YEAR(TODAY())+'תקציבים מיוחדים'!$F$5-HEVARIM[[#This Row],[גיל]],0)</f>
        <v>0</v>
      </c>
      <c r="AD96" s="1">
        <f t="shared" si="6"/>
        <v>0</v>
      </c>
      <c r="AE96" s="2">
        <f ca="1">IF(HEVARIM[[#This Row],[בת מצוה]]&gt;0,YEAR(TODAY())+'תקציבים מיוחדים'!$F$5-HEVARIM[[#This Row],[גיל]],0)</f>
        <v>0</v>
      </c>
      <c r="AF96" s="1">
        <f>IF(AND($S96&gt;="רווק",$Z96=1),AF$4*IF(HEVARIM[[#This Row],[גיל]]&gt;$AF$3,1,(($G96-AF$2)/(AF$3-AF$2))),0)</f>
        <v>0</v>
      </c>
      <c r="AG9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6" s="1">
        <f t="shared" si="7"/>
        <v>0</v>
      </c>
      <c r="AI96" s="2">
        <f ca="1">IF(AH96&gt;0,YEAR(TODAY())+'תקציבים מיוחדים'!$F$7-HEVARIM[[#This Row],[גיל]],0)</f>
        <v>0</v>
      </c>
      <c r="AJ96" s="9">
        <f>IF(AND(ISERROR(VLOOKUP(H96,'[2]ריכוז נתונים'!A:L,1,0)),P96="1     "),1,0)</f>
        <v>0</v>
      </c>
      <c r="AK96" s="1">
        <f>IF(VALUE(HEVARIM[[#This Row],[קוד מעמד]])=1,VLOOKUP((IF(LEFT(HEVARIM[[#This Row],[קוד חבר]],1)="0",HEVARIM[[#This Row],[קוד חבר]],VALUE(HEVARIM[[#This Row],[קוד חבר]]))),'ותק חברה 40'!AQ:AW,7,0),"")</f>
        <v>45.89</v>
      </c>
      <c r="AL96" s="1">
        <f>IF(AND(VALUE(HEVARIM[[#This Row],[קוד מעמד]])=1,HEVARIM[[#This Row],[ותק מחברה 40]]&lt;25),HEVARIM[[#This Row],[ותק מחברה 40]]/25*הנחות!$C$4,0)</f>
        <v>0</v>
      </c>
      <c r="AM96" s="9" t="str">
        <f ca="1">IF(HEVARIM[[#This Row],[דמי עזיבה 25 שנות ותק]]&gt;0,YEAR(TODAY())+25-ROUNDDOWN(HEVARIM[[#This Row],[ותק מחברה 40]],0),"")</f>
        <v/>
      </c>
      <c r="AN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6" s="9" t="str">
        <f ca="1">IF(HEVARIM[[#This Row],[דמי עזיבה לגיל 65]]&gt;0,YEAR(TODAY())+64-ROUNDDOWN(HEVARIM[[#This Row],[גיל]],0),"")</f>
        <v/>
      </c>
      <c r="AP96" s="1">
        <f>SUMIF(HEVARIM[קוד תקציב],HEVARIM[[#This Row],[קוד תקציב משפחה מקורי]],HEVARIM[ותק מחברה 40])</f>
        <v>91.15</v>
      </c>
      <c r="AQ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96" s="9">
        <f>IF(HEVARIM[[#This Row],[קוד מעמד]]="1     ",IFERROR(VLOOKUP(HEVARIM[[#This Row],[קוד תקציב]],'תקציב צביעה - לקראת השינוי'!A:F,4,0),0),0)</f>
        <v>2028</v>
      </c>
      <c r="AT96" s="1"/>
    </row>
    <row r="97" spans="1:46">
      <c r="A97" t="s">
        <v>526</v>
      </c>
      <c r="B97" t="s">
        <v>527</v>
      </c>
      <c r="C97" t="s">
        <v>528</v>
      </c>
      <c r="D97" t="s">
        <v>467</v>
      </c>
      <c r="E97" t="s">
        <v>67</v>
      </c>
      <c r="F97" s="4">
        <v>19621</v>
      </c>
      <c r="G97">
        <v>72</v>
      </c>
      <c r="H97" t="s">
        <v>529</v>
      </c>
      <c r="I97" t="s">
        <v>530</v>
      </c>
      <c r="J97" s="4" t="s">
        <v>70</v>
      </c>
      <c r="K97" s="4" t="s">
        <v>71</v>
      </c>
      <c r="L97" t="s">
        <v>531</v>
      </c>
      <c r="M97" t="s">
        <v>526</v>
      </c>
      <c r="N97" t="s">
        <v>527</v>
      </c>
      <c r="O97">
        <f>IFERROR(VLOOKUP(HEVARIM[[#This Row],[קוד תקציב]],[2]תקציבים!A:L,6,0),0)</f>
        <v>2</v>
      </c>
      <c r="P97" s="5" t="s">
        <v>104</v>
      </c>
      <c r="Q97" t="s">
        <v>11</v>
      </c>
      <c r="R97" s="4">
        <v>29499</v>
      </c>
      <c r="S97" s="4" t="s">
        <v>74</v>
      </c>
      <c r="T97" s="96" t="s">
        <v>529</v>
      </c>
      <c r="U97" t="str">
        <f>VLOOKUP(HEVARIM[[#This Row],[גיל]],GIL,2,1)</f>
        <v>--</v>
      </c>
      <c r="V97" t="str">
        <f>IF(HEVARIM[[#This Row],[קוד מעמד]]="4     ",IF(HEVARIM[[#This Row],[גיל]]=1,1,IF(HEVARIM[[#This Row],[גיל]]&lt;=5,5,18)),"")</f>
        <v/>
      </c>
      <c r="W97">
        <f t="shared" si="4"/>
        <v>2365</v>
      </c>
      <c r="X9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7">
        <f>IF(HEVARIM[[#This Row],[מצב משפחתי2]]="אלמן",'[2]ריכוז נתונים'!$AC$2,0)</f>
        <v>0</v>
      </c>
      <c r="Z97" s="3">
        <f>VLOOKUP(VALUE(HEVARIM[[#This Row],[קוד מעמד]]),הנחות!$I$2:$K$21,3,0)</f>
        <v>0</v>
      </c>
      <c r="AA97" t="b">
        <f>ISERROR(VLOOKUP(HEVARIM[[#This Row],[קוד תקציב]],'[2]ריכוז נתונים'!A:A,1,0))</f>
        <v>0</v>
      </c>
      <c r="AB97" s="1">
        <f t="shared" si="5"/>
        <v>0</v>
      </c>
      <c r="AC97" s="2">
        <f ca="1">IF(HEVARIM[[#This Row],[בר מצוה]]&gt;0,YEAR(TODAY())+'תקציבים מיוחדים'!$F$5-HEVARIM[[#This Row],[גיל]],0)</f>
        <v>0</v>
      </c>
      <c r="AD97" s="1">
        <f t="shared" si="6"/>
        <v>0</v>
      </c>
      <c r="AE97" s="2">
        <f ca="1">IF(HEVARIM[[#This Row],[בת מצוה]]&gt;0,YEAR(TODAY())+'תקציבים מיוחדים'!$F$5-HEVARIM[[#This Row],[גיל]],0)</f>
        <v>0</v>
      </c>
      <c r="AF97" s="1">
        <f>IF(AND($S97&gt;="רווק",$Z97=1),AF$4*IF(HEVARIM[[#This Row],[גיל]]&gt;$AF$3,1,(($G97-AF$2)/(AF$3-AF$2))),0)</f>
        <v>0</v>
      </c>
      <c r="AG9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7" s="1">
        <f t="shared" si="7"/>
        <v>0</v>
      </c>
      <c r="AI97" s="2">
        <f ca="1">IF(AH97&gt;0,YEAR(TODAY())+'תקציבים מיוחדים'!$F$7-HEVARIM[[#This Row],[גיל]],0)</f>
        <v>0</v>
      </c>
      <c r="AJ97" s="9">
        <f>IF(AND(ISERROR(VLOOKUP(H97,'[2]ריכוז נתונים'!A:L,1,0)),P97="1     "),1,0)</f>
        <v>0</v>
      </c>
      <c r="AK97" s="1">
        <f>IF(VALUE(HEVARIM[[#This Row],[קוד מעמד]])=1,VLOOKUP((IF(LEFT(HEVARIM[[#This Row],[קוד חבר]],1)="0",HEVARIM[[#This Row],[קוד חבר]],VALUE(HEVARIM[[#This Row],[קוד חבר]]))),'ותק חברה 40'!AQ:AW,7,0),"")</f>
        <v>42.98</v>
      </c>
      <c r="AL97" s="1">
        <f>IF(AND(VALUE(HEVARIM[[#This Row],[קוד מעמד]])=1,HEVARIM[[#This Row],[ותק מחברה 40]]&lt;25),HEVARIM[[#This Row],[ותק מחברה 40]]/25*הנחות!$C$4,0)</f>
        <v>0</v>
      </c>
      <c r="AM97" s="9" t="str">
        <f ca="1">IF(HEVARIM[[#This Row],[דמי עזיבה 25 שנות ותק]]&gt;0,YEAR(TODAY())+25-ROUNDDOWN(HEVARIM[[#This Row],[ותק מחברה 40]],0),"")</f>
        <v/>
      </c>
      <c r="AN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7" s="9" t="str">
        <f ca="1">IF(HEVARIM[[#This Row],[דמי עזיבה לגיל 65]]&gt;0,YEAR(TODAY())+64-ROUNDDOWN(HEVARIM[[#This Row],[גיל]],0),"")</f>
        <v/>
      </c>
      <c r="AP97" s="1">
        <f>SUMIF(HEVARIM[קוד תקציב],HEVARIM[[#This Row],[קוד תקציב משפחה מקורי]],HEVARIM[ותק מחברה 40])</f>
        <v>87.919999999999987</v>
      </c>
      <c r="AQ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97" s="9">
        <f>IF(HEVARIM[[#This Row],[קוד מעמד]]="1     ",IFERROR(VLOOKUP(HEVARIM[[#This Row],[קוד תקציב]],'תקציב צביעה - לקראת השינוי'!A:F,4,0),0),0)</f>
        <v>2032</v>
      </c>
      <c r="AT97" s="1"/>
    </row>
    <row r="98" spans="1:46">
      <c r="A98" t="s">
        <v>532</v>
      </c>
      <c r="B98" t="s">
        <v>533</v>
      </c>
      <c r="C98" t="s">
        <v>528</v>
      </c>
      <c r="D98" t="s">
        <v>534</v>
      </c>
      <c r="E98" t="s">
        <v>79</v>
      </c>
      <c r="F98" s="4">
        <v>20379</v>
      </c>
      <c r="G98">
        <v>70</v>
      </c>
      <c r="H98" t="s">
        <v>529</v>
      </c>
      <c r="I98" t="s">
        <v>530</v>
      </c>
      <c r="J98" s="4" t="s">
        <v>70</v>
      </c>
      <c r="K98" s="4" t="s">
        <v>71</v>
      </c>
      <c r="L98" t="s">
        <v>535</v>
      </c>
      <c r="M98" t="s">
        <v>526</v>
      </c>
      <c r="N98" t="s">
        <v>527</v>
      </c>
      <c r="O98">
        <f>IFERROR(VLOOKUP(HEVARIM[[#This Row],[קוד תקציב]],[2]תקציבים!A:L,6,0),0)</f>
        <v>2</v>
      </c>
      <c r="P98" s="5" t="s">
        <v>104</v>
      </c>
      <c r="Q98" t="s">
        <v>11</v>
      </c>
      <c r="R98" s="4">
        <v>29499</v>
      </c>
      <c r="S98" s="4" t="s">
        <v>74</v>
      </c>
      <c r="T98" s="96" t="s">
        <v>529</v>
      </c>
      <c r="U98" t="str">
        <f>VLOOKUP(HEVARIM[[#This Row],[גיל]],GIL,2,1)</f>
        <v>--</v>
      </c>
      <c r="V98" t="str">
        <f>IF(HEVARIM[[#This Row],[קוד מעמד]]="4     ",IF(HEVARIM[[#This Row],[גיל]]=1,1,IF(HEVARIM[[#This Row],[גיל]]&lt;=5,5,18)),"")</f>
        <v/>
      </c>
      <c r="W98">
        <f t="shared" si="4"/>
        <v>2365</v>
      </c>
      <c r="X9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98">
        <f>IF(HEVARIM[[#This Row],[מצב משפחתי2]]="אלמן",'[2]ריכוז נתונים'!$AC$2,0)</f>
        <v>0</v>
      </c>
      <c r="Z98" s="3">
        <f>VLOOKUP(VALUE(HEVARIM[[#This Row],[קוד מעמד]]),הנחות!$I$2:$K$21,3,0)</f>
        <v>0</v>
      </c>
      <c r="AA98" t="b">
        <f>ISERROR(VLOOKUP(HEVARIM[[#This Row],[קוד תקציב]],'[2]ריכוז נתונים'!A:A,1,0))</f>
        <v>0</v>
      </c>
      <c r="AB98" s="1">
        <f t="shared" si="5"/>
        <v>0</v>
      </c>
      <c r="AC98" s="2">
        <f ca="1">IF(HEVARIM[[#This Row],[בר מצוה]]&gt;0,YEAR(TODAY())+'תקציבים מיוחדים'!$F$5-HEVARIM[[#This Row],[גיל]],0)</f>
        <v>0</v>
      </c>
      <c r="AD98" s="1">
        <f t="shared" si="6"/>
        <v>0</v>
      </c>
      <c r="AE98" s="2">
        <f ca="1">IF(HEVARIM[[#This Row],[בת מצוה]]&gt;0,YEAR(TODAY())+'תקציבים מיוחדים'!$F$5-HEVARIM[[#This Row],[גיל]],0)</f>
        <v>0</v>
      </c>
      <c r="AF98" s="1">
        <f>IF(AND($S98&gt;="רווק",$Z98=1),AF$4*IF(HEVARIM[[#This Row],[גיל]]&gt;$AF$3,1,(($G98-AF$2)/(AF$3-AF$2))),0)</f>
        <v>0</v>
      </c>
      <c r="AG9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8" s="1">
        <f t="shared" si="7"/>
        <v>0</v>
      </c>
      <c r="AI98" s="2">
        <f ca="1">IF(AH98&gt;0,YEAR(TODAY())+'תקציבים מיוחדים'!$F$7-HEVARIM[[#This Row],[גיל]],0)</f>
        <v>0</v>
      </c>
      <c r="AJ98" s="9">
        <f>IF(AND(ISERROR(VLOOKUP(H98,'[2]ריכוז נתונים'!A:L,1,0)),P98="1     "),1,0)</f>
        <v>0</v>
      </c>
      <c r="AK98" s="1">
        <f>IF(VALUE(HEVARIM[[#This Row],[קוד מעמד]])=1,VLOOKUP((IF(LEFT(HEVARIM[[#This Row],[קוד חבר]],1)="0",HEVARIM[[#This Row],[קוד חבר]],VALUE(HEVARIM[[#This Row],[קוד חבר]]))),'ותק חברה 40'!AQ:AW,7,0),"")</f>
        <v>44.94</v>
      </c>
      <c r="AL98" s="1">
        <f>IF(AND(VALUE(HEVARIM[[#This Row],[קוד מעמד]])=1,HEVARIM[[#This Row],[ותק מחברה 40]]&lt;25),HEVARIM[[#This Row],[ותק מחברה 40]]/25*הנחות!$C$4,0)</f>
        <v>0</v>
      </c>
      <c r="AM98" s="9" t="str">
        <f ca="1">IF(HEVARIM[[#This Row],[דמי עזיבה 25 שנות ותק]]&gt;0,YEAR(TODAY())+25-ROUNDDOWN(HEVARIM[[#This Row],[ותק מחברה 40]],0),"")</f>
        <v/>
      </c>
      <c r="AN9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8" s="9" t="str">
        <f ca="1">IF(HEVARIM[[#This Row],[דמי עזיבה לגיל 65]]&gt;0,YEAR(TODAY())+64-ROUNDDOWN(HEVARIM[[#This Row],[גיל]],0),"")</f>
        <v/>
      </c>
      <c r="AP98" s="1">
        <f>SUMIF(HEVARIM[קוד תקציב],HEVARIM[[#This Row],[קוד תקציב משפחה מקורי]],HEVARIM[ותק מחברה 40])</f>
        <v>87.919999999999987</v>
      </c>
      <c r="AQ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98" s="9">
        <f>IF(HEVARIM[[#This Row],[קוד מעמד]]="1     ",IFERROR(VLOOKUP(HEVARIM[[#This Row],[קוד תקציב]],'תקציב צביעה - לקראת השינוי'!A:F,4,0),0),0)</f>
        <v>2032</v>
      </c>
      <c r="AT98" s="1"/>
    </row>
    <row r="99" spans="1:46">
      <c r="A99" t="s">
        <v>623</v>
      </c>
      <c r="B99" t="s">
        <v>624</v>
      </c>
      <c r="C99" t="s">
        <v>625</v>
      </c>
      <c r="D99" t="s">
        <v>626</v>
      </c>
      <c r="E99" t="s">
        <v>67</v>
      </c>
      <c r="F99" s="4">
        <v>33335</v>
      </c>
      <c r="G99">
        <v>34</v>
      </c>
      <c r="H99" t="s">
        <v>627</v>
      </c>
      <c r="I99" t="s">
        <v>628</v>
      </c>
      <c r="J99" s="4" t="s">
        <v>70</v>
      </c>
      <c r="K99" s="4" t="s">
        <v>454</v>
      </c>
      <c r="L99" t="s">
        <v>629</v>
      </c>
      <c r="M99" t="s">
        <v>623</v>
      </c>
      <c r="N99" t="s">
        <v>624</v>
      </c>
      <c r="O99">
        <f>IFERROR(VLOOKUP(HEVARIM[[#This Row],[קוד תקציב]],[2]תקציבים!A:L,6,0),0)</f>
        <v>2</v>
      </c>
      <c r="P99" s="5" t="s">
        <v>104</v>
      </c>
      <c r="Q99" t="s">
        <v>11</v>
      </c>
      <c r="R99" s="4">
        <v>45551</v>
      </c>
      <c r="S99" s="4" t="s">
        <v>74</v>
      </c>
      <c r="T99" s="96" t="s">
        <v>529</v>
      </c>
      <c r="U99" t="str">
        <f>VLOOKUP(HEVARIM[[#This Row],[גיל]],GIL,2,1)</f>
        <v>--</v>
      </c>
      <c r="V99" t="str">
        <f>IF(HEVARIM[[#This Row],[קוד מעמד]]="4     ",IF(HEVARIM[[#This Row],[גיל]]=1,1,IF(HEVARIM[[#This Row],[גיל]]&lt;=5,5,18)),"")</f>
        <v/>
      </c>
      <c r="W99">
        <f t="shared" si="4"/>
        <v>0</v>
      </c>
      <c r="X9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99">
        <f>IF(HEVARIM[[#This Row],[מצב משפחתי2]]="אלמן",'[2]ריכוז נתונים'!$AC$2,0)</f>
        <v>0</v>
      </c>
      <c r="Z99" s="3">
        <f>VLOOKUP(VALUE(HEVARIM[[#This Row],[קוד מעמד]]),הנחות!$I$2:$K$21,3,0)</f>
        <v>0</v>
      </c>
      <c r="AA99" t="b">
        <f>ISERROR(VLOOKUP(HEVARIM[[#This Row],[קוד תקציב]],'[2]ריכוז נתונים'!A:A,1,0))</f>
        <v>0</v>
      </c>
      <c r="AB99" s="1">
        <f t="shared" si="5"/>
        <v>0</v>
      </c>
      <c r="AC99" s="2">
        <f ca="1">IF(HEVARIM[[#This Row],[בר מצוה]]&gt;0,YEAR(TODAY())+'תקציבים מיוחדים'!$F$5-HEVARIM[[#This Row],[גיל]],0)</f>
        <v>0</v>
      </c>
      <c r="AD99" s="1">
        <f t="shared" si="6"/>
        <v>0</v>
      </c>
      <c r="AE99" s="2">
        <f ca="1">IF(HEVARIM[[#This Row],[בת מצוה]]&gt;0,YEAR(TODAY())+'תקציבים מיוחדים'!$F$5-HEVARIM[[#This Row],[גיל]],0)</f>
        <v>0</v>
      </c>
      <c r="AF99" s="1">
        <f>IF(AND($S99&gt;="רווק",$Z99=1),AF$4*IF(HEVARIM[[#This Row],[גיל]]&gt;$AF$3,1,(($G99-AF$2)/(AF$3-AF$2))),0)</f>
        <v>0</v>
      </c>
      <c r="AG9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99" s="1">
        <f t="shared" si="7"/>
        <v>0</v>
      </c>
      <c r="AI99" s="2">
        <f ca="1">IF(AH99&gt;0,YEAR(TODAY())+'תקציבים מיוחדים'!$F$7-HEVARIM[[#This Row],[גיל]],0)</f>
        <v>0</v>
      </c>
      <c r="AJ99" s="9">
        <f>IF(AND(ISERROR(VLOOKUP(H99,'[2]ריכוז נתונים'!A:L,1,0)),P99="1     "),1,0)</f>
        <v>0</v>
      </c>
      <c r="AK99" s="1">
        <f>IF(VALUE(HEVARIM[[#This Row],[קוד מעמד]])=1,VLOOKUP((IF(LEFT(HEVARIM[[#This Row],[קוד חבר]],1)="0",HEVARIM[[#This Row],[קוד חבר]],VALUE(HEVARIM[[#This Row],[קוד חבר]]))),'ותק חברה 40'!AQ:AW,7,0),"")</f>
        <v>3.03</v>
      </c>
      <c r="AL99" s="1">
        <f>IF(AND(VALUE(HEVARIM[[#This Row],[קוד מעמד]])=1,HEVARIM[[#This Row],[ותק מחברה 40]]&lt;25),HEVARIM[[#This Row],[ותק מחברה 40]]/25*הנחות!$C$4,0)</f>
        <v>4549.1950349999988</v>
      </c>
      <c r="AM99" s="9">
        <f ca="1">IF(HEVARIM[[#This Row],[דמי עזיבה 25 שנות ותק]]&gt;0,YEAR(TODAY())+25-ROUNDDOWN(HEVARIM[[#This Row],[ותק מחברה 40]],0),"")</f>
        <v>2048</v>
      </c>
      <c r="AN9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99" s="9" t="str">
        <f ca="1">IF(HEVARIM[[#This Row],[דמי עזיבה לגיל 65]]&gt;0,YEAR(TODAY())+64-ROUNDDOWN(HEVARIM[[#This Row],[גיל]],0),"")</f>
        <v/>
      </c>
      <c r="AP99" s="1">
        <f>SUMIF(HEVARIM[קוד תקציב],HEVARIM[[#This Row],[קוד תקציב משפחה מקורי]],HEVARIM[ותק מחברה 40])</f>
        <v>87.919999999999987</v>
      </c>
      <c r="AQ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99" s="9">
        <f>IF(HEVARIM[[#This Row],[קוד מעמד]]="1     ",IFERROR(VLOOKUP(HEVARIM[[#This Row],[קוד תקציב]],'תקציב צביעה - לקראת השינוי'!A:F,4,0),0),0)</f>
        <v>0</v>
      </c>
      <c r="AT99" s="1"/>
    </row>
    <row r="100" spans="1:46">
      <c r="A100" t="s">
        <v>536</v>
      </c>
      <c r="B100" t="s">
        <v>537</v>
      </c>
      <c r="C100" t="s">
        <v>538</v>
      </c>
      <c r="D100" t="s">
        <v>539</v>
      </c>
      <c r="E100" t="s">
        <v>67</v>
      </c>
      <c r="F100" s="4">
        <v>38635</v>
      </c>
      <c r="G100">
        <v>20</v>
      </c>
      <c r="H100" t="s">
        <v>540</v>
      </c>
      <c r="I100" t="s">
        <v>541</v>
      </c>
      <c r="J100" s="4" t="s">
        <v>70</v>
      </c>
      <c r="K100" s="4" t="s">
        <v>71</v>
      </c>
      <c r="L100" t="s">
        <v>542</v>
      </c>
      <c r="M100" t="s">
        <v>543</v>
      </c>
      <c r="N100" t="s">
        <v>544</v>
      </c>
      <c r="O100">
        <f>IFERROR(VLOOKUP(HEVARIM[[#This Row],[קוד תקציב]],[2]תקציבים!A:L,6,0),0)</f>
        <v>2</v>
      </c>
      <c r="P100" s="5" t="s">
        <v>545</v>
      </c>
      <c r="Q100" t="s">
        <v>13</v>
      </c>
      <c r="R100" s="4">
        <v>45252</v>
      </c>
      <c r="S100" s="4" t="s">
        <v>90</v>
      </c>
      <c r="T100" s="96" t="s">
        <v>540</v>
      </c>
      <c r="U100" t="str">
        <f>VLOOKUP(HEVARIM[[#This Row],[גיל]],GIL,2,1)</f>
        <v>--</v>
      </c>
      <c r="V100" t="str">
        <f>IF(HEVARIM[[#This Row],[קוד מעמד]]="4     ",IF(HEVARIM[[#This Row],[גיל]]=1,1,IF(HEVARIM[[#This Row],[גיל]]&lt;=5,5,18)),"")</f>
        <v/>
      </c>
      <c r="W100">
        <f t="shared" si="4"/>
        <v>0</v>
      </c>
      <c r="X10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0">
        <f>IF(HEVARIM[[#This Row],[מצב משפחתי2]]="אלמן",'[2]ריכוז נתונים'!$AC$2,0)</f>
        <v>0</v>
      </c>
      <c r="Z100" s="3">
        <f>VLOOKUP(VALUE(HEVARIM[[#This Row],[קוד מעמד]]),הנחות!$I$2:$K$21,3,0)</f>
        <v>1</v>
      </c>
      <c r="AA100" t="b">
        <f>ISERROR(VLOOKUP(HEVARIM[[#This Row],[קוד תקציב]],'[2]ריכוז נתונים'!A:A,1,0))</f>
        <v>0</v>
      </c>
      <c r="AB100" s="1">
        <f t="shared" si="5"/>
        <v>0</v>
      </c>
      <c r="AC100" s="2">
        <f ca="1">IF(HEVARIM[[#This Row],[בר מצוה]]&gt;0,YEAR(TODAY())+'תקציבים מיוחדים'!$F$5-HEVARIM[[#This Row],[גיל]],0)</f>
        <v>0</v>
      </c>
      <c r="AD100" s="1">
        <f t="shared" si="6"/>
        <v>0</v>
      </c>
      <c r="AE100" s="2">
        <f ca="1">IF(HEVARIM[[#This Row],[בת מצוה]]&gt;0,YEAR(TODAY())+'תקציבים מיוחדים'!$F$5-HEVARIM[[#This Row],[גיל]],0)</f>
        <v>0</v>
      </c>
      <c r="AF100" s="1">
        <f>IF(AND($S100&gt;="רווק",$Z100=1),AF$4*IF(HEVARIM[[#This Row],[גיל]]&gt;$AF$3,1,(($G100-AF$2)/(AF$3-AF$2))),0)</f>
        <v>57630.952380952374</v>
      </c>
      <c r="AG100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100" s="1">
        <f t="shared" si="7"/>
        <v>100560.47619047618</v>
      </c>
      <c r="AI100" s="2">
        <f ca="1">IF(AH100&gt;0,YEAR(TODAY())+'תקציבים מיוחדים'!$F$7-HEVARIM[[#This Row],[גיל]],0)</f>
        <v>2027</v>
      </c>
      <c r="AJ100" s="9">
        <f>IF(AND(ISERROR(VLOOKUP(H100,'[2]ריכוז נתונים'!A:L,1,0)),P100="1     "),1,0)</f>
        <v>0</v>
      </c>
      <c r="AK10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0" s="1">
        <f>IF(AND(VALUE(HEVARIM[[#This Row],[קוד מעמד]])=1,HEVARIM[[#This Row],[ותק מחברה 40]]&lt;25),HEVARIM[[#This Row],[ותק מחברה 40]]/25*הנחות!$C$4,0)</f>
        <v>0</v>
      </c>
      <c r="AM100" s="9" t="str">
        <f ca="1">IF(HEVARIM[[#This Row],[דמי עזיבה 25 שנות ותק]]&gt;0,YEAR(TODAY())+25-ROUNDDOWN(HEVARIM[[#This Row],[ותק מחברה 40]],0),"")</f>
        <v/>
      </c>
      <c r="AN1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0" s="9" t="str">
        <f ca="1">IF(HEVARIM[[#This Row],[דמי עזיבה לגיל 65]]&gt;0,YEAR(TODAY())+64-ROUNDDOWN(HEVARIM[[#This Row],[גיל]],0),"")</f>
        <v/>
      </c>
      <c r="AP100" s="1">
        <f>SUMIF(HEVARIM[קוד תקציב],HEVARIM[[#This Row],[קוד תקציב משפחה מקורי]],HEVARIM[ותק מחברה 40])</f>
        <v>28.02</v>
      </c>
      <c r="AQ1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0" s="9">
        <f>IF(HEVARIM[[#This Row],[קוד מעמד]]="1     ",IFERROR(VLOOKUP(HEVARIM[[#This Row],[קוד תקציב]],'תקציב צביעה - לקראת השינוי'!A:F,4,0),0),0)</f>
        <v>0</v>
      </c>
      <c r="AT100" s="1"/>
    </row>
    <row r="101" spans="1:46">
      <c r="A101" t="s">
        <v>543</v>
      </c>
      <c r="B101" t="s">
        <v>544</v>
      </c>
      <c r="C101" t="s">
        <v>538</v>
      </c>
      <c r="D101" t="s">
        <v>558</v>
      </c>
      <c r="E101" t="s">
        <v>67</v>
      </c>
      <c r="F101" s="4">
        <v>29365</v>
      </c>
      <c r="G101">
        <v>45</v>
      </c>
      <c r="H101" t="s">
        <v>540</v>
      </c>
      <c r="I101" t="s">
        <v>541</v>
      </c>
      <c r="J101" s="4" t="s">
        <v>70</v>
      </c>
      <c r="K101" s="4" t="s">
        <v>71</v>
      </c>
      <c r="L101" t="s">
        <v>559</v>
      </c>
      <c r="M101" t="s">
        <v>543</v>
      </c>
      <c r="N101" t="s">
        <v>544</v>
      </c>
      <c r="O101">
        <f>IFERROR(VLOOKUP(HEVARIM[[#This Row],[קוד תקציב]],[2]תקציבים!A:L,6,0),0)</f>
        <v>2</v>
      </c>
      <c r="P101" s="5" t="s">
        <v>104</v>
      </c>
      <c r="Q101" t="s">
        <v>11</v>
      </c>
      <c r="R101" s="4">
        <v>41061</v>
      </c>
      <c r="S101" s="4" t="s">
        <v>74</v>
      </c>
      <c r="T101" s="96" t="s">
        <v>540</v>
      </c>
      <c r="U101" t="str">
        <f>VLOOKUP(HEVARIM[[#This Row],[גיל]],GIL,2,1)</f>
        <v>--</v>
      </c>
      <c r="V101" t="str">
        <f>IF(HEVARIM[[#This Row],[קוד מעמד]]="4     ",IF(HEVARIM[[#This Row],[גיל]]=1,1,IF(HEVARIM[[#This Row],[גיל]]&lt;=5,5,18)),"")</f>
        <v/>
      </c>
      <c r="W101">
        <f t="shared" si="4"/>
        <v>0</v>
      </c>
      <c r="X1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1">
        <f>IF(HEVARIM[[#This Row],[מצב משפחתי2]]="אלמן",'[2]ריכוז נתונים'!$AC$2,0)</f>
        <v>0</v>
      </c>
      <c r="Z101" s="3">
        <f>VLOOKUP(VALUE(HEVARIM[[#This Row],[קוד מעמד]]),הנחות!$I$2:$K$21,3,0)</f>
        <v>0</v>
      </c>
      <c r="AA101" t="b">
        <f>ISERROR(VLOOKUP(HEVARIM[[#This Row],[קוד תקציב]],'[2]ריכוז נתונים'!A:A,1,0))</f>
        <v>0</v>
      </c>
      <c r="AB101" s="1">
        <f t="shared" si="5"/>
        <v>0</v>
      </c>
      <c r="AC101" s="2">
        <f ca="1">IF(HEVARIM[[#This Row],[בר מצוה]]&gt;0,YEAR(TODAY())+'תקציבים מיוחדים'!$F$5-HEVARIM[[#This Row],[גיל]],0)</f>
        <v>0</v>
      </c>
      <c r="AD101" s="1">
        <f t="shared" si="6"/>
        <v>0</v>
      </c>
      <c r="AE101" s="2">
        <f ca="1">IF(HEVARIM[[#This Row],[בת מצוה]]&gt;0,YEAR(TODAY())+'תקציבים מיוחדים'!$F$5-HEVARIM[[#This Row],[גיל]],0)</f>
        <v>0</v>
      </c>
      <c r="AF101" s="1">
        <f>IF(AND($S101&gt;="רווק",$Z101=1),AF$4*IF(HEVARIM[[#This Row],[גיל]]&gt;$AF$3,1,(($G101-AF$2)/(AF$3-AF$2))),0)</f>
        <v>0</v>
      </c>
      <c r="AG10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01" s="1">
        <f t="shared" si="7"/>
        <v>0</v>
      </c>
      <c r="AI101" s="2">
        <f ca="1">IF(AH101&gt;0,YEAR(TODAY())+'תקציבים מיוחדים'!$F$7-HEVARIM[[#This Row],[גיל]],0)</f>
        <v>0</v>
      </c>
      <c r="AJ101" s="9">
        <f>IF(AND(ISERROR(VLOOKUP(H101,'[2]ריכוז נתונים'!A:L,1,0)),P101="1     "),1,0)</f>
        <v>0</v>
      </c>
      <c r="AK101" s="1">
        <f>IF(VALUE(HEVARIM[[#This Row],[קוד מעמד]])=1,VLOOKUP((IF(LEFT(HEVARIM[[#This Row],[קוד חבר]],1)="0",HEVARIM[[#This Row],[קוד חבר]],VALUE(HEVARIM[[#This Row],[קוד חבר]]))),'ותק חברה 40'!AQ:AW,7,0),"")</f>
        <v>14.01</v>
      </c>
      <c r="AL101" s="1">
        <f>IF(AND(VALUE(HEVARIM[[#This Row],[קוד מעמד]])=1,HEVARIM[[#This Row],[ותק מחברה 40]]&lt;25),HEVARIM[[#This Row],[ותק מחברה 40]]/25*הנחות!$C$4,0)</f>
        <v>21034.396844999999</v>
      </c>
      <c r="AM101" s="9">
        <f ca="1">IF(HEVARIM[[#This Row],[דמי עזיבה 25 שנות ותק]]&gt;0,YEAR(TODAY())+25-ROUNDDOWN(HEVARIM[[#This Row],[ותק מחברה 40]],0),"")</f>
        <v>2037</v>
      </c>
      <c r="AN10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1" s="9" t="str">
        <f ca="1">IF(HEVARIM[[#This Row],[דמי עזיבה לגיל 65]]&gt;0,YEAR(TODAY())+64-ROUNDDOWN(HEVARIM[[#This Row],[גיל]],0),"")</f>
        <v/>
      </c>
      <c r="AP101" s="1">
        <f>SUMIF(HEVARIM[קוד תקציב],HEVARIM[[#This Row],[קוד תקציב משפחה מקורי]],HEVARIM[ותק מחברה 40])</f>
        <v>28.02</v>
      </c>
      <c r="AQ1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01" s="9">
        <f>IF(HEVARIM[[#This Row],[קוד מעמד]]="1     ",IFERROR(VLOOKUP(HEVARIM[[#This Row],[קוד תקציב]],'תקציב צביעה - לקראת השינוי'!A:F,4,0),0),0)</f>
        <v>2028</v>
      </c>
      <c r="AT101" s="1"/>
    </row>
    <row r="102" spans="1:46">
      <c r="A102" t="s">
        <v>560</v>
      </c>
      <c r="B102" t="s">
        <v>561</v>
      </c>
      <c r="C102" t="s">
        <v>538</v>
      </c>
      <c r="D102" t="s">
        <v>562</v>
      </c>
      <c r="E102" t="s">
        <v>79</v>
      </c>
      <c r="F102" s="4">
        <v>28938</v>
      </c>
      <c r="G102">
        <v>46</v>
      </c>
      <c r="H102" t="s">
        <v>540</v>
      </c>
      <c r="I102" t="s">
        <v>541</v>
      </c>
      <c r="J102" s="4" t="s">
        <v>70</v>
      </c>
      <c r="K102" s="4" t="s">
        <v>71</v>
      </c>
      <c r="L102" t="s">
        <v>563</v>
      </c>
      <c r="M102" t="s">
        <v>543</v>
      </c>
      <c r="N102" t="s">
        <v>544</v>
      </c>
      <c r="O102">
        <f>IFERROR(VLOOKUP(HEVARIM[[#This Row],[קוד תקציב]],[2]תקציבים!A:L,6,0),0)</f>
        <v>2</v>
      </c>
      <c r="P102" s="5" t="s">
        <v>104</v>
      </c>
      <c r="Q102" t="s">
        <v>11</v>
      </c>
      <c r="R102" s="4">
        <v>41061</v>
      </c>
      <c r="S102" s="4" t="s">
        <v>74</v>
      </c>
      <c r="T102" s="96" t="s">
        <v>540</v>
      </c>
      <c r="U102" t="str">
        <f>VLOOKUP(HEVARIM[[#This Row],[גיל]],GIL,2,1)</f>
        <v>--</v>
      </c>
      <c r="V102" t="str">
        <f>IF(HEVARIM[[#This Row],[קוד מעמד]]="4     ",IF(HEVARIM[[#This Row],[גיל]]=1,1,IF(HEVARIM[[#This Row],[גיל]]&lt;=5,5,18)),"")</f>
        <v/>
      </c>
      <c r="W102">
        <f t="shared" si="4"/>
        <v>0</v>
      </c>
      <c r="X10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2">
        <f>IF(HEVARIM[[#This Row],[מצב משפחתי2]]="אלמן",'[2]ריכוז נתונים'!$AC$2,0)</f>
        <v>0</v>
      </c>
      <c r="Z102" s="3">
        <f>VLOOKUP(VALUE(HEVARIM[[#This Row],[קוד מעמד]]),הנחות!$I$2:$K$21,3,0)</f>
        <v>0</v>
      </c>
      <c r="AA102" t="b">
        <f>ISERROR(VLOOKUP(HEVARIM[[#This Row],[קוד תקציב]],'[2]ריכוז נתונים'!A:A,1,0))</f>
        <v>0</v>
      </c>
      <c r="AB102" s="1">
        <f t="shared" si="5"/>
        <v>0</v>
      </c>
      <c r="AC102" s="2">
        <f ca="1">IF(HEVARIM[[#This Row],[בר מצוה]]&gt;0,YEAR(TODAY())+'תקציבים מיוחדים'!$F$5-HEVARIM[[#This Row],[גיל]],0)</f>
        <v>0</v>
      </c>
      <c r="AD102" s="1">
        <f t="shared" si="6"/>
        <v>0</v>
      </c>
      <c r="AE102" s="2">
        <f ca="1">IF(HEVARIM[[#This Row],[בת מצוה]]&gt;0,YEAR(TODAY())+'תקציבים מיוחדים'!$F$5-HEVARIM[[#This Row],[גיל]],0)</f>
        <v>0</v>
      </c>
      <c r="AF102" s="1">
        <f>IF(AND($S102&gt;="רווק",$Z102=1),AF$4*IF(HEVARIM[[#This Row],[גיל]]&gt;$AF$3,1,(($G102-AF$2)/(AF$3-AF$2))),0)</f>
        <v>0</v>
      </c>
      <c r="AG10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02" s="1">
        <f t="shared" si="7"/>
        <v>0</v>
      </c>
      <c r="AI102" s="2">
        <f ca="1">IF(AH102&gt;0,YEAR(TODAY())+'תקציבים מיוחדים'!$F$7-HEVARIM[[#This Row],[גיל]],0)</f>
        <v>0</v>
      </c>
      <c r="AJ102" s="9">
        <f>IF(AND(ISERROR(VLOOKUP(H102,'[2]ריכוז נתונים'!A:L,1,0)),P102="1     "),1,0)</f>
        <v>0</v>
      </c>
      <c r="AK102" s="1">
        <f>IF(VALUE(HEVARIM[[#This Row],[קוד מעמד]])=1,VLOOKUP((IF(LEFT(HEVARIM[[#This Row],[קוד חבר]],1)="0",HEVARIM[[#This Row],[קוד חבר]],VALUE(HEVARIM[[#This Row],[קוד חבר]]))),'ותק חברה 40'!AQ:AW,7,0),"")</f>
        <v>14.01</v>
      </c>
      <c r="AL102" s="1">
        <f>IF(AND(VALUE(HEVARIM[[#This Row],[קוד מעמד]])=1,HEVARIM[[#This Row],[ותק מחברה 40]]&lt;25),HEVARIM[[#This Row],[ותק מחברה 40]]/25*הנחות!$C$4,0)</f>
        <v>21034.396844999999</v>
      </c>
      <c r="AM102" s="9">
        <f ca="1">IF(HEVARIM[[#This Row],[דמי עזיבה 25 שנות ותק]]&gt;0,YEAR(TODAY())+25-ROUNDDOWN(HEVARIM[[#This Row],[ותק מחברה 40]],0),"")</f>
        <v>2037</v>
      </c>
      <c r="AN1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2" s="9" t="str">
        <f ca="1">IF(HEVARIM[[#This Row],[דמי עזיבה לגיל 65]]&gt;0,YEAR(TODAY())+64-ROUNDDOWN(HEVARIM[[#This Row],[גיל]],0),"")</f>
        <v/>
      </c>
      <c r="AP102" s="1">
        <f>SUMIF(HEVARIM[קוד תקציב],HEVARIM[[#This Row],[קוד תקציב משפחה מקורי]],HEVARIM[ותק מחברה 40])</f>
        <v>28.02</v>
      </c>
      <c r="AQ1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02" s="9">
        <f>IF(HEVARIM[[#This Row],[קוד מעמד]]="1     ",IFERROR(VLOOKUP(HEVARIM[[#This Row],[קוד תקציב]],'תקציב צביעה - לקראת השינוי'!A:F,4,0),0),0)</f>
        <v>2028</v>
      </c>
      <c r="AT102" s="1"/>
    </row>
    <row r="103" spans="1:46">
      <c r="A103" t="s">
        <v>564</v>
      </c>
      <c r="B103" t="s">
        <v>565</v>
      </c>
      <c r="C103" t="s">
        <v>538</v>
      </c>
      <c r="D103" t="s">
        <v>566</v>
      </c>
      <c r="E103" t="s">
        <v>79</v>
      </c>
      <c r="F103" s="4">
        <v>39957</v>
      </c>
      <c r="G103">
        <v>16</v>
      </c>
      <c r="H103" t="s">
        <v>540</v>
      </c>
      <c r="I103" t="s">
        <v>541</v>
      </c>
      <c r="J103" s="4" t="s">
        <v>70</v>
      </c>
      <c r="K103" s="4" t="s">
        <v>71</v>
      </c>
      <c r="L103" t="s">
        <v>567</v>
      </c>
      <c r="M103" t="s">
        <v>543</v>
      </c>
      <c r="N103" t="s">
        <v>544</v>
      </c>
      <c r="O103">
        <f>IFERROR(VLOOKUP(HEVARIM[[#This Row],[קוד תקציב]],[2]תקציבים!A:L,6,0),0)</f>
        <v>2</v>
      </c>
      <c r="P103" s="5" t="s">
        <v>227</v>
      </c>
      <c r="Q103" t="s">
        <v>14</v>
      </c>
      <c r="R103" s="4">
        <v>40787</v>
      </c>
      <c r="S103" s="4" t="s">
        <v>90</v>
      </c>
      <c r="T103" s="96" t="s">
        <v>540</v>
      </c>
      <c r="U103" t="str">
        <f>VLOOKUP(HEVARIM[[#This Row],[גיל]],GIL,2,1)</f>
        <v>תיכון</v>
      </c>
      <c r="V103">
        <f>IF(HEVARIM[[#This Row],[קוד מעמד]]="4     ",IF(HEVARIM[[#This Row],[גיל]]=1,1,IF(HEVARIM[[#This Row],[גיל]]&lt;=5,5,18)),"")</f>
        <v>18</v>
      </c>
      <c r="W103">
        <f t="shared" si="4"/>
        <v>0</v>
      </c>
      <c r="X10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3">
        <f>IF(HEVARIM[[#This Row],[מצב משפחתי2]]="אלמן",'[2]ריכוז נתונים'!$AC$2,0)</f>
        <v>0</v>
      </c>
      <c r="Z103" s="3">
        <f>VLOOKUP(VALUE(HEVARIM[[#This Row],[קוד מעמד]]),הנחות!$I$2:$K$21,3,0)</f>
        <v>1</v>
      </c>
      <c r="AA103" t="b">
        <f>ISERROR(VLOOKUP(HEVARIM[[#This Row],[קוד תקציב]],'[2]ריכוז נתונים'!A:A,1,0))</f>
        <v>0</v>
      </c>
      <c r="AB103" s="1">
        <f t="shared" si="5"/>
        <v>0</v>
      </c>
      <c r="AC103" s="2">
        <f ca="1">IF(HEVARIM[[#This Row],[בר מצוה]]&gt;0,YEAR(TODAY())+'תקציבים מיוחדים'!$F$5-HEVARIM[[#This Row],[גיל]],0)</f>
        <v>0</v>
      </c>
      <c r="AD103" s="1">
        <f t="shared" si="6"/>
        <v>0</v>
      </c>
      <c r="AE103" s="2">
        <f ca="1">IF(HEVARIM[[#This Row],[בת מצוה]]&gt;0,YEAR(TODAY())+'תקציבים מיוחדים'!$F$5-HEVARIM[[#This Row],[גיל]],0)</f>
        <v>0</v>
      </c>
      <c r="AF103" s="1">
        <f>IF(AND($S103&gt;="רווק",$Z103=1),AF$4*IF(HEVARIM[[#This Row],[גיל]]&gt;$AF$3,1,(($G103-AF$2)/(AF$3-AF$2))),0)</f>
        <v>46104.761904761901</v>
      </c>
      <c r="AG103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103" s="1">
        <f t="shared" si="7"/>
        <v>80448.380952380947</v>
      </c>
      <c r="AI103" s="2">
        <f ca="1">IF(AH103&gt;0,YEAR(TODAY())+'תקציבים מיוחדים'!$F$7-HEVARIM[[#This Row],[גיל]],0)</f>
        <v>2031</v>
      </c>
      <c r="AJ103" s="9">
        <f>IF(AND(ISERROR(VLOOKUP(H103,'[2]ריכוז נתונים'!A:L,1,0)),P103="1     "),1,0)</f>
        <v>0</v>
      </c>
      <c r="AK10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3" s="1">
        <f>IF(AND(VALUE(HEVARIM[[#This Row],[קוד מעמד]])=1,HEVARIM[[#This Row],[ותק מחברה 40]]&lt;25),HEVARIM[[#This Row],[ותק מחברה 40]]/25*הנחות!$C$4,0)</f>
        <v>0</v>
      </c>
      <c r="AM103" s="9" t="str">
        <f ca="1">IF(HEVARIM[[#This Row],[דמי עזיבה 25 שנות ותק]]&gt;0,YEAR(TODAY())+25-ROUNDDOWN(HEVARIM[[#This Row],[ותק מחברה 40]],0),"")</f>
        <v/>
      </c>
      <c r="AN1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3" s="9" t="str">
        <f ca="1">IF(HEVARIM[[#This Row],[דמי עזיבה לגיל 65]]&gt;0,YEAR(TODAY())+64-ROUNDDOWN(HEVARIM[[#This Row],[גיל]],0),"")</f>
        <v/>
      </c>
      <c r="AP103" s="1">
        <f>SUMIF(HEVARIM[קוד תקציב],HEVARIM[[#This Row],[קוד תקציב משפחה מקורי]],HEVARIM[ותק מחברה 40])</f>
        <v>28.02</v>
      </c>
      <c r="AQ1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3" s="9">
        <f>IF(HEVARIM[[#This Row],[קוד מעמד]]="1     ",IFERROR(VLOOKUP(HEVARIM[[#This Row],[קוד תקציב]],'תקציב צביעה - לקראת השינוי'!A:F,4,0),0),0)</f>
        <v>0</v>
      </c>
      <c r="AT103" s="1"/>
    </row>
    <row r="104" spans="1:46">
      <c r="A104" t="s">
        <v>568</v>
      </c>
      <c r="B104" t="s">
        <v>569</v>
      </c>
      <c r="C104" t="s">
        <v>538</v>
      </c>
      <c r="D104" t="s">
        <v>570</v>
      </c>
      <c r="E104" t="s">
        <v>79</v>
      </c>
      <c r="F104" s="4">
        <v>40957</v>
      </c>
      <c r="G104">
        <v>13</v>
      </c>
      <c r="H104" t="s">
        <v>540</v>
      </c>
      <c r="I104" t="s">
        <v>541</v>
      </c>
      <c r="J104" s="4" t="s">
        <v>70</v>
      </c>
      <c r="K104" s="4" t="s">
        <v>71</v>
      </c>
      <c r="L104" t="s">
        <v>571</v>
      </c>
      <c r="M104" t="s">
        <v>543</v>
      </c>
      <c r="N104" t="s">
        <v>544</v>
      </c>
      <c r="O104">
        <f>IFERROR(VLOOKUP(HEVARIM[[#This Row],[קוד תקציב]],[2]תקציבים!A:L,6,0),0)</f>
        <v>2</v>
      </c>
      <c r="P104" s="5" t="s">
        <v>227</v>
      </c>
      <c r="Q104" t="s">
        <v>14</v>
      </c>
      <c r="R104" s="4">
        <v>40957</v>
      </c>
      <c r="S104" s="4" t="s">
        <v>90</v>
      </c>
      <c r="T104" s="96" t="s">
        <v>540</v>
      </c>
      <c r="U104" t="str">
        <f>VLOOKUP(HEVARIM[[#This Row],[גיל]],GIL,2,1)</f>
        <v>חטיבה</v>
      </c>
      <c r="V104">
        <f>IF(HEVARIM[[#This Row],[קוד מעמד]]="4     ",IF(HEVARIM[[#This Row],[גיל]]=1,1,IF(HEVARIM[[#This Row],[גיל]]&lt;=5,5,18)),"")</f>
        <v>18</v>
      </c>
      <c r="W104">
        <f t="shared" si="4"/>
        <v>0</v>
      </c>
      <c r="X10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4">
        <f>IF(HEVARIM[[#This Row],[מצב משפחתי2]]="אלמן",'[2]ריכוז נתונים'!$AC$2,0)</f>
        <v>0</v>
      </c>
      <c r="Z104" s="3">
        <f>VLOOKUP(VALUE(HEVARIM[[#This Row],[קוד מעמד]]),הנחות!$I$2:$K$21,3,0)</f>
        <v>1</v>
      </c>
      <c r="AA104" t="b">
        <f>ISERROR(VLOOKUP(HEVARIM[[#This Row],[קוד תקציב]],'[2]ריכוז נתונים'!A:A,1,0))</f>
        <v>0</v>
      </c>
      <c r="AB104" s="1">
        <f t="shared" si="5"/>
        <v>0</v>
      </c>
      <c r="AC104" s="2">
        <f ca="1">IF(HEVARIM[[#This Row],[בר מצוה]]&gt;0,YEAR(TODAY())+'תקציבים מיוחדים'!$F$5-HEVARIM[[#This Row],[גיל]],0)</f>
        <v>0</v>
      </c>
      <c r="AD104" s="1">
        <f t="shared" si="6"/>
        <v>7165</v>
      </c>
      <c r="AE104" s="2">
        <f ca="1">IF(HEVARIM[[#This Row],[בת מצוה]]&gt;0,YEAR(TODAY())+'תקציבים מיוחדים'!$F$5-HEVARIM[[#This Row],[גיל]],0)</f>
        <v>2026</v>
      </c>
      <c r="AF104" s="1">
        <f>IF(AND($S104&gt;="רווק",$Z104=1),AF$4*IF(HEVARIM[[#This Row],[גיל]]&gt;$AF$3,1,(($G104-AF$2)/(AF$3-AF$2))),0)</f>
        <v>37460.119047619046</v>
      </c>
      <c r="AG104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104" s="1">
        <f t="shared" si="7"/>
        <v>65364.309523809527</v>
      </c>
      <c r="AI104" s="2">
        <f ca="1">IF(AH104&gt;0,YEAR(TODAY())+'תקציבים מיוחדים'!$F$7-HEVARIM[[#This Row],[גיל]],0)</f>
        <v>2034</v>
      </c>
      <c r="AJ104" s="9">
        <f>IF(AND(ISERROR(VLOOKUP(H104,'[2]ריכוז נתונים'!A:L,1,0)),P104="1     "),1,0)</f>
        <v>0</v>
      </c>
      <c r="AK10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4" s="1">
        <f>IF(AND(VALUE(HEVARIM[[#This Row],[קוד מעמד]])=1,HEVARIM[[#This Row],[ותק מחברה 40]]&lt;25),HEVARIM[[#This Row],[ותק מחברה 40]]/25*הנחות!$C$4,0)</f>
        <v>0</v>
      </c>
      <c r="AM104" s="9" t="str">
        <f ca="1">IF(HEVARIM[[#This Row],[דמי עזיבה 25 שנות ותק]]&gt;0,YEAR(TODAY())+25-ROUNDDOWN(HEVARIM[[#This Row],[ותק מחברה 40]],0),"")</f>
        <v/>
      </c>
      <c r="AN1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4" s="9" t="str">
        <f ca="1">IF(HEVARIM[[#This Row],[דמי עזיבה לגיל 65]]&gt;0,YEAR(TODAY())+64-ROUNDDOWN(HEVARIM[[#This Row],[גיל]],0),"")</f>
        <v/>
      </c>
      <c r="AP104" s="1">
        <f>SUMIF(HEVARIM[קוד תקציב],HEVARIM[[#This Row],[קוד תקציב משפחה מקורי]],HEVARIM[ותק מחברה 40])</f>
        <v>28.02</v>
      </c>
      <c r="AQ1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4" s="9">
        <f>IF(HEVARIM[[#This Row],[קוד מעמד]]="1     ",IFERROR(VLOOKUP(HEVARIM[[#This Row],[קוד תקציב]],'תקציב צביעה - לקראת השינוי'!A:F,4,0),0),0)</f>
        <v>0</v>
      </c>
      <c r="AT104" s="1"/>
    </row>
    <row r="105" spans="1:46">
      <c r="A105" t="s">
        <v>578</v>
      </c>
      <c r="B105" t="s">
        <v>579</v>
      </c>
      <c r="C105" t="s">
        <v>431</v>
      </c>
      <c r="D105" t="s">
        <v>580</v>
      </c>
      <c r="E105" t="s">
        <v>79</v>
      </c>
      <c r="F105" s="4">
        <v>32140</v>
      </c>
      <c r="G105">
        <v>38</v>
      </c>
      <c r="H105" t="s">
        <v>575</v>
      </c>
      <c r="I105" t="s">
        <v>576</v>
      </c>
      <c r="J105" s="4" t="s">
        <v>70</v>
      </c>
      <c r="K105" s="4" t="s">
        <v>71</v>
      </c>
      <c r="L105" t="s">
        <v>581</v>
      </c>
      <c r="M105" t="s">
        <v>572</v>
      </c>
      <c r="N105" t="s">
        <v>573</v>
      </c>
      <c r="O105">
        <f>IFERROR(VLOOKUP(HEVARIM[[#This Row],[קוד תקציב]],[2]תקציבים!A:L,6,0),0)</f>
        <v>2</v>
      </c>
      <c r="P105" s="5" t="s">
        <v>104</v>
      </c>
      <c r="Q105" t="s">
        <v>11</v>
      </c>
      <c r="R105" s="4">
        <v>42199</v>
      </c>
      <c r="S105" s="4" t="s">
        <v>74</v>
      </c>
      <c r="T105" s="96" t="s">
        <v>575</v>
      </c>
      <c r="U105" t="str">
        <f>VLOOKUP(HEVARIM[[#This Row],[גיל]],GIL,2,1)</f>
        <v>--</v>
      </c>
      <c r="V105" t="str">
        <f>IF(HEVARIM[[#This Row],[קוד מעמד]]="4     ",IF(HEVARIM[[#This Row],[גיל]]=1,1,IF(HEVARIM[[#This Row],[גיל]]&lt;=5,5,18)),"")</f>
        <v/>
      </c>
      <c r="W105">
        <f t="shared" si="4"/>
        <v>0</v>
      </c>
      <c r="X1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5">
        <f>IF(HEVARIM[[#This Row],[מצב משפחתי2]]="אלמן",'[2]ריכוז נתונים'!$AC$2,0)</f>
        <v>0</v>
      </c>
      <c r="Z105" s="3">
        <f>VLOOKUP(VALUE(HEVARIM[[#This Row],[קוד מעמד]]),הנחות!$I$2:$K$21,3,0)</f>
        <v>0</v>
      </c>
      <c r="AA105" t="b">
        <f>ISERROR(VLOOKUP(HEVARIM[[#This Row],[קוד תקציב]],'[2]ריכוז נתונים'!A:A,1,0))</f>
        <v>0</v>
      </c>
      <c r="AB105" s="1">
        <f t="shared" si="5"/>
        <v>0</v>
      </c>
      <c r="AC105" s="2">
        <f ca="1">IF(HEVARIM[[#This Row],[בר מצוה]]&gt;0,YEAR(TODAY())+'תקציבים מיוחדים'!$F$5-HEVARIM[[#This Row],[גיל]],0)</f>
        <v>0</v>
      </c>
      <c r="AD105" s="1">
        <f t="shared" si="6"/>
        <v>0</v>
      </c>
      <c r="AE105" s="2">
        <f ca="1">IF(HEVARIM[[#This Row],[בת מצוה]]&gt;0,YEAR(TODAY())+'תקציבים מיוחדים'!$F$5-HEVARIM[[#This Row],[גיל]],0)</f>
        <v>0</v>
      </c>
      <c r="AF105" s="1">
        <f>IF(AND($S105&gt;="רווק",$Z105=1),AF$4*IF(HEVARIM[[#This Row],[גיל]]&gt;$AF$3,1,(($G105-AF$2)/(AF$3-AF$2))),0)</f>
        <v>0</v>
      </c>
      <c r="AG10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05" s="1">
        <f t="shared" si="7"/>
        <v>0</v>
      </c>
      <c r="AI105" s="2">
        <f ca="1">IF(AH105&gt;0,YEAR(TODAY())+'תקציבים מיוחדים'!$F$7-HEVARIM[[#This Row],[גיל]],0)</f>
        <v>0</v>
      </c>
      <c r="AJ105" s="9">
        <f>IF(AND(ISERROR(VLOOKUP(H105,'[2]ריכוז נתונים'!A:L,1,0)),P105="1     "),1,0)</f>
        <v>0</v>
      </c>
      <c r="AK105" s="1">
        <f>IF(VALUE(HEVARIM[[#This Row],[קוד מעמד]])=1,VLOOKUP((IF(LEFT(HEVARIM[[#This Row],[קוד חבר]],1)="0",HEVARIM[[#This Row],[קוד חבר]],VALUE(HEVARIM[[#This Row],[קוד חבר]]))),'ותק חברה 40'!AQ:AW,7,0),"")</f>
        <v>12.43</v>
      </c>
      <c r="AL105" s="1">
        <f>IF(AND(VALUE(HEVARIM[[#This Row],[קוד מעמד]])=1,HEVARIM[[#This Row],[ותק מחברה 40]]&lt;25),HEVARIM[[#This Row],[ותק מחברה 40]]/25*הנחות!$C$4,0)</f>
        <v>18662.209334999996</v>
      </c>
      <c r="AM105" s="9">
        <f ca="1">IF(HEVARIM[[#This Row],[דמי עזיבה 25 שנות ותק]]&gt;0,YEAR(TODAY())+25-ROUNDDOWN(HEVARIM[[#This Row],[ותק מחברה 40]],0),"")</f>
        <v>2039</v>
      </c>
      <c r="AN10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5" s="9" t="str">
        <f ca="1">IF(HEVARIM[[#This Row],[דמי עזיבה לגיל 65]]&gt;0,YEAR(TODAY())+64-ROUNDDOWN(HEVARIM[[#This Row],[גיל]],0),"")</f>
        <v/>
      </c>
      <c r="AP105" s="1">
        <f>SUMIF(HEVARIM[קוד תקציב],HEVARIM[[#This Row],[קוד תקציב משפחה מקורי]],HEVARIM[ותק מחברה 40])</f>
        <v>28.240000000000002</v>
      </c>
      <c r="AQ1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105" s="9">
        <f>IF(HEVARIM[[#This Row],[קוד מעמד]]="1     ",IFERROR(VLOOKUP(HEVARIM[[#This Row],[קוד תקציב]],'תקציב צביעה - לקראת השינוי'!A:F,4,0),0),0)</f>
        <v>2032</v>
      </c>
      <c r="AT105" s="1"/>
    </row>
    <row r="106" spans="1:46">
      <c r="A106" t="s">
        <v>582</v>
      </c>
      <c r="B106" t="s">
        <v>583</v>
      </c>
      <c r="C106" t="s">
        <v>431</v>
      </c>
      <c r="D106" t="s">
        <v>584</v>
      </c>
      <c r="E106" t="s">
        <v>67</v>
      </c>
      <c r="F106" s="4">
        <v>41553</v>
      </c>
      <c r="G106">
        <v>12</v>
      </c>
      <c r="H106" t="s">
        <v>575</v>
      </c>
      <c r="I106" t="s">
        <v>576</v>
      </c>
      <c r="J106" s="4" t="s">
        <v>70</v>
      </c>
      <c r="K106" s="4" t="s">
        <v>71</v>
      </c>
      <c r="L106" t="s">
        <v>585</v>
      </c>
      <c r="M106" t="s">
        <v>572</v>
      </c>
      <c r="N106" t="s">
        <v>573</v>
      </c>
      <c r="O106">
        <f>IFERROR(VLOOKUP(HEVARIM[[#This Row],[קוד תקציב]],[2]תקציבים!A:L,6,0),0)</f>
        <v>2</v>
      </c>
      <c r="P106" s="5" t="s">
        <v>227</v>
      </c>
      <c r="Q106" t="s">
        <v>14</v>
      </c>
      <c r="R106" s="4">
        <v>41553</v>
      </c>
      <c r="S106" s="4" t="s">
        <v>90</v>
      </c>
      <c r="T106" s="96" t="s">
        <v>575</v>
      </c>
      <c r="U106" t="str">
        <f>VLOOKUP(HEVARIM[[#This Row],[גיל]],GIL,2,1)</f>
        <v>יסודי</v>
      </c>
      <c r="V106">
        <f>IF(HEVARIM[[#This Row],[קוד מעמד]]="4     ",IF(HEVARIM[[#This Row],[גיל]]=1,1,IF(HEVARIM[[#This Row],[גיל]]&lt;=5,5,18)),"")</f>
        <v>18</v>
      </c>
      <c r="W106">
        <f t="shared" si="4"/>
        <v>0</v>
      </c>
      <c r="X10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6">
        <f>IF(HEVARIM[[#This Row],[מצב משפחתי2]]="אלמן",'[2]ריכוז נתונים'!$AC$2,0)</f>
        <v>0</v>
      </c>
      <c r="Z106" s="3">
        <f>VLOOKUP(VALUE(HEVARIM[[#This Row],[קוד מעמד]]),הנחות!$I$2:$K$21,3,0)</f>
        <v>1</v>
      </c>
      <c r="AA106" t="b">
        <f>ISERROR(VLOOKUP(HEVARIM[[#This Row],[קוד תקציב]],'[2]ריכוז נתונים'!A:A,1,0))</f>
        <v>0</v>
      </c>
      <c r="AB106" s="1">
        <f t="shared" si="5"/>
        <v>6613.8461538461543</v>
      </c>
      <c r="AC106" s="2">
        <f ca="1">IF(HEVARIM[[#This Row],[בר מצוה]]&gt;0,YEAR(TODAY())+'תקציבים מיוחדים'!$F$5-HEVARIM[[#This Row],[גיל]],0)</f>
        <v>2027</v>
      </c>
      <c r="AD106" s="1">
        <f t="shared" si="6"/>
        <v>0</v>
      </c>
      <c r="AE106" s="2">
        <f ca="1">IF(HEVARIM[[#This Row],[בת מצוה]]&gt;0,YEAR(TODAY())+'תקציבים מיוחדים'!$F$5-HEVARIM[[#This Row],[גיל]],0)</f>
        <v>0</v>
      </c>
      <c r="AF106" s="1">
        <f>IF(AND($S106&gt;="רווק",$Z106=1),AF$4*IF(HEVARIM[[#This Row],[גיל]]&gt;$AF$3,1,(($G106-AF$2)/(AF$3-AF$2))),0)</f>
        <v>34578.571428571428</v>
      </c>
      <c r="AG106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106" s="1">
        <f t="shared" si="7"/>
        <v>60336.28571428571</v>
      </c>
      <c r="AI106" s="2">
        <f ca="1">IF(AH106&gt;0,YEAR(TODAY())+'תקציבים מיוחדים'!$F$7-HEVARIM[[#This Row],[גיל]],0)</f>
        <v>2035</v>
      </c>
      <c r="AJ106" s="9">
        <f>IF(AND(ISERROR(VLOOKUP(H106,'[2]ריכוז נתונים'!A:L,1,0)),P106="1     "),1,0)</f>
        <v>0</v>
      </c>
      <c r="AK10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6" s="1">
        <f>IF(AND(VALUE(HEVARIM[[#This Row],[קוד מעמד]])=1,HEVARIM[[#This Row],[ותק מחברה 40]]&lt;25),HEVARIM[[#This Row],[ותק מחברה 40]]/25*הנחות!$C$4,0)</f>
        <v>0</v>
      </c>
      <c r="AM106" s="9" t="str">
        <f ca="1">IF(HEVARIM[[#This Row],[דמי עזיבה 25 שנות ותק]]&gt;0,YEAR(TODAY())+25-ROUNDDOWN(HEVARIM[[#This Row],[ותק מחברה 40]],0),"")</f>
        <v/>
      </c>
      <c r="AN1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6" s="9" t="str">
        <f ca="1">IF(HEVARIM[[#This Row],[דמי עזיבה לגיל 65]]&gt;0,YEAR(TODAY())+64-ROUNDDOWN(HEVARIM[[#This Row],[גיל]],0),"")</f>
        <v/>
      </c>
      <c r="AP106" s="1">
        <f>SUMIF(HEVARIM[קוד תקציב],HEVARIM[[#This Row],[קוד תקציב משפחה מקורי]],HEVARIM[ותק מחברה 40])</f>
        <v>28.240000000000002</v>
      </c>
      <c r="AQ1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6" s="9">
        <f>IF(HEVARIM[[#This Row],[קוד מעמד]]="1     ",IFERROR(VLOOKUP(HEVARIM[[#This Row],[קוד תקציב]],'תקציב צביעה - לקראת השינוי'!A:F,4,0),0),0)</f>
        <v>0</v>
      </c>
      <c r="AT106" s="1"/>
    </row>
    <row r="107" spans="1:46">
      <c r="A107" t="s">
        <v>586</v>
      </c>
      <c r="B107" t="s">
        <v>587</v>
      </c>
      <c r="C107" t="s">
        <v>431</v>
      </c>
      <c r="D107" t="s">
        <v>588</v>
      </c>
      <c r="E107" t="s">
        <v>79</v>
      </c>
      <c r="F107" s="4">
        <v>42387</v>
      </c>
      <c r="G107">
        <v>9</v>
      </c>
      <c r="H107" t="s">
        <v>575</v>
      </c>
      <c r="I107" t="s">
        <v>576</v>
      </c>
      <c r="J107" s="4" t="s">
        <v>70</v>
      </c>
      <c r="K107" s="4" t="s">
        <v>71</v>
      </c>
      <c r="L107" t="s">
        <v>589</v>
      </c>
      <c r="M107" t="s">
        <v>572</v>
      </c>
      <c r="N107" t="s">
        <v>573</v>
      </c>
      <c r="O107">
        <f>IFERROR(VLOOKUP(HEVARIM[[#This Row],[קוד תקציב]],[2]תקציבים!A:L,6,0),0)</f>
        <v>2</v>
      </c>
      <c r="P107" s="5" t="s">
        <v>227</v>
      </c>
      <c r="Q107" t="s">
        <v>14</v>
      </c>
      <c r="R107" s="4">
        <v>42387</v>
      </c>
      <c r="S107" s="4" t="s">
        <v>90</v>
      </c>
      <c r="T107" s="96" t="s">
        <v>575</v>
      </c>
      <c r="U107" t="str">
        <f>VLOOKUP(HEVARIM[[#This Row],[גיל]],GIL,2,1)</f>
        <v>יסודי</v>
      </c>
      <c r="V107">
        <f>IF(HEVARIM[[#This Row],[קוד מעמד]]="4     ",IF(HEVARIM[[#This Row],[גיל]]=1,1,IF(HEVARIM[[#This Row],[גיל]]&lt;=5,5,18)),"")</f>
        <v>18</v>
      </c>
      <c r="W107">
        <f t="shared" si="4"/>
        <v>0</v>
      </c>
      <c r="X10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7">
        <f>IF(HEVARIM[[#This Row],[מצב משפחתי2]]="אלמן",'[2]ריכוז נתונים'!$AC$2,0)</f>
        <v>0</v>
      </c>
      <c r="Z107" s="3">
        <f>VLOOKUP(VALUE(HEVARIM[[#This Row],[קוד מעמד]]),הנחות!$I$2:$K$21,3,0)</f>
        <v>1</v>
      </c>
      <c r="AA107" t="b">
        <f>ISERROR(VLOOKUP(HEVARIM[[#This Row],[קוד תקציב]],'[2]ריכוז נתונים'!A:A,1,0))</f>
        <v>0</v>
      </c>
      <c r="AB107" s="1">
        <f t="shared" si="5"/>
        <v>0</v>
      </c>
      <c r="AC107" s="2">
        <f ca="1">IF(HEVARIM[[#This Row],[בר מצוה]]&gt;0,YEAR(TODAY())+'תקציבים מיוחדים'!$F$5-HEVARIM[[#This Row],[גיל]],0)</f>
        <v>0</v>
      </c>
      <c r="AD107" s="1">
        <f t="shared" si="6"/>
        <v>4960.3846153846152</v>
      </c>
      <c r="AE107" s="2">
        <f ca="1">IF(HEVARIM[[#This Row],[בת מצוה]]&gt;0,YEAR(TODAY())+'תקציבים מיוחדים'!$F$5-HEVARIM[[#This Row],[גיל]],0)</f>
        <v>2030</v>
      </c>
      <c r="AF107" s="1">
        <f>IF(AND($S107&gt;="רווק",$Z107=1),AF$4*IF(HEVARIM[[#This Row],[גיל]]&gt;$AF$3,1,(($G107-AF$2)/(AF$3-AF$2))),0)</f>
        <v>25933.928571428569</v>
      </c>
      <c r="AG107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107" s="1">
        <f t="shared" si="7"/>
        <v>45252.214285714283</v>
      </c>
      <c r="AI107" s="2">
        <f ca="1">IF(AH107&gt;0,YEAR(TODAY())+'תקציבים מיוחדים'!$F$7-HEVARIM[[#This Row],[גיל]],0)</f>
        <v>2038</v>
      </c>
      <c r="AJ107" s="9">
        <f>IF(AND(ISERROR(VLOOKUP(H107,'[2]ריכוז נתונים'!A:L,1,0)),P107="1     "),1,0)</f>
        <v>0</v>
      </c>
      <c r="AK10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7" s="1">
        <f>IF(AND(VALUE(HEVARIM[[#This Row],[קוד מעמד]])=1,HEVARIM[[#This Row],[ותק מחברה 40]]&lt;25),HEVARIM[[#This Row],[ותק מחברה 40]]/25*הנחות!$C$4,0)</f>
        <v>0</v>
      </c>
      <c r="AM107" s="9" t="str">
        <f ca="1">IF(HEVARIM[[#This Row],[דמי עזיבה 25 שנות ותק]]&gt;0,YEAR(TODAY())+25-ROUNDDOWN(HEVARIM[[#This Row],[ותק מחברה 40]],0),"")</f>
        <v/>
      </c>
      <c r="AN10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7" s="9" t="str">
        <f ca="1">IF(HEVARIM[[#This Row],[דמי עזיבה לגיל 65]]&gt;0,YEAR(TODAY())+64-ROUNDDOWN(HEVARIM[[#This Row],[גיל]],0),"")</f>
        <v/>
      </c>
      <c r="AP107" s="1">
        <f>SUMIF(HEVARIM[קוד תקציב],HEVARIM[[#This Row],[קוד תקציב משפחה מקורי]],HEVARIM[ותק מחברה 40])</f>
        <v>28.240000000000002</v>
      </c>
      <c r="AQ1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7" s="9">
        <f>IF(HEVARIM[[#This Row],[קוד מעמד]]="1     ",IFERROR(VLOOKUP(HEVARIM[[#This Row],[קוד תקציב]],'תקציב צביעה - לקראת השינוי'!A:F,4,0),0),0)</f>
        <v>0</v>
      </c>
      <c r="AT107" s="1"/>
    </row>
    <row r="108" spans="1:46">
      <c r="A108" t="s">
        <v>590</v>
      </c>
      <c r="B108" t="s">
        <v>591</v>
      </c>
      <c r="C108" t="s">
        <v>431</v>
      </c>
      <c r="D108" t="s">
        <v>592</v>
      </c>
      <c r="E108" t="s">
        <v>79</v>
      </c>
      <c r="F108" s="4">
        <v>43538</v>
      </c>
      <c r="G108">
        <v>6</v>
      </c>
      <c r="H108" t="s">
        <v>575</v>
      </c>
      <c r="I108" t="s">
        <v>576</v>
      </c>
      <c r="J108" s="4" t="s">
        <v>70</v>
      </c>
      <c r="K108" s="4" t="s">
        <v>71</v>
      </c>
      <c r="L108" t="s">
        <v>593</v>
      </c>
      <c r="M108" t="s">
        <v>572</v>
      </c>
      <c r="N108" t="s">
        <v>573</v>
      </c>
      <c r="O108">
        <f>IFERROR(VLOOKUP(HEVARIM[[#This Row],[קוד תקציב]],[2]תקציבים!A:L,6,0),0)</f>
        <v>2</v>
      </c>
      <c r="P108" s="5" t="s">
        <v>227</v>
      </c>
      <c r="Q108" t="s">
        <v>14</v>
      </c>
      <c r="R108" s="4">
        <v>43538</v>
      </c>
      <c r="S108" s="4" t="s">
        <v>90</v>
      </c>
      <c r="T108" s="96" t="s">
        <v>575</v>
      </c>
      <c r="U108" t="str">
        <f>VLOOKUP(HEVARIM[[#This Row],[גיל]],GIL,2,1)</f>
        <v>יסודי</v>
      </c>
      <c r="V108">
        <f>IF(HEVARIM[[#This Row],[קוד מעמד]]="4     ",IF(HEVARIM[[#This Row],[גיל]]=1,1,IF(HEVARIM[[#This Row],[גיל]]&lt;=5,5,18)),"")</f>
        <v>18</v>
      </c>
      <c r="W108">
        <f t="shared" si="4"/>
        <v>0</v>
      </c>
      <c r="X1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8">
        <f>IF(HEVARIM[[#This Row],[מצב משפחתי2]]="אלמן",'[2]ריכוז נתונים'!$AC$2,0)</f>
        <v>0</v>
      </c>
      <c r="Z108" s="3">
        <f>VLOOKUP(VALUE(HEVARIM[[#This Row],[קוד מעמד]]),הנחות!$I$2:$K$21,3,0)</f>
        <v>1</v>
      </c>
      <c r="AA108" t="b">
        <f>ISERROR(VLOOKUP(HEVARIM[[#This Row],[קוד תקציב]],'[2]ריכוז נתונים'!A:A,1,0))</f>
        <v>0</v>
      </c>
      <c r="AB108" s="1">
        <f t="shared" si="5"/>
        <v>0</v>
      </c>
      <c r="AC108" s="2">
        <f ca="1">IF(HEVARIM[[#This Row],[בר מצוה]]&gt;0,YEAR(TODAY())+'תקציבים מיוחדים'!$F$5-HEVARIM[[#This Row],[גיל]],0)</f>
        <v>0</v>
      </c>
      <c r="AD108" s="1">
        <f t="shared" si="6"/>
        <v>3306.9230769230771</v>
      </c>
      <c r="AE108" s="2">
        <f ca="1">IF(HEVARIM[[#This Row],[בת מצוה]]&gt;0,YEAR(TODAY())+'תקציבים מיוחדים'!$F$5-HEVARIM[[#This Row],[גיל]],0)</f>
        <v>2033</v>
      </c>
      <c r="AF108" s="1">
        <f>IF(AND($S108&gt;="רווק",$Z108=1),AF$4*IF(HEVARIM[[#This Row],[גיל]]&gt;$AF$3,1,(($G108-AF$2)/(AF$3-AF$2))),0)</f>
        <v>17289.285714285714</v>
      </c>
      <c r="AG108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108" s="1">
        <f t="shared" si="7"/>
        <v>30168.142857142855</v>
      </c>
      <c r="AI108" s="2">
        <f ca="1">IF(AH108&gt;0,YEAR(TODAY())+'תקציבים מיוחדים'!$F$7-HEVARIM[[#This Row],[גיל]],0)</f>
        <v>2041</v>
      </c>
      <c r="AJ108" s="9">
        <f>IF(AND(ISERROR(VLOOKUP(H108,'[2]ריכוז נתונים'!A:L,1,0)),P108="1     "),1,0)</f>
        <v>0</v>
      </c>
      <c r="AK10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8" s="1">
        <f>IF(AND(VALUE(HEVARIM[[#This Row],[קוד מעמד]])=1,HEVARIM[[#This Row],[ותק מחברה 40]]&lt;25),HEVARIM[[#This Row],[ותק מחברה 40]]/25*הנחות!$C$4,0)</f>
        <v>0</v>
      </c>
      <c r="AM108" s="9" t="str">
        <f ca="1">IF(HEVARIM[[#This Row],[דמי עזיבה 25 שנות ותק]]&gt;0,YEAR(TODAY())+25-ROUNDDOWN(HEVARIM[[#This Row],[ותק מחברה 40]],0),"")</f>
        <v/>
      </c>
      <c r="AN10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8" s="9" t="str">
        <f ca="1">IF(HEVARIM[[#This Row],[דמי עזיבה לגיל 65]]&gt;0,YEAR(TODAY())+64-ROUNDDOWN(HEVARIM[[#This Row],[גיל]],0),"")</f>
        <v/>
      </c>
      <c r="AP108" s="1">
        <f>SUMIF(HEVARIM[קוד תקציב],HEVARIM[[#This Row],[קוד תקציב משפחה מקורי]],HEVARIM[ותק מחברה 40])</f>
        <v>28.240000000000002</v>
      </c>
      <c r="AQ1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8" s="9">
        <f>IF(HEVARIM[[#This Row],[קוד מעמד]]="1     ",IFERROR(VLOOKUP(HEVARIM[[#This Row],[קוד תקציב]],'תקציב צביעה - לקראת השינוי'!A:F,4,0),0),0)</f>
        <v>0</v>
      </c>
      <c r="AT108" s="1"/>
    </row>
    <row r="109" spans="1:46">
      <c r="A109" t="s">
        <v>546</v>
      </c>
      <c r="B109" t="s">
        <v>547</v>
      </c>
      <c r="C109" t="s">
        <v>548</v>
      </c>
      <c r="D109" t="s">
        <v>279</v>
      </c>
      <c r="E109" t="s">
        <v>67</v>
      </c>
      <c r="F109" s="4">
        <v>37795</v>
      </c>
      <c r="G109">
        <v>22</v>
      </c>
      <c r="H109" t="s">
        <v>549</v>
      </c>
      <c r="I109" t="s">
        <v>550</v>
      </c>
      <c r="J109" s="4" t="s">
        <v>70</v>
      </c>
      <c r="K109" s="4" t="s">
        <v>71</v>
      </c>
      <c r="L109" t="s">
        <v>551</v>
      </c>
      <c r="M109" t="s">
        <v>552</v>
      </c>
      <c r="N109" t="s">
        <v>553</v>
      </c>
      <c r="O109">
        <f>IFERROR(VLOOKUP(HEVARIM[[#This Row],[קוד תקציב]],[2]תקציבים!A:L,6,0),0)</f>
        <v>2</v>
      </c>
      <c r="P109" s="5" t="s">
        <v>545</v>
      </c>
      <c r="Q109" t="s">
        <v>13</v>
      </c>
      <c r="R109" s="4">
        <v>45146</v>
      </c>
      <c r="S109" s="4" t="s">
        <v>90</v>
      </c>
      <c r="T109" s="96" t="s">
        <v>549</v>
      </c>
      <c r="U109" t="str">
        <f>VLOOKUP(HEVARIM[[#This Row],[גיל]],GIL,2,1)</f>
        <v>--</v>
      </c>
      <c r="V109" t="str">
        <f>IF(HEVARIM[[#This Row],[קוד מעמד]]="4     ",IF(HEVARIM[[#This Row],[גיל]]=1,1,IF(HEVARIM[[#This Row],[גיל]]&lt;=5,5,18)),"")</f>
        <v/>
      </c>
      <c r="W109">
        <f t="shared" si="4"/>
        <v>0</v>
      </c>
      <c r="X1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09">
        <f>IF(HEVARIM[[#This Row],[מצב משפחתי2]]="אלמן",'[2]ריכוז נתונים'!$AC$2,0)</f>
        <v>0</v>
      </c>
      <c r="Z109" s="3">
        <f>VLOOKUP(VALUE(HEVARIM[[#This Row],[קוד מעמד]]),הנחות!$I$2:$K$21,3,0)</f>
        <v>1</v>
      </c>
      <c r="AA109" t="b">
        <f>ISERROR(VLOOKUP(HEVARIM[[#This Row],[קוד תקציב]],'[2]ריכוז נתונים'!A:A,1,0))</f>
        <v>0</v>
      </c>
      <c r="AB109" s="1">
        <f t="shared" si="5"/>
        <v>0</v>
      </c>
      <c r="AC109" s="2">
        <f ca="1">IF(HEVARIM[[#This Row],[בר מצוה]]&gt;0,YEAR(TODAY())+'תקציבים מיוחדים'!$F$5-HEVARIM[[#This Row],[גיל]],0)</f>
        <v>0</v>
      </c>
      <c r="AD109" s="1">
        <f t="shared" si="6"/>
        <v>0</v>
      </c>
      <c r="AE109" s="2">
        <f ca="1">IF(HEVARIM[[#This Row],[בת מצוה]]&gt;0,YEAR(TODAY())+'תקציבים מיוחדים'!$F$5-HEVARIM[[#This Row],[גיל]],0)</f>
        <v>0</v>
      </c>
      <c r="AF109" s="1">
        <f>IF(AND($S109&gt;="רווק",$Z109=1),AF$4*IF(HEVARIM[[#This Row],[גיל]]&gt;$AF$3,1,(($G109-AF$2)/(AF$3-AF$2))),0)</f>
        <v>60512.5</v>
      </c>
      <c r="AG109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09" s="1">
        <f t="shared" si="7"/>
        <v>0</v>
      </c>
      <c r="AI109" s="2">
        <f ca="1">IF(AH109&gt;0,YEAR(TODAY())+'תקציבים מיוחדים'!$F$7-HEVARIM[[#This Row],[גיל]],0)</f>
        <v>0</v>
      </c>
      <c r="AJ109" s="9">
        <f>IF(AND(ISERROR(VLOOKUP(H109,'[2]ריכוז נתונים'!A:L,1,0)),P109="1     "),1,0)</f>
        <v>0</v>
      </c>
      <c r="AK10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09" s="1">
        <f>IF(AND(VALUE(HEVARIM[[#This Row],[קוד מעמד]])=1,HEVARIM[[#This Row],[ותק מחברה 40]]&lt;25),HEVARIM[[#This Row],[ותק מחברה 40]]/25*הנחות!$C$4,0)</f>
        <v>0</v>
      </c>
      <c r="AM109" s="9" t="str">
        <f ca="1">IF(HEVARIM[[#This Row],[דמי עזיבה 25 שנות ותק]]&gt;0,YEAR(TODAY())+25-ROUNDDOWN(HEVARIM[[#This Row],[ותק מחברה 40]],0),"")</f>
        <v/>
      </c>
      <c r="AN10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09" s="9" t="str">
        <f ca="1">IF(HEVARIM[[#This Row],[דמי עזיבה לגיל 65]]&gt;0,YEAR(TODAY())+64-ROUNDDOWN(HEVARIM[[#This Row],[גיל]],0),"")</f>
        <v/>
      </c>
      <c r="AP109" s="1">
        <f>SUMIF(HEVARIM[קוד תקציב],HEVARIM[[#This Row],[קוד תקציב משפחה מקורי]],HEVARIM[ותק מחברה 40])</f>
        <v>42.7</v>
      </c>
      <c r="AQ1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09" s="9">
        <f>IF(HEVARIM[[#This Row],[קוד מעמד]]="1     ",IFERROR(VLOOKUP(HEVARIM[[#This Row],[קוד תקציב]],'תקציב צביעה - לקראת השינוי'!A:F,4,0),0),0)</f>
        <v>0</v>
      </c>
      <c r="AT109" s="1"/>
    </row>
    <row r="110" spans="1:46">
      <c r="A110" t="s">
        <v>554</v>
      </c>
      <c r="B110" t="s">
        <v>555</v>
      </c>
      <c r="C110" t="s">
        <v>548</v>
      </c>
      <c r="D110" t="s">
        <v>556</v>
      </c>
      <c r="E110" t="s">
        <v>67</v>
      </c>
      <c r="F110" s="4">
        <v>37795</v>
      </c>
      <c r="G110">
        <v>22</v>
      </c>
      <c r="H110" t="s">
        <v>3747</v>
      </c>
      <c r="I110" t="s">
        <v>3748</v>
      </c>
      <c r="J110" s="4" t="s">
        <v>70</v>
      </c>
      <c r="K110" s="4" t="s">
        <v>71</v>
      </c>
      <c r="L110" t="s">
        <v>557</v>
      </c>
      <c r="M110" t="s">
        <v>554</v>
      </c>
      <c r="N110" t="s">
        <v>555</v>
      </c>
      <c r="O110">
        <f>IFERROR(VLOOKUP(HEVARIM[[#This Row],[קוד תקציב]],[2]תקציבים!A:L,6,0),0)</f>
        <v>0</v>
      </c>
      <c r="P110" s="5" t="s">
        <v>73</v>
      </c>
      <c r="Q110" t="s">
        <v>27</v>
      </c>
      <c r="R110" s="4">
        <v>45886</v>
      </c>
      <c r="S110" s="4" t="s">
        <v>90</v>
      </c>
      <c r="T110" s="96" t="s">
        <v>549</v>
      </c>
      <c r="U110" t="str">
        <f>VLOOKUP(HEVARIM[[#This Row],[גיל]],GIL,2,1)</f>
        <v>--</v>
      </c>
      <c r="V110" t="str">
        <f>IF(HEVARIM[[#This Row],[קוד מעמד]]="4     ",IF(HEVARIM[[#This Row],[גיל]]=1,1,IF(HEVARIM[[#This Row],[גיל]]&lt;=5,5,18)),"")</f>
        <v/>
      </c>
      <c r="W110">
        <f t="shared" si="4"/>
        <v>0</v>
      </c>
      <c r="X11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0">
        <f>IF(HEVARIM[[#This Row],[מצב משפחתי2]]="אלמן",'[2]ריכוז נתונים'!$AC$2,0)</f>
        <v>0</v>
      </c>
      <c r="Z110" s="3">
        <f>VLOOKUP(VALUE(HEVARIM[[#This Row],[קוד מעמד]]),הנחות!$I$2:$K$21,3,0)</f>
        <v>1</v>
      </c>
      <c r="AA110" t="b">
        <f>ISERROR(VLOOKUP(HEVARIM[[#This Row],[קוד תקציב]],'[2]ריכוז נתונים'!A:A,1,0))</f>
        <v>1</v>
      </c>
      <c r="AB110" s="1">
        <f t="shared" si="5"/>
        <v>0</v>
      </c>
      <c r="AC110" s="2">
        <f ca="1">IF(HEVARIM[[#This Row],[בר מצוה]]&gt;0,YEAR(TODAY())+'תקציבים מיוחדים'!$F$5-HEVARIM[[#This Row],[גיל]],0)</f>
        <v>0</v>
      </c>
      <c r="AD110" s="1">
        <f t="shared" si="6"/>
        <v>0</v>
      </c>
      <c r="AE110" s="2">
        <f ca="1">IF(HEVARIM[[#This Row],[בת מצוה]]&gt;0,YEAR(TODAY())+'תקציבים מיוחדים'!$F$5-HEVARIM[[#This Row],[גיל]],0)</f>
        <v>0</v>
      </c>
      <c r="AF110" s="1">
        <f>IF(AND($S110&gt;="רווק",$Z110=1),AF$4*IF(HEVARIM[[#This Row],[גיל]]&gt;$AF$3,1,(($G110-AF$2)/(AF$3-AF$2))),0)</f>
        <v>60512.5</v>
      </c>
      <c r="AG110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10" s="1">
        <f t="shared" si="7"/>
        <v>0</v>
      </c>
      <c r="AI110" s="2">
        <f ca="1">IF(AH110&gt;0,YEAR(TODAY())+'תקציבים מיוחדים'!$F$7-HEVARIM[[#This Row],[גיל]],0)</f>
        <v>0</v>
      </c>
      <c r="AJ110" s="9">
        <f>IF(AND(ISERROR(VLOOKUP(H110,'[2]ריכוז נתונים'!A:L,1,0)),P110="1     "),1,0)</f>
        <v>0</v>
      </c>
      <c r="AK11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10" s="1">
        <f>IF(AND(VALUE(HEVARIM[[#This Row],[קוד מעמד]])=1,HEVARIM[[#This Row],[ותק מחברה 40]]&lt;25),HEVARIM[[#This Row],[ותק מחברה 40]]/25*הנחות!$C$4,0)</f>
        <v>0</v>
      </c>
      <c r="AM110" s="9" t="str">
        <f ca="1">IF(HEVARIM[[#This Row],[דמי עזיבה 25 שנות ותק]]&gt;0,YEAR(TODAY())+25-ROUNDDOWN(HEVARIM[[#This Row],[ותק מחברה 40]],0),"")</f>
        <v/>
      </c>
      <c r="AN1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0" s="9" t="str">
        <f ca="1">IF(HEVARIM[[#This Row],[דמי עזיבה לגיל 65]]&gt;0,YEAR(TODAY())+64-ROUNDDOWN(HEVARIM[[#This Row],[גיל]],0),"")</f>
        <v/>
      </c>
      <c r="AP110" s="1">
        <f>SUMIF(HEVARIM[קוד תקציב],HEVARIM[[#This Row],[קוד תקציב משפחה מקורי]],HEVARIM[ותק מחברה 40])</f>
        <v>42.7</v>
      </c>
      <c r="AQ1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0" s="9">
        <f>IF(HEVARIM[[#This Row],[קוד מעמד]]="1     ",IFERROR(VLOOKUP(HEVARIM[[#This Row],[קוד תקציב]],'תקציב צביעה - לקראת השינוי'!A:F,4,0),0),0)</f>
        <v>0</v>
      </c>
      <c r="AT110" s="1"/>
    </row>
    <row r="111" spans="1:46">
      <c r="A111" t="s">
        <v>673</v>
      </c>
      <c r="B111" t="s">
        <v>674</v>
      </c>
      <c r="C111" t="s">
        <v>548</v>
      </c>
      <c r="D111" t="s">
        <v>596</v>
      </c>
      <c r="E111" t="s">
        <v>67</v>
      </c>
      <c r="F111" s="4">
        <v>35820</v>
      </c>
      <c r="G111">
        <v>27</v>
      </c>
      <c r="H111" t="s">
        <v>675</v>
      </c>
      <c r="I111" t="s">
        <v>674</v>
      </c>
      <c r="J111" s="4" t="s">
        <v>70</v>
      </c>
      <c r="K111" s="4" t="s">
        <v>81</v>
      </c>
      <c r="L111" t="s">
        <v>676</v>
      </c>
      <c r="M111" t="s">
        <v>673</v>
      </c>
      <c r="N111" t="s">
        <v>674</v>
      </c>
      <c r="O111">
        <f>IFERROR(VLOOKUP(HEVARIM[[#This Row],[קוד תקציב]],[2]תקציבים!A:L,6,0),0)</f>
        <v>0</v>
      </c>
      <c r="P111" s="5" t="s">
        <v>129</v>
      </c>
      <c r="Q111" t="s">
        <v>26</v>
      </c>
      <c r="R111" s="4">
        <v>45748</v>
      </c>
      <c r="S111" s="4" t="s">
        <v>74</v>
      </c>
      <c r="T111" s="96" t="s">
        <v>549</v>
      </c>
      <c r="U111" t="str">
        <f>VLOOKUP(HEVARIM[[#This Row],[גיל]],GIL,2,1)</f>
        <v>--</v>
      </c>
      <c r="V111" t="str">
        <f>IF(HEVARIM[[#This Row],[קוד מעמד]]="4     ",IF(HEVARIM[[#This Row],[גיל]]=1,1,IF(HEVARIM[[#This Row],[גיל]]&lt;=5,5,18)),"")</f>
        <v/>
      </c>
      <c r="W111">
        <f t="shared" si="4"/>
        <v>0</v>
      </c>
      <c r="X1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1">
        <f>IF(HEVARIM[[#This Row],[מצב משפחתי2]]="אלמן",'[2]ריכוז נתונים'!$AC$2,0)</f>
        <v>0</v>
      </c>
      <c r="Z111" s="3">
        <f>VLOOKUP(VALUE(HEVARIM[[#This Row],[קוד מעמד]]),הנחות!$I$2:$K$21,3,0)</f>
        <v>1</v>
      </c>
      <c r="AA111" t="b">
        <f>ISERROR(VLOOKUP(HEVARIM[[#This Row],[קוד תקציב]],'[2]ריכוז נתונים'!A:A,1,0))</f>
        <v>1</v>
      </c>
      <c r="AB111" s="1">
        <f t="shared" si="5"/>
        <v>0</v>
      </c>
      <c r="AC111" s="2">
        <f ca="1">IF(HEVARIM[[#This Row],[בר מצוה]]&gt;0,YEAR(TODAY())+'תקציבים מיוחדים'!$F$5-HEVARIM[[#This Row],[גיל]],0)</f>
        <v>0</v>
      </c>
      <c r="AD111" s="1">
        <f t="shared" si="6"/>
        <v>0</v>
      </c>
      <c r="AE111" s="2">
        <f ca="1">IF(HEVARIM[[#This Row],[בת מצוה]]&gt;0,YEAR(TODAY())+'תקציבים מיוחדים'!$F$5-HEVARIM[[#This Row],[גיל]],0)</f>
        <v>0</v>
      </c>
      <c r="AF111" s="1">
        <f>IF(AND($S111&gt;="רווק",$Z111=1),AF$4*IF(HEVARIM[[#This Row],[גיל]]&gt;$AF$3,1,(($G111-AF$2)/(AF$3-AF$2))),0)</f>
        <v>0</v>
      </c>
      <c r="AG11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1" s="1">
        <f t="shared" si="7"/>
        <v>0</v>
      </c>
      <c r="AI111" s="2">
        <f ca="1">IF(AH111&gt;0,YEAR(TODAY())+'תקציבים מיוחדים'!$F$7-HEVARIM[[#This Row],[גיל]],0)</f>
        <v>0</v>
      </c>
      <c r="AJ111" s="9">
        <f>IF(AND(ISERROR(VLOOKUP(H111,'[2]ריכוז נתונים'!A:L,1,0)),P111="1     "),1,0)</f>
        <v>0</v>
      </c>
      <c r="AK11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11" s="1">
        <f>IF(AND(VALUE(HEVARIM[[#This Row],[קוד מעמד]])=1,HEVARIM[[#This Row],[ותק מחברה 40]]&lt;25),HEVARIM[[#This Row],[ותק מחברה 40]]/25*הנחות!$C$4,0)</f>
        <v>0</v>
      </c>
      <c r="AM111" s="9" t="str">
        <f ca="1">IF(HEVARIM[[#This Row],[דמי עזיבה 25 שנות ותק]]&gt;0,YEAR(TODAY())+25-ROUNDDOWN(HEVARIM[[#This Row],[ותק מחברה 40]],0),"")</f>
        <v/>
      </c>
      <c r="AN11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1" s="9" t="str">
        <f ca="1">IF(HEVARIM[[#This Row],[דמי עזיבה לגיל 65]]&gt;0,YEAR(TODAY())+64-ROUNDDOWN(HEVARIM[[#This Row],[גיל]],0),"")</f>
        <v/>
      </c>
      <c r="AP111" s="1">
        <f>SUMIF(HEVARIM[קוד תקציב],HEVARIM[[#This Row],[קוד תקציב משפחה מקורי]],HEVARIM[ותק מחברה 40])</f>
        <v>42.7</v>
      </c>
      <c r="AQ1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1" s="9">
        <f>IF(HEVARIM[[#This Row],[קוד מעמד]]="1     ",IFERROR(VLOOKUP(HEVARIM[[#This Row],[קוד תקציב]],'תקציב צביעה - לקראת השינוי'!A:F,4,0),0),0)</f>
        <v>0</v>
      </c>
      <c r="AT111" s="1"/>
    </row>
    <row r="112" spans="1:46">
      <c r="A112" t="s">
        <v>552</v>
      </c>
      <c r="B112" t="s">
        <v>553</v>
      </c>
      <c r="C112" t="s">
        <v>548</v>
      </c>
      <c r="D112" t="s">
        <v>598</v>
      </c>
      <c r="E112" t="s">
        <v>67</v>
      </c>
      <c r="F112" s="4">
        <v>23435</v>
      </c>
      <c r="G112">
        <v>61</v>
      </c>
      <c r="H112" t="s">
        <v>549</v>
      </c>
      <c r="I112" t="s">
        <v>550</v>
      </c>
      <c r="J112" s="4" t="s">
        <v>70</v>
      </c>
      <c r="K112" s="4" t="s">
        <v>71</v>
      </c>
      <c r="L112" t="s">
        <v>599</v>
      </c>
      <c r="M112" t="s">
        <v>552</v>
      </c>
      <c r="N112" t="s">
        <v>553</v>
      </c>
      <c r="O112">
        <f>IFERROR(VLOOKUP(HEVARIM[[#This Row],[קוד תקציב]],[2]תקציבים!A:L,6,0),0)</f>
        <v>2</v>
      </c>
      <c r="P112" s="5" t="s">
        <v>104</v>
      </c>
      <c r="Q112" t="s">
        <v>11</v>
      </c>
      <c r="R112" s="4">
        <v>39320</v>
      </c>
      <c r="S112" s="4" t="s">
        <v>74</v>
      </c>
      <c r="T112" s="96" t="s">
        <v>549</v>
      </c>
      <c r="U112" t="str">
        <f>VLOOKUP(HEVARIM[[#This Row],[גיל]],GIL,2,1)</f>
        <v>--</v>
      </c>
      <c r="V112" t="str">
        <f>IF(HEVARIM[[#This Row],[קוד מעמד]]="4     ",IF(HEVARIM[[#This Row],[גיל]]=1,1,IF(HEVARIM[[#This Row],[גיל]]&lt;=5,5,18)),"")</f>
        <v/>
      </c>
      <c r="W112">
        <f t="shared" si="4"/>
        <v>0</v>
      </c>
      <c r="X1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2">
        <f>IF(HEVARIM[[#This Row],[מצב משפחתי2]]="אלמן",'[2]ריכוז נתונים'!$AC$2,0)</f>
        <v>0</v>
      </c>
      <c r="Z112" s="3">
        <f>VLOOKUP(VALUE(HEVARIM[[#This Row],[קוד מעמד]]),הנחות!$I$2:$K$21,3,0)</f>
        <v>0</v>
      </c>
      <c r="AA112" t="b">
        <f>ISERROR(VLOOKUP(HEVARIM[[#This Row],[קוד תקציב]],'[2]ריכוז נתונים'!A:A,1,0))</f>
        <v>0</v>
      </c>
      <c r="AB112" s="1">
        <f t="shared" si="5"/>
        <v>0</v>
      </c>
      <c r="AC112" s="2">
        <f ca="1">IF(HEVARIM[[#This Row],[בר מצוה]]&gt;0,YEAR(TODAY())+'תקציבים מיוחדים'!$F$5-HEVARIM[[#This Row],[גיל]],0)</f>
        <v>0</v>
      </c>
      <c r="AD112" s="1">
        <f t="shared" si="6"/>
        <v>0</v>
      </c>
      <c r="AE112" s="2">
        <f ca="1">IF(HEVARIM[[#This Row],[בת מצוה]]&gt;0,YEAR(TODAY())+'תקציבים מיוחדים'!$F$5-HEVARIM[[#This Row],[גיל]],0)</f>
        <v>0</v>
      </c>
      <c r="AF112" s="1">
        <f>IF(AND($S112&gt;="רווק",$Z112=1),AF$4*IF(HEVARIM[[#This Row],[גיל]]&gt;$AF$3,1,(($G112-AF$2)/(AF$3-AF$2))),0)</f>
        <v>0</v>
      </c>
      <c r="AG11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2" s="1">
        <f t="shared" si="7"/>
        <v>0</v>
      </c>
      <c r="AI112" s="2">
        <f ca="1">IF(AH112&gt;0,YEAR(TODAY())+'תקציבים מיוחדים'!$F$7-HEVARIM[[#This Row],[גיל]],0)</f>
        <v>0</v>
      </c>
      <c r="AJ112" s="9">
        <f>IF(AND(ISERROR(VLOOKUP(H112,'[2]ריכוז נתונים'!A:L,1,0)),P112="1     "),1,0)</f>
        <v>0</v>
      </c>
      <c r="AK112" s="1">
        <f>IF(VALUE(HEVARIM[[#This Row],[קוד מעמד]])=1,VLOOKUP((IF(LEFT(HEVARIM[[#This Row],[קוד חבר]],1)="0",HEVARIM[[#This Row],[קוד חבר]],VALUE(HEVARIM[[#This Row],[קוד חבר]]))),'ותק חברה 40'!AQ:AW,7,0),"")</f>
        <v>21.35</v>
      </c>
      <c r="AL112" s="1">
        <f>IF(AND(VALUE(HEVARIM[[#This Row],[קוד מעמד]])=1,HEVARIM[[#This Row],[ותק מחברה 40]]&lt;25),HEVARIM[[#This Row],[ותק מחברה 40]]/25*הנחות!$C$4,0)</f>
        <v>32054.559075000001</v>
      </c>
      <c r="AM112" s="9">
        <f ca="1">IF(HEVARIM[[#This Row],[דמי עזיבה 25 שנות ותק]]&gt;0,YEAR(TODAY())+25-ROUNDDOWN(HEVARIM[[#This Row],[ותק מחברה 40]],0),"")</f>
        <v>2030</v>
      </c>
      <c r="AN11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2" s="9" t="str">
        <f ca="1">IF(HEVARIM[[#This Row],[דמי עזיבה לגיל 65]]&gt;0,YEAR(TODAY())+64-ROUNDDOWN(HEVARIM[[#This Row],[גיל]],0),"")</f>
        <v/>
      </c>
      <c r="AP112" s="1">
        <f>SUMIF(HEVARIM[קוד תקציב],HEVARIM[[#This Row],[קוד תקציב משפחה מקורי]],HEVARIM[ותק מחברה 40])</f>
        <v>42.7</v>
      </c>
      <c r="AQ1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12" s="9">
        <f>IF(HEVARIM[[#This Row],[קוד מעמד]]="1     ",IFERROR(VLOOKUP(HEVARIM[[#This Row],[קוד תקציב]],'תקציב צביעה - לקראת השינוי'!A:F,4,0),0),0)</f>
        <v>2028</v>
      </c>
      <c r="AT112" s="1"/>
    </row>
    <row r="113" spans="1:46">
      <c r="A113" t="s">
        <v>600</v>
      </c>
      <c r="B113" t="s">
        <v>601</v>
      </c>
      <c r="C113" t="s">
        <v>548</v>
      </c>
      <c r="D113" t="s">
        <v>155</v>
      </c>
      <c r="E113" t="s">
        <v>79</v>
      </c>
      <c r="F113" s="4">
        <v>23553</v>
      </c>
      <c r="G113">
        <v>61</v>
      </c>
      <c r="H113" t="s">
        <v>549</v>
      </c>
      <c r="I113" t="s">
        <v>550</v>
      </c>
      <c r="J113" s="4" t="s">
        <v>70</v>
      </c>
      <c r="K113" s="4" t="s">
        <v>71</v>
      </c>
      <c r="L113" t="s">
        <v>602</v>
      </c>
      <c r="M113" t="s">
        <v>552</v>
      </c>
      <c r="N113" t="s">
        <v>553</v>
      </c>
      <c r="O113">
        <f>IFERROR(VLOOKUP(HEVARIM[[#This Row],[קוד תקציב]],[2]תקציבים!A:L,6,0),0)</f>
        <v>2</v>
      </c>
      <c r="P113" s="5" t="s">
        <v>104</v>
      </c>
      <c r="Q113" t="s">
        <v>11</v>
      </c>
      <c r="R113" s="4">
        <v>39320</v>
      </c>
      <c r="S113" s="4" t="s">
        <v>74</v>
      </c>
      <c r="T113" s="96" t="s">
        <v>549</v>
      </c>
      <c r="U113" t="str">
        <f>VLOOKUP(HEVARIM[[#This Row],[גיל]],GIL,2,1)</f>
        <v>--</v>
      </c>
      <c r="V113" t="str">
        <f>IF(HEVARIM[[#This Row],[קוד מעמד]]="4     ",IF(HEVARIM[[#This Row],[גיל]]=1,1,IF(HEVARIM[[#This Row],[גיל]]&lt;=5,5,18)),"")</f>
        <v/>
      </c>
      <c r="W113">
        <f t="shared" si="4"/>
        <v>0</v>
      </c>
      <c r="X1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3">
        <f>IF(HEVARIM[[#This Row],[מצב משפחתי2]]="אלמן",'[2]ריכוז נתונים'!$AC$2,0)</f>
        <v>0</v>
      </c>
      <c r="Z113" s="3">
        <f>VLOOKUP(VALUE(HEVARIM[[#This Row],[קוד מעמד]]),הנחות!$I$2:$K$21,3,0)</f>
        <v>0</v>
      </c>
      <c r="AA113" t="b">
        <f>ISERROR(VLOOKUP(HEVARIM[[#This Row],[קוד תקציב]],'[2]ריכוז נתונים'!A:A,1,0))</f>
        <v>0</v>
      </c>
      <c r="AB113" s="1">
        <f t="shared" si="5"/>
        <v>0</v>
      </c>
      <c r="AC113" s="2">
        <f ca="1">IF(HEVARIM[[#This Row],[בר מצוה]]&gt;0,YEAR(TODAY())+'תקציבים מיוחדים'!$F$5-HEVARIM[[#This Row],[גיל]],0)</f>
        <v>0</v>
      </c>
      <c r="AD113" s="1">
        <f t="shared" si="6"/>
        <v>0</v>
      </c>
      <c r="AE113" s="2">
        <f ca="1">IF(HEVARIM[[#This Row],[בת מצוה]]&gt;0,YEAR(TODAY())+'תקציבים מיוחדים'!$F$5-HEVARIM[[#This Row],[גיל]],0)</f>
        <v>0</v>
      </c>
      <c r="AF113" s="1">
        <f>IF(AND($S113&gt;="רווק",$Z113=1),AF$4*IF(HEVARIM[[#This Row],[גיל]]&gt;$AF$3,1,(($G113-AF$2)/(AF$3-AF$2))),0)</f>
        <v>0</v>
      </c>
      <c r="AG11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3" s="1">
        <f t="shared" si="7"/>
        <v>0</v>
      </c>
      <c r="AI113" s="2">
        <f ca="1">IF(AH113&gt;0,YEAR(TODAY())+'תקציבים מיוחדים'!$F$7-HEVARIM[[#This Row],[גיל]],0)</f>
        <v>0</v>
      </c>
      <c r="AJ113" s="9">
        <f>IF(AND(ISERROR(VLOOKUP(H113,'[2]ריכוז נתונים'!A:L,1,0)),P113="1     "),1,0)</f>
        <v>0</v>
      </c>
      <c r="AK113" s="1">
        <f>IF(VALUE(HEVARIM[[#This Row],[קוד מעמד]])=1,VLOOKUP((IF(LEFT(HEVARIM[[#This Row],[קוד חבר]],1)="0",HEVARIM[[#This Row],[קוד חבר]],VALUE(HEVARIM[[#This Row],[קוד חבר]]))),'ותק חברה 40'!AQ:AW,7,0),"")</f>
        <v>21.35</v>
      </c>
      <c r="AL113" s="1">
        <f>IF(AND(VALUE(HEVARIM[[#This Row],[קוד מעמד]])=1,HEVARIM[[#This Row],[ותק מחברה 40]]&lt;25),HEVARIM[[#This Row],[ותק מחברה 40]]/25*הנחות!$C$4,0)</f>
        <v>32054.559075000001</v>
      </c>
      <c r="AM113" s="9">
        <f ca="1">IF(HEVARIM[[#This Row],[דמי עזיבה 25 שנות ותק]]&gt;0,YEAR(TODAY())+25-ROUNDDOWN(HEVARIM[[#This Row],[ותק מחברה 40]],0),"")</f>
        <v>2030</v>
      </c>
      <c r="AN1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3" s="9" t="str">
        <f ca="1">IF(HEVARIM[[#This Row],[דמי עזיבה לגיל 65]]&gt;0,YEAR(TODAY())+64-ROUNDDOWN(HEVARIM[[#This Row],[גיל]],0),"")</f>
        <v/>
      </c>
      <c r="AP113" s="1">
        <f>SUMIF(HEVARIM[קוד תקציב],HEVARIM[[#This Row],[קוד תקציב משפחה מקורי]],HEVARIM[ותק מחברה 40])</f>
        <v>42.7</v>
      </c>
      <c r="AQ1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13" s="9">
        <f>IF(HEVARIM[[#This Row],[קוד מעמד]]="1     ",IFERROR(VLOOKUP(HEVARIM[[#This Row],[קוד תקציב]],'תקציב צביעה - לקראת השינוי'!A:F,4,0),0),0)</f>
        <v>2028</v>
      </c>
      <c r="AT113" s="1"/>
    </row>
    <row r="114" spans="1:46">
      <c r="A114" t="s">
        <v>1536</v>
      </c>
      <c r="B114" t="s">
        <v>1537</v>
      </c>
      <c r="C114" t="s">
        <v>1538</v>
      </c>
      <c r="D114" t="s">
        <v>1539</v>
      </c>
      <c r="E114" t="s">
        <v>67</v>
      </c>
      <c r="F114" s="4">
        <v>35769</v>
      </c>
      <c r="G114">
        <v>28</v>
      </c>
      <c r="H114" t="s">
        <v>1540</v>
      </c>
      <c r="I114" t="s">
        <v>1537</v>
      </c>
      <c r="J114" s="4" t="s">
        <v>70</v>
      </c>
      <c r="K114" s="4" t="s">
        <v>81</v>
      </c>
      <c r="L114" t="s">
        <v>1541</v>
      </c>
      <c r="M114" t="s">
        <v>1536</v>
      </c>
      <c r="N114" t="s">
        <v>1537</v>
      </c>
      <c r="O114">
        <f>IFERROR(VLOOKUP(HEVARIM[[#This Row],[קוד תקציב]],[2]תקציבים!A:L,6,0),0)</f>
        <v>0</v>
      </c>
      <c r="P114" s="5" t="s">
        <v>83</v>
      </c>
      <c r="Q114" t="s">
        <v>15</v>
      </c>
      <c r="R114" s="4">
        <v>44315</v>
      </c>
      <c r="S114" s="4" t="s">
        <v>90</v>
      </c>
      <c r="T114" s="96" t="s">
        <v>549</v>
      </c>
      <c r="U114" t="str">
        <f>VLOOKUP(HEVARIM[[#This Row],[גיל]],GIL,2,1)</f>
        <v>--</v>
      </c>
      <c r="V114" t="str">
        <f>IF(HEVARIM[[#This Row],[קוד מעמד]]="4     ",IF(HEVARIM[[#This Row],[גיל]]=1,1,IF(HEVARIM[[#This Row],[גיל]]&lt;=5,5,18)),"")</f>
        <v/>
      </c>
      <c r="W114">
        <f t="shared" si="4"/>
        <v>0</v>
      </c>
      <c r="X11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4">
        <f>IF(HEVARIM[[#This Row],[מצב משפחתי2]]="אלמן",'[2]ריכוז נתונים'!$AC$2,0)</f>
        <v>0</v>
      </c>
      <c r="Z114" s="3">
        <f>VLOOKUP(VALUE(HEVARIM[[#This Row],[קוד מעמד]]),הנחות!$I$2:$K$21,3,0)</f>
        <v>0</v>
      </c>
      <c r="AA114" t="b">
        <f>ISERROR(VLOOKUP(HEVARIM[[#This Row],[קוד תקציב]],'[2]ריכוז נתונים'!A:A,1,0))</f>
        <v>1</v>
      </c>
      <c r="AB114" s="1">
        <f t="shared" si="5"/>
        <v>0</v>
      </c>
      <c r="AC114" s="2">
        <f ca="1">IF(HEVARIM[[#This Row],[בר מצוה]]&gt;0,YEAR(TODAY())+'תקציבים מיוחדים'!$F$5-HEVARIM[[#This Row],[גיל]],0)</f>
        <v>0</v>
      </c>
      <c r="AD114" s="1">
        <f t="shared" si="6"/>
        <v>0</v>
      </c>
      <c r="AE114" s="2">
        <f ca="1">IF(HEVARIM[[#This Row],[בת מצוה]]&gt;0,YEAR(TODAY())+'תקציבים מיוחדים'!$F$5-HEVARIM[[#This Row],[גיל]],0)</f>
        <v>0</v>
      </c>
      <c r="AF114" s="1">
        <f>IF(AND($S114&gt;="רווק",$Z114=1),AF$4*IF(HEVARIM[[#This Row],[גיל]]&gt;$AF$3,1,(($G114-AF$2)/(AF$3-AF$2))),0)</f>
        <v>0</v>
      </c>
      <c r="AG11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4" s="1">
        <f t="shared" si="7"/>
        <v>0</v>
      </c>
      <c r="AI114" s="2">
        <f ca="1">IF(AH114&gt;0,YEAR(TODAY())+'תקציבים מיוחדים'!$F$7-HEVARIM[[#This Row],[גיל]],0)</f>
        <v>0</v>
      </c>
      <c r="AJ114" s="9">
        <f>IF(AND(ISERROR(VLOOKUP(H114,'[2]ריכוז נתונים'!A:L,1,0)),P114="1     "),1,0)</f>
        <v>0</v>
      </c>
      <c r="AK11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14" s="1">
        <f>IF(AND(VALUE(HEVARIM[[#This Row],[קוד מעמד]])=1,HEVARIM[[#This Row],[ותק מחברה 40]]&lt;25),HEVARIM[[#This Row],[ותק מחברה 40]]/25*הנחות!$C$4,0)</f>
        <v>0</v>
      </c>
      <c r="AM114" s="9" t="str">
        <f ca="1">IF(HEVARIM[[#This Row],[דמי עזיבה 25 שנות ותק]]&gt;0,YEAR(TODAY())+25-ROUNDDOWN(HEVARIM[[#This Row],[ותק מחברה 40]],0),"")</f>
        <v/>
      </c>
      <c r="AN1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4" s="9" t="str">
        <f ca="1">IF(HEVARIM[[#This Row],[דמי עזיבה לגיל 65]]&gt;0,YEAR(TODAY())+64-ROUNDDOWN(HEVARIM[[#This Row],[גיל]],0),"")</f>
        <v/>
      </c>
      <c r="AP114" s="1">
        <f>SUMIF(HEVARIM[קוד תקציב],HEVARIM[[#This Row],[קוד תקציב משפחה מקורי]],HEVARIM[ותק מחברה 40])</f>
        <v>42.7</v>
      </c>
      <c r="AQ1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4" s="9">
        <f>IF(HEVARIM[[#This Row],[קוד מעמד]]="1     ",IFERROR(VLOOKUP(HEVARIM[[#This Row],[קוד תקציב]],'תקציב צביעה - לקראת השינוי'!A:F,4,0),0),0)</f>
        <v>0</v>
      </c>
      <c r="AT114" s="1"/>
    </row>
    <row r="115" spans="1:46">
      <c r="A115" t="s">
        <v>607</v>
      </c>
      <c r="B115" t="s">
        <v>608</v>
      </c>
      <c r="C115" t="s">
        <v>609</v>
      </c>
      <c r="D115" t="s">
        <v>610</v>
      </c>
      <c r="E115" t="s">
        <v>79</v>
      </c>
      <c r="F115" s="4">
        <v>31194</v>
      </c>
      <c r="G115">
        <v>40</v>
      </c>
      <c r="H115" t="s">
        <v>611</v>
      </c>
      <c r="I115" t="s">
        <v>612</v>
      </c>
      <c r="J115" s="4" t="s">
        <v>70</v>
      </c>
      <c r="K115" s="4" t="s">
        <v>71</v>
      </c>
      <c r="L115" t="s">
        <v>613</v>
      </c>
      <c r="M115" t="s">
        <v>607</v>
      </c>
      <c r="N115" t="s">
        <v>608</v>
      </c>
      <c r="O115">
        <f>IFERROR(VLOOKUP(HEVARIM[[#This Row],[קוד תקציב]],[2]תקציבים!A:L,6,0),0)</f>
        <v>1</v>
      </c>
      <c r="P115" s="5" t="s">
        <v>104</v>
      </c>
      <c r="Q115" t="s">
        <v>11</v>
      </c>
      <c r="R115" s="4">
        <v>40687</v>
      </c>
      <c r="S115" s="4" t="s">
        <v>145</v>
      </c>
      <c r="T115" s="96" t="s">
        <v>611</v>
      </c>
      <c r="U115" t="str">
        <f>VLOOKUP(HEVARIM[[#This Row],[גיל]],GIL,2,1)</f>
        <v>--</v>
      </c>
      <c r="V115" t="str">
        <f>IF(HEVARIM[[#This Row],[קוד מעמד]]="4     ",IF(HEVARIM[[#This Row],[גיל]]=1,1,IF(HEVARIM[[#This Row],[גיל]]&lt;=5,5,18)),"")</f>
        <v/>
      </c>
      <c r="W115">
        <f t="shared" si="4"/>
        <v>0</v>
      </c>
      <c r="X11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5">
        <f>IF(HEVARIM[[#This Row],[מצב משפחתי2]]="אלמן",'[2]ריכוז נתונים'!$AC$2,0)</f>
        <v>0</v>
      </c>
      <c r="Z115" s="3">
        <f>VLOOKUP(VALUE(HEVARIM[[#This Row],[קוד מעמד]]),הנחות!$I$2:$K$21,3,0)</f>
        <v>0</v>
      </c>
      <c r="AA115" t="b">
        <f>ISERROR(VLOOKUP(HEVARIM[[#This Row],[קוד תקציב]],'[2]ריכוז נתונים'!A:A,1,0))</f>
        <v>0</v>
      </c>
      <c r="AB115" s="1">
        <f t="shared" si="5"/>
        <v>0</v>
      </c>
      <c r="AC115" s="2">
        <f ca="1">IF(HEVARIM[[#This Row],[בר מצוה]]&gt;0,YEAR(TODAY())+'תקציבים מיוחדים'!$F$5-HEVARIM[[#This Row],[גיל]],0)</f>
        <v>0</v>
      </c>
      <c r="AD115" s="1">
        <f t="shared" si="6"/>
        <v>0</v>
      </c>
      <c r="AE115" s="2">
        <f ca="1">IF(HEVARIM[[#This Row],[בת מצוה]]&gt;0,YEAR(TODAY())+'תקציבים מיוחדים'!$F$5-HEVARIM[[#This Row],[גיל]],0)</f>
        <v>0</v>
      </c>
      <c r="AF115" s="1">
        <f>IF(AND($S115&gt;="רווק",$Z115=1),AF$4*IF(HEVARIM[[#This Row],[גיל]]&gt;$AF$3,1,(($G115-AF$2)/(AF$3-AF$2))),0)</f>
        <v>0</v>
      </c>
      <c r="AG11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5" s="1">
        <f t="shared" si="7"/>
        <v>0</v>
      </c>
      <c r="AI115" s="2">
        <f ca="1">IF(AH115&gt;0,YEAR(TODAY())+'תקציבים מיוחדים'!$F$7-HEVARIM[[#This Row],[גיל]],0)</f>
        <v>0</v>
      </c>
      <c r="AJ115" s="9">
        <f>IF(AND(ISERROR(VLOOKUP(H115,'[2]ריכוז נתונים'!A:L,1,0)),P115="1     "),1,0)</f>
        <v>0</v>
      </c>
      <c r="AK115" s="1">
        <f>IF(VALUE(HEVARIM[[#This Row],[קוד מעמד]])=1,VLOOKUP((IF(LEFT(HEVARIM[[#This Row],[קוד חבר]],1)="0",HEVARIM[[#This Row],[קוד חבר]],VALUE(HEVARIM[[#This Row],[קוד חבר]]))),'ותק חברה 40'!AQ:AW,7,0),"")</f>
        <v>16.28</v>
      </c>
      <c r="AL115" s="1">
        <f>IF(AND(VALUE(HEVARIM[[#This Row],[קוד מעמד]])=1,HEVARIM[[#This Row],[ותק מחברה 40]]&lt;25),HEVARIM[[#This Row],[ותק מחברה 40]]/25*הנחות!$C$4,0)</f>
        <v>24442.539659999999</v>
      </c>
      <c r="AM115" s="9">
        <f ca="1">IF(HEVARIM[[#This Row],[דמי עזיבה 25 שנות ותק]]&gt;0,YEAR(TODAY())+25-ROUNDDOWN(HEVARIM[[#This Row],[ותק מחברה 40]],0),"")</f>
        <v>2035</v>
      </c>
      <c r="AN11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5" s="9" t="str">
        <f ca="1">IF(HEVARIM[[#This Row],[דמי עזיבה לגיל 65]]&gt;0,YEAR(TODAY())+64-ROUNDDOWN(HEVARIM[[#This Row],[גיל]],0),"")</f>
        <v/>
      </c>
      <c r="AP115" s="1">
        <f>SUMIF(HEVARIM[קוד תקציב],HEVARIM[[#This Row],[קוד תקציב משפחה מקורי]],HEVARIM[ותק מחברה 40])</f>
        <v>16.28</v>
      </c>
      <c r="AQ1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115" s="9">
        <f>IF(HEVARIM[[#This Row],[קוד מעמד]]="1     ",IFERROR(VLOOKUP(HEVARIM[[#This Row],[קוד תקציב]],'תקציב צביעה - לקראת השינוי'!A:F,4,0),0),0)</f>
        <v>2032</v>
      </c>
      <c r="AT115" s="1"/>
    </row>
    <row r="116" spans="1:46">
      <c r="A116" t="s">
        <v>614</v>
      </c>
      <c r="B116" t="s">
        <v>615</v>
      </c>
      <c r="C116" t="s">
        <v>616</v>
      </c>
      <c r="D116" t="s">
        <v>617</v>
      </c>
      <c r="E116" t="s">
        <v>67</v>
      </c>
      <c r="F116" s="4">
        <v>40326</v>
      </c>
      <c r="G116">
        <v>15</v>
      </c>
      <c r="H116" t="s">
        <v>611</v>
      </c>
      <c r="I116" t="s">
        <v>612</v>
      </c>
      <c r="J116" s="4" t="s">
        <v>70</v>
      </c>
      <c r="K116" s="4" t="s">
        <v>71</v>
      </c>
      <c r="L116" t="s">
        <v>618</v>
      </c>
      <c r="M116" t="s">
        <v>607</v>
      </c>
      <c r="N116" t="s">
        <v>608</v>
      </c>
      <c r="O116">
        <f>IFERROR(VLOOKUP(HEVARIM[[#This Row],[קוד תקציב]],[2]תקציבים!A:L,6,0),0)</f>
        <v>1</v>
      </c>
      <c r="P116" s="5" t="s">
        <v>227</v>
      </c>
      <c r="Q116" t="s">
        <v>14</v>
      </c>
      <c r="R116" s="4">
        <v>40326</v>
      </c>
      <c r="S116" s="4" t="s">
        <v>90</v>
      </c>
      <c r="T116" s="96" t="s">
        <v>611</v>
      </c>
      <c r="U116" t="str">
        <f>VLOOKUP(HEVARIM[[#This Row],[גיל]],GIL,2,1)</f>
        <v>תיכון</v>
      </c>
      <c r="V116">
        <f>IF(HEVARIM[[#This Row],[קוד מעמד]]="4     ",IF(HEVARIM[[#This Row],[גיל]]=1,1,IF(HEVARIM[[#This Row],[גיל]]&lt;=5,5,18)),"")</f>
        <v>18</v>
      </c>
      <c r="W116">
        <f t="shared" si="4"/>
        <v>0</v>
      </c>
      <c r="X1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6">
        <f>IF(HEVARIM[[#This Row],[מצב משפחתי2]]="אלמן",'[2]ריכוז נתונים'!$AC$2,0)</f>
        <v>0</v>
      </c>
      <c r="Z116" s="3">
        <f>VLOOKUP(VALUE(HEVARIM[[#This Row],[קוד מעמד]]),הנחות!$I$2:$K$21,3,0)</f>
        <v>1</v>
      </c>
      <c r="AA116" t="b">
        <f>ISERROR(VLOOKUP(HEVARIM[[#This Row],[קוד תקציב]],'[2]ריכוז נתונים'!A:A,1,0))</f>
        <v>0</v>
      </c>
      <c r="AB116" s="1">
        <f t="shared" si="5"/>
        <v>0</v>
      </c>
      <c r="AC116" s="2">
        <f ca="1">IF(HEVARIM[[#This Row],[בר מצוה]]&gt;0,YEAR(TODAY())+'תקציבים מיוחדים'!$F$5-HEVARIM[[#This Row],[גיל]],0)</f>
        <v>0</v>
      </c>
      <c r="AD116" s="1">
        <f t="shared" si="6"/>
        <v>0</v>
      </c>
      <c r="AE116" s="2">
        <f ca="1">IF(HEVARIM[[#This Row],[בת מצוה]]&gt;0,YEAR(TODAY())+'תקציבים מיוחדים'!$F$5-HEVARIM[[#This Row],[גיל]],0)</f>
        <v>0</v>
      </c>
      <c r="AF116" s="1">
        <f>IF(AND($S116&gt;="רווק",$Z116=1),AF$4*IF(HEVARIM[[#This Row],[גיל]]&gt;$AF$3,1,(($G116-AF$2)/(AF$3-AF$2))),0)</f>
        <v>43223.21428571429</v>
      </c>
      <c r="AG116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116" s="1">
        <f t="shared" si="7"/>
        <v>75420.357142857145</v>
      </c>
      <c r="AI116" s="2">
        <f ca="1">IF(AH116&gt;0,YEAR(TODAY())+'תקציבים מיוחדים'!$F$7-HEVARIM[[#This Row],[גיל]],0)</f>
        <v>2032</v>
      </c>
      <c r="AJ116" s="9">
        <f>IF(AND(ISERROR(VLOOKUP(H116,'[2]ריכוז נתונים'!A:L,1,0)),P116="1     "),1,0)</f>
        <v>0</v>
      </c>
      <c r="AK11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16" s="1">
        <f>IF(AND(VALUE(HEVARIM[[#This Row],[קוד מעמד]])=1,HEVARIM[[#This Row],[ותק מחברה 40]]&lt;25),HEVARIM[[#This Row],[ותק מחברה 40]]/25*הנחות!$C$4,0)</f>
        <v>0</v>
      </c>
      <c r="AM116" s="9" t="str">
        <f ca="1">IF(HEVARIM[[#This Row],[דמי עזיבה 25 שנות ותק]]&gt;0,YEAR(TODAY())+25-ROUNDDOWN(HEVARIM[[#This Row],[ותק מחברה 40]],0),"")</f>
        <v/>
      </c>
      <c r="AN1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6" s="9" t="str">
        <f ca="1">IF(HEVARIM[[#This Row],[דמי עזיבה לגיל 65]]&gt;0,YEAR(TODAY())+64-ROUNDDOWN(HEVARIM[[#This Row],[גיל]],0),"")</f>
        <v/>
      </c>
      <c r="AP116" s="1">
        <f>SUMIF(HEVARIM[קוד תקציב],HEVARIM[[#This Row],[קוד תקציב משפחה מקורי]],HEVARIM[ותק מחברה 40])</f>
        <v>16.28</v>
      </c>
      <c r="AQ1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6" s="9">
        <f>IF(HEVARIM[[#This Row],[קוד מעמד]]="1     ",IFERROR(VLOOKUP(HEVARIM[[#This Row],[קוד תקציב]],'תקציב צביעה - לקראת השינוי'!A:F,4,0),0),0)</f>
        <v>0</v>
      </c>
      <c r="AT116" s="1"/>
    </row>
    <row r="117" spans="1:46">
      <c r="A117" t="s">
        <v>619</v>
      </c>
      <c r="B117" t="s">
        <v>620</v>
      </c>
      <c r="C117" t="s">
        <v>616</v>
      </c>
      <c r="D117" t="s">
        <v>621</v>
      </c>
      <c r="E117" t="s">
        <v>79</v>
      </c>
      <c r="F117" s="4">
        <v>41103</v>
      </c>
      <c r="G117">
        <v>13</v>
      </c>
      <c r="H117" t="s">
        <v>611</v>
      </c>
      <c r="I117" t="s">
        <v>612</v>
      </c>
      <c r="J117" s="4" t="s">
        <v>70</v>
      </c>
      <c r="K117" s="4" t="s">
        <v>71</v>
      </c>
      <c r="L117" t="s">
        <v>622</v>
      </c>
      <c r="M117" t="s">
        <v>607</v>
      </c>
      <c r="N117" t="s">
        <v>608</v>
      </c>
      <c r="O117">
        <f>IFERROR(VLOOKUP(HEVARIM[[#This Row],[קוד תקציב]],[2]תקציבים!A:L,6,0),0)</f>
        <v>1</v>
      </c>
      <c r="P117" s="5" t="s">
        <v>227</v>
      </c>
      <c r="Q117" t="s">
        <v>14</v>
      </c>
      <c r="R117" s="4">
        <v>41103</v>
      </c>
      <c r="S117" s="4" t="s">
        <v>90</v>
      </c>
      <c r="T117" s="96" t="s">
        <v>611</v>
      </c>
      <c r="U117" t="str">
        <f>VLOOKUP(HEVARIM[[#This Row],[גיל]],GIL,2,1)</f>
        <v>חטיבה</v>
      </c>
      <c r="V117">
        <f>IF(HEVARIM[[#This Row],[קוד מעמד]]="4     ",IF(HEVARIM[[#This Row],[גיל]]=1,1,IF(HEVARIM[[#This Row],[גיל]]&lt;=5,5,18)),"")</f>
        <v>18</v>
      </c>
      <c r="W117">
        <f t="shared" si="4"/>
        <v>0</v>
      </c>
      <c r="X11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7">
        <f>IF(HEVARIM[[#This Row],[מצב משפחתי2]]="אלמן",'[2]ריכוז נתונים'!$AC$2,0)</f>
        <v>0</v>
      </c>
      <c r="Z117" s="3">
        <f>VLOOKUP(VALUE(HEVARIM[[#This Row],[קוד מעמד]]),הנחות!$I$2:$K$21,3,0)</f>
        <v>1</v>
      </c>
      <c r="AA117" t="b">
        <f>ISERROR(VLOOKUP(HEVARIM[[#This Row],[קוד תקציב]],'[2]ריכוז נתונים'!A:A,1,0))</f>
        <v>0</v>
      </c>
      <c r="AB117" s="1">
        <f t="shared" si="5"/>
        <v>0</v>
      </c>
      <c r="AC117" s="2">
        <f ca="1">IF(HEVARIM[[#This Row],[בר מצוה]]&gt;0,YEAR(TODAY())+'תקציבים מיוחדים'!$F$5-HEVARIM[[#This Row],[גיל]],0)</f>
        <v>0</v>
      </c>
      <c r="AD117" s="1">
        <f t="shared" si="6"/>
        <v>7165</v>
      </c>
      <c r="AE117" s="2">
        <f ca="1">IF(HEVARIM[[#This Row],[בת מצוה]]&gt;0,YEAR(TODAY())+'תקציבים מיוחדים'!$F$5-HEVARIM[[#This Row],[גיל]],0)</f>
        <v>2026</v>
      </c>
      <c r="AF117" s="1">
        <f>IF(AND($S117&gt;="רווק",$Z117=1),AF$4*IF(HEVARIM[[#This Row],[גיל]]&gt;$AF$3,1,(($G117-AF$2)/(AF$3-AF$2))),0)</f>
        <v>37460.119047619046</v>
      </c>
      <c r="AG117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117" s="1">
        <f t="shared" si="7"/>
        <v>65364.309523809527</v>
      </c>
      <c r="AI117" s="2">
        <f ca="1">IF(AH117&gt;0,YEAR(TODAY())+'תקציבים מיוחדים'!$F$7-HEVARIM[[#This Row],[גיל]],0)</f>
        <v>2034</v>
      </c>
      <c r="AJ117" s="9">
        <f>IF(AND(ISERROR(VLOOKUP(H117,'[2]ריכוז נתונים'!A:L,1,0)),P117="1     "),1,0)</f>
        <v>0</v>
      </c>
      <c r="AK11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17" s="1">
        <f>IF(AND(VALUE(HEVARIM[[#This Row],[קוד מעמד]])=1,HEVARIM[[#This Row],[ותק מחברה 40]]&lt;25),HEVARIM[[#This Row],[ותק מחברה 40]]/25*הנחות!$C$4,0)</f>
        <v>0</v>
      </c>
      <c r="AM117" s="9" t="str">
        <f ca="1">IF(HEVARIM[[#This Row],[דמי עזיבה 25 שנות ותק]]&gt;0,YEAR(TODAY())+25-ROUNDDOWN(HEVARIM[[#This Row],[ותק מחברה 40]],0),"")</f>
        <v/>
      </c>
      <c r="AN1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7" s="9" t="str">
        <f ca="1">IF(HEVARIM[[#This Row],[דמי עזיבה לגיל 65]]&gt;0,YEAR(TODAY())+64-ROUNDDOWN(HEVARIM[[#This Row],[גיל]],0),"")</f>
        <v/>
      </c>
      <c r="AP117" s="1">
        <f>SUMIF(HEVARIM[קוד תקציב],HEVARIM[[#This Row],[קוד תקציב משפחה מקורי]],HEVARIM[ותק מחברה 40])</f>
        <v>16.28</v>
      </c>
      <c r="AQ1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7" s="9">
        <f>IF(HEVARIM[[#This Row],[קוד מעמד]]="1     ",IFERROR(VLOOKUP(HEVARIM[[#This Row],[קוד תקציב]],'תקציב צביעה - לקראת השינוי'!A:F,4,0),0),0)</f>
        <v>0</v>
      </c>
      <c r="AT117" s="1"/>
    </row>
    <row r="118" spans="1:46">
      <c r="A118" t="s">
        <v>630</v>
      </c>
      <c r="B118" t="s">
        <v>631</v>
      </c>
      <c r="C118" t="s">
        <v>625</v>
      </c>
      <c r="D118" t="s">
        <v>632</v>
      </c>
      <c r="E118" t="s">
        <v>79</v>
      </c>
      <c r="F118" s="4">
        <v>33512</v>
      </c>
      <c r="G118">
        <v>34</v>
      </c>
      <c r="H118" t="s">
        <v>627</v>
      </c>
      <c r="I118" t="s">
        <v>628</v>
      </c>
      <c r="J118" s="4" t="s">
        <v>70</v>
      </c>
      <c r="K118" s="4" t="s">
        <v>454</v>
      </c>
      <c r="L118" t="s">
        <v>633</v>
      </c>
      <c r="M118" t="s">
        <v>623</v>
      </c>
      <c r="N118" t="s">
        <v>624</v>
      </c>
      <c r="O118">
        <f>IFERROR(VLOOKUP(HEVARIM[[#This Row],[קוד תקציב]],[2]תקציבים!A:L,6,0),0)</f>
        <v>2</v>
      </c>
      <c r="P118" s="5" t="s">
        <v>104</v>
      </c>
      <c r="Q118" t="s">
        <v>11</v>
      </c>
      <c r="R118" s="4">
        <v>45551</v>
      </c>
      <c r="S118" s="4" t="s">
        <v>74</v>
      </c>
      <c r="T118" s="96" t="s">
        <v>627</v>
      </c>
      <c r="U118" t="str">
        <f>VLOOKUP(HEVARIM[[#This Row],[גיל]],GIL,2,1)</f>
        <v>--</v>
      </c>
      <c r="V118" t="str">
        <f>IF(HEVARIM[[#This Row],[קוד מעמד]]="4     ",IF(HEVARIM[[#This Row],[גיל]]=1,1,IF(HEVARIM[[#This Row],[גיל]]&lt;=5,5,18)),"")</f>
        <v/>
      </c>
      <c r="W118">
        <f t="shared" si="4"/>
        <v>0</v>
      </c>
      <c r="X11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8">
        <f>IF(HEVARIM[[#This Row],[מצב משפחתי2]]="אלמן",'[2]ריכוז נתונים'!$AC$2,0)</f>
        <v>0</v>
      </c>
      <c r="Z118" s="3">
        <f>VLOOKUP(VALUE(HEVARIM[[#This Row],[קוד מעמד]]),הנחות!$I$2:$K$21,3,0)</f>
        <v>0</v>
      </c>
      <c r="AA118" t="b">
        <f>ISERROR(VLOOKUP(HEVARIM[[#This Row],[קוד תקציב]],'[2]ריכוז נתונים'!A:A,1,0))</f>
        <v>0</v>
      </c>
      <c r="AB118" s="1">
        <f t="shared" si="5"/>
        <v>0</v>
      </c>
      <c r="AC118" s="2">
        <f ca="1">IF(HEVARIM[[#This Row],[בר מצוה]]&gt;0,YEAR(TODAY())+'תקציבים מיוחדים'!$F$5-HEVARIM[[#This Row],[גיל]],0)</f>
        <v>0</v>
      </c>
      <c r="AD118" s="1">
        <f t="shared" si="6"/>
        <v>0</v>
      </c>
      <c r="AE118" s="2">
        <f ca="1">IF(HEVARIM[[#This Row],[בת מצוה]]&gt;0,YEAR(TODAY())+'תקציבים מיוחדים'!$F$5-HEVARIM[[#This Row],[גיל]],0)</f>
        <v>0</v>
      </c>
      <c r="AF118" s="1">
        <f>IF(AND($S118&gt;="רווק",$Z118=1),AF$4*IF(HEVARIM[[#This Row],[גיל]]&gt;$AF$3,1,(($G118-AF$2)/(AF$3-AF$2))),0)</f>
        <v>0</v>
      </c>
      <c r="AG11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18" s="1">
        <f t="shared" si="7"/>
        <v>0</v>
      </c>
      <c r="AI118" s="2">
        <f ca="1">IF(AH118&gt;0,YEAR(TODAY())+'תקציבים מיוחדים'!$F$7-HEVARIM[[#This Row],[גיל]],0)</f>
        <v>0</v>
      </c>
      <c r="AJ118" s="9">
        <f>IF(AND(ISERROR(VLOOKUP(H118,'[2]ריכוז נתונים'!A:L,1,0)),P118="1     "),1,0)</f>
        <v>0</v>
      </c>
      <c r="AK118" s="1">
        <f>IF(VALUE(HEVARIM[[#This Row],[קוד מעמד]])=1,VLOOKUP((IF(LEFT(HEVARIM[[#This Row],[קוד חבר]],1)="0",HEVARIM[[#This Row],[קוד חבר]],VALUE(HEVARIM[[#This Row],[קוד חבר]]))),'ותק חברה 40'!AQ:AW,7,0),"")</f>
        <v>3.03</v>
      </c>
      <c r="AL118" s="1">
        <f>IF(AND(VALUE(HEVARIM[[#This Row],[קוד מעמד]])=1,HEVARIM[[#This Row],[ותק מחברה 40]]&lt;25),HEVARIM[[#This Row],[ותק מחברה 40]]/25*הנחות!$C$4,0)</f>
        <v>4549.1950349999988</v>
      </c>
      <c r="AM118" s="9">
        <f ca="1">IF(HEVARIM[[#This Row],[דמי עזיבה 25 שנות ותק]]&gt;0,YEAR(TODAY())+25-ROUNDDOWN(HEVARIM[[#This Row],[ותק מחברה 40]],0),"")</f>
        <v>2048</v>
      </c>
      <c r="AN1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8" s="9" t="str">
        <f ca="1">IF(HEVARIM[[#This Row],[דמי עזיבה לגיל 65]]&gt;0,YEAR(TODAY())+64-ROUNDDOWN(HEVARIM[[#This Row],[גיל]],0),"")</f>
        <v/>
      </c>
      <c r="AP118" s="1">
        <f>SUMIF(HEVARIM[קוד תקציב],HEVARIM[[#This Row],[קוד תקציב משפחה מקורי]],HEVARIM[ותק מחברה 40])</f>
        <v>6.06</v>
      </c>
      <c r="AQ1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8" s="9">
        <f>IF(HEVARIM[[#This Row],[קוד מעמד]]="1     ",IFERROR(VLOOKUP(HEVARIM[[#This Row],[קוד תקציב]],'תקציב צביעה - לקראת השינוי'!A:F,4,0),0),0)</f>
        <v>0</v>
      </c>
      <c r="AT118" s="1"/>
    </row>
    <row r="119" spans="1:46">
      <c r="A119" t="s">
        <v>634</v>
      </c>
      <c r="B119" t="s">
        <v>635</v>
      </c>
      <c r="C119" t="s">
        <v>625</v>
      </c>
      <c r="D119" t="s">
        <v>636</v>
      </c>
      <c r="E119" t="s">
        <v>67</v>
      </c>
      <c r="F119" s="4">
        <v>44315</v>
      </c>
      <c r="G119">
        <v>4</v>
      </c>
      <c r="H119" t="s">
        <v>627</v>
      </c>
      <c r="I119" t="s">
        <v>628</v>
      </c>
      <c r="J119" s="4" t="s">
        <v>70</v>
      </c>
      <c r="K119" s="4" t="s">
        <v>454</v>
      </c>
      <c r="L119" t="s">
        <v>637</v>
      </c>
      <c r="M119" t="s">
        <v>623</v>
      </c>
      <c r="N119" t="s">
        <v>624</v>
      </c>
      <c r="O119">
        <f>IFERROR(VLOOKUP(HEVARIM[[#This Row],[קוד תקציב]],[2]תקציבים!A:L,6,0),0)</f>
        <v>2</v>
      </c>
      <c r="P119" s="5" t="s">
        <v>227</v>
      </c>
      <c r="Q119" t="s">
        <v>14</v>
      </c>
      <c r="R119" s="4">
        <v>44805</v>
      </c>
      <c r="S119" s="4" t="s">
        <v>90</v>
      </c>
      <c r="T119" s="96" t="s">
        <v>627</v>
      </c>
      <c r="U119" t="str">
        <f>VLOOKUP(HEVARIM[[#This Row],[גיל]],GIL,2,1)</f>
        <v>גנים</v>
      </c>
      <c r="V119">
        <f>IF(HEVARIM[[#This Row],[קוד מעמד]]="4     ",IF(HEVARIM[[#This Row],[גיל]]=1,1,IF(HEVARIM[[#This Row],[גיל]]&lt;=5,5,18)),"")</f>
        <v>5</v>
      </c>
      <c r="W119">
        <f t="shared" si="4"/>
        <v>0</v>
      </c>
      <c r="X11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19">
        <f>IF(HEVARIM[[#This Row],[מצב משפחתי2]]="אלמן",'[2]ריכוז נתונים'!$AC$2,0)</f>
        <v>0</v>
      </c>
      <c r="Z119" s="3">
        <f>VLOOKUP(VALUE(HEVARIM[[#This Row],[קוד מעמד]]),הנחות!$I$2:$K$21,3,0)</f>
        <v>1</v>
      </c>
      <c r="AA119" t="b">
        <f>ISERROR(VLOOKUP(HEVARIM[[#This Row],[קוד תקציב]],'[2]ריכוז נתונים'!A:A,1,0))</f>
        <v>0</v>
      </c>
      <c r="AB119" s="1">
        <f t="shared" si="5"/>
        <v>2204.6153846153848</v>
      </c>
      <c r="AC119" s="2">
        <f ca="1">IF(HEVARIM[[#This Row],[בר מצוה]]&gt;0,YEAR(TODAY())+'תקציבים מיוחדים'!$F$5-HEVARIM[[#This Row],[גיל]],0)</f>
        <v>2035</v>
      </c>
      <c r="AD119" s="1">
        <f t="shared" si="6"/>
        <v>0</v>
      </c>
      <c r="AE119" s="2">
        <f ca="1">IF(HEVARIM[[#This Row],[בת מצוה]]&gt;0,YEAR(TODAY())+'תקציבים מיוחדים'!$F$5-HEVARIM[[#This Row],[גיל]],0)</f>
        <v>0</v>
      </c>
      <c r="AF119" s="1">
        <f>IF(AND($S119&gt;="רווק",$Z119=1),AF$4*IF(HEVARIM[[#This Row],[גיל]]&gt;$AF$3,1,(($G119-AF$2)/(AF$3-AF$2))),0)</f>
        <v>11526.190476190475</v>
      </c>
      <c r="AG119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119" s="1">
        <f t="shared" si="7"/>
        <v>20112.095238095237</v>
      </c>
      <c r="AI119" s="2">
        <f ca="1">IF(AH119&gt;0,YEAR(TODAY())+'תקציבים מיוחדים'!$F$7-HEVARIM[[#This Row],[גיל]],0)</f>
        <v>2043</v>
      </c>
      <c r="AJ119" s="9">
        <f>IF(AND(ISERROR(VLOOKUP(H119,'[2]ריכוז נתונים'!A:L,1,0)),P119="1     "),1,0)</f>
        <v>0</v>
      </c>
      <c r="AK11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19" s="1">
        <f>IF(AND(VALUE(HEVARIM[[#This Row],[קוד מעמד]])=1,HEVARIM[[#This Row],[ותק מחברה 40]]&lt;25),HEVARIM[[#This Row],[ותק מחברה 40]]/25*הנחות!$C$4,0)</f>
        <v>0</v>
      </c>
      <c r="AM119" s="9" t="str">
        <f ca="1">IF(HEVARIM[[#This Row],[דמי עזיבה 25 שנות ותק]]&gt;0,YEAR(TODAY())+25-ROUNDDOWN(HEVARIM[[#This Row],[ותק מחברה 40]],0),"")</f>
        <v/>
      </c>
      <c r="AN1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19" s="9" t="str">
        <f ca="1">IF(HEVARIM[[#This Row],[דמי עזיבה לגיל 65]]&gt;0,YEAR(TODAY())+64-ROUNDDOWN(HEVARIM[[#This Row],[גיל]],0),"")</f>
        <v/>
      </c>
      <c r="AP119" s="1">
        <f>SUMIF(HEVARIM[קוד תקציב],HEVARIM[[#This Row],[קוד תקציב משפחה מקורי]],HEVARIM[ותק מחברה 40])</f>
        <v>6.06</v>
      </c>
      <c r="AQ1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19" s="9">
        <f>IF(HEVARIM[[#This Row],[קוד מעמד]]="1     ",IFERROR(VLOOKUP(HEVARIM[[#This Row],[קוד תקציב]],'תקציב צביעה - לקראת השינוי'!A:F,4,0),0),0)</f>
        <v>0</v>
      </c>
      <c r="AT119" s="1"/>
    </row>
    <row r="120" spans="1:46">
      <c r="A120" t="s">
        <v>638</v>
      </c>
      <c r="B120" t="s">
        <v>639</v>
      </c>
      <c r="C120" t="s">
        <v>625</v>
      </c>
      <c r="D120" t="s">
        <v>640</v>
      </c>
      <c r="E120" t="s">
        <v>67</v>
      </c>
      <c r="F120" s="4">
        <v>45093</v>
      </c>
      <c r="G120">
        <v>2</v>
      </c>
      <c r="H120" t="s">
        <v>627</v>
      </c>
      <c r="I120" t="s">
        <v>628</v>
      </c>
      <c r="J120" s="4" t="s">
        <v>70</v>
      </c>
      <c r="K120" s="4" t="s">
        <v>454</v>
      </c>
      <c r="L120" t="s">
        <v>641</v>
      </c>
      <c r="M120" t="s">
        <v>623</v>
      </c>
      <c r="N120" t="s">
        <v>624</v>
      </c>
      <c r="O120">
        <f>IFERROR(VLOOKUP(HEVARIM[[#This Row],[קוד תקציב]],[2]תקציבים!A:L,6,0),0)</f>
        <v>2</v>
      </c>
      <c r="P120" s="5" t="s">
        <v>227</v>
      </c>
      <c r="Q120" t="s">
        <v>14</v>
      </c>
      <c r="R120" s="4">
        <v>45093</v>
      </c>
      <c r="S120" s="4" t="s">
        <v>90</v>
      </c>
      <c r="T120" s="96" t="s">
        <v>627</v>
      </c>
      <c r="U120" t="str">
        <f>VLOOKUP(HEVARIM[[#This Row],[גיל]],GIL,2,1)</f>
        <v>פעוט</v>
      </c>
      <c r="V120">
        <f>IF(HEVARIM[[#This Row],[קוד מעמד]]="4     ",IF(HEVARIM[[#This Row],[גיל]]=1,1,IF(HEVARIM[[#This Row],[גיל]]&lt;=5,5,18)),"")</f>
        <v>5</v>
      </c>
      <c r="W120">
        <f t="shared" si="4"/>
        <v>0</v>
      </c>
      <c r="X12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0">
        <f>IF(HEVARIM[[#This Row],[מצב משפחתי2]]="אלמן",'[2]ריכוז נתונים'!$AC$2,0)</f>
        <v>0</v>
      </c>
      <c r="Z120" s="3">
        <f>VLOOKUP(VALUE(HEVARIM[[#This Row],[קוד מעמד]]),הנחות!$I$2:$K$21,3,0)</f>
        <v>1</v>
      </c>
      <c r="AA120" t="b">
        <f>ISERROR(VLOOKUP(HEVARIM[[#This Row],[קוד תקציב]],'[2]ריכוז נתונים'!A:A,1,0))</f>
        <v>0</v>
      </c>
      <c r="AB120" s="1">
        <f t="shared" si="5"/>
        <v>1102.3076923076924</v>
      </c>
      <c r="AC120" s="2">
        <f ca="1">IF(HEVARIM[[#This Row],[בר מצוה]]&gt;0,YEAR(TODAY())+'תקציבים מיוחדים'!$F$5-HEVARIM[[#This Row],[גיל]],0)</f>
        <v>2037</v>
      </c>
      <c r="AD120" s="1">
        <f t="shared" si="6"/>
        <v>0</v>
      </c>
      <c r="AE120" s="2">
        <f ca="1">IF(HEVARIM[[#This Row],[בת מצוה]]&gt;0,YEAR(TODAY())+'תקציבים מיוחדים'!$F$5-HEVARIM[[#This Row],[גיל]],0)</f>
        <v>0</v>
      </c>
      <c r="AF120" s="1">
        <f>IF(AND($S120&gt;="רווק",$Z120=1),AF$4*IF(HEVARIM[[#This Row],[גיל]]&gt;$AF$3,1,(($G120-AF$2)/(AF$3-AF$2))),0)</f>
        <v>5763.0952380952376</v>
      </c>
      <c r="AG120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120" s="1">
        <f t="shared" si="7"/>
        <v>10056.047619047618</v>
      </c>
      <c r="AI120" s="2">
        <f ca="1">IF(AH120&gt;0,YEAR(TODAY())+'תקציבים מיוחדים'!$F$7-HEVARIM[[#This Row],[גיל]],0)</f>
        <v>2045</v>
      </c>
      <c r="AJ120" s="9">
        <f>IF(AND(ISERROR(VLOOKUP(H120,'[2]ריכוז נתונים'!A:L,1,0)),P120="1     "),1,0)</f>
        <v>0</v>
      </c>
      <c r="AK12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20" s="1">
        <f>IF(AND(VALUE(HEVARIM[[#This Row],[קוד מעמד]])=1,HEVARIM[[#This Row],[ותק מחברה 40]]&lt;25),HEVARIM[[#This Row],[ותק מחברה 40]]/25*הנחות!$C$4,0)</f>
        <v>0</v>
      </c>
      <c r="AM120" s="9" t="str">
        <f ca="1">IF(HEVARIM[[#This Row],[דמי עזיבה 25 שנות ותק]]&gt;0,YEAR(TODAY())+25-ROUNDDOWN(HEVARIM[[#This Row],[ותק מחברה 40]],0),"")</f>
        <v/>
      </c>
      <c r="AN12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0" s="9" t="str">
        <f ca="1">IF(HEVARIM[[#This Row],[דמי עזיבה לגיל 65]]&gt;0,YEAR(TODAY())+64-ROUNDDOWN(HEVARIM[[#This Row],[גיל]],0),"")</f>
        <v/>
      </c>
      <c r="AP120" s="1">
        <f>SUMIF(HEVARIM[קוד תקציב],HEVARIM[[#This Row],[קוד תקציב משפחה מקורי]],HEVARIM[ותק מחברה 40])</f>
        <v>6.06</v>
      </c>
      <c r="AQ1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20" s="9">
        <f>IF(HEVARIM[[#This Row],[קוד מעמד]]="1     ",IFERROR(VLOOKUP(HEVARIM[[#This Row],[קוד תקציב]],'תקציב צביעה - לקראת השינוי'!A:F,4,0),0),0)</f>
        <v>0</v>
      </c>
      <c r="AT120" s="1"/>
    </row>
    <row r="121" spans="1:46">
      <c r="A121" t="s">
        <v>642</v>
      </c>
      <c r="B121" t="s">
        <v>643</v>
      </c>
      <c r="C121" t="s">
        <v>644</v>
      </c>
      <c r="D121" t="s">
        <v>645</v>
      </c>
      <c r="E121" t="s">
        <v>67</v>
      </c>
      <c r="F121" s="4">
        <v>29575</v>
      </c>
      <c r="G121">
        <v>45</v>
      </c>
      <c r="H121" t="s">
        <v>646</v>
      </c>
      <c r="I121" t="s">
        <v>647</v>
      </c>
      <c r="J121" s="4" t="s">
        <v>70</v>
      </c>
      <c r="K121" s="4" t="s">
        <v>71</v>
      </c>
      <c r="L121" t="s">
        <v>648</v>
      </c>
      <c r="M121" t="s">
        <v>642</v>
      </c>
      <c r="N121" t="s">
        <v>643</v>
      </c>
      <c r="O121">
        <f>IFERROR(VLOOKUP(HEVARIM[[#This Row],[קוד תקציב]],[2]תקציבים!A:L,6,0),0)</f>
        <v>2</v>
      </c>
      <c r="P121" s="5" t="s">
        <v>104</v>
      </c>
      <c r="Q121" t="s">
        <v>11</v>
      </c>
      <c r="R121" s="4">
        <v>40793</v>
      </c>
      <c r="S121" s="4" t="s">
        <v>74</v>
      </c>
      <c r="T121" s="96" t="s">
        <v>646</v>
      </c>
      <c r="U121" t="str">
        <f>VLOOKUP(HEVARIM[[#This Row],[גיל]],GIL,2,1)</f>
        <v>--</v>
      </c>
      <c r="V121" t="str">
        <f>IF(HEVARIM[[#This Row],[קוד מעמד]]="4     ",IF(HEVARIM[[#This Row],[גיל]]=1,1,IF(HEVARIM[[#This Row],[גיל]]&lt;=5,5,18)),"")</f>
        <v/>
      </c>
      <c r="W121">
        <f t="shared" si="4"/>
        <v>0</v>
      </c>
      <c r="X12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1">
        <f>IF(HEVARIM[[#This Row],[מצב משפחתי2]]="אלמן",'[2]ריכוז נתונים'!$AC$2,0)</f>
        <v>0</v>
      </c>
      <c r="Z121" s="3">
        <f>VLOOKUP(VALUE(HEVARIM[[#This Row],[קוד מעמד]]),הנחות!$I$2:$K$21,3,0)</f>
        <v>0</v>
      </c>
      <c r="AA121" t="b">
        <f>ISERROR(VLOOKUP(HEVARIM[[#This Row],[קוד תקציב]],'[2]ריכוז נתונים'!A:A,1,0))</f>
        <v>0</v>
      </c>
      <c r="AB121" s="1">
        <f t="shared" si="5"/>
        <v>0</v>
      </c>
      <c r="AC121" s="2">
        <f ca="1">IF(HEVARIM[[#This Row],[בר מצוה]]&gt;0,YEAR(TODAY())+'תקציבים מיוחדים'!$F$5-HEVARIM[[#This Row],[גיל]],0)</f>
        <v>0</v>
      </c>
      <c r="AD121" s="1">
        <f t="shared" si="6"/>
        <v>0</v>
      </c>
      <c r="AE121" s="2">
        <f ca="1">IF(HEVARIM[[#This Row],[בת מצוה]]&gt;0,YEAR(TODAY())+'תקציבים מיוחדים'!$F$5-HEVARIM[[#This Row],[גיל]],0)</f>
        <v>0</v>
      </c>
      <c r="AF121" s="1">
        <f>IF(AND($S121&gt;="רווק",$Z121=1),AF$4*IF(HEVARIM[[#This Row],[גיל]]&gt;$AF$3,1,(($G121-AF$2)/(AF$3-AF$2))),0)</f>
        <v>0</v>
      </c>
      <c r="AG12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21" s="1">
        <f t="shared" si="7"/>
        <v>0</v>
      </c>
      <c r="AI121" s="2">
        <f ca="1">IF(AH121&gt;0,YEAR(TODAY())+'תקציבים מיוחדים'!$F$7-HEVARIM[[#This Row],[גיל]],0)</f>
        <v>0</v>
      </c>
      <c r="AJ121" s="9">
        <f>IF(AND(ISERROR(VLOOKUP(H121,'[2]ריכוז נתונים'!A:L,1,0)),P121="1     "),1,0)</f>
        <v>0</v>
      </c>
      <c r="AK121" s="1">
        <f>IF(VALUE(HEVARIM[[#This Row],[קוד מעמד]])=1,VLOOKUP((IF(LEFT(HEVARIM[[#This Row],[קוד חבר]],1)="0",HEVARIM[[#This Row],[קוד חבר]],VALUE(HEVARIM[[#This Row],[קוד חבר]]))),'ותק חברה 40'!AQ:AW,7,0),"")</f>
        <v>15.99</v>
      </c>
      <c r="AL121" s="1">
        <f>IF(AND(VALUE(HEVARIM[[#This Row],[קוד מעמד]])=1,HEVARIM[[#This Row],[ותק מחברה 40]]&lt;25),HEVARIM[[#This Row],[ותק מחברה 40]]/25*הנחות!$C$4,0)</f>
        <v>24007.138155000001</v>
      </c>
      <c r="AM121" s="9">
        <f ca="1">IF(HEVARIM[[#This Row],[דמי עזיבה 25 שנות ותק]]&gt;0,YEAR(TODAY())+25-ROUNDDOWN(HEVARIM[[#This Row],[ותק מחברה 40]],0),"")</f>
        <v>2036</v>
      </c>
      <c r="AN12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1" s="9" t="str">
        <f ca="1">IF(HEVARIM[[#This Row],[דמי עזיבה לגיל 65]]&gt;0,YEAR(TODAY())+64-ROUNDDOWN(HEVARIM[[#This Row],[גיל]],0),"")</f>
        <v/>
      </c>
      <c r="AP121" s="1">
        <f>SUMIF(HEVARIM[קוד תקציב],HEVARIM[[#This Row],[קוד תקציב משפחה מקורי]],HEVARIM[ותק מחברה 40])</f>
        <v>33.51</v>
      </c>
      <c r="AQ1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21" s="9">
        <f>IF(HEVARIM[[#This Row],[קוד מעמד]]="1     ",IFERROR(VLOOKUP(HEVARIM[[#This Row],[קוד תקציב]],'תקציב צביעה - לקראת השינוי'!A:F,4,0),0),0)</f>
        <v>2028</v>
      </c>
      <c r="AT121" s="1"/>
    </row>
    <row r="122" spans="1:46">
      <c r="A122" t="s">
        <v>649</v>
      </c>
      <c r="B122" t="s">
        <v>650</v>
      </c>
      <c r="C122" t="s">
        <v>644</v>
      </c>
      <c r="D122" t="s">
        <v>651</v>
      </c>
      <c r="E122" t="s">
        <v>79</v>
      </c>
      <c r="F122" s="4">
        <v>30721</v>
      </c>
      <c r="G122">
        <v>41</v>
      </c>
      <c r="H122" t="s">
        <v>646</v>
      </c>
      <c r="I122" t="s">
        <v>647</v>
      </c>
      <c r="J122" s="4" t="s">
        <v>70</v>
      </c>
      <c r="K122" s="4" t="s">
        <v>71</v>
      </c>
      <c r="L122" t="s">
        <v>652</v>
      </c>
      <c r="M122" t="s">
        <v>642</v>
      </c>
      <c r="N122" t="s">
        <v>643</v>
      </c>
      <c r="O122">
        <f>IFERROR(VLOOKUP(HEVARIM[[#This Row],[קוד תקציב]],[2]תקציבים!A:L,6,0),0)</f>
        <v>2</v>
      </c>
      <c r="P122" s="5" t="s">
        <v>104</v>
      </c>
      <c r="Q122" t="s">
        <v>11</v>
      </c>
      <c r="R122" s="4">
        <v>40063</v>
      </c>
      <c r="S122" s="4" t="s">
        <v>74</v>
      </c>
      <c r="T122" s="96" t="s">
        <v>646</v>
      </c>
      <c r="U122" t="str">
        <f>VLOOKUP(HEVARIM[[#This Row],[גיל]],GIL,2,1)</f>
        <v>--</v>
      </c>
      <c r="V122" t="str">
        <f>IF(HEVARIM[[#This Row],[קוד מעמד]]="4     ",IF(HEVARIM[[#This Row],[גיל]]=1,1,IF(HEVARIM[[#This Row],[גיל]]&lt;=5,5,18)),"")</f>
        <v/>
      </c>
      <c r="W122">
        <f t="shared" si="4"/>
        <v>0</v>
      </c>
      <c r="X1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2">
        <f>IF(HEVARIM[[#This Row],[מצב משפחתי2]]="אלמן",'[2]ריכוז נתונים'!$AC$2,0)</f>
        <v>0</v>
      </c>
      <c r="Z122" s="3">
        <f>VLOOKUP(VALUE(HEVARIM[[#This Row],[קוד מעמד]]),הנחות!$I$2:$K$21,3,0)</f>
        <v>0</v>
      </c>
      <c r="AA122" t="b">
        <f>ISERROR(VLOOKUP(HEVARIM[[#This Row],[קוד תקציב]],'[2]ריכוז נתונים'!A:A,1,0))</f>
        <v>0</v>
      </c>
      <c r="AB122" s="1">
        <f t="shared" si="5"/>
        <v>0</v>
      </c>
      <c r="AC122" s="2">
        <f ca="1">IF(HEVARIM[[#This Row],[בר מצוה]]&gt;0,YEAR(TODAY())+'תקציבים מיוחדים'!$F$5-HEVARIM[[#This Row],[גיל]],0)</f>
        <v>0</v>
      </c>
      <c r="AD122" s="1">
        <f t="shared" si="6"/>
        <v>0</v>
      </c>
      <c r="AE122" s="2">
        <f ca="1">IF(HEVARIM[[#This Row],[בת מצוה]]&gt;0,YEAR(TODAY())+'תקציבים מיוחדים'!$F$5-HEVARIM[[#This Row],[גיל]],0)</f>
        <v>0</v>
      </c>
      <c r="AF122" s="1">
        <f>IF(AND($S122&gt;="רווק",$Z122=1),AF$4*IF(HEVARIM[[#This Row],[גיל]]&gt;$AF$3,1,(($G122-AF$2)/(AF$3-AF$2))),0)</f>
        <v>0</v>
      </c>
      <c r="AG12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22" s="1">
        <f t="shared" si="7"/>
        <v>0</v>
      </c>
      <c r="AI122" s="2">
        <f ca="1">IF(AH122&gt;0,YEAR(TODAY())+'תקציבים מיוחדים'!$F$7-HEVARIM[[#This Row],[גיל]],0)</f>
        <v>0</v>
      </c>
      <c r="AJ122" s="9">
        <f>IF(AND(ISERROR(VLOOKUP(H122,'[2]ריכוז נתונים'!A:L,1,0)),P122="1     "),1,0)</f>
        <v>0</v>
      </c>
      <c r="AK122" s="1">
        <f>IF(VALUE(HEVARIM[[#This Row],[קוד מעמד]])=1,VLOOKUP((IF(LEFT(HEVARIM[[#This Row],[קוד חבר]],1)="0",HEVARIM[[#This Row],[קוד חבר]],VALUE(HEVARIM[[#This Row],[קוד חבר]]))),'ותק חברה 40'!AQ:AW,7,0),"")</f>
        <v>17.52</v>
      </c>
      <c r="AL122" s="1">
        <f>IF(AND(VALUE(HEVARIM[[#This Row],[קוד מעמד]])=1,HEVARIM[[#This Row],[ותק מחברה 40]]&lt;25),HEVARIM[[#This Row],[ותק מחברה 40]]/25*הנחות!$C$4,0)</f>
        <v>26304.256439999997</v>
      </c>
      <c r="AM122" s="9">
        <f ca="1">IF(HEVARIM[[#This Row],[דמי עזיבה 25 שנות ותק]]&gt;0,YEAR(TODAY())+25-ROUNDDOWN(HEVARIM[[#This Row],[ותק מחברה 40]],0),"")</f>
        <v>2034</v>
      </c>
      <c r="AN12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2" s="9" t="str">
        <f ca="1">IF(HEVARIM[[#This Row],[דמי עזיבה לגיל 65]]&gt;0,YEAR(TODAY())+64-ROUNDDOWN(HEVARIM[[#This Row],[גיל]],0),"")</f>
        <v/>
      </c>
      <c r="AP122" s="1">
        <f>SUMIF(HEVARIM[קוד תקציב],HEVARIM[[#This Row],[קוד תקציב משפחה מקורי]],HEVARIM[ותק מחברה 40])</f>
        <v>33.51</v>
      </c>
      <c r="AQ1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22" s="9">
        <f>IF(HEVARIM[[#This Row],[קוד מעמד]]="1     ",IFERROR(VLOOKUP(HEVARIM[[#This Row],[קוד תקציב]],'תקציב צביעה - לקראת השינוי'!A:F,4,0),0),0)</f>
        <v>2028</v>
      </c>
      <c r="AT122" s="1"/>
    </row>
    <row r="123" spans="1:46">
      <c r="A123" t="s">
        <v>653</v>
      </c>
      <c r="B123" t="s">
        <v>654</v>
      </c>
      <c r="C123" t="s">
        <v>644</v>
      </c>
      <c r="D123" t="s">
        <v>655</v>
      </c>
      <c r="E123" t="s">
        <v>79</v>
      </c>
      <c r="F123" s="4">
        <v>39800</v>
      </c>
      <c r="G123">
        <v>17</v>
      </c>
      <c r="H123" t="s">
        <v>646</v>
      </c>
      <c r="I123" t="s">
        <v>647</v>
      </c>
      <c r="J123" s="4" t="s">
        <v>70</v>
      </c>
      <c r="K123" s="4" t="s">
        <v>71</v>
      </c>
      <c r="L123" t="s">
        <v>656</v>
      </c>
      <c r="M123" t="s">
        <v>642</v>
      </c>
      <c r="N123" t="s">
        <v>643</v>
      </c>
      <c r="O123">
        <f>IFERROR(VLOOKUP(HEVARIM[[#This Row],[קוד תקציב]],[2]תקציבים!A:L,6,0),0)</f>
        <v>2</v>
      </c>
      <c r="P123" s="5" t="s">
        <v>227</v>
      </c>
      <c r="Q123" t="s">
        <v>14</v>
      </c>
      <c r="R123" s="4">
        <v>40063</v>
      </c>
      <c r="S123" s="4" t="s">
        <v>90</v>
      </c>
      <c r="T123" s="96" t="s">
        <v>646</v>
      </c>
      <c r="U123" t="str">
        <f>VLOOKUP(HEVARIM[[#This Row],[גיל]],GIL,2,1)</f>
        <v>תיכון</v>
      </c>
      <c r="V123">
        <f>IF(HEVARIM[[#This Row],[קוד מעמד]]="4     ",IF(HEVARIM[[#This Row],[גיל]]=1,1,IF(HEVARIM[[#This Row],[גיל]]&lt;=5,5,18)),"")</f>
        <v>18</v>
      </c>
      <c r="W123">
        <f t="shared" si="4"/>
        <v>0</v>
      </c>
      <c r="X12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3">
        <f>IF(HEVARIM[[#This Row],[מצב משפחתי2]]="אלמן",'[2]ריכוז נתונים'!$AC$2,0)</f>
        <v>0</v>
      </c>
      <c r="Z123" s="3">
        <f>VLOOKUP(VALUE(HEVARIM[[#This Row],[קוד מעמד]]),הנחות!$I$2:$K$21,3,0)</f>
        <v>1</v>
      </c>
      <c r="AA123" t="b">
        <f>ISERROR(VLOOKUP(HEVARIM[[#This Row],[קוד תקציב]],'[2]ריכוז נתונים'!A:A,1,0))</f>
        <v>0</v>
      </c>
      <c r="AB123" s="1">
        <f t="shared" si="5"/>
        <v>0</v>
      </c>
      <c r="AC123" s="2">
        <f ca="1">IF(HEVARIM[[#This Row],[בר מצוה]]&gt;0,YEAR(TODAY())+'תקציבים מיוחדים'!$F$5-HEVARIM[[#This Row],[גיל]],0)</f>
        <v>0</v>
      </c>
      <c r="AD123" s="1">
        <f t="shared" si="6"/>
        <v>0</v>
      </c>
      <c r="AE123" s="2">
        <f ca="1">IF(HEVARIM[[#This Row],[בת מצוה]]&gt;0,YEAR(TODAY())+'תקציבים מיוחדים'!$F$5-HEVARIM[[#This Row],[גיל]],0)</f>
        <v>0</v>
      </c>
      <c r="AF123" s="1">
        <f>IF(AND($S123&gt;="רווק",$Z123=1),AF$4*IF(HEVARIM[[#This Row],[גיל]]&gt;$AF$3,1,(($G123-AF$2)/(AF$3-AF$2))),0)</f>
        <v>48986.309523809527</v>
      </c>
      <c r="AG123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123" s="1">
        <f t="shared" si="7"/>
        <v>85476.404761904763</v>
      </c>
      <c r="AI123" s="2">
        <f ca="1">IF(AH123&gt;0,YEAR(TODAY())+'תקציבים מיוחדים'!$F$7-HEVARIM[[#This Row],[גיל]],0)</f>
        <v>2030</v>
      </c>
      <c r="AJ123" s="9">
        <f>IF(AND(ISERROR(VLOOKUP(H123,'[2]ריכוז נתונים'!A:L,1,0)),P123="1     "),1,0)</f>
        <v>0</v>
      </c>
      <c r="AK12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23" s="1">
        <f>IF(AND(VALUE(HEVARIM[[#This Row],[קוד מעמד]])=1,HEVARIM[[#This Row],[ותק מחברה 40]]&lt;25),HEVARIM[[#This Row],[ותק מחברה 40]]/25*הנחות!$C$4,0)</f>
        <v>0</v>
      </c>
      <c r="AM123" s="9" t="str">
        <f ca="1">IF(HEVARIM[[#This Row],[דמי עזיבה 25 שנות ותק]]&gt;0,YEAR(TODAY())+25-ROUNDDOWN(HEVARIM[[#This Row],[ותק מחברה 40]],0),"")</f>
        <v/>
      </c>
      <c r="AN12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3" s="9" t="str">
        <f ca="1">IF(HEVARIM[[#This Row],[דמי עזיבה לגיל 65]]&gt;0,YEAR(TODAY())+64-ROUNDDOWN(HEVARIM[[#This Row],[גיל]],0),"")</f>
        <v/>
      </c>
      <c r="AP123" s="1">
        <f>SUMIF(HEVARIM[קוד תקציב],HEVARIM[[#This Row],[קוד תקציב משפחה מקורי]],HEVARIM[ותק מחברה 40])</f>
        <v>33.51</v>
      </c>
      <c r="AQ1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23" s="9">
        <f>IF(HEVARIM[[#This Row],[קוד מעמד]]="1     ",IFERROR(VLOOKUP(HEVARIM[[#This Row],[קוד תקציב]],'תקציב צביעה - לקראת השינוי'!A:F,4,0),0),0)</f>
        <v>0</v>
      </c>
      <c r="AT123" s="1"/>
    </row>
    <row r="124" spans="1:46">
      <c r="A124" t="s">
        <v>657</v>
      </c>
      <c r="B124" t="s">
        <v>658</v>
      </c>
      <c r="C124" t="s">
        <v>644</v>
      </c>
      <c r="D124" t="s">
        <v>289</v>
      </c>
      <c r="E124" t="s">
        <v>67</v>
      </c>
      <c r="F124" s="4">
        <v>40630</v>
      </c>
      <c r="G124">
        <v>14</v>
      </c>
      <c r="H124" t="s">
        <v>646</v>
      </c>
      <c r="I124" t="s">
        <v>647</v>
      </c>
      <c r="J124" s="4" t="s">
        <v>70</v>
      </c>
      <c r="K124" s="4" t="s">
        <v>71</v>
      </c>
      <c r="L124" t="s">
        <v>659</v>
      </c>
      <c r="M124" t="s">
        <v>642</v>
      </c>
      <c r="N124" t="s">
        <v>643</v>
      </c>
      <c r="O124">
        <f>IFERROR(VLOOKUP(HEVARIM[[#This Row],[קוד תקציב]],[2]תקציבים!A:L,6,0),0)</f>
        <v>2</v>
      </c>
      <c r="P124" s="5" t="s">
        <v>227</v>
      </c>
      <c r="Q124" t="s">
        <v>14</v>
      </c>
      <c r="R124" s="4">
        <v>40630</v>
      </c>
      <c r="S124" s="4" t="s">
        <v>90</v>
      </c>
      <c r="T124" s="96" t="s">
        <v>646</v>
      </c>
      <c r="U124" t="str">
        <f>VLOOKUP(HEVARIM[[#This Row],[גיל]],GIL,2,1)</f>
        <v>חטיבה</v>
      </c>
      <c r="V124">
        <f>IF(HEVARIM[[#This Row],[קוד מעמד]]="4     ",IF(HEVARIM[[#This Row],[גיל]]=1,1,IF(HEVARIM[[#This Row],[גיל]]&lt;=5,5,18)),"")</f>
        <v>18</v>
      </c>
      <c r="W124">
        <f t="shared" si="4"/>
        <v>0</v>
      </c>
      <c r="X12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4">
        <f>IF(HEVARIM[[#This Row],[מצב משפחתי2]]="אלמן",'[2]ריכוז נתונים'!$AC$2,0)</f>
        <v>0</v>
      </c>
      <c r="Z124" s="3">
        <f>VLOOKUP(VALUE(HEVARIM[[#This Row],[קוד מעמד]]),הנחות!$I$2:$K$21,3,0)</f>
        <v>1</v>
      </c>
      <c r="AA124" t="b">
        <f>ISERROR(VLOOKUP(HEVARIM[[#This Row],[קוד תקציב]],'[2]ריכוז נתונים'!A:A,1,0))</f>
        <v>0</v>
      </c>
      <c r="AB124" s="1">
        <f t="shared" si="5"/>
        <v>0</v>
      </c>
      <c r="AC124" s="2">
        <f ca="1">IF(HEVARIM[[#This Row],[בר מצוה]]&gt;0,YEAR(TODAY())+'תקציבים מיוחדים'!$F$5-HEVARIM[[#This Row],[גיל]],0)</f>
        <v>0</v>
      </c>
      <c r="AD124" s="1">
        <f t="shared" si="6"/>
        <v>0</v>
      </c>
      <c r="AE124" s="2">
        <f ca="1">IF(HEVARIM[[#This Row],[בת מצוה]]&gt;0,YEAR(TODAY())+'תקציבים מיוחדים'!$F$5-HEVARIM[[#This Row],[גיל]],0)</f>
        <v>0</v>
      </c>
      <c r="AF124" s="1">
        <f>IF(AND($S124&gt;="רווק",$Z124=1),AF$4*IF(HEVARIM[[#This Row],[גיל]]&gt;$AF$3,1,(($G124-AF$2)/(AF$3-AF$2))),0)</f>
        <v>40341.666666666664</v>
      </c>
      <c r="AG124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124" s="1">
        <f t="shared" si="7"/>
        <v>70392.333333333328</v>
      </c>
      <c r="AI124" s="2">
        <f ca="1">IF(AH124&gt;0,YEAR(TODAY())+'תקציבים מיוחדים'!$F$7-HEVARIM[[#This Row],[גיל]],0)</f>
        <v>2033</v>
      </c>
      <c r="AJ124" s="9">
        <f>IF(AND(ISERROR(VLOOKUP(H124,'[2]ריכוז נתונים'!A:L,1,0)),P124="1     "),1,0)</f>
        <v>0</v>
      </c>
      <c r="AK12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24" s="1">
        <f>IF(AND(VALUE(HEVARIM[[#This Row],[קוד מעמד]])=1,HEVARIM[[#This Row],[ותק מחברה 40]]&lt;25),HEVARIM[[#This Row],[ותק מחברה 40]]/25*הנחות!$C$4,0)</f>
        <v>0</v>
      </c>
      <c r="AM124" s="9" t="str">
        <f ca="1">IF(HEVARIM[[#This Row],[דמי עזיבה 25 שנות ותק]]&gt;0,YEAR(TODAY())+25-ROUNDDOWN(HEVARIM[[#This Row],[ותק מחברה 40]],0),"")</f>
        <v/>
      </c>
      <c r="AN1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4" s="9" t="str">
        <f ca="1">IF(HEVARIM[[#This Row],[דמי עזיבה לגיל 65]]&gt;0,YEAR(TODAY())+64-ROUNDDOWN(HEVARIM[[#This Row],[גיל]],0),"")</f>
        <v/>
      </c>
      <c r="AP124" s="1">
        <f>SUMIF(HEVARIM[קוד תקציב],HEVARIM[[#This Row],[קוד תקציב משפחה מקורי]],HEVARIM[ותק מחברה 40])</f>
        <v>33.51</v>
      </c>
      <c r="AQ1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24" s="9">
        <f>IF(HEVARIM[[#This Row],[קוד מעמד]]="1     ",IFERROR(VLOOKUP(HEVARIM[[#This Row],[קוד תקציב]],'תקציב צביעה - לקראת השינוי'!A:F,4,0),0),0)</f>
        <v>0</v>
      </c>
      <c r="AT124" s="1"/>
    </row>
    <row r="125" spans="1:46">
      <c r="A125" t="s">
        <v>660</v>
      </c>
      <c r="B125" t="s">
        <v>661</v>
      </c>
      <c r="C125" t="s">
        <v>644</v>
      </c>
      <c r="D125" t="s">
        <v>662</v>
      </c>
      <c r="E125" t="s">
        <v>79</v>
      </c>
      <c r="F125" s="4">
        <v>42628</v>
      </c>
      <c r="G125">
        <v>9</v>
      </c>
      <c r="H125" t="s">
        <v>646</v>
      </c>
      <c r="I125" t="s">
        <v>647</v>
      </c>
      <c r="J125" s="4" t="s">
        <v>70</v>
      </c>
      <c r="K125" s="4" t="s">
        <v>71</v>
      </c>
      <c r="L125" t="s">
        <v>663</v>
      </c>
      <c r="M125" t="s">
        <v>642</v>
      </c>
      <c r="N125" t="s">
        <v>643</v>
      </c>
      <c r="O125">
        <f>IFERROR(VLOOKUP(HEVARIM[[#This Row],[קוד תקציב]],[2]תקציבים!A:L,6,0),0)</f>
        <v>2</v>
      </c>
      <c r="P125" s="5" t="s">
        <v>227</v>
      </c>
      <c r="Q125" t="s">
        <v>14</v>
      </c>
      <c r="R125" s="4">
        <v>42628</v>
      </c>
      <c r="S125" s="4" t="s">
        <v>90</v>
      </c>
      <c r="T125" s="96" t="s">
        <v>646</v>
      </c>
      <c r="U125" t="str">
        <f>VLOOKUP(HEVARIM[[#This Row],[גיל]],GIL,2,1)</f>
        <v>יסודי</v>
      </c>
      <c r="V125">
        <f>IF(HEVARIM[[#This Row],[קוד מעמד]]="4     ",IF(HEVARIM[[#This Row],[גיל]]=1,1,IF(HEVARIM[[#This Row],[גיל]]&lt;=5,5,18)),"")</f>
        <v>18</v>
      </c>
      <c r="W125">
        <f t="shared" si="4"/>
        <v>0</v>
      </c>
      <c r="X12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5">
        <f>IF(HEVARIM[[#This Row],[מצב משפחתי2]]="אלמן",'[2]ריכוז נתונים'!$AC$2,0)</f>
        <v>0</v>
      </c>
      <c r="Z125" s="3">
        <f>VLOOKUP(VALUE(HEVARIM[[#This Row],[קוד מעמד]]),הנחות!$I$2:$K$21,3,0)</f>
        <v>1</v>
      </c>
      <c r="AA125" t="b">
        <f>ISERROR(VLOOKUP(HEVARIM[[#This Row],[קוד תקציב]],'[2]ריכוז נתונים'!A:A,1,0))</f>
        <v>0</v>
      </c>
      <c r="AB125" s="1">
        <f t="shared" si="5"/>
        <v>0</v>
      </c>
      <c r="AC125" s="2">
        <f ca="1">IF(HEVARIM[[#This Row],[בר מצוה]]&gt;0,YEAR(TODAY())+'תקציבים מיוחדים'!$F$5-HEVARIM[[#This Row],[גיל]],0)</f>
        <v>0</v>
      </c>
      <c r="AD125" s="1">
        <f t="shared" si="6"/>
        <v>4960.3846153846152</v>
      </c>
      <c r="AE125" s="2">
        <f ca="1">IF(HEVARIM[[#This Row],[בת מצוה]]&gt;0,YEAR(TODAY())+'תקציבים מיוחדים'!$F$5-HEVARIM[[#This Row],[גיל]],0)</f>
        <v>2030</v>
      </c>
      <c r="AF125" s="1">
        <f>IF(AND($S125&gt;="רווק",$Z125=1),AF$4*IF(HEVARIM[[#This Row],[גיל]]&gt;$AF$3,1,(($G125-AF$2)/(AF$3-AF$2))),0)</f>
        <v>25933.928571428569</v>
      </c>
      <c r="AG125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125" s="1">
        <f t="shared" si="7"/>
        <v>45252.214285714283</v>
      </c>
      <c r="AI125" s="2">
        <f ca="1">IF(AH125&gt;0,YEAR(TODAY())+'תקציבים מיוחדים'!$F$7-HEVARIM[[#This Row],[גיל]],0)</f>
        <v>2038</v>
      </c>
      <c r="AJ125" s="9">
        <f>IF(AND(ISERROR(VLOOKUP(H125,'[2]ריכוז נתונים'!A:L,1,0)),P125="1     "),1,0)</f>
        <v>0</v>
      </c>
      <c r="AK12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25" s="1">
        <f>IF(AND(VALUE(HEVARIM[[#This Row],[קוד מעמד]])=1,HEVARIM[[#This Row],[ותק מחברה 40]]&lt;25),HEVARIM[[#This Row],[ותק מחברה 40]]/25*הנחות!$C$4,0)</f>
        <v>0</v>
      </c>
      <c r="AM125" s="9" t="str">
        <f ca="1">IF(HEVARIM[[#This Row],[דמי עזיבה 25 שנות ותק]]&gt;0,YEAR(TODAY())+25-ROUNDDOWN(HEVARIM[[#This Row],[ותק מחברה 40]],0),"")</f>
        <v/>
      </c>
      <c r="AN12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5" s="9" t="str">
        <f ca="1">IF(HEVARIM[[#This Row],[דמי עזיבה לגיל 65]]&gt;0,YEAR(TODAY())+64-ROUNDDOWN(HEVARIM[[#This Row],[גיל]],0),"")</f>
        <v/>
      </c>
      <c r="AP125" s="1">
        <f>SUMIF(HEVARIM[קוד תקציב],HEVARIM[[#This Row],[קוד תקציב משפחה מקורי]],HEVARIM[ותק מחברה 40])</f>
        <v>33.51</v>
      </c>
      <c r="AQ1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25" s="9">
        <f>IF(HEVARIM[[#This Row],[קוד מעמד]]="1     ",IFERROR(VLOOKUP(HEVARIM[[#This Row],[קוד תקציב]],'תקציב צביעה - לקראת השינוי'!A:F,4,0),0),0)</f>
        <v>0</v>
      </c>
      <c r="AT125" s="1"/>
    </row>
    <row r="126" spans="1:46">
      <c r="A126" t="s">
        <v>664</v>
      </c>
      <c r="B126" t="s">
        <v>665</v>
      </c>
      <c r="C126" t="s">
        <v>644</v>
      </c>
      <c r="D126" t="s">
        <v>666</v>
      </c>
      <c r="E126" t="s">
        <v>67</v>
      </c>
      <c r="F126" s="4">
        <v>43509</v>
      </c>
      <c r="G126">
        <v>6</v>
      </c>
      <c r="H126" t="s">
        <v>646</v>
      </c>
      <c r="I126" t="s">
        <v>647</v>
      </c>
      <c r="J126" s="4" t="s">
        <v>70</v>
      </c>
      <c r="K126" s="4" t="s">
        <v>71</v>
      </c>
      <c r="L126" t="s">
        <v>667</v>
      </c>
      <c r="M126" t="s">
        <v>642</v>
      </c>
      <c r="N126" t="s">
        <v>643</v>
      </c>
      <c r="O126">
        <f>IFERROR(VLOOKUP(HEVARIM[[#This Row],[קוד תקציב]],[2]תקציבים!A:L,6,0),0)</f>
        <v>2</v>
      </c>
      <c r="P126" s="5" t="s">
        <v>227</v>
      </c>
      <c r="Q126" t="s">
        <v>14</v>
      </c>
      <c r="R126" s="4">
        <v>43509</v>
      </c>
      <c r="S126" s="4" t="s">
        <v>90</v>
      </c>
      <c r="T126" s="96" t="s">
        <v>646</v>
      </c>
      <c r="U126" t="str">
        <f>VLOOKUP(HEVARIM[[#This Row],[גיל]],GIL,2,1)</f>
        <v>יסודי</v>
      </c>
      <c r="V126">
        <f>IF(HEVARIM[[#This Row],[קוד מעמד]]="4     ",IF(HEVARIM[[#This Row],[גיל]]=1,1,IF(HEVARIM[[#This Row],[גיל]]&lt;=5,5,18)),"")</f>
        <v>18</v>
      </c>
      <c r="W126">
        <f t="shared" si="4"/>
        <v>0</v>
      </c>
      <c r="X12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6">
        <f>IF(HEVARIM[[#This Row],[מצב משפחתי2]]="אלמן",'[2]ריכוז נתונים'!$AC$2,0)</f>
        <v>0</v>
      </c>
      <c r="Z126" s="3">
        <f>VLOOKUP(VALUE(HEVARIM[[#This Row],[קוד מעמד]]),הנחות!$I$2:$K$21,3,0)</f>
        <v>1</v>
      </c>
      <c r="AA126" t="b">
        <f>ISERROR(VLOOKUP(HEVARIM[[#This Row],[קוד תקציב]],'[2]ריכוז נתונים'!A:A,1,0))</f>
        <v>0</v>
      </c>
      <c r="AB126" s="1">
        <f t="shared" si="5"/>
        <v>3306.9230769230771</v>
      </c>
      <c r="AC126" s="2">
        <f ca="1">IF(HEVARIM[[#This Row],[בר מצוה]]&gt;0,YEAR(TODAY())+'תקציבים מיוחדים'!$F$5-HEVARIM[[#This Row],[גיל]],0)</f>
        <v>2033</v>
      </c>
      <c r="AD126" s="1">
        <f t="shared" si="6"/>
        <v>0</v>
      </c>
      <c r="AE126" s="2">
        <f ca="1">IF(HEVARIM[[#This Row],[בת מצוה]]&gt;0,YEAR(TODAY())+'תקציבים מיוחדים'!$F$5-HEVARIM[[#This Row],[גיל]],0)</f>
        <v>0</v>
      </c>
      <c r="AF126" s="1">
        <f>IF(AND($S126&gt;="רווק",$Z126=1),AF$4*IF(HEVARIM[[#This Row],[גיל]]&gt;$AF$3,1,(($G126-AF$2)/(AF$3-AF$2))),0)</f>
        <v>17289.285714285714</v>
      </c>
      <c r="AG126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126" s="1">
        <f t="shared" si="7"/>
        <v>30168.142857142855</v>
      </c>
      <c r="AI126" s="2">
        <f ca="1">IF(AH126&gt;0,YEAR(TODAY())+'תקציבים מיוחדים'!$F$7-HEVARIM[[#This Row],[גיל]],0)</f>
        <v>2041</v>
      </c>
      <c r="AJ126" s="9">
        <f>IF(AND(ISERROR(VLOOKUP(H126,'[2]ריכוז נתונים'!A:L,1,0)),P126="1     "),1,0)</f>
        <v>0</v>
      </c>
      <c r="AK12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26" s="1">
        <f>IF(AND(VALUE(HEVARIM[[#This Row],[קוד מעמד]])=1,HEVARIM[[#This Row],[ותק מחברה 40]]&lt;25),HEVARIM[[#This Row],[ותק מחברה 40]]/25*הנחות!$C$4,0)</f>
        <v>0</v>
      </c>
      <c r="AM126" s="9" t="str">
        <f ca="1">IF(HEVARIM[[#This Row],[דמי עזיבה 25 שנות ותק]]&gt;0,YEAR(TODAY())+25-ROUNDDOWN(HEVARIM[[#This Row],[ותק מחברה 40]],0),"")</f>
        <v/>
      </c>
      <c r="AN12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6" s="9" t="str">
        <f ca="1">IF(HEVARIM[[#This Row],[דמי עזיבה לגיל 65]]&gt;0,YEAR(TODAY())+64-ROUNDDOWN(HEVARIM[[#This Row],[גיל]],0),"")</f>
        <v/>
      </c>
      <c r="AP126" s="1">
        <f>SUMIF(HEVARIM[קוד תקציב],HEVARIM[[#This Row],[קוד תקציב משפחה מקורי]],HEVARIM[ותק מחברה 40])</f>
        <v>33.51</v>
      </c>
      <c r="AQ1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26" s="9">
        <f>IF(HEVARIM[[#This Row],[קוד מעמד]]="1     ",IFERROR(VLOOKUP(HEVARIM[[#This Row],[קוד תקציב]],'תקציב צביעה - לקראת השינוי'!A:F,4,0),0),0)</f>
        <v>0</v>
      </c>
      <c r="AT126" s="1"/>
    </row>
    <row r="127" spans="1:46">
      <c r="A127" t="s">
        <v>677</v>
      </c>
      <c r="B127" t="s">
        <v>678</v>
      </c>
      <c r="C127" t="s">
        <v>679</v>
      </c>
      <c r="D127" t="s">
        <v>680</v>
      </c>
      <c r="E127" t="s">
        <v>67</v>
      </c>
      <c r="F127" s="4">
        <v>14763</v>
      </c>
      <c r="G127">
        <v>85</v>
      </c>
      <c r="H127" t="s">
        <v>681</v>
      </c>
      <c r="I127" t="s">
        <v>682</v>
      </c>
      <c r="J127" s="4" t="s">
        <v>70</v>
      </c>
      <c r="K127" s="4" t="s">
        <v>71</v>
      </c>
      <c r="L127" t="s">
        <v>683</v>
      </c>
      <c r="M127" t="s">
        <v>677</v>
      </c>
      <c r="N127" t="s">
        <v>678</v>
      </c>
      <c r="O127">
        <f>IFERROR(VLOOKUP(HEVARIM[[#This Row],[קוד תקציב]],[2]תקציבים!A:L,6,0),0)</f>
        <v>2</v>
      </c>
      <c r="P127" s="5" t="s">
        <v>104</v>
      </c>
      <c r="Q127" t="s">
        <v>11</v>
      </c>
      <c r="R127" s="4">
        <v>23742</v>
      </c>
      <c r="S127" s="4" t="s">
        <v>74</v>
      </c>
      <c r="T127" s="96" t="s">
        <v>681</v>
      </c>
      <c r="U127" t="str">
        <f>VLOOKUP(HEVARIM[[#This Row],[גיל]],GIL,2,1)</f>
        <v>--</v>
      </c>
      <c r="V127" t="str">
        <f>IF(HEVARIM[[#This Row],[קוד מעמד]]="4     ",IF(HEVARIM[[#This Row],[גיל]]=1,1,IF(HEVARIM[[#This Row],[גיל]]&lt;=5,5,18)),"")</f>
        <v/>
      </c>
      <c r="W127">
        <f t="shared" si="4"/>
        <v>2567</v>
      </c>
      <c r="X12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27">
        <f>IF(HEVARIM[[#This Row],[מצב משפחתי2]]="אלמן",'[2]ריכוז נתונים'!$AC$2,0)</f>
        <v>0</v>
      </c>
      <c r="Z127" s="3">
        <f>VLOOKUP(VALUE(HEVARIM[[#This Row],[קוד מעמד]]),הנחות!$I$2:$K$21,3,0)</f>
        <v>0</v>
      </c>
      <c r="AA127" t="b">
        <f>ISERROR(VLOOKUP(HEVARIM[[#This Row],[קוד תקציב]],'[2]ריכוז נתונים'!A:A,1,0))</f>
        <v>0</v>
      </c>
      <c r="AB127" s="1">
        <f t="shared" si="5"/>
        <v>0</v>
      </c>
      <c r="AC127" s="2">
        <f ca="1">IF(HEVARIM[[#This Row],[בר מצוה]]&gt;0,YEAR(TODAY())+'תקציבים מיוחדים'!$F$5-HEVARIM[[#This Row],[גיל]],0)</f>
        <v>0</v>
      </c>
      <c r="AD127" s="1">
        <f t="shared" si="6"/>
        <v>0</v>
      </c>
      <c r="AE127" s="2">
        <f ca="1">IF(HEVARIM[[#This Row],[בת מצוה]]&gt;0,YEAR(TODAY())+'תקציבים מיוחדים'!$F$5-HEVARIM[[#This Row],[גיל]],0)</f>
        <v>0</v>
      </c>
      <c r="AF127" s="1">
        <f>IF(AND($S127&gt;="רווק",$Z127=1),AF$4*IF(HEVARIM[[#This Row],[גיל]]&gt;$AF$3,1,(($G127-AF$2)/(AF$3-AF$2))),0)</f>
        <v>0</v>
      </c>
      <c r="AG12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27" s="1">
        <f t="shared" si="7"/>
        <v>0</v>
      </c>
      <c r="AI127" s="2">
        <f ca="1">IF(AH127&gt;0,YEAR(TODAY())+'תקציבים מיוחדים'!$F$7-HEVARIM[[#This Row],[גיל]],0)</f>
        <v>0</v>
      </c>
      <c r="AJ127" s="9">
        <f>IF(AND(ISERROR(VLOOKUP(H127,'[2]ריכוז נתונים'!A:L,1,0)),P127="1     "),1,0)</f>
        <v>0</v>
      </c>
      <c r="AK127" s="1">
        <f>IF(VALUE(HEVARIM[[#This Row],[קוד מעמד]])=1,VLOOKUP((IF(LEFT(HEVARIM[[#This Row],[קוד חבר]],1)="0",HEVARIM[[#This Row],[קוד חבר]],VALUE(HEVARIM[[#This Row],[קוד חבר]]))),'ותק חברה 40'!AQ:AW,7,0),"")</f>
        <v>45.52</v>
      </c>
      <c r="AL127" s="1">
        <f>IF(AND(VALUE(HEVARIM[[#This Row],[קוד מעמד]])=1,HEVARIM[[#This Row],[ותק מחברה 40]]&lt;25),HEVARIM[[#This Row],[ותק מחברה 40]]/25*הנחות!$C$4,0)</f>
        <v>0</v>
      </c>
      <c r="AM127" s="9" t="str">
        <f ca="1">IF(HEVARIM[[#This Row],[דמי עזיבה 25 שנות ותק]]&gt;0,YEAR(TODAY())+25-ROUNDDOWN(HEVARIM[[#This Row],[ותק מחברה 40]],0),"")</f>
        <v/>
      </c>
      <c r="AN1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7" s="9" t="str">
        <f ca="1">IF(HEVARIM[[#This Row],[דמי עזיבה לגיל 65]]&gt;0,YEAR(TODAY())+64-ROUNDDOWN(HEVARIM[[#This Row],[גיל]],0),"")</f>
        <v/>
      </c>
      <c r="AP127" s="1">
        <f>SUMIF(HEVARIM[קוד תקציב],HEVARIM[[#This Row],[קוד תקציב משפחה מקורי]],HEVARIM[ותק מחברה 40])</f>
        <v>93.52000000000001</v>
      </c>
      <c r="AQ1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127" s="9">
        <f>IF(HEVARIM[[#This Row],[קוד מעמד]]="1     ",IFERROR(VLOOKUP(HEVARIM[[#This Row],[קוד תקציב]],'תקציב צביעה - לקראת השינוי'!A:F,4,0),0),0)</f>
        <v>2031</v>
      </c>
      <c r="AT127" s="1"/>
    </row>
    <row r="128" spans="1:46">
      <c r="A128" t="s">
        <v>684</v>
      </c>
      <c r="B128" t="s">
        <v>685</v>
      </c>
      <c r="C128" t="s">
        <v>679</v>
      </c>
      <c r="D128" t="s">
        <v>686</v>
      </c>
      <c r="E128" t="s">
        <v>79</v>
      </c>
      <c r="F128" s="4">
        <v>15676</v>
      </c>
      <c r="G128">
        <v>83</v>
      </c>
      <c r="H128" t="s">
        <v>681</v>
      </c>
      <c r="I128" t="s">
        <v>682</v>
      </c>
      <c r="J128" s="4" t="s">
        <v>70</v>
      </c>
      <c r="K128" s="4" t="s">
        <v>71</v>
      </c>
      <c r="L128" t="s">
        <v>687</v>
      </c>
      <c r="M128" t="s">
        <v>677</v>
      </c>
      <c r="N128" t="s">
        <v>678</v>
      </c>
      <c r="O128">
        <f>IFERROR(VLOOKUP(HEVARIM[[#This Row],[קוד תקציב]],[2]תקציבים!A:L,6,0),0)</f>
        <v>2</v>
      </c>
      <c r="P128" s="5" t="s">
        <v>104</v>
      </c>
      <c r="Q128" t="s">
        <v>11</v>
      </c>
      <c r="R128" s="4">
        <v>24107</v>
      </c>
      <c r="S128" s="4" t="s">
        <v>74</v>
      </c>
      <c r="T128" s="96" t="s">
        <v>681</v>
      </c>
      <c r="U128" t="str">
        <f>VLOOKUP(HEVARIM[[#This Row],[גיל]],GIL,2,1)</f>
        <v>--</v>
      </c>
      <c r="V128" t="str">
        <f>IF(HEVARIM[[#This Row],[קוד מעמד]]="4     ",IF(HEVARIM[[#This Row],[גיל]]=1,1,IF(HEVARIM[[#This Row],[גיל]]&lt;=5,5,18)),"")</f>
        <v/>
      </c>
      <c r="W128">
        <f t="shared" si="4"/>
        <v>2567</v>
      </c>
      <c r="X12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28">
        <f>IF(HEVARIM[[#This Row],[מצב משפחתי2]]="אלמן",'[2]ריכוז נתונים'!$AC$2,0)</f>
        <v>0</v>
      </c>
      <c r="Z128" s="3">
        <f>VLOOKUP(VALUE(HEVARIM[[#This Row],[קוד מעמד]]),הנחות!$I$2:$K$21,3,0)</f>
        <v>0</v>
      </c>
      <c r="AA128" t="b">
        <f>ISERROR(VLOOKUP(HEVARIM[[#This Row],[קוד תקציב]],'[2]ריכוז נתונים'!A:A,1,0))</f>
        <v>0</v>
      </c>
      <c r="AB128" s="1">
        <f t="shared" si="5"/>
        <v>0</v>
      </c>
      <c r="AC128" s="2">
        <f ca="1">IF(HEVARIM[[#This Row],[בר מצוה]]&gt;0,YEAR(TODAY())+'תקציבים מיוחדים'!$F$5-HEVARIM[[#This Row],[גיל]],0)</f>
        <v>0</v>
      </c>
      <c r="AD128" s="1">
        <f t="shared" si="6"/>
        <v>0</v>
      </c>
      <c r="AE128" s="2">
        <f ca="1">IF(HEVARIM[[#This Row],[בת מצוה]]&gt;0,YEAR(TODAY())+'תקציבים מיוחדים'!$F$5-HEVARIM[[#This Row],[גיל]],0)</f>
        <v>0</v>
      </c>
      <c r="AF128" s="1">
        <f>IF(AND($S128&gt;="רווק",$Z128=1),AF$4*IF(HEVARIM[[#This Row],[גיל]]&gt;$AF$3,1,(($G128-AF$2)/(AF$3-AF$2))),0)</f>
        <v>0</v>
      </c>
      <c r="AG12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28" s="1">
        <f t="shared" si="7"/>
        <v>0</v>
      </c>
      <c r="AI128" s="2">
        <f ca="1">IF(AH128&gt;0,YEAR(TODAY())+'תקציבים מיוחדים'!$F$7-HEVARIM[[#This Row],[גיל]],0)</f>
        <v>0</v>
      </c>
      <c r="AJ128" s="9">
        <f>IF(AND(ISERROR(VLOOKUP(H128,'[2]ריכוז נתונים'!A:L,1,0)),P128="1     "),1,0)</f>
        <v>0</v>
      </c>
      <c r="AK128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28" s="1">
        <f>IF(AND(VALUE(HEVARIM[[#This Row],[קוד מעמד]])=1,HEVARIM[[#This Row],[ותק מחברה 40]]&lt;25),HEVARIM[[#This Row],[ותק מחברה 40]]/25*הנחות!$C$4,0)</f>
        <v>0</v>
      </c>
      <c r="AM128" s="9" t="str">
        <f ca="1">IF(HEVARIM[[#This Row],[דמי עזיבה 25 שנות ותק]]&gt;0,YEAR(TODAY())+25-ROUNDDOWN(HEVARIM[[#This Row],[ותק מחברה 40]],0),"")</f>
        <v/>
      </c>
      <c r="AN1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28" s="9" t="str">
        <f ca="1">IF(HEVARIM[[#This Row],[דמי עזיבה לגיל 65]]&gt;0,YEAR(TODAY())+64-ROUNDDOWN(HEVARIM[[#This Row],[גיל]],0),"")</f>
        <v/>
      </c>
      <c r="AP128" s="1">
        <f>SUMIF(HEVARIM[קוד תקציב],HEVARIM[[#This Row],[קוד תקציב משפחה מקורי]],HEVARIM[ותק מחברה 40])</f>
        <v>93.52000000000001</v>
      </c>
      <c r="AQ1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128" s="9">
        <f>IF(HEVARIM[[#This Row],[קוד מעמד]]="1     ",IFERROR(VLOOKUP(HEVARIM[[#This Row],[קוד תקציב]],'תקציב צביעה - לקראת השינוי'!A:F,4,0),0),0)</f>
        <v>2031</v>
      </c>
      <c r="AT128" s="1"/>
    </row>
    <row r="129" spans="1:46">
      <c r="A129" t="s">
        <v>752</v>
      </c>
      <c r="B129" t="s">
        <v>753</v>
      </c>
      <c r="C129" t="s">
        <v>679</v>
      </c>
      <c r="D129" t="s">
        <v>754</v>
      </c>
      <c r="E129" t="s">
        <v>67</v>
      </c>
      <c r="F129" s="4">
        <v>26692</v>
      </c>
      <c r="G129">
        <v>52</v>
      </c>
      <c r="H129" t="s">
        <v>755</v>
      </c>
      <c r="I129" t="s">
        <v>756</v>
      </c>
      <c r="J129" s="4" t="s">
        <v>70</v>
      </c>
      <c r="K129" s="4" t="s">
        <v>71</v>
      </c>
      <c r="L129" t="s">
        <v>757</v>
      </c>
      <c r="M129" t="s">
        <v>752</v>
      </c>
      <c r="N129" t="s">
        <v>753</v>
      </c>
      <c r="O129">
        <f>IFERROR(VLOOKUP(HEVARIM[[#This Row],[קוד תקציב]],[2]תקציבים!A:L,6,0),0)</f>
        <v>2</v>
      </c>
      <c r="P129" s="5" t="s">
        <v>104</v>
      </c>
      <c r="Q129" t="s">
        <v>11</v>
      </c>
      <c r="R129" s="4">
        <v>37135</v>
      </c>
      <c r="S129" s="4" t="s">
        <v>74</v>
      </c>
      <c r="T129" s="96" t="s">
        <v>681</v>
      </c>
      <c r="U129" t="str">
        <f>VLOOKUP(HEVARIM[[#This Row],[גיל]],GIL,2,1)</f>
        <v>--</v>
      </c>
      <c r="V129" t="str">
        <f>IF(HEVARIM[[#This Row],[קוד מעמד]]="4     ",IF(HEVARIM[[#This Row],[גיל]]=1,1,IF(HEVARIM[[#This Row],[גיל]]&lt;=5,5,18)),"")</f>
        <v/>
      </c>
      <c r="W129">
        <f t="shared" si="4"/>
        <v>0</v>
      </c>
      <c r="X12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29">
        <f>IF(HEVARIM[[#This Row],[מצב משפחתי2]]="אלמן",'[2]ריכוז נתונים'!$AC$2,0)</f>
        <v>0</v>
      </c>
      <c r="Z129" s="3">
        <f>VLOOKUP(VALUE(HEVARIM[[#This Row],[קוד מעמד]]),הנחות!$I$2:$K$21,3,0)</f>
        <v>0</v>
      </c>
      <c r="AA129" t="b">
        <f>ISERROR(VLOOKUP(HEVARIM[[#This Row],[קוד תקציב]],'[2]ריכוז נתונים'!A:A,1,0))</f>
        <v>0</v>
      </c>
      <c r="AB129" s="1">
        <f t="shared" si="5"/>
        <v>0</v>
      </c>
      <c r="AC129" s="2">
        <f ca="1">IF(HEVARIM[[#This Row],[בר מצוה]]&gt;0,YEAR(TODAY())+'תקציבים מיוחדים'!$F$5-HEVARIM[[#This Row],[גיל]],0)</f>
        <v>0</v>
      </c>
      <c r="AD129" s="1">
        <f t="shared" si="6"/>
        <v>0</v>
      </c>
      <c r="AE129" s="2">
        <f ca="1">IF(HEVARIM[[#This Row],[בת מצוה]]&gt;0,YEAR(TODAY())+'תקציבים מיוחדים'!$F$5-HEVARIM[[#This Row],[גיל]],0)</f>
        <v>0</v>
      </c>
      <c r="AF129" s="1">
        <f>IF(AND($S129&gt;="רווק",$Z129=1),AF$4*IF(HEVARIM[[#This Row],[גיל]]&gt;$AF$3,1,(($G129-AF$2)/(AF$3-AF$2))),0)</f>
        <v>0</v>
      </c>
      <c r="AG12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29" s="1">
        <f t="shared" si="7"/>
        <v>0</v>
      </c>
      <c r="AI129" s="2">
        <f ca="1">IF(AH129&gt;0,YEAR(TODAY())+'תקציבים מיוחדים'!$F$7-HEVARIM[[#This Row],[גיל]],0)</f>
        <v>0</v>
      </c>
      <c r="AJ129" s="9">
        <f>IF(AND(ISERROR(VLOOKUP(H129,'[2]ריכוז נתונים'!A:L,1,0)),P129="1     "),1,0)</f>
        <v>0</v>
      </c>
      <c r="AK129" s="1">
        <f>IF(VALUE(HEVARIM[[#This Row],[קוד מעמד]])=1,VLOOKUP((IF(LEFT(HEVARIM[[#This Row],[קוד חבר]],1)="0",HEVARIM[[#This Row],[קוד חבר]],VALUE(HEVARIM[[#This Row],[קוד חבר]]))),'ותק חברה 40'!AQ:AW,7,0),"")</f>
        <v>28.4</v>
      </c>
      <c r="AL129" s="1">
        <f>IF(AND(VALUE(HEVARIM[[#This Row],[קוד מעמד]])=1,HEVARIM[[#This Row],[ותק מחברה 40]]&lt;25),HEVARIM[[#This Row],[ותק מחברה 40]]/25*הנחות!$C$4,0)</f>
        <v>0</v>
      </c>
      <c r="AM129" s="9" t="str">
        <f ca="1">IF(HEVARIM[[#This Row],[דמי עזיבה 25 שנות ותק]]&gt;0,YEAR(TODAY())+25-ROUNDDOWN(HEVARIM[[#This Row],[ותק מחברה 40]],0),"")</f>
        <v/>
      </c>
      <c r="AN129" s="1">
        <f>IF(AND(VALUE(HEVARIM[[#This Row],[קוד מעמד]])=1,HEVARIM[[#This Row],[ותק מחברה 40]]&gt;25,HEVARIM[[#This Row],[גיל]]&lt;65),הנחות!$C$14+(HEVARIM[[#This Row],[ותק מחברה 40]]-25)*הנחות!$C$10*0.25,0)</f>
        <v>35925.986249999994</v>
      </c>
      <c r="AO129" s="9">
        <f ca="1">IF(HEVARIM[[#This Row],[דמי עזיבה לגיל 65]]&gt;0,YEAR(TODAY())+64-ROUNDDOWN(HEVARIM[[#This Row],[גיל]],0),"")</f>
        <v>2038</v>
      </c>
      <c r="AP129" s="1">
        <f>SUMIF(HEVARIM[קוד תקציב],HEVARIM[[#This Row],[קוד תקציב משפחה מקורי]],HEVARIM[ותק מחברה 40])</f>
        <v>93.52000000000001</v>
      </c>
      <c r="AQ1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129" s="9">
        <f>IF(HEVARIM[[#This Row],[קוד מעמד]]="1     ",IFERROR(VLOOKUP(HEVARIM[[#This Row],[קוד תקציב]],'תקציב צביעה - לקראת השינוי'!A:F,4,0),0),0)</f>
        <v>2032</v>
      </c>
      <c r="AT129" s="1"/>
    </row>
    <row r="130" spans="1:46">
      <c r="A130" t="s">
        <v>732</v>
      </c>
      <c r="B130" t="s">
        <v>733</v>
      </c>
      <c r="C130" t="s">
        <v>727</v>
      </c>
      <c r="D130" t="s">
        <v>734</v>
      </c>
      <c r="E130" t="s">
        <v>79</v>
      </c>
      <c r="F130" s="4">
        <v>29382</v>
      </c>
      <c r="G130">
        <v>45</v>
      </c>
      <c r="H130" t="s">
        <v>729</v>
      </c>
      <c r="I130" t="s">
        <v>730</v>
      </c>
      <c r="J130" s="4" t="s">
        <v>70</v>
      </c>
      <c r="K130" s="4" t="s">
        <v>71</v>
      </c>
      <c r="L130" t="s">
        <v>735</v>
      </c>
      <c r="M130" t="s">
        <v>725</v>
      </c>
      <c r="N130" t="s">
        <v>726</v>
      </c>
      <c r="O130">
        <f>IFERROR(VLOOKUP(HEVARIM[[#This Row],[קוד תקציב]],[2]תקציבים!A:L,6,0),0)</f>
        <v>2</v>
      </c>
      <c r="P130" s="5" t="s">
        <v>104</v>
      </c>
      <c r="Q130" t="s">
        <v>11</v>
      </c>
      <c r="R130" s="4">
        <v>39142</v>
      </c>
      <c r="S130" s="4" t="s">
        <v>74</v>
      </c>
      <c r="T130" s="96" t="s">
        <v>700</v>
      </c>
      <c r="U130" t="str">
        <f>VLOOKUP(HEVARIM[[#This Row],[גיל]],GIL,2,1)</f>
        <v>--</v>
      </c>
      <c r="V130" t="str">
        <f>IF(HEVARIM[[#This Row],[קוד מעמד]]="4     ",IF(HEVARIM[[#This Row],[גיל]]=1,1,IF(HEVARIM[[#This Row],[גיל]]&lt;=5,5,18)),"")</f>
        <v/>
      </c>
      <c r="W130">
        <f t="shared" si="4"/>
        <v>0</v>
      </c>
      <c r="X13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0">
        <f>IF(HEVARIM[[#This Row],[מצב משפחתי2]]="אלמן",'[2]ריכוז נתונים'!$AC$2,0)</f>
        <v>0</v>
      </c>
      <c r="Z130" s="3">
        <f>VLOOKUP(VALUE(HEVARIM[[#This Row],[קוד מעמד]]),הנחות!$I$2:$K$21,3,0)</f>
        <v>0</v>
      </c>
      <c r="AA130" t="b">
        <f>ISERROR(VLOOKUP(HEVARIM[[#This Row],[קוד תקציב]],'[2]ריכוז נתונים'!A:A,1,0))</f>
        <v>0</v>
      </c>
      <c r="AB130" s="1">
        <f t="shared" si="5"/>
        <v>0</v>
      </c>
      <c r="AC130" s="2">
        <f ca="1">IF(HEVARIM[[#This Row],[בר מצוה]]&gt;0,YEAR(TODAY())+'תקציבים מיוחדים'!$F$5-HEVARIM[[#This Row],[גיל]],0)</f>
        <v>0</v>
      </c>
      <c r="AD130" s="1">
        <f t="shared" si="6"/>
        <v>0</v>
      </c>
      <c r="AE130" s="2">
        <f ca="1">IF(HEVARIM[[#This Row],[בת מצוה]]&gt;0,YEAR(TODAY())+'תקציבים מיוחדים'!$F$5-HEVARIM[[#This Row],[גיל]],0)</f>
        <v>0</v>
      </c>
      <c r="AF130" s="1">
        <f>IF(AND($S130&gt;="רווק",$Z130=1),AF$4*IF(HEVARIM[[#This Row],[גיל]]&gt;$AF$3,1,(($G130-AF$2)/(AF$3-AF$2))),0)</f>
        <v>0</v>
      </c>
      <c r="AG13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0" s="1">
        <f t="shared" si="7"/>
        <v>0</v>
      </c>
      <c r="AI130" s="2">
        <f ca="1">IF(AH130&gt;0,YEAR(TODAY())+'תקציבים מיוחדים'!$F$7-HEVARIM[[#This Row],[גיל]],0)</f>
        <v>0</v>
      </c>
      <c r="AJ130" s="9">
        <f>IF(AND(ISERROR(VLOOKUP(H130,'[2]ריכוז נתונים'!A:L,1,0)),P130="1     "),1,0)</f>
        <v>0</v>
      </c>
      <c r="AK130" s="216">
        <f>IF(VALUE(HEVARIM[[#This Row],[קוד מעמד]])=1,VLOOKUP((IF(LEFT(HEVARIM[[#This Row],[קוד חבר]],1)="0",HEVARIM[[#This Row],[קוד חבר]],VALUE(HEVARIM[[#This Row],[קוד חבר]]))),'ותק חברה 40'!AQ:AW,7,0),"")</f>
        <v>23.48</v>
      </c>
      <c r="AL130" s="1">
        <f>IF(AND(VALUE(HEVARIM[[#This Row],[קוד מעמד]])=1,HEVARIM[[#This Row],[ותק מחברה 40]]&lt;25),HEVARIM[[#This Row],[ותק מחברה 40]]/25*הנחות!$C$4,0)</f>
        <v>35252.50806</v>
      </c>
      <c r="AM130" s="9">
        <f ca="1">IF(HEVARIM[[#This Row],[דמי עזיבה 25 שנות ותק]]&gt;0,YEAR(TODAY())+25-ROUNDDOWN(HEVARIM[[#This Row],[ותק מחברה 40]],0),"")</f>
        <v>2028</v>
      </c>
      <c r="AN1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0" s="9" t="str">
        <f ca="1">IF(HEVARIM[[#This Row],[דמי עזיבה לגיל 65]]&gt;0,YEAR(TODAY())+64-ROUNDDOWN(HEVARIM[[#This Row],[גיל]],0),"")</f>
        <v/>
      </c>
      <c r="AP130" s="1">
        <f>SUMIF(HEVARIM[קוד תקציב],HEVARIM[[#This Row],[קוד תקציב משפחה מקורי]],HEVARIM[ותק מחברה 40])</f>
        <v>96</v>
      </c>
      <c r="AQ1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130" s="9">
        <f>IF(HEVARIM[[#This Row],[קוד מעמד]]="1     ",IFERROR(VLOOKUP(HEVARIM[[#This Row],[קוד תקציב]],'תקציב צביעה - לקראת השינוי'!A:F,4,0),0),0)</f>
        <v>2030</v>
      </c>
      <c r="AT130" s="1"/>
    </row>
    <row r="131" spans="1:46">
      <c r="A131" t="s">
        <v>696</v>
      </c>
      <c r="B131" t="s">
        <v>697</v>
      </c>
      <c r="C131" t="s">
        <v>698</v>
      </c>
      <c r="D131" t="s">
        <v>699</v>
      </c>
      <c r="E131" t="s">
        <v>67</v>
      </c>
      <c r="F131" s="4">
        <v>17551</v>
      </c>
      <c r="G131">
        <v>77</v>
      </c>
      <c r="H131" t="s">
        <v>700</v>
      </c>
      <c r="I131" t="s">
        <v>701</v>
      </c>
      <c r="J131" s="4" t="s">
        <v>70</v>
      </c>
      <c r="K131" s="4" t="s">
        <v>71</v>
      </c>
      <c r="L131" t="s">
        <v>702</v>
      </c>
      <c r="M131" t="s">
        <v>696</v>
      </c>
      <c r="N131" t="s">
        <v>697</v>
      </c>
      <c r="O131">
        <f>IFERROR(VLOOKUP(HEVARIM[[#This Row],[קוד תקציב]],[2]תקציבים!A:L,6,0),0)</f>
        <v>2</v>
      </c>
      <c r="P131" s="5" t="s">
        <v>104</v>
      </c>
      <c r="Q131" t="s">
        <v>11</v>
      </c>
      <c r="R131" s="4">
        <v>25568</v>
      </c>
      <c r="S131" s="4" t="s">
        <v>74</v>
      </c>
      <c r="T131" s="96" t="s">
        <v>700</v>
      </c>
      <c r="U131" t="str">
        <f>VLOOKUP(HEVARIM[[#This Row],[גיל]],GIL,2,1)</f>
        <v>--</v>
      </c>
      <c r="V131" t="str">
        <f>IF(HEVARIM[[#This Row],[קוד מעמד]]="4     ",IF(HEVARIM[[#This Row],[גיל]]=1,1,IF(HEVARIM[[#This Row],[גיל]]&lt;=5,5,18)),"")</f>
        <v/>
      </c>
      <c r="W131">
        <f t="shared" si="4"/>
        <v>2365</v>
      </c>
      <c r="X13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31">
        <f>IF(HEVARIM[[#This Row],[מצב משפחתי2]]="אלמן",'[2]ריכוז נתונים'!$AC$2,0)</f>
        <v>0</v>
      </c>
      <c r="Z131" s="3">
        <f>VLOOKUP(VALUE(HEVARIM[[#This Row],[קוד מעמד]]),הנחות!$I$2:$K$21,3,0)</f>
        <v>0</v>
      </c>
      <c r="AA131" t="b">
        <f>ISERROR(VLOOKUP(HEVARIM[[#This Row],[קוד תקציב]],'[2]ריכוז נתונים'!A:A,1,0))</f>
        <v>0</v>
      </c>
      <c r="AB131" s="1">
        <f t="shared" si="5"/>
        <v>0</v>
      </c>
      <c r="AC131" s="2">
        <f ca="1">IF(HEVARIM[[#This Row],[בר מצוה]]&gt;0,YEAR(TODAY())+'תקציבים מיוחדים'!$F$5-HEVARIM[[#This Row],[גיל]],0)</f>
        <v>0</v>
      </c>
      <c r="AD131" s="1">
        <f t="shared" si="6"/>
        <v>0</v>
      </c>
      <c r="AE131" s="2">
        <f ca="1">IF(HEVARIM[[#This Row],[בת מצוה]]&gt;0,YEAR(TODAY())+'תקציבים מיוחדים'!$F$5-HEVARIM[[#This Row],[גיל]],0)</f>
        <v>0</v>
      </c>
      <c r="AF131" s="1">
        <f>IF(AND($S131&gt;="רווק",$Z131=1),AF$4*IF(HEVARIM[[#This Row],[גיל]]&gt;$AF$3,1,(($G131-AF$2)/(AF$3-AF$2))),0)</f>
        <v>0</v>
      </c>
      <c r="AG13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1" s="1">
        <f t="shared" si="7"/>
        <v>0</v>
      </c>
      <c r="AI131" s="2">
        <f ca="1">IF(AH131&gt;0,YEAR(TODAY())+'תקציבים מיוחדים'!$F$7-HEVARIM[[#This Row],[גיל]],0)</f>
        <v>0</v>
      </c>
      <c r="AJ131" s="9">
        <f>IF(AND(ISERROR(VLOOKUP(H131,'[2]ריכוז נתונים'!A:L,1,0)),P131="1     "),1,0)</f>
        <v>0</v>
      </c>
      <c r="AK131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31" s="1">
        <f>IF(AND(VALUE(HEVARIM[[#This Row],[קוד מעמד]])=1,HEVARIM[[#This Row],[ותק מחברה 40]]&lt;25),HEVARIM[[#This Row],[ותק מחברה 40]]/25*הנחות!$C$4,0)</f>
        <v>0</v>
      </c>
      <c r="AM131" s="9" t="str">
        <f ca="1">IF(HEVARIM[[#This Row],[דמי עזיבה 25 שנות ותק]]&gt;0,YEAR(TODAY())+25-ROUNDDOWN(HEVARIM[[#This Row],[ותק מחברה 40]],0),"")</f>
        <v/>
      </c>
      <c r="AN13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1" s="9" t="str">
        <f ca="1">IF(HEVARIM[[#This Row],[דמי עזיבה לגיל 65]]&gt;0,YEAR(TODAY())+64-ROUNDDOWN(HEVARIM[[#This Row],[גיל]],0),"")</f>
        <v/>
      </c>
      <c r="AP131" s="1">
        <f>SUMIF(HEVARIM[קוד תקציב],HEVARIM[[#This Row],[קוד תקציב משפחה מקורי]],HEVARIM[ותק מחברה 40])</f>
        <v>96</v>
      </c>
      <c r="AQ1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131" s="9">
        <f>IF(HEVARIM[[#This Row],[קוד מעמד]]="1     ",IFERROR(VLOOKUP(HEVARIM[[#This Row],[קוד תקציב]],'תקציב צביעה - לקראת השינוי'!A:F,4,0),0),0)</f>
        <v>2027</v>
      </c>
      <c r="AT131" s="1"/>
    </row>
    <row r="132" spans="1:46">
      <c r="A132" t="s">
        <v>703</v>
      </c>
      <c r="B132" t="s">
        <v>704</v>
      </c>
      <c r="C132" t="s">
        <v>698</v>
      </c>
      <c r="D132" t="s">
        <v>705</v>
      </c>
      <c r="E132" t="s">
        <v>79</v>
      </c>
      <c r="F132" s="4">
        <v>18094</v>
      </c>
      <c r="G132">
        <v>76</v>
      </c>
      <c r="H132" t="s">
        <v>700</v>
      </c>
      <c r="I132" t="s">
        <v>701</v>
      </c>
      <c r="J132" s="4" t="s">
        <v>70</v>
      </c>
      <c r="K132" s="4" t="s">
        <v>71</v>
      </c>
      <c r="L132" t="s">
        <v>706</v>
      </c>
      <c r="M132" t="s">
        <v>696</v>
      </c>
      <c r="N132" t="s">
        <v>697</v>
      </c>
      <c r="O132">
        <f>IFERROR(VLOOKUP(HEVARIM[[#This Row],[קוד תקציב]],[2]תקציבים!A:L,6,0),0)</f>
        <v>2</v>
      </c>
      <c r="P132" s="5" t="s">
        <v>104</v>
      </c>
      <c r="Q132" t="s">
        <v>11</v>
      </c>
      <c r="R132" s="4">
        <v>26298</v>
      </c>
      <c r="S132" s="4" t="s">
        <v>74</v>
      </c>
      <c r="T132" s="96" t="s">
        <v>700</v>
      </c>
      <c r="U132" t="str">
        <f>VLOOKUP(HEVARIM[[#This Row],[גיל]],GIL,2,1)</f>
        <v>--</v>
      </c>
      <c r="V132" t="str">
        <f>IF(HEVARIM[[#This Row],[קוד מעמד]]="4     ",IF(HEVARIM[[#This Row],[גיל]]=1,1,IF(HEVARIM[[#This Row],[גיל]]&lt;=5,5,18)),"")</f>
        <v/>
      </c>
      <c r="W132">
        <f t="shared" si="4"/>
        <v>2365</v>
      </c>
      <c r="X13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32">
        <f>IF(HEVARIM[[#This Row],[מצב משפחתי2]]="אלמן",'[2]ריכוז נתונים'!$AC$2,0)</f>
        <v>0</v>
      </c>
      <c r="Z132" s="3">
        <f>VLOOKUP(VALUE(HEVARIM[[#This Row],[קוד מעמד]]),הנחות!$I$2:$K$21,3,0)</f>
        <v>0</v>
      </c>
      <c r="AA132" t="b">
        <f>ISERROR(VLOOKUP(HEVARIM[[#This Row],[קוד תקציב]],'[2]ריכוז נתונים'!A:A,1,0))</f>
        <v>0</v>
      </c>
      <c r="AB132" s="1">
        <f t="shared" si="5"/>
        <v>0</v>
      </c>
      <c r="AC132" s="2">
        <f ca="1">IF(HEVARIM[[#This Row],[בר מצוה]]&gt;0,YEAR(TODAY())+'תקציבים מיוחדים'!$F$5-HEVARIM[[#This Row],[גיל]],0)</f>
        <v>0</v>
      </c>
      <c r="AD132" s="1">
        <f t="shared" si="6"/>
        <v>0</v>
      </c>
      <c r="AE132" s="2">
        <f ca="1">IF(HEVARIM[[#This Row],[בת מצוה]]&gt;0,YEAR(TODAY())+'תקציבים מיוחדים'!$F$5-HEVARIM[[#This Row],[גיל]],0)</f>
        <v>0</v>
      </c>
      <c r="AF132" s="1">
        <f>IF(AND($S132&gt;="רווק",$Z132=1),AF$4*IF(HEVARIM[[#This Row],[גיל]]&gt;$AF$3,1,(($G132-AF$2)/(AF$3-AF$2))),0)</f>
        <v>0</v>
      </c>
      <c r="AG13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2" s="1">
        <f t="shared" si="7"/>
        <v>0</v>
      </c>
      <c r="AI132" s="2">
        <f ca="1">IF(AH132&gt;0,YEAR(TODAY())+'תקציבים מיוחדים'!$F$7-HEVARIM[[#This Row],[גיל]],0)</f>
        <v>0</v>
      </c>
      <c r="AJ132" s="9">
        <f>IF(AND(ISERROR(VLOOKUP(H132,'[2]ריכוז נתונים'!A:L,1,0)),P132="1     "),1,0)</f>
        <v>0</v>
      </c>
      <c r="AK132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32" s="1">
        <f>IF(AND(VALUE(HEVARIM[[#This Row],[קוד מעמד]])=1,HEVARIM[[#This Row],[ותק מחברה 40]]&lt;25),HEVARIM[[#This Row],[ותק מחברה 40]]/25*הנחות!$C$4,0)</f>
        <v>0</v>
      </c>
      <c r="AM132" s="9" t="str">
        <f ca="1">IF(HEVARIM[[#This Row],[דמי עזיבה 25 שנות ותק]]&gt;0,YEAR(TODAY())+25-ROUNDDOWN(HEVARIM[[#This Row],[ותק מחברה 40]],0),"")</f>
        <v/>
      </c>
      <c r="AN13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2" s="9" t="str">
        <f ca="1">IF(HEVARIM[[#This Row],[דמי עזיבה לגיל 65]]&gt;0,YEAR(TODAY())+64-ROUNDDOWN(HEVARIM[[#This Row],[גיל]],0),"")</f>
        <v/>
      </c>
      <c r="AP132" s="1">
        <f>SUMIF(HEVARIM[קוד תקציב],HEVARIM[[#This Row],[קוד תקציב משפחה מקורי]],HEVARIM[ותק מחברה 40])</f>
        <v>96</v>
      </c>
      <c r="AQ1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132" s="9">
        <f>IF(HEVARIM[[#This Row],[קוד מעמד]]="1     ",IFERROR(VLOOKUP(HEVARIM[[#This Row],[קוד תקציב]],'תקציב צביעה - לקראת השינוי'!A:F,4,0),0),0)</f>
        <v>2027</v>
      </c>
      <c r="AT132" s="1"/>
    </row>
    <row r="133" spans="1:46">
      <c r="A133" t="s">
        <v>2113</v>
      </c>
      <c r="B133" t="s">
        <v>2114</v>
      </c>
      <c r="C133" t="s">
        <v>2108</v>
      </c>
      <c r="D133" t="s">
        <v>2115</v>
      </c>
      <c r="E133" t="s">
        <v>79</v>
      </c>
      <c r="F133" s="4">
        <v>26937</v>
      </c>
      <c r="G133">
        <v>52</v>
      </c>
      <c r="H133" t="s">
        <v>2110</v>
      </c>
      <c r="I133" t="s">
        <v>2111</v>
      </c>
      <c r="J133" s="4" t="s">
        <v>70</v>
      </c>
      <c r="K133" s="4" t="s">
        <v>71</v>
      </c>
      <c r="L133" t="s">
        <v>2116</v>
      </c>
      <c r="M133" t="s">
        <v>2106</v>
      </c>
      <c r="N133" t="s">
        <v>2107</v>
      </c>
      <c r="O133">
        <f>IFERROR(VLOOKUP(HEVARIM[[#This Row],[קוד תקציב]],[2]תקציבים!A:L,6,0),0)</f>
        <v>2</v>
      </c>
      <c r="P133" s="5" t="s">
        <v>104</v>
      </c>
      <c r="Q133" t="s">
        <v>11</v>
      </c>
      <c r="R133" s="4">
        <v>39273</v>
      </c>
      <c r="S133" s="4" t="s">
        <v>74</v>
      </c>
      <c r="T133" s="96" t="s">
        <v>700</v>
      </c>
      <c r="U133" t="str">
        <f>VLOOKUP(HEVARIM[[#This Row],[גיל]],GIL,2,1)</f>
        <v>--</v>
      </c>
      <c r="V133" t="str">
        <f>IF(HEVARIM[[#This Row],[קוד מעמד]]="4     ",IF(HEVARIM[[#This Row],[גיל]]=1,1,IF(HEVARIM[[#This Row],[גיל]]&lt;=5,5,18)),"")</f>
        <v/>
      </c>
      <c r="W133">
        <f t="shared" si="4"/>
        <v>0</v>
      </c>
      <c r="X1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3">
        <f>IF(HEVARIM[[#This Row],[מצב משפחתי2]]="אלמן",'[2]ריכוז נתונים'!$AC$2,0)</f>
        <v>0</v>
      </c>
      <c r="Z133" s="3">
        <f>VLOOKUP(VALUE(HEVARIM[[#This Row],[קוד מעמד]]),הנחות!$I$2:$K$21,3,0)</f>
        <v>0</v>
      </c>
      <c r="AA133" t="b">
        <f>ISERROR(VLOOKUP(HEVARIM[[#This Row],[קוד תקציב]],'[2]ריכוז נתונים'!A:A,1,0))</f>
        <v>0</v>
      </c>
      <c r="AB133" s="1">
        <f t="shared" si="5"/>
        <v>0</v>
      </c>
      <c r="AC133" s="2">
        <f ca="1">IF(HEVARIM[[#This Row],[בר מצוה]]&gt;0,YEAR(TODAY())+'תקציבים מיוחדים'!$F$5-HEVARIM[[#This Row],[גיל]],0)</f>
        <v>0</v>
      </c>
      <c r="AD133" s="1">
        <f t="shared" si="6"/>
        <v>0</v>
      </c>
      <c r="AE133" s="2">
        <f ca="1">IF(HEVARIM[[#This Row],[בת מצוה]]&gt;0,YEAR(TODAY())+'תקציבים מיוחדים'!$F$5-HEVARIM[[#This Row],[גיל]],0)</f>
        <v>0</v>
      </c>
      <c r="AF133" s="1">
        <f>IF(AND($S133&gt;="רווק",$Z133=1),AF$4*IF(HEVARIM[[#This Row],[גיל]]&gt;$AF$3,1,(($G133-AF$2)/(AF$3-AF$2))),0)</f>
        <v>0</v>
      </c>
      <c r="AG13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3" s="1">
        <f t="shared" si="7"/>
        <v>0</v>
      </c>
      <c r="AI133" s="2">
        <f ca="1">IF(AH133&gt;0,YEAR(TODAY())+'תקציבים מיוחדים'!$F$7-HEVARIM[[#This Row],[גיל]],0)</f>
        <v>0</v>
      </c>
      <c r="AJ133" s="9">
        <f>IF(AND(ISERROR(VLOOKUP(H133,'[2]ריכוז נתונים'!A:L,1,0)),P133="1     "),1,0)</f>
        <v>0</v>
      </c>
      <c r="AK133" s="1">
        <f>IF(VALUE(HEVARIM[[#This Row],[קוד מעמד]])=1,VLOOKUP((IF(LEFT(HEVARIM[[#This Row],[קוד חבר]],1)="0",HEVARIM[[#This Row],[קוד חבר]],VALUE(HEVARIM[[#This Row],[קוד חבר]]))),'ותק חברה 40'!AQ:AW,7,0),"")</f>
        <v>33.94</v>
      </c>
      <c r="AL133" s="1">
        <f>IF(AND(VALUE(HEVARIM[[#This Row],[קוד מעמד]])=1,HEVARIM[[#This Row],[ותק מחברה 40]]&lt;25),HEVARIM[[#This Row],[ותק מחברה 40]]/25*הנחות!$C$4,0)</f>
        <v>0</v>
      </c>
      <c r="AM133" s="9" t="str">
        <f ca="1">IF(HEVARIM[[#This Row],[דמי עזיבה 25 שנות ותק]]&gt;0,YEAR(TODAY())+25-ROUNDDOWN(HEVARIM[[#This Row],[ותק מחברה 40]],0),"")</f>
        <v/>
      </c>
      <c r="AN133" s="1">
        <f>IF(AND(VALUE(HEVARIM[[#This Row],[קוד מעמד]])=1,HEVARIM[[#This Row],[ותק מחברה 40]]&gt;25,HEVARIM[[#This Row],[גיל]]&lt;65),הנחות!$C$14+(HEVARIM[[#This Row],[ותק מחברה 40]]-25)*הנחות!$C$10*0.25,0)</f>
        <v>50778.968624999994</v>
      </c>
      <c r="AO133" s="9">
        <f ca="1">IF(HEVARIM[[#This Row],[דמי עזיבה לגיל 65]]&gt;0,YEAR(TODAY())+64-ROUNDDOWN(HEVARIM[[#This Row],[גיל]],0),"")</f>
        <v>2038</v>
      </c>
      <c r="AP133" s="1">
        <f>SUMIF(HEVARIM[קוד תקציב],HEVARIM[[#This Row],[קוד תקציב משפחה מקורי]],HEVARIM[ותק מחברה 40])</f>
        <v>96</v>
      </c>
      <c r="AQ1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33" s="9">
        <f>IF(HEVARIM[[#This Row],[קוד מעמד]]="1     ",IFERROR(VLOOKUP(HEVARIM[[#This Row],[קוד תקציב]],'תקציב צביעה - לקראת השינוי'!A:F,4,0),0),0)</f>
        <v>2028</v>
      </c>
      <c r="AT133" s="1"/>
    </row>
    <row r="134" spans="1:46">
      <c r="A134" t="s">
        <v>707</v>
      </c>
      <c r="B134" t="s">
        <v>708</v>
      </c>
      <c r="C134" t="s">
        <v>709</v>
      </c>
      <c r="D134" t="s">
        <v>160</v>
      </c>
      <c r="E134" t="s">
        <v>67</v>
      </c>
      <c r="F134" s="4">
        <v>26070</v>
      </c>
      <c r="G134">
        <v>54</v>
      </c>
      <c r="H134" t="s">
        <v>710</v>
      </c>
      <c r="I134" t="s">
        <v>711</v>
      </c>
      <c r="J134" s="4" t="s">
        <v>70</v>
      </c>
      <c r="K134" s="4" t="s">
        <v>71</v>
      </c>
      <c r="L134" t="s">
        <v>712</v>
      </c>
      <c r="M134" t="s">
        <v>707</v>
      </c>
      <c r="N134" t="s">
        <v>708</v>
      </c>
      <c r="O134">
        <f>IFERROR(VLOOKUP(HEVARIM[[#This Row],[קוד תקציב]],[2]תקציבים!A:L,6,0),0)</f>
        <v>2</v>
      </c>
      <c r="P134" s="5" t="s">
        <v>104</v>
      </c>
      <c r="Q134" t="s">
        <v>11</v>
      </c>
      <c r="R134" s="4">
        <v>36008</v>
      </c>
      <c r="S134" s="4" t="s">
        <v>74</v>
      </c>
      <c r="T134" s="96" t="s">
        <v>710</v>
      </c>
      <c r="U134" t="str">
        <f>VLOOKUP(HEVARIM[[#This Row],[גיל]],GIL,2,1)</f>
        <v>--</v>
      </c>
      <c r="V134" t="str">
        <f>IF(HEVARIM[[#This Row],[קוד מעמד]]="4     ",IF(HEVARIM[[#This Row],[גיל]]=1,1,IF(HEVARIM[[#This Row],[גיל]]&lt;=5,5,18)),"")</f>
        <v/>
      </c>
      <c r="W134">
        <f t="shared" ref="W134:W197" si="8">IF(G134&lt;67,0,
 IF(O134=1,
   IF(G134&gt;=80,1896-231,1795-231),
 IF(O134=2,
   IF(G134&gt;=80,2899-332,2697-332),
 0))
)</f>
        <v>0</v>
      </c>
      <c r="X13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4">
        <f>IF(HEVARIM[[#This Row],[מצב משפחתי2]]="אלמן",'[2]ריכוז נתונים'!$AC$2,0)</f>
        <v>0</v>
      </c>
      <c r="Z134" s="3">
        <f>VLOOKUP(VALUE(HEVARIM[[#This Row],[קוד מעמד]]),הנחות!$I$2:$K$21,3,0)</f>
        <v>0</v>
      </c>
      <c r="AA134" t="b">
        <f>ISERROR(VLOOKUP(HEVARIM[[#This Row],[קוד תקציב]],'[2]ריכוז נתונים'!A:A,1,0))</f>
        <v>0</v>
      </c>
      <c r="AB134" s="1">
        <f t="shared" ref="AB134:AB197" si="9">IF(AND($G134&gt;=AC$2,$G134&lt;=AC$3,$E134="ז ",$Z134=1),AC$4*(($G134-AC$2)/(AC$3-AC$2)),0)</f>
        <v>0</v>
      </c>
      <c r="AC134" s="2">
        <f ca="1">IF(HEVARIM[[#This Row],[בר מצוה]]&gt;0,YEAR(TODAY())+'תקציבים מיוחדים'!$F$5-HEVARIM[[#This Row],[גיל]],0)</f>
        <v>0</v>
      </c>
      <c r="AD134" s="1">
        <f t="shared" ref="AD134:AD197" si="10">IF(AND($G134&gt;=AE$2,$G134&lt;=AE$3,$E134="נ ",$Z134=1),AE$4*(($G134-AE$2)/(AE$3-AE$2)),0)</f>
        <v>0</v>
      </c>
      <c r="AE134" s="2">
        <f ca="1">IF(HEVARIM[[#This Row],[בת מצוה]]&gt;0,YEAR(TODAY())+'תקציבים מיוחדים'!$F$5-HEVARIM[[#This Row],[גיל]],0)</f>
        <v>0</v>
      </c>
      <c r="AF134" s="1">
        <f>IF(AND($S134&gt;="רווק",$Z134=1),AF$4*IF(HEVARIM[[#This Row],[גיל]]&gt;$AF$3,1,(($G134-AF$2)/(AF$3-AF$2))),0)</f>
        <v>0</v>
      </c>
      <c r="AG13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4" s="1">
        <f t="shared" ref="AH134:AH197" si="11">IF(AND($G134&gt;=AI$2,$G134&lt;=AI$3,$Z134=1),AI$4*(($G134-AI$2)/(AI$3-AI$2)),0)</f>
        <v>0</v>
      </c>
      <c r="AI134" s="2">
        <f ca="1">IF(AH134&gt;0,YEAR(TODAY())+'תקציבים מיוחדים'!$F$7-HEVARIM[[#This Row],[גיל]],0)</f>
        <v>0</v>
      </c>
      <c r="AJ134" s="9">
        <f>IF(AND(ISERROR(VLOOKUP(H134,'[2]ריכוז נתונים'!A:L,1,0)),P134="1     "),1,0)</f>
        <v>0</v>
      </c>
      <c r="AK134" s="1">
        <f>IF(VALUE(HEVARIM[[#This Row],[קוד מעמד]])=1,VLOOKUP((IF(LEFT(HEVARIM[[#This Row],[קוד חבר]],1)="0",HEVARIM[[#This Row],[קוד חבר]],VALUE(HEVARIM[[#This Row],[קוד חבר]]))),'ותק חברה 40'!AQ:AW,7,0),"")</f>
        <v>29.1</v>
      </c>
      <c r="AL134" s="1">
        <f>IF(AND(VALUE(HEVARIM[[#This Row],[קוד מעמד]])=1,HEVARIM[[#This Row],[ותק מחברה 40]]&lt;25),HEVARIM[[#This Row],[ותק מחברה 40]]/25*הנחות!$C$4,0)</f>
        <v>0</v>
      </c>
      <c r="AM134" s="9" t="str">
        <f ca="1">IF(HEVARIM[[#This Row],[דמי עזיבה 25 שנות ותק]]&gt;0,YEAR(TODAY())+25-ROUNDDOWN(HEVARIM[[#This Row],[ותק מחברה 40]],0),"")</f>
        <v/>
      </c>
      <c r="AN134" s="1">
        <f>IF(AND(VALUE(HEVARIM[[#This Row],[קוד מעמד]])=1,HEVARIM[[#This Row],[ותק מחברה 40]]&gt;25,HEVARIM[[#This Row],[גיל]]&lt;65),הנחות!$C$14+(HEVARIM[[#This Row],[ותק מחברה 40]]-25)*הנחות!$C$10*0.25,0)</f>
        <v>37802.716875000006</v>
      </c>
      <c r="AO134" s="9">
        <f ca="1">IF(HEVARIM[[#This Row],[דמי עזיבה לגיל 65]]&gt;0,YEAR(TODAY())+64-ROUNDDOWN(HEVARIM[[#This Row],[גיל]],0),"")</f>
        <v>2036</v>
      </c>
      <c r="AP134" s="1">
        <f>SUMIF(HEVARIM[קוד תקציב],HEVARIM[[#This Row],[קוד תקציב משפחה מקורי]],HEVARIM[ותק מחברה 40])</f>
        <v>66.039999999999992</v>
      </c>
      <c r="AQ1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134" s="9">
        <f>IF(HEVARIM[[#This Row],[קוד מעמד]]="1     ",IFERROR(VLOOKUP(HEVARIM[[#This Row],[קוד תקציב]],'תקציב צביעה - לקראת השינוי'!A:F,4,0),0),0)</f>
        <v>2032</v>
      </c>
      <c r="AT134" s="1"/>
    </row>
    <row r="135" spans="1:46">
      <c r="A135" t="s">
        <v>805</v>
      </c>
      <c r="B135" t="s">
        <v>806</v>
      </c>
      <c r="C135" t="s">
        <v>709</v>
      </c>
      <c r="D135" t="s">
        <v>807</v>
      </c>
      <c r="E135" t="s">
        <v>67</v>
      </c>
      <c r="F135" s="4">
        <v>35591</v>
      </c>
      <c r="G135">
        <v>28</v>
      </c>
      <c r="H135" t="s">
        <v>808</v>
      </c>
      <c r="I135" t="s">
        <v>809</v>
      </c>
      <c r="J135" s="4" t="s">
        <v>70</v>
      </c>
      <c r="K135" s="4" t="s">
        <v>81</v>
      </c>
      <c r="L135" t="s">
        <v>810</v>
      </c>
      <c r="M135" t="s">
        <v>805</v>
      </c>
      <c r="N135" t="s">
        <v>806</v>
      </c>
      <c r="O135">
        <f>IFERROR(VLOOKUP(HEVARIM[[#This Row],[קוד תקציב]],[2]תקציבים!A:L,6,0),0)</f>
        <v>0</v>
      </c>
      <c r="P135" s="5" t="s">
        <v>129</v>
      </c>
      <c r="Q135" t="s">
        <v>26</v>
      </c>
      <c r="R135" s="4">
        <v>45413</v>
      </c>
      <c r="S135" s="4" t="s">
        <v>74</v>
      </c>
      <c r="T135" s="96" t="s">
        <v>710</v>
      </c>
      <c r="U135" t="str">
        <f>VLOOKUP(HEVARIM[[#This Row],[גיל]],GIL,2,1)</f>
        <v>--</v>
      </c>
      <c r="V135" t="str">
        <f>IF(HEVARIM[[#This Row],[קוד מעמד]]="4     ",IF(HEVARIM[[#This Row],[גיל]]=1,1,IF(HEVARIM[[#This Row],[גיל]]&lt;=5,5,18)),"")</f>
        <v/>
      </c>
      <c r="W135">
        <f t="shared" si="8"/>
        <v>0</v>
      </c>
      <c r="X13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5">
        <f>IF(HEVARIM[[#This Row],[מצב משפחתי2]]="אלמן",'[2]ריכוז נתונים'!$AC$2,0)</f>
        <v>0</v>
      </c>
      <c r="Z135" s="3">
        <f>VLOOKUP(VALUE(HEVARIM[[#This Row],[קוד מעמד]]),הנחות!$I$2:$K$21,3,0)</f>
        <v>1</v>
      </c>
      <c r="AA135" t="b">
        <f>ISERROR(VLOOKUP(HEVARIM[[#This Row],[קוד תקציב]],'[2]ריכוז נתונים'!A:A,1,0))</f>
        <v>1</v>
      </c>
      <c r="AB135" s="1">
        <f t="shared" si="9"/>
        <v>0</v>
      </c>
      <c r="AC135" s="2">
        <f ca="1">IF(HEVARIM[[#This Row],[בר מצוה]]&gt;0,YEAR(TODAY())+'תקציבים מיוחדים'!$F$5-HEVARIM[[#This Row],[גיל]],0)</f>
        <v>0</v>
      </c>
      <c r="AD135" s="1">
        <f t="shared" si="10"/>
        <v>0</v>
      </c>
      <c r="AE135" s="2">
        <f ca="1">IF(HEVARIM[[#This Row],[בת מצוה]]&gt;0,YEAR(TODAY())+'תקציבים מיוחדים'!$F$5-HEVARIM[[#This Row],[גיל]],0)</f>
        <v>0</v>
      </c>
      <c r="AF135" s="1">
        <f>IF(AND($S135&gt;="רווק",$Z135=1),AF$4*IF(HEVARIM[[#This Row],[גיל]]&gt;$AF$3,1,(($G135-AF$2)/(AF$3-AF$2))),0)</f>
        <v>0</v>
      </c>
      <c r="AG13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5" s="1">
        <f t="shared" si="11"/>
        <v>0</v>
      </c>
      <c r="AI135" s="2">
        <f ca="1">IF(AH135&gt;0,YEAR(TODAY())+'תקציבים מיוחדים'!$F$7-HEVARIM[[#This Row],[גיל]],0)</f>
        <v>0</v>
      </c>
      <c r="AJ135" s="9">
        <f>IF(AND(ISERROR(VLOOKUP(H135,'[2]ריכוז נתונים'!A:L,1,0)),P135="1     "),1,0)</f>
        <v>0</v>
      </c>
      <c r="AK13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35" s="1">
        <f>IF(AND(VALUE(HEVARIM[[#This Row],[קוד מעמד]])=1,HEVARIM[[#This Row],[ותק מחברה 40]]&lt;25),HEVARIM[[#This Row],[ותק מחברה 40]]/25*הנחות!$C$4,0)</f>
        <v>0</v>
      </c>
      <c r="AM135" s="9" t="str">
        <f ca="1">IF(HEVARIM[[#This Row],[דמי עזיבה 25 שנות ותק]]&gt;0,YEAR(TODAY())+25-ROUNDDOWN(HEVARIM[[#This Row],[ותק מחברה 40]],0),"")</f>
        <v/>
      </c>
      <c r="AN1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5" s="9" t="str">
        <f ca="1">IF(HEVARIM[[#This Row],[דמי עזיבה לגיל 65]]&gt;0,YEAR(TODAY())+64-ROUNDDOWN(HEVARIM[[#This Row],[גיל]],0),"")</f>
        <v/>
      </c>
      <c r="AP135" s="1">
        <f>SUMIF(HEVARIM[קוד תקציב],HEVARIM[[#This Row],[קוד תקציב משפחה מקורי]],HEVARIM[ותק מחברה 40])</f>
        <v>66.039999999999992</v>
      </c>
      <c r="AQ1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35" s="9">
        <f>IF(HEVARIM[[#This Row],[קוד מעמד]]="1     ",IFERROR(VLOOKUP(HEVARIM[[#This Row],[קוד תקציב]],'תקציב צביעה - לקראת השינוי'!A:F,4,0),0),0)</f>
        <v>0</v>
      </c>
      <c r="AT135" s="1"/>
    </row>
    <row r="136" spans="1:46">
      <c r="A136" t="s">
        <v>770</v>
      </c>
      <c r="B136" t="s">
        <v>771</v>
      </c>
      <c r="C136" t="s">
        <v>709</v>
      </c>
      <c r="D136" t="s">
        <v>772</v>
      </c>
      <c r="E136" t="s">
        <v>67</v>
      </c>
      <c r="F136" s="4">
        <v>35100</v>
      </c>
      <c r="G136">
        <v>29</v>
      </c>
      <c r="H136" t="s">
        <v>773</v>
      </c>
      <c r="I136" t="s">
        <v>774</v>
      </c>
      <c r="J136" s="4" t="s">
        <v>70</v>
      </c>
      <c r="K136" s="4" t="s">
        <v>81</v>
      </c>
      <c r="L136" t="s">
        <v>775</v>
      </c>
      <c r="M136" t="s">
        <v>770</v>
      </c>
      <c r="N136" t="s">
        <v>771</v>
      </c>
      <c r="O136">
        <f>IFERROR(VLOOKUP(HEVARIM[[#This Row],[קוד תקציב]],[2]תקציבים!A:L,6,0),0)</f>
        <v>0</v>
      </c>
      <c r="P136" s="5" t="s">
        <v>129</v>
      </c>
      <c r="Q136" t="s">
        <v>26</v>
      </c>
      <c r="R136" s="4">
        <v>45200</v>
      </c>
      <c r="S136" s="4" t="s">
        <v>74</v>
      </c>
      <c r="T136" s="96" t="s">
        <v>710</v>
      </c>
      <c r="U136" t="str">
        <f>VLOOKUP(HEVARIM[[#This Row],[גיל]],GIL,2,1)</f>
        <v>--</v>
      </c>
      <c r="V136" t="str">
        <f>IF(HEVARIM[[#This Row],[קוד מעמד]]="4     ",IF(HEVARIM[[#This Row],[גיל]]=1,1,IF(HEVARIM[[#This Row],[גיל]]&lt;=5,5,18)),"")</f>
        <v/>
      </c>
      <c r="W136">
        <f t="shared" si="8"/>
        <v>0</v>
      </c>
      <c r="X13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6">
        <f>IF(HEVARIM[[#This Row],[מצב משפחתי2]]="אלמן",'[2]ריכוז נתונים'!$AC$2,0)</f>
        <v>0</v>
      </c>
      <c r="Z136" s="3">
        <f>VLOOKUP(VALUE(HEVARIM[[#This Row],[קוד מעמד]]),הנחות!$I$2:$K$21,3,0)</f>
        <v>1</v>
      </c>
      <c r="AA136" t="b">
        <f>ISERROR(VLOOKUP(HEVARIM[[#This Row],[קוד תקציב]],'[2]ריכוז נתונים'!A:A,1,0))</f>
        <v>1</v>
      </c>
      <c r="AB136" s="1">
        <f t="shared" si="9"/>
        <v>0</v>
      </c>
      <c r="AC136" s="2">
        <f ca="1">IF(HEVARIM[[#This Row],[בר מצוה]]&gt;0,YEAR(TODAY())+'תקציבים מיוחדים'!$F$5-HEVARIM[[#This Row],[גיל]],0)</f>
        <v>0</v>
      </c>
      <c r="AD136" s="1">
        <f t="shared" si="10"/>
        <v>0</v>
      </c>
      <c r="AE136" s="2">
        <f ca="1">IF(HEVARIM[[#This Row],[בת מצוה]]&gt;0,YEAR(TODAY())+'תקציבים מיוחדים'!$F$5-HEVARIM[[#This Row],[גיל]],0)</f>
        <v>0</v>
      </c>
      <c r="AF136" s="1">
        <f>IF(AND($S136&gt;="רווק",$Z136=1),AF$4*IF(HEVARIM[[#This Row],[גיל]]&gt;$AF$3,1,(($G136-AF$2)/(AF$3-AF$2))),0)</f>
        <v>0</v>
      </c>
      <c r="AG13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36" s="1">
        <f t="shared" si="11"/>
        <v>0</v>
      </c>
      <c r="AI136" s="2">
        <f ca="1">IF(AH136&gt;0,YEAR(TODAY())+'תקציבים מיוחדים'!$F$7-HEVARIM[[#This Row],[גיל]],0)</f>
        <v>0</v>
      </c>
      <c r="AJ136" s="9">
        <f>IF(AND(ISERROR(VLOOKUP(H136,'[2]ריכוז נתונים'!A:L,1,0)),P136="1     "),1,0)</f>
        <v>0</v>
      </c>
      <c r="AK13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36" s="1">
        <f>IF(AND(VALUE(HEVARIM[[#This Row],[קוד מעמד]])=1,HEVARIM[[#This Row],[ותק מחברה 40]]&lt;25),HEVARIM[[#This Row],[ותק מחברה 40]]/25*הנחות!$C$4,0)</f>
        <v>0</v>
      </c>
      <c r="AM136" s="9" t="str">
        <f ca="1">IF(HEVARIM[[#This Row],[דמי עזיבה 25 שנות ותק]]&gt;0,YEAR(TODAY())+25-ROUNDDOWN(HEVARIM[[#This Row],[ותק מחברה 40]],0),"")</f>
        <v/>
      </c>
      <c r="AN13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6" s="9" t="str">
        <f ca="1">IF(HEVARIM[[#This Row],[דמי עזיבה לגיל 65]]&gt;0,YEAR(TODAY())+64-ROUNDDOWN(HEVARIM[[#This Row],[גיל]],0),"")</f>
        <v/>
      </c>
      <c r="AP136" s="1">
        <f>SUMIF(HEVARIM[קוד תקציב],HEVARIM[[#This Row],[קוד תקציב משפחה מקורי]],HEVARIM[ותק מחברה 40])</f>
        <v>66.039999999999992</v>
      </c>
      <c r="AQ1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36" s="9">
        <f>IF(HEVARIM[[#This Row],[קוד מעמד]]="1     ",IFERROR(VLOOKUP(HEVARIM[[#This Row],[קוד תקציב]],'תקציב צביעה - לקראת השינוי'!A:F,4,0),0),0)</f>
        <v>0</v>
      </c>
      <c r="AT136" s="1"/>
    </row>
    <row r="137" spans="1:46">
      <c r="A137" t="s">
        <v>819</v>
      </c>
      <c r="B137" t="s">
        <v>820</v>
      </c>
      <c r="C137" t="s">
        <v>709</v>
      </c>
      <c r="D137" t="s">
        <v>821</v>
      </c>
      <c r="E137" t="s">
        <v>79</v>
      </c>
      <c r="F137" s="4">
        <v>36142</v>
      </c>
      <c r="G137">
        <v>27</v>
      </c>
      <c r="H137" t="s">
        <v>822</v>
      </c>
      <c r="I137" t="s">
        <v>820</v>
      </c>
      <c r="J137" s="4" t="s">
        <v>70</v>
      </c>
      <c r="K137" s="4" t="s">
        <v>81</v>
      </c>
      <c r="L137" t="s">
        <v>823</v>
      </c>
      <c r="M137" t="s">
        <v>819</v>
      </c>
      <c r="N137" t="s">
        <v>820</v>
      </c>
      <c r="O137">
        <f>IFERROR(VLOOKUP(HEVARIM[[#This Row],[קוד תקציב]],[2]תקציבים!A:L,6,0),0)</f>
        <v>0</v>
      </c>
      <c r="P137" s="5" t="s">
        <v>129</v>
      </c>
      <c r="Q137" t="s">
        <v>26</v>
      </c>
      <c r="R137" s="4">
        <v>45536</v>
      </c>
      <c r="S137" s="4" t="s">
        <v>90</v>
      </c>
      <c r="T137" s="96" t="s">
        <v>710</v>
      </c>
      <c r="U137" t="str">
        <f>VLOOKUP(HEVARIM[[#This Row],[גיל]],GIL,2,1)</f>
        <v>--</v>
      </c>
      <c r="V137" t="str">
        <f>IF(HEVARIM[[#This Row],[קוד מעמד]]="4     ",IF(HEVARIM[[#This Row],[גיל]]=1,1,IF(HEVARIM[[#This Row],[גיל]]&lt;=5,5,18)),"")</f>
        <v/>
      </c>
      <c r="W137">
        <f t="shared" si="8"/>
        <v>0</v>
      </c>
      <c r="X13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7">
        <f>IF(HEVARIM[[#This Row],[מצב משפחתי2]]="אלמן",'[2]ריכוז נתונים'!$AC$2,0)</f>
        <v>0</v>
      </c>
      <c r="Z137" s="3">
        <f>VLOOKUP(VALUE(HEVARIM[[#This Row],[קוד מעמד]]),הנחות!$I$2:$K$21,3,0)</f>
        <v>1</v>
      </c>
      <c r="AA137" t="b">
        <f>ISERROR(VLOOKUP(HEVARIM[[#This Row],[קוד תקציב]],'[2]ריכוז נתונים'!A:A,1,0))</f>
        <v>1</v>
      </c>
      <c r="AB137" s="1">
        <f t="shared" si="9"/>
        <v>0</v>
      </c>
      <c r="AC137" s="2">
        <f ca="1">IF(HEVARIM[[#This Row],[בר מצוה]]&gt;0,YEAR(TODAY())+'תקציבים מיוחדים'!$F$5-HEVARIM[[#This Row],[גיל]],0)</f>
        <v>0</v>
      </c>
      <c r="AD137" s="1">
        <f t="shared" si="10"/>
        <v>0</v>
      </c>
      <c r="AE137" s="2">
        <f ca="1">IF(HEVARIM[[#This Row],[בת מצוה]]&gt;0,YEAR(TODAY())+'תקציבים מיוחדים'!$F$5-HEVARIM[[#This Row],[גיל]],0)</f>
        <v>0</v>
      </c>
      <c r="AF137" s="1">
        <f>IF(AND($S137&gt;="רווק",$Z137=1),AF$4*IF(HEVARIM[[#This Row],[גיל]]&gt;$AF$3,1,(($G137-AF$2)/(AF$3-AF$2))),0)</f>
        <v>60512.5</v>
      </c>
      <c r="AG137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37" s="1">
        <f t="shared" si="11"/>
        <v>0</v>
      </c>
      <c r="AI137" s="2">
        <f ca="1">IF(AH137&gt;0,YEAR(TODAY())+'תקציבים מיוחדים'!$F$7-HEVARIM[[#This Row],[גיל]],0)</f>
        <v>0</v>
      </c>
      <c r="AJ137" s="9">
        <f>IF(AND(ISERROR(VLOOKUP(H137,'[2]ריכוז נתונים'!A:L,1,0)),P137="1     "),1,0)</f>
        <v>0</v>
      </c>
      <c r="AK13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37" s="1">
        <f>IF(AND(VALUE(HEVARIM[[#This Row],[קוד מעמד]])=1,HEVARIM[[#This Row],[ותק מחברה 40]]&lt;25),HEVARIM[[#This Row],[ותק מחברה 40]]/25*הנחות!$C$4,0)</f>
        <v>0</v>
      </c>
      <c r="AM137" s="9" t="str">
        <f ca="1">IF(HEVARIM[[#This Row],[דמי עזיבה 25 שנות ותק]]&gt;0,YEAR(TODAY())+25-ROUNDDOWN(HEVARIM[[#This Row],[ותק מחברה 40]],0),"")</f>
        <v/>
      </c>
      <c r="AN1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7" s="9" t="str">
        <f ca="1">IF(HEVARIM[[#This Row],[דמי עזיבה לגיל 65]]&gt;0,YEAR(TODAY())+64-ROUNDDOWN(HEVARIM[[#This Row],[גיל]],0),"")</f>
        <v/>
      </c>
      <c r="AP137" s="1">
        <f>SUMIF(HEVARIM[קוד תקציב],HEVARIM[[#This Row],[קוד תקציב משפחה מקורי]],HEVARIM[ותק מחברה 40])</f>
        <v>66.039999999999992</v>
      </c>
      <c r="AQ1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37" s="9">
        <f>IF(HEVARIM[[#This Row],[קוד מעמד]]="1     ",IFERROR(VLOOKUP(HEVARIM[[#This Row],[קוד תקציב]],'תקציב צביעה - לקראת השינוי'!A:F,4,0),0),0)</f>
        <v>0</v>
      </c>
      <c r="AT137" s="1"/>
    </row>
    <row r="138" spans="1:46">
      <c r="A138" t="s">
        <v>852</v>
      </c>
      <c r="B138" t="s">
        <v>853</v>
      </c>
      <c r="C138" t="s">
        <v>709</v>
      </c>
      <c r="D138" t="s">
        <v>854</v>
      </c>
      <c r="E138" t="s">
        <v>79</v>
      </c>
      <c r="F138" s="4">
        <v>38723</v>
      </c>
      <c r="G138">
        <v>19</v>
      </c>
      <c r="H138" t="s">
        <v>710</v>
      </c>
      <c r="I138" t="s">
        <v>711</v>
      </c>
      <c r="J138" s="4" t="s">
        <v>70</v>
      </c>
      <c r="K138" s="4" t="s">
        <v>71</v>
      </c>
      <c r="L138" t="s">
        <v>855</v>
      </c>
      <c r="M138" t="s">
        <v>707</v>
      </c>
      <c r="N138" t="s">
        <v>708</v>
      </c>
      <c r="O138">
        <f>IFERROR(VLOOKUP(HEVARIM[[#This Row],[קוד תקציב]],[2]תקציבים!A:L,6,0),0)</f>
        <v>2</v>
      </c>
      <c r="P138" s="5" t="s">
        <v>545</v>
      </c>
      <c r="Q138" t="s">
        <v>13</v>
      </c>
      <c r="R138" s="4">
        <v>45649</v>
      </c>
      <c r="S138" s="4" t="s">
        <v>90</v>
      </c>
      <c r="T138" s="96" t="s">
        <v>710</v>
      </c>
      <c r="U138" t="str">
        <f>VLOOKUP(HEVARIM[[#This Row],[גיל]],GIL,2,1)</f>
        <v>--</v>
      </c>
      <c r="V138" t="str">
        <f>IF(HEVARIM[[#This Row],[קוד מעמד]]="4     ",IF(HEVARIM[[#This Row],[גיל]]=1,1,IF(HEVARIM[[#This Row],[גיל]]&lt;=5,5,18)),"")</f>
        <v/>
      </c>
      <c r="W138">
        <f t="shared" si="8"/>
        <v>0</v>
      </c>
      <c r="X1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8">
        <f>IF(HEVARIM[[#This Row],[מצב משפחתי2]]="אלמן",'[2]ריכוז נתונים'!$AC$2,0)</f>
        <v>0</v>
      </c>
      <c r="Z138" s="3">
        <f>VLOOKUP(VALUE(HEVARIM[[#This Row],[קוד מעמד]]),הנחות!$I$2:$K$21,3,0)</f>
        <v>1</v>
      </c>
      <c r="AA138" t="b">
        <f>ISERROR(VLOOKUP(HEVARIM[[#This Row],[קוד תקציב]],'[2]ריכוז נתונים'!A:A,1,0))</f>
        <v>0</v>
      </c>
      <c r="AB138" s="1">
        <f t="shared" si="9"/>
        <v>0</v>
      </c>
      <c r="AC138" s="2">
        <f ca="1">IF(HEVARIM[[#This Row],[בר מצוה]]&gt;0,YEAR(TODAY())+'תקציבים מיוחדים'!$F$5-HEVARIM[[#This Row],[גיל]],0)</f>
        <v>0</v>
      </c>
      <c r="AD138" s="1">
        <f t="shared" si="10"/>
        <v>0</v>
      </c>
      <c r="AE138" s="2">
        <f ca="1">IF(HEVARIM[[#This Row],[בת מצוה]]&gt;0,YEAR(TODAY())+'תקציבים מיוחדים'!$F$5-HEVARIM[[#This Row],[גיל]],0)</f>
        <v>0</v>
      </c>
      <c r="AF138" s="1">
        <f>IF(AND($S138&gt;="רווק",$Z138=1),AF$4*IF(HEVARIM[[#This Row],[גיל]]&gt;$AF$3,1,(($G138-AF$2)/(AF$3-AF$2))),0)</f>
        <v>54749.404761904763</v>
      </c>
      <c r="AG138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138" s="1">
        <f t="shared" si="11"/>
        <v>95532.452380952382</v>
      </c>
      <c r="AI138" s="2">
        <f ca="1">IF(AH138&gt;0,YEAR(TODAY())+'תקציבים מיוחדים'!$F$7-HEVARIM[[#This Row],[גיל]],0)</f>
        <v>2028</v>
      </c>
      <c r="AJ138" s="9">
        <f>IF(AND(ISERROR(VLOOKUP(H138,'[2]ריכוז נתונים'!A:L,1,0)),P138="1     "),1,0)</f>
        <v>0</v>
      </c>
      <c r="AK13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38" s="1">
        <f>IF(AND(VALUE(HEVARIM[[#This Row],[קוד מעמד]])=1,HEVARIM[[#This Row],[ותק מחברה 40]]&lt;25),HEVARIM[[#This Row],[ותק מחברה 40]]/25*הנחות!$C$4,0)</f>
        <v>0</v>
      </c>
      <c r="AM138" s="9" t="str">
        <f ca="1">IF(HEVARIM[[#This Row],[דמי עזיבה 25 שנות ותק]]&gt;0,YEAR(TODAY())+25-ROUNDDOWN(HEVARIM[[#This Row],[ותק מחברה 40]],0),"")</f>
        <v/>
      </c>
      <c r="AN1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8" s="9" t="str">
        <f ca="1">IF(HEVARIM[[#This Row],[דמי עזיבה לגיל 65]]&gt;0,YEAR(TODAY())+64-ROUNDDOWN(HEVARIM[[#This Row],[גיל]],0),"")</f>
        <v/>
      </c>
      <c r="AP138" s="1">
        <f>SUMIF(HEVARIM[קוד תקציב],HEVARIM[[#This Row],[קוד תקציב משפחה מקורי]],HEVARIM[ותק מחברה 40])</f>
        <v>66.039999999999992</v>
      </c>
      <c r="AQ1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38" s="9">
        <f>IF(HEVARIM[[#This Row],[קוד מעמד]]="1     ",IFERROR(VLOOKUP(HEVARIM[[#This Row],[קוד תקציב]],'תקציב צביעה - לקראת השינוי'!A:F,4,0),0),0)</f>
        <v>0</v>
      </c>
      <c r="AT138" s="1"/>
    </row>
    <row r="139" spans="1:46">
      <c r="A139" t="s">
        <v>861</v>
      </c>
      <c r="B139" t="s">
        <v>862</v>
      </c>
      <c r="C139" t="s">
        <v>709</v>
      </c>
      <c r="D139" t="s">
        <v>863</v>
      </c>
      <c r="E139" t="s">
        <v>79</v>
      </c>
      <c r="F139" s="4">
        <v>38011</v>
      </c>
      <c r="G139">
        <v>21</v>
      </c>
      <c r="H139" t="s">
        <v>3749</v>
      </c>
      <c r="I139" t="s">
        <v>3750</v>
      </c>
      <c r="J139" s="4" t="s">
        <v>70</v>
      </c>
      <c r="K139" s="4" t="s">
        <v>71</v>
      </c>
      <c r="L139" t="s">
        <v>864</v>
      </c>
      <c r="M139" t="s">
        <v>861</v>
      </c>
      <c r="N139" t="s">
        <v>862</v>
      </c>
      <c r="O139">
        <f>IFERROR(VLOOKUP(HEVARIM[[#This Row],[קוד תקציב]],[2]תקציבים!A:L,6,0),0)</f>
        <v>0</v>
      </c>
      <c r="P139" s="5" t="s">
        <v>73</v>
      </c>
      <c r="Q139" t="s">
        <v>27</v>
      </c>
      <c r="R139" s="4">
        <v>45875</v>
      </c>
      <c r="S139" s="4" t="s">
        <v>90</v>
      </c>
      <c r="T139" s="96" t="s">
        <v>710</v>
      </c>
      <c r="U139" t="str">
        <f>VLOOKUP(HEVARIM[[#This Row],[גיל]],GIL,2,1)</f>
        <v>--</v>
      </c>
      <c r="V139" t="str">
        <f>IF(HEVARIM[[#This Row],[קוד מעמד]]="4     ",IF(HEVARIM[[#This Row],[גיל]]=1,1,IF(HEVARIM[[#This Row],[גיל]]&lt;=5,5,18)),"")</f>
        <v/>
      </c>
      <c r="W139">
        <f t="shared" si="8"/>
        <v>0</v>
      </c>
      <c r="X1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39">
        <f>IF(HEVARIM[[#This Row],[מצב משפחתי2]]="אלמן",'[2]ריכוז נתונים'!$AC$2,0)</f>
        <v>0</v>
      </c>
      <c r="Z139" s="3">
        <f>VLOOKUP(VALUE(HEVARIM[[#This Row],[קוד מעמד]]),הנחות!$I$2:$K$21,3,0)</f>
        <v>1</v>
      </c>
      <c r="AA139" t="b">
        <f>ISERROR(VLOOKUP(HEVARIM[[#This Row],[קוד תקציב]],'[2]ריכוז נתונים'!A:A,1,0))</f>
        <v>1</v>
      </c>
      <c r="AB139" s="1">
        <f t="shared" si="9"/>
        <v>0</v>
      </c>
      <c r="AC139" s="2">
        <f ca="1">IF(HEVARIM[[#This Row],[בר מצוה]]&gt;0,YEAR(TODAY())+'תקציבים מיוחדים'!$F$5-HEVARIM[[#This Row],[גיל]],0)</f>
        <v>0</v>
      </c>
      <c r="AD139" s="1">
        <f t="shared" si="10"/>
        <v>0</v>
      </c>
      <c r="AE139" s="2">
        <f ca="1">IF(HEVARIM[[#This Row],[בת מצוה]]&gt;0,YEAR(TODAY())+'תקציבים מיוחדים'!$F$5-HEVARIM[[#This Row],[גיל]],0)</f>
        <v>0</v>
      </c>
      <c r="AF139" s="1">
        <f>IF(AND($S139&gt;="רווק",$Z139=1),AF$4*IF(HEVARIM[[#This Row],[גיל]]&gt;$AF$3,1,(($G139-AF$2)/(AF$3-AF$2))),0)</f>
        <v>60512.5</v>
      </c>
      <c r="AG139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139" s="1">
        <f t="shared" si="11"/>
        <v>105588.5</v>
      </c>
      <c r="AI139" s="2">
        <f ca="1">IF(AH139&gt;0,YEAR(TODAY())+'תקציבים מיוחדים'!$F$7-HEVARIM[[#This Row],[גיל]],0)</f>
        <v>2026</v>
      </c>
      <c r="AJ139" s="9">
        <f>IF(AND(ISERROR(VLOOKUP(H139,'[2]ריכוז נתונים'!A:L,1,0)),P139="1     "),1,0)</f>
        <v>0</v>
      </c>
      <c r="AK13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39" s="1">
        <f>IF(AND(VALUE(HEVARIM[[#This Row],[קוד מעמד]])=1,HEVARIM[[#This Row],[ותק מחברה 40]]&lt;25),HEVARIM[[#This Row],[ותק מחברה 40]]/25*הנחות!$C$4,0)</f>
        <v>0</v>
      </c>
      <c r="AM139" s="9" t="str">
        <f ca="1">IF(HEVARIM[[#This Row],[דמי עזיבה 25 שנות ותק]]&gt;0,YEAR(TODAY())+25-ROUNDDOWN(HEVARIM[[#This Row],[ותק מחברה 40]],0),"")</f>
        <v/>
      </c>
      <c r="AN1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39" s="9" t="str">
        <f ca="1">IF(HEVARIM[[#This Row],[דמי עזיבה לגיל 65]]&gt;0,YEAR(TODAY())+64-ROUNDDOWN(HEVARIM[[#This Row],[גיל]],0),"")</f>
        <v/>
      </c>
      <c r="AP139" s="1">
        <f>SUMIF(HEVARIM[קוד תקציב],HEVARIM[[#This Row],[קוד תקציב משפחה מקורי]],HEVARIM[ותק מחברה 40])</f>
        <v>66.039999999999992</v>
      </c>
      <c r="AQ1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39" s="9">
        <f>IF(HEVARIM[[#This Row],[קוד מעמד]]="1     ",IFERROR(VLOOKUP(HEVARIM[[#This Row],[קוד תקציב]],'תקציב צביעה - לקראת השינוי'!A:F,4,0),0),0)</f>
        <v>0</v>
      </c>
      <c r="AT139" s="1"/>
    </row>
    <row r="140" spans="1:46">
      <c r="A140" t="s">
        <v>830</v>
      </c>
      <c r="B140" t="s">
        <v>831</v>
      </c>
      <c r="C140" t="s">
        <v>817</v>
      </c>
      <c r="D140" t="s">
        <v>832</v>
      </c>
      <c r="E140" t="s">
        <v>79</v>
      </c>
      <c r="F140" s="4">
        <v>31237</v>
      </c>
      <c r="G140">
        <v>40</v>
      </c>
      <c r="H140" t="s">
        <v>827</v>
      </c>
      <c r="I140" t="s">
        <v>828</v>
      </c>
      <c r="J140" s="4" t="s">
        <v>70</v>
      </c>
      <c r="K140" s="4" t="s">
        <v>71</v>
      </c>
      <c r="L140" t="s">
        <v>833</v>
      </c>
      <c r="M140" t="s">
        <v>824</v>
      </c>
      <c r="N140" t="s">
        <v>825</v>
      </c>
      <c r="O140">
        <f>IFERROR(VLOOKUP(HEVARIM[[#This Row],[קוד תקציב]],[2]תקציבים!A:L,6,0),0)</f>
        <v>2</v>
      </c>
      <c r="P140" s="5" t="s">
        <v>104</v>
      </c>
      <c r="Q140" t="s">
        <v>11</v>
      </c>
      <c r="R140" s="4">
        <v>42095</v>
      </c>
      <c r="S140" s="4" t="s">
        <v>74</v>
      </c>
      <c r="T140" s="96" t="s">
        <v>719</v>
      </c>
      <c r="U140" t="str">
        <f>VLOOKUP(HEVARIM[[#This Row],[גיל]],GIL,2,1)</f>
        <v>--</v>
      </c>
      <c r="V140" t="str">
        <f>IF(HEVARIM[[#This Row],[קוד מעמד]]="4     ",IF(HEVARIM[[#This Row],[גיל]]=1,1,IF(HEVARIM[[#This Row],[גיל]]&lt;=5,5,18)),"")</f>
        <v/>
      </c>
      <c r="W140">
        <f t="shared" si="8"/>
        <v>0</v>
      </c>
      <c r="X1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0">
        <f>IF(HEVARIM[[#This Row],[מצב משפחתי2]]="אלמן",'[2]ריכוז נתונים'!$AC$2,0)</f>
        <v>0</v>
      </c>
      <c r="Z140" s="3">
        <f>VLOOKUP(VALUE(HEVARIM[[#This Row],[קוד מעמד]]),הנחות!$I$2:$K$21,3,0)</f>
        <v>0</v>
      </c>
      <c r="AA140" t="b">
        <f>ISERROR(VLOOKUP(HEVARIM[[#This Row],[קוד תקציב]],'[2]ריכוז נתונים'!A:A,1,0))</f>
        <v>0</v>
      </c>
      <c r="AB140" s="1">
        <f t="shared" si="9"/>
        <v>0</v>
      </c>
      <c r="AC140" s="2">
        <f ca="1">IF(HEVARIM[[#This Row],[בר מצוה]]&gt;0,YEAR(TODAY())+'תקציבים מיוחדים'!$F$5-HEVARIM[[#This Row],[גיל]],0)</f>
        <v>0</v>
      </c>
      <c r="AD140" s="1">
        <f t="shared" si="10"/>
        <v>0</v>
      </c>
      <c r="AE140" s="2">
        <f ca="1">IF(HEVARIM[[#This Row],[בת מצוה]]&gt;0,YEAR(TODAY())+'תקציבים מיוחדים'!$F$5-HEVARIM[[#This Row],[גיל]],0)</f>
        <v>0</v>
      </c>
      <c r="AF140" s="1">
        <f>IF(AND($S140&gt;="רווק",$Z140=1),AF$4*IF(HEVARIM[[#This Row],[גיל]]&gt;$AF$3,1,(($G140-AF$2)/(AF$3-AF$2))),0)</f>
        <v>0</v>
      </c>
      <c r="AG14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40" s="1">
        <f t="shared" si="11"/>
        <v>0</v>
      </c>
      <c r="AI140" s="2">
        <f ca="1">IF(AH140&gt;0,YEAR(TODAY())+'תקציבים מיוחדים'!$F$7-HEVARIM[[#This Row],[גיל]],0)</f>
        <v>0</v>
      </c>
      <c r="AJ140" s="9">
        <f>IF(AND(ISERROR(VLOOKUP(H140,'[2]ריכוז נתונים'!A:L,1,0)),P140="1     "),1,0)</f>
        <v>0</v>
      </c>
      <c r="AK140" s="1">
        <f>IF(VALUE(HEVARIM[[#This Row],[קוד מעמד]])=1,VLOOKUP((IF(LEFT(HEVARIM[[#This Row],[קוד חבר]],1)="0",HEVARIM[[#This Row],[קוד חבר]],VALUE(HEVARIM[[#This Row],[קוד חבר]]))),'ותק חברה 40'!AQ:AW,7,0),"")</f>
        <v>11.17</v>
      </c>
      <c r="AL140" s="1">
        <f>IF(AND(VALUE(HEVARIM[[#This Row],[קוד מעמד]])=1,HEVARIM[[#This Row],[ותק מחברה 40]]&lt;25),HEVARIM[[#This Row],[ותק מחברה 40]]/25*הנחות!$C$4,0)</f>
        <v>16770.464864999998</v>
      </c>
      <c r="AM140" s="9">
        <f ca="1">IF(HEVARIM[[#This Row],[דמי עזיבה 25 שנות ותק]]&gt;0,YEAR(TODAY())+25-ROUNDDOWN(HEVARIM[[#This Row],[ותק מחברה 40]],0),"")</f>
        <v>2040</v>
      </c>
      <c r="AN1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0" s="9" t="str">
        <f ca="1">IF(HEVARIM[[#This Row],[דמי עזיבה לגיל 65]]&gt;0,YEAR(TODAY())+64-ROUNDDOWN(HEVARIM[[#This Row],[גיל]],0),"")</f>
        <v/>
      </c>
      <c r="AP140" s="1">
        <f>SUMIF(HEVARIM[קוד תקציב],HEVARIM[[#This Row],[קוד תקציב משפחה מקורי]],HEVARIM[ותק מחברה 40])</f>
        <v>81.98</v>
      </c>
      <c r="AQ1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40" s="9">
        <f>IF(HEVARIM[[#This Row],[קוד מעמד]]="1     ",IFERROR(VLOOKUP(HEVARIM[[#This Row],[קוד תקציב]],'תקציב צביעה - לקראת השינוי'!A:F,4,0),0),0)</f>
        <v>2028</v>
      </c>
      <c r="AT140" s="1"/>
    </row>
    <row r="141" spans="1:46">
      <c r="A141" t="s">
        <v>716</v>
      </c>
      <c r="B141" t="s">
        <v>717</v>
      </c>
      <c r="C141" t="s">
        <v>718</v>
      </c>
      <c r="D141" t="s">
        <v>286</v>
      </c>
      <c r="E141" t="s">
        <v>67</v>
      </c>
      <c r="F141" s="4">
        <v>18584</v>
      </c>
      <c r="G141">
        <v>75</v>
      </c>
      <c r="H141" t="s">
        <v>719</v>
      </c>
      <c r="I141" t="s">
        <v>720</v>
      </c>
      <c r="J141" s="4" t="s">
        <v>70</v>
      </c>
      <c r="K141" s="4" t="s">
        <v>71</v>
      </c>
      <c r="L141" t="s">
        <v>721</v>
      </c>
      <c r="M141" t="s">
        <v>716</v>
      </c>
      <c r="N141" t="s">
        <v>717</v>
      </c>
      <c r="O141">
        <f>IFERROR(VLOOKUP(HEVARIM[[#This Row],[קוד תקציב]],[2]תקציבים!A:L,6,0),0)</f>
        <v>2</v>
      </c>
      <c r="P141" s="5" t="s">
        <v>104</v>
      </c>
      <c r="Q141" t="s">
        <v>11</v>
      </c>
      <c r="R141" s="4">
        <v>29220</v>
      </c>
      <c r="S141" s="4" t="s">
        <v>74</v>
      </c>
      <c r="T141" s="96" t="s">
        <v>719</v>
      </c>
      <c r="U141" t="str">
        <f>VLOOKUP(HEVARIM[[#This Row],[גיל]],GIL,2,1)</f>
        <v>--</v>
      </c>
      <c r="V141" t="str">
        <f>IF(HEVARIM[[#This Row],[קוד מעמד]]="4     ",IF(HEVARIM[[#This Row],[גיל]]=1,1,IF(HEVARIM[[#This Row],[גיל]]&lt;=5,5,18)),"")</f>
        <v/>
      </c>
      <c r="W141">
        <f t="shared" si="8"/>
        <v>2365</v>
      </c>
      <c r="X14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41">
        <f>IF(HEVARIM[[#This Row],[מצב משפחתי2]]="אלמן",'[2]ריכוז נתונים'!$AC$2,0)</f>
        <v>0</v>
      </c>
      <c r="Z141" s="3">
        <f>VLOOKUP(VALUE(HEVARIM[[#This Row],[קוד מעמד]]),הנחות!$I$2:$K$21,3,0)</f>
        <v>0</v>
      </c>
      <c r="AA141" t="b">
        <f>ISERROR(VLOOKUP(HEVARIM[[#This Row],[קוד תקציב]],'[2]ריכוז נתונים'!A:A,1,0))</f>
        <v>0</v>
      </c>
      <c r="AB141" s="1">
        <f t="shared" si="9"/>
        <v>0</v>
      </c>
      <c r="AC141" s="2">
        <f ca="1">IF(HEVARIM[[#This Row],[בר מצוה]]&gt;0,YEAR(TODAY())+'תקציבים מיוחדים'!$F$5-HEVARIM[[#This Row],[גיל]],0)</f>
        <v>0</v>
      </c>
      <c r="AD141" s="1">
        <f t="shared" si="10"/>
        <v>0</v>
      </c>
      <c r="AE141" s="2">
        <f ca="1">IF(HEVARIM[[#This Row],[בת מצוה]]&gt;0,YEAR(TODAY())+'תקציבים מיוחדים'!$F$5-HEVARIM[[#This Row],[גיל]],0)</f>
        <v>0</v>
      </c>
      <c r="AF141" s="1">
        <f>IF(AND($S141&gt;="רווק",$Z141=1),AF$4*IF(HEVARIM[[#This Row],[גיל]]&gt;$AF$3,1,(($G141-AF$2)/(AF$3-AF$2))),0)</f>
        <v>0</v>
      </c>
      <c r="AG14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41" s="1">
        <f t="shared" si="11"/>
        <v>0</v>
      </c>
      <c r="AI141" s="2">
        <f ca="1">IF(AH141&gt;0,YEAR(TODAY())+'תקציבים מיוחדים'!$F$7-HEVARIM[[#This Row],[גיל]],0)</f>
        <v>0</v>
      </c>
      <c r="AJ141" s="9">
        <f>IF(AND(ISERROR(VLOOKUP(H141,'[2]ריכוז נתונים'!A:L,1,0)),P141="1     "),1,0)</f>
        <v>0</v>
      </c>
      <c r="AK141" s="1">
        <f>IF(VALUE(HEVARIM[[#This Row],[קוד מעמד]])=1,VLOOKUP((IF(LEFT(HEVARIM[[#This Row],[קוד חבר]],1)="0",HEVARIM[[#This Row],[קוד חבר]],VALUE(HEVARIM[[#This Row],[קוד חבר]]))),'ותק חברה 40'!AQ:AW,7,0),"")</f>
        <v>41.27</v>
      </c>
      <c r="AL141" s="1">
        <f>IF(AND(VALUE(HEVARIM[[#This Row],[קוד מעמד]])=1,HEVARIM[[#This Row],[ותק מחברה 40]]&lt;25),HEVARIM[[#This Row],[ותק מחברה 40]]/25*הנחות!$C$4,0)</f>
        <v>0</v>
      </c>
      <c r="AM141" s="9" t="str">
        <f ca="1">IF(HEVARIM[[#This Row],[דמי עזיבה 25 שנות ותק]]&gt;0,YEAR(TODAY())+25-ROUNDDOWN(HEVARIM[[#This Row],[ותק מחברה 40]],0),"")</f>
        <v/>
      </c>
      <c r="AN1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1" s="9" t="str">
        <f ca="1">IF(HEVARIM[[#This Row],[דמי עזיבה לגיל 65]]&gt;0,YEAR(TODAY())+64-ROUNDDOWN(HEVARIM[[#This Row],[גיל]],0),"")</f>
        <v/>
      </c>
      <c r="AP141" s="1">
        <f>SUMIF(HEVARIM[קוד תקציב],HEVARIM[[#This Row],[קוד תקציב משפחה מקורי]],HEVARIM[ותק מחברה 40])</f>
        <v>81.98</v>
      </c>
      <c r="AQ1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141" s="9">
        <f>IF(HEVARIM[[#This Row],[קוד מעמד]]="1     ",IFERROR(VLOOKUP(HEVARIM[[#This Row],[קוד תקציב]],'תקציב צביעה - לקראת השינוי'!A:F,4,0),0),0)</f>
        <v>2034</v>
      </c>
      <c r="AT141" s="1"/>
    </row>
    <row r="142" spans="1:46">
      <c r="A142" t="s">
        <v>722</v>
      </c>
      <c r="B142" t="s">
        <v>723</v>
      </c>
      <c r="C142" t="s">
        <v>718</v>
      </c>
      <c r="D142" t="s">
        <v>221</v>
      </c>
      <c r="E142" t="s">
        <v>79</v>
      </c>
      <c r="F142" s="4">
        <v>18378</v>
      </c>
      <c r="G142">
        <v>75</v>
      </c>
      <c r="H142" t="s">
        <v>719</v>
      </c>
      <c r="I142" t="s">
        <v>720</v>
      </c>
      <c r="J142" s="4" t="s">
        <v>70</v>
      </c>
      <c r="K142" s="4" t="s">
        <v>71</v>
      </c>
      <c r="L142" t="s">
        <v>724</v>
      </c>
      <c r="M142" t="s">
        <v>716</v>
      </c>
      <c r="N142" t="s">
        <v>717</v>
      </c>
      <c r="O142">
        <f>IFERROR(VLOOKUP(HEVARIM[[#This Row],[קוד תקציב]],[2]תקציבים!A:L,6,0),0)</f>
        <v>2</v>
      </c>
      <c r="P142" s="5" t="s">
        <v>104</v>
      </c>
      <c r="Q142" t="s">
        <v>11</v>
      </c>
      <c r="R142" s="4">
        <v>29220</v>
      </c>
      <c r="S142" s="4" t="s">
        <v>74</v>
      </c>
      <c r="T142" s="96" t="s">
        <v>719</v>
      </c>
      <c r="U142" t="str">
        <f>VLOOKUP(HEVARIM[[#This Row],[גיל]],GIL,2,1)</f>
        <v>--</v>
      </c>
      <c r="V142" t="str">
        <f>IF(HEVARIM[[#This Row],[קוד מעמד]]="4     ",IF(HEVARIM[[#This Row],[גיל]]=1,1,IF(HEVARIM[[#This Row],[גיל]]&lt;=5,5,18)),"")</f>
        <v/>
      </c>
      <c r="W142">
        <f t="shared" si="8"/>
        <v>2365</v>
      </c>
      <c r="X14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42">
        <f>IF(HEVARIM[[#This Row],[מצב משפחתי2]]="אלמן",'[2]ריכוז נתונים'!$AC$2,0)</f>
        <v>0</v>
      </c>
      <c r="Z142" s="3">
        <f>VLOOKUP(VALUE(HEVARIM[[#This Row],[קוד מעמד]]),הנחות!$I$2:$K$21,3,0)</f>
        <v>0</v>
      </c>
      <c r="AA142" t="b">
        <f>ISERROR(VLOOKUP(HEVARIM[[#This Row],[קוד תקציב]],'[2]ריכוז נתונים'!A:A,1,0))</f>
        <v>0</v>
      </c>
      <c r="AB142" s="1">
        <f t="shared" si="9"/>
        <v>0</v>
      </c>
      <c r="AC142" s="2">
        <f ca="1">IF(HEVARIM[[#This Row],[בר מצוה]]&gt;0,YEAR(TODAY())+'תקציבים מיוחדים'!$F$5-HEVARIM[[#This Row],[גיל]],0)</f>
        <v>0</v>
      </c>
      <c r="AD142" s="1">
        <f t="shared" si="10"/>
        <v>0</v>
      </c>
      <c r="AE142" s="2">
        <f ca="1">IF(HEVARIM[[#This Row],[בת מצוה]]&gt;0,YEAR(TODAY())+'תקציבים מיוחדים'!$F$5-HEVARIM[[#This Row],[גיל]],0)</f>
        <v>0</v>
      </c>
      <c r="AF142" s="1">
        <f>IF(AND($S142&gt;="רווק",$Z142=1),AF$4*IF(HEVARIM[[#This Row],[גיל]]&gt;$AF$3,1,(($G142-AF$2)/(AF$3-AF$2))),0)</f>
        <v>0</v>
      </c>
      <c r="AG14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42" s="1">
        <f t="shared" si="11"/>
        <v>0</v>
      </c>
      <c r="AI142" s="2">
        <f ca="1">IF(AH142&gt;0,YEAR(TODAY())+'תקציבים מיוחדים'!$F$7-HEVARIM[[#This Row],[גיל]],0)</f>
        <v>0</v>
      </c>
      <c r="AJ142" s="9">
        <f>IF(AND(ISERROR(VLOOKUP(H142,'[2]ריכוז נתונים'!A:L,1,0)),P142="1     "),1,0)</f>
        <v>0</v>
      </c>
      <c r="AK142" s="1">
        <f>IF(VALUE(HEVARIM[[#This Row],[קוד מעמד]])=1,VLOOKUP((IF(LEFT(HEVARIM[[#This Row],[קוד חבר]],1)="0",HEVARIM[[#This Row],[קוד חבר]],VALUE(HEVARIM[[#This Row],[קוד חבר]]))),'ותק חברה 40'!AQ:AW,7,0),"")</f>
        <v>40.71</v>
      </c>
      <c r="AL142" s="1">
        <f>IF(AND(VALUE(HEVARIM[[#This Row],[קוד מעמד]])=1,HEVARIM[[#This Row],[ותק מחברה 40]]&lt;25),HEVARIM[[#This Row],[ותק מחברה 40]]/25*הנחות!$C$4,0)</f>
        <v>0</v>
      </c>
      <c r="AM142" s="9" t="str">
        <f ca="1">IF(HEVARIM[[#This Row],[דמי עזיבה 25 שנות ותק]]&gt;0,YEAR(TODAY())+25-ROUNDDOWN(HEVARIM[[#This Row],[ותק מחברה 40]],0),"")</f>
        <v/>
      </c>
      <c r="AN1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2" s="9" t="str">
        <f ca="1">IF(HEVARIM[[#This Row],[דמי עזיבה לגיל 65]]&gt;0,YEAR(TODAY())+64-ROUNDDOWN(HEVARIM[[#This Row],[גיל]],0),"")</f>
        <v/>
      </c>
      <c r="AP142" s="1">
        <f>SUMIF(HEVARIM[קוד תקציב],HEVARIM[[#This Row],[קוד תקציב משפחה מקורי]],HEVARIM[ותק מחברה 40])</f>
        <v>81.98</v>
      </c>
      <c r="AQ1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142" s="9">
        <f>IF(HEVARIM[[#This Row],[קוד מעמד]]="1     ",IFERROR(VLOOKUP(HEVARIM[[#This Row],[קוד תקציב]],'תקציב צביעה - לקראת השינוי'!A:F,4,0),0),0)</f>
        <v>2034</v>
      </c>
      <c r="AT142" s="1"/>
    </row>
    <row r="143" spans="1:46">
      <c r="A143" t="s">
        <v>725</v>
      </c>
      <c r="B143" t="s">
        <v>726</v>
      </c>
      <c r="C143" t="s">
        <v>727</v>
      </c>
      <c r="D143" t="s">
        <v>728</v>
      </c>
      <c r="E143" t="s">
        <v>67</v>
      </c>
      <c r="F143" s="4">
        <v>28290</v>
      </c>
      <c r="G143">
        <v>48</v>
      </c>
      <c r="H143" t="s">
        <v>729</v>
      </c>
      <c r="I143" t="s">
        <v>730</v>
      </c>
      <c r="J143" s="4" t="s">
        <v>70</v>
      </c>
      <c r="K143" s="4" t="s">
        <v>71</v>
      </c>
      <c r="L143" t="s">
        <v>731</v>
      </c>
      <c r="M143" t="s">
        <v>725</v>
      </c>
      <c r="N143" t="s">
        <v>726</v>
      </c>
      <c r="O143">
        <f>IFERROR(VLOOKUP(HEVARIM[[#This Row],[קוד תקציב]],[2]תקציבים!A:L,6,0),0)</f>
        <v>2</v>
      </c>
      <c r="P143" s="5" t="s">
        <v>104</v>
      </c>
      <c r="Q143" t="s">
        <v>11</v>
      </c>
      <c r="R143" s="4">
        <v>39873</v>
      </c>
      <c r="S143" s="4" t="s">
        <v>74</v>
      </c>
      <c r="T143" s="96" t="s">
        <v>729</v>
      </c>
      <c r="U143" t="str">
        <f>VLOOKUP(HEVARIM[[#This Row],[גיל]],GIL,2,1)</f>
        <v>--</v>
      </c>
      <c r="V143" t="str">
        <f>IF(HEVARIM[[#This Row],[קוד מעמד]]="4     ",IF(HEVARIM[[#This Row],[גיל]]=1,1,IF(HEVARIM[[#This Row],[גיל]]&lt;=5,5,18)),"")</f>
        <v/>
      </c>
      <c r="W143">
        <f t="shared" si="8"/>
        <v>0</v>
      </c>
      <c r="X14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3">
        <f>IF(HEVARIM[[#This Row],[מצב משפחתי2]]="אלמן",'[2]ריכוז נתונים'!$AC$2,0)</f>
        <v>0</v>
      </c>
      <c r="Z143" s="3">
        <f>VLOOKUP(VALUE(HEVARIM[[#This Row],[קוד מעמד]]),הנחות!$I$2:$K$21,3,0)</f>
        <v>0</v>
      </c>
      <c r="AA143" t="b">
        <f>ISERROR(VLOOKUP(HEVARIM[[#This Row],[קוד תקציב]],'[2]ריכוז נתונים'!A:A,1,0))</f>
        <v>0</v>
      </c>
      <c r="AB143" s="1">
        <f t="shared" si="9"/>
        <v>0</v>
      </c>
      <c r="AC143" s="2">
        <f ca="1">IF(HEVARIM[[#This Row],[בר מצוה]]&gt;0,YEAR(TODAY())+'תקציבים מיוחדים'!$F$5-HEVARIM[[#This Row],[גיל]],0)</f>
        <v>0</v>
      </c>
      <c r="AD143" s="1">
        <f t="shared" si="10"/>
        <v>0</v>
      </c>
      <c r="AE143" s="2">
        <f ca="1">IF(HEVARIM[[#This Row],[בת מצוה]]&gt;0,YEAR(TODAY())+'תקציבים מיוחדים'!$F$5-HEVARIM[[#This Row],[גיל]],0)</f>
        <v>0</v>
      </c>
      <c r="AF143" s="1">
        <f>IF(AND($S143&gt;="רווק",$Z143=1),AF$4*IF(HEVARIM[[#This Row],[גיל]]&gt;$AF$3,1,(($G143-AF$2)/(AF$3-AF$2))),0)</f>
        <v>0</v>
      </c>
      <c r="AG14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43" s="1">
        <f t="shared" si="11"/>
        <v>0</v>
      </c>
      <c r="AI143" s="2">
        <f ca="1">IF(AH143&gt;0,YEAR(TODAY())+'תקציבים מיוחדים'!$F$7-HEVARIM[[#This Row],[גיל]],0)</f>
        <v>0</v>
      </c>
      <c r="AJ143" s="9">
        <f>IF(AND(ISERROR(VLOOKUP(H143,'[2]ריכוז נתונים'!A:L,1,0)),P143="1     "),1,0)</f>
        <v>0</v>
      </c>
      <c r="AK143" s="1">
        <f>IF(VALUE(HEVARIM[[#This Row],[קוד מעמד]])=1,VLOOKUP((IF(LEFT(HEVARIM[[#This Row],[קוד חבר]],1)="0",HEVARIM[[#This Row],[קוד חבר]],VALUE(HEVARIM[[#This Row],[קוד חבר]]))),'ותק חברה 40'!AQ:AW,7,0),"")</f>
        <v>18.52</v>
      </c>
      <c r="AL143" s="1">
        <f>IF(AND(VALUE(HEVARIM[[#This Row],[קוד מעמד]])=1,HEVARIM[[#This Row],[ותק מחברה 40]]&lt;25),HEVARIM[[#This Row],[ותק מחברה 40]]/25*הנחות!$C$4,0)</f>
        <v>27805.640939999997</v>
      </c>
      <c r="AM143" s="9">
        <f ca="1">IF(HEVARIM[[#This Row],[דמי עזיבה 25 שנות ותק]]&gt;0,YEAR(TODAY())+25-ROUNDDOWN(HEVARIM[[#This Row],[ותק מחברה 40]],0),"")</f>
        <v>2033</v>
      </c>
      <c r="AN14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3" s="9" t="str">
        <f ca="1">IF(HEVARIM[[#This Row],[דמי עזיבה לגיל 65]]&gt;0,YEAR(TODAY())+64-ROUNDDOWN(HEVARIM[[#This Row],[גיל]],0),"")</f>
        <v/>
      </c>
      <c r="AP143" s="1">
        <f>SUMIF(HEVARIM[קוד תקציב],HEVARIM[[#This Row],[קוד תקציב משפחה מקורי]],HEVARIM[ותק מחברה 40])</f>
        <v>42</v>
      </c>
      <c r="AQ1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143" s="9">
        <f>IF(HEVARIM[[#This Row],[קוד מעמד]]="1     ",IFERROR(VLOOKUP(HEVARIM[[#This Row],[קוד תקציב]],'תקציב צביעה - לקראת השינוי'!A:F,4,0),0),0)</f>
        <v>2030</v>
      </c>
      <c r="AT143" s="1"/>
    </row>
    <row r="144" spans="1:46">
      <c r="A144" t="s">
        <v>736</v>
      </c>
      <c r="B144" t="s">
        <v>737</v>
      </c>
      <c r="C144" t="s">
        <v>727</v>
      </c>
      <c r="D144" t="s">
        <v>738</v>
      </c>
      <c r="E144" t="s">
        <v>79</v>
      </c>
      <c r="F144" s="4">
        <v>39637</v>
      </c>
      <c r="G144">
        <v>17</v>
      </c>
      <c r="H144" t="s">
        <v>729</v>
      </c>
      <c r="I144" t="s">
        <v>730</v>
      </c>
      <c r="J144" s="4" t="s">
        <v>70</v>
      </c>
      <c r="K144" s="4" t="s">
        <v>71</v>
      </c>
      <c r="L144" t="s">
        <v>739</v>
      </c>
      <c r="M144" t="s">
        <v>725</v>
      </c>
      <c r="N144" t="s">
        <v>726</v>
      </c>
      <c r="O144">
        <f>IFERROR(VLOOKUP(HEVARIM[[#This Row],[קוד תקציב]],[2]תקציבים!A:L,6,0),0)</f>
        <v>2</v>
      </c>
      <c r="P144" s="5" t="s">
        <v>227</v>
      </c>
      <c r="Q144" t="s">
        <v>14</v>
      </c>
      <c r="R144" s="4">
        <v>39637</v>
      </c>
      <c r="S144" s="4" t="s">
        <v>90</v>
      </c>
      <c r="T144" s="96" t="s">
        <v>729</v>
      </c>
      <c r="U144" t="str">
        <f>VLOOKUP(HEVARIM[[#This Row],[גיל]],GIL,2,1)</f>
        <v>תיכון</v>
      </c>
      <c r="V144">
        <f>IF(HEVARIM[[#This Row],[קוד מעמד]]="4     ",IF(HEVARIM[[#This Row],[גיל]]=1,1,IF(HEVARIM[[#This Row],[גיל]]&lt;=5,5,18)),"")</f>
        <v>18</v>
      </c>
      <c r="W144">
        <f t="shared" si="8"/>
        <v>0</v>
      </c>
      <c r="X14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4">
        <f>IF(HEVARIM[[#This Row],[מצב משפחתי2]]="אלמן",'[2]ריכוז נתונים'!$AC$2,0)</f>
        <v>0</v>
      </c>
      <c r="Z144" s="3">
        <f>VLOOKUP(VALUE(HEVARIM[[#This Row],[קוד מעמד]]),הנחות!$I$2:$K$21,3,0)</f>
        <v>1</v>
      </c>
      <c r="AA144" t="b">
        <f>ISERROR(VLOOKUP(HEVARIM[[#This Row],[קוד תקציב]],'[2]ריכוז נתונים'!A:A,1,0))</f>
        <v>0</v>
      </c>
      <c r="AB144" s="1">
        <f t="shared" si="9"/>
        <v>0</v>
      </c>
      <c r="AC144" s="2">
        <f ca="1">IF(HEVARIM[[#This Row],[בר מצוה]]&gt;0,YEAR(TODAY())+'תקציבים מיוחדים'!$F$5-HEVARIM[[#This Row],[גיל]],0)</f>
        <v>0</v>
      </c>
      <c r="AD144" s="1">
        <f t="shared" si="10"/>
        <v>0</v>
      </c>
      <c r="AE144" s="2">
        <f ca="1">IF(HEVARIM[[#This Row],[בת מצוה]]&gt;0,YEAR(TODAY())+'תקציבים מיוחדים'!$F$5-HEVARIM[[#This Row],[גיל]],0)</f>
        <v>0</v>
      </c>
      <c r="AF144" s="1">
        <f>IF(AND($S144&gt;="רווק",$Z144=1),AF$4*IF(HEVARIM[[#This Row],[גיל]]&gt;$AF$3,1,(($G144-AF$2)/(AF$3-AF$2))),0)</f>
        <v>48986.309523809527</v>
      </c>
      <c r="AG144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144" s="1">
        <f t="shared" si="11"/>
        <v>85476.404761904763</v>
      </c>
      <c r="AI144" s="2">
        <f ca="1">IF(AH144&gt;0,YEAR(TODAY())+'תקציבים מיוחדים'!$F$7-HEVARIM[[#This Row],[גיל]],0)</f>
        <v>2030</v>
      </c>
      <c r="AJ144" s="9">
        <f>IF(AND(ISERROR(VLOOKUP(H144,'[2]ריכוז נתונים'!A:L,1,0)),P144="1     "),1,0)</f>
        <v>0</v>
      </c>
      <c r="AK14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4" s="1">
        <f>IF(AND(VALUE(HEVARIM[[#This Row],[קוד מעמד]])=1,HEVARIM[[#This Row],[ותק מחברה 40]]&lt;25),HEVARIM[[#This Row],[ותק מחברה 40]]/25*הנחות!$C$4,0)</f>
        <v>0</v>
      </c>
      <c r="AM144" s="9" t="str">
        <f ca="1">IF(HEVARIM[[#This Row],[דמי עזיבה 25 שנות ותק]]&gt;0,YEAR(TODAY())+25-ROUNDDOWN(HEVARIM[[#This Row],[ותק מחברה 40]],0),"")</f>
        <v/>
      </c>
      <c r="AN14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4" s="9" t="str">
        <f ca="1">IF(HEVARIM[[#This Row],[דמי עזיבה לגיל 65]]&gt;0,YEAR(TODAY())+64-ROUNDDOWN(HEVARIM[[#This Row],[גיל]],0),"")</f>
        <v/>
      </c>
      <c r="AP144" s="1">
        <f>SUMIF(HEVARIM[קוד תקציב],HEVARIM[[#This Row],[קוד תקציב משפחה מקורי]],HEVARIM[ותק מחברה 40])</f>
        <v>42</v>
      </c>
      <c r="AQ1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4" s="9">
        <f>IF(HEVARIM[[#This Row],[קוד מעמד]]="1     ",IFERROR(VLOOKUP(HEVARIM[[#This Row],[קוד תקציב]],'תקציב צביעה - לקראת השינוי'!A:F,4,0),0),0)</f>
        <v>0</v>
      </c>
      <c r="AT144" s="1"/>
    </row>
    <row r="145" spans="1:46">
      <c r="A145" t="s">
        <v>740</v>
      </c>
      <c r="B145" t="s">
        <v>741</v>
      </c>
      <c r="C145" t="s">
        <v>727</v>
      </c>
      <c r="D145" t="s">
        <v>742</v>
      </c>
      <c r="E145" t="s">
        <v>79</v>
      </c>
      <c r="F145" s="4">
        <v>40617</v>
      </c>
      <c r="G145">
        <v>14</v>
      </c>
      <c r="H145" t="s">
        <v>729</v>
      </c>
      <c r="I145" t="s">
        <v>730</v>
      </c>
      <c r="J145" s="4" t="s">
        <v>70</v>
      </c>
      <c r="K145" s="4" t="s">
        <v>71</v>
      </c>
      <c r="L145" t="s">
        <v>743</v>
      </c>
      <c r="M145" t="s">
        <v>725</v>
      </c>
      <c r="N145" t="s">
        <v>726</v>
      </c>
      <c r="O145">
        <f>IFERROR(VLOOKUP(HEVARIM[[#This Row],[קוד תקציב]],[2]תקציבים!A:L,6,0),0)</f>
        <v>2</v>
      </c>
      <c r="P145" s="5" t="s">
        <v>227</v>
      </c>
      <c r="Q145" t="s">
        <v>14</v>
      </c>
      <c r="R145" s="4">
        <v>40617</v>
      </c>
      <c r="S145" s="4" t="s">
        <v>90</v>
      </c>
      <c r="T145" s="96" t="s">
        <v>729</v>
      </c>
      <c r="U145" t="str">
        <f>VLOOKUP(HEVARIM[[#This Row],[גיל]],GIL,2,1)</f>
        <v>חטיבה</v>
      </c>
      <c r="V145">
        <f>IF(HEVARIM[[#This Row],[קוד מעמד]]="4     ",IF(HEVARIM[[#This Row],[גיל]]=1,1,IF(HEVARIM[[#This Row],[גיל]]&lt;=5,5,18)),"")</f>
        <v>18</v>
      </c>
      <c r="W145">
        <f t="shared" si="8"/>
        <v>0</v>
      </c>
      <c r="X14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5">
        <f>IF(HEVARIM[[#This Row],[מצב משפחתי2]]="אלמן",'[2]ריכוז נתונים'!$AC$2,0)</f>
        <v>0</v>
      </c>
      <c r="Z145" s="3">
        <f>VLOOKUP(VALUE(HEVARIM[[#This Row],[קוד מעמד]]),הנחות!$I$2:$K$21,3,0)</f>
        <v>1</v>
      </c>
      <c r="AA145" t="b">
        <f>ISERROR(VLOOKUP(HEVARIM[[#This Row],[קוד תקציב]],'[2]ריכוז נתונים'!A:A,1,0))</f>
        <v>0</v>
      </c>
      <c r="AB145" s="1">
        <f t="shared" si="9"/>
        <v>0</v>
      </c>
      <c r="AC145" s="2">
        <f ca="1">IF(HEVARIM[[#This Row],[בר מצוה]]&gt;0,YEAR(TODAY())+'תקציבים מיוחדים'!$F$5-HEVARIM[[#This Row],[גיל]],0)</f>
        <v>0</v>
      </c>
      <c r="AD145" s="1">
        <f t="shared" si="10"/>
        <v>0</v>
      </c>
      <c r="AE145" s="2">
        <f ca="1">IF(HEVARIM[[#This Row],[בת מצוה]]&gt;0,YEAR(TODAY())+'תקציבים מיוחדים'!$F$5-HEVARIM[[#This Row],[גיל]],0)</f>
        <v>0</v>
      </c>
      <c r="AF145" s="1">
        <f>IF(AND($S145&gt;="רווק",$Z145=1),AF$4*IF(HEVARIM[[#This Row],[גיל]]&gt;$AF$3,1,(($G145-AF$2)/(AF$3-AF$2))),0)</f>
        <v>40341.666666666664</v>
      </c>
      <c r="AG145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145" s="1">
        <f t="shared" si="11"/>
        <v>70392.333333333328</v>
      </c>
      <c r="AI145" s="2">
        <f ca="1">IF(AH145&gt;0,YEAR(TODAY())+'תקציבים מיוחדים'!$F$7-HEVARIM[[#This Row],[גיל]],0)</f>
        <v>2033</v>
      </c>
      <c r="AJ145" s="9">
        <f>IF(AND(ISERROR(VLOOKUP(H145,'[2]ריכוז נתונים'!A:L,1,0)),P145="1     "),1,0)</f>
        <v>0</v>
      </c>
      <c r="AK14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5" s="1">
        <f>IF(AND(VALUE(HEVARIM[[#This Row],[קוד מעמד]])=1,HEVARIM[[#This Row],[ותק מחברה 40]]&lt;25),HEVARIM[[#This Row],[ותק מחברה 40]]/25*הנחות!$C$4,0)</f>
        <v>0</v>
      </c>
      <c r="AM145" s="9" t="str">
        <f ca="1">IF(HEVARIM[[#This Row],[דמי עזיבה 25 שנות ותק]]&gt;0,YEAR(TODAY())+25-ROUNDDOWN(HEVARIM[[#This Row],[ותק מחברה 40]],0),"")</f>
        <v/>
      </c>
      <c r="AN1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5" s="9" t="str">
        <f ca="1">IF(HEVARIM[[#This Row],[דמי עזיבה לגיל 65]]&gt;0,YEAR(TODAY())+64-ROUNDDOWN(HEVARIM[[#This Row],[גיל]],0),"")</f>
        <v/>
      </c>
      <c r="AP145" s="1">
        <f>SUMIF(HEVARIM[קוד תקציב],HEVARIM[[#This Row],[קוד תקציב משפחה מקורי]],HEVARIM[ותק מחברה 40])</f>
        <v>42</v>
      </c>
      <c r="AQ1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5" s="9">
        <f>IF(HEVARIM[[#This Row],[קוד מעמד]]="1     ",IFERROR(VLOOKUP(HEVARIM[[#This Row],[קוד תקציב]],'תקציב צביעה - לקראת השינוי'!A:F,4,0),0),0)</f>
        <v>0</v>
      </c>
      <c r="AT145" s="1"/>
    </row>
    <row r="146" spans="1:46">
      <c r="A146" t="s">
        <v>744</v>
      </c>
      <c r="B146" t="s">
        <v>745</v>
      </c>
      <c r="C146" t="s">
        <v>727</v>
      </c>
      <c r="D146" t="s">
        <v>746</v>
      </c>
      <c r="E146" t="s">
        <v>79</v>
      </c>
      <c r="F146" s="4">
        <v>41290</v>
      </c>
      <c r="G146">
        <v>12</v>
      </c>
      <c r="H146" t="s">
        <v>729</v>
      </c>
      <c r="I146" t="s">
        <v>730</v>
      </c>
      <c r="J146" s="4" t="s">
        <v>70</v>
      </c>
      <c r="K146" s="4" t="s">
        <v>71</v>
      </c>
      <c r="L146" t="s">
        <v>747</v>
      </c>
      <c r="M146" t="s">
        <v>725</v>
      </c>
      <c r="N146" t="s">
        <v>726</v>
      </c>
      <c r="O146">
        <f>IFERROR(VLOOKUP(HEVARIM[[#This Row],[קוד תקציב]],[2]תקציבים!A:L,6,0),0)</f>
        <v>2</v>
      </c>
      <c r="P146" s="5" t="s">
        <v>227</v>
      </c>
      <c r="Q146" t="s">
        <v>14</v>
      </c>
      <c r="R146" s="4">
        <v>41290</v>
      </c>
      <c r="S146" s="4" t="s">
        <v>90</v>
      </c>
      <c r="T146" s="96" t="s">
        <v>729</v>
      </c>
      <c r="U146" t="str">
        <f>VLOOKUP(HEVARIM[[#This Row],[גיל]],GIL,2,1)</f>
        <v>יסודי</v>
      </c>
      <c r="V146">
        <f>IF(HEVARIM[[#This Row],[קוד מעמד]]="4     ",IF(HEVARIM[[#This Row],[גיל]]=1,1,IF(HEVARIM[[#This Row],[גיל]]&lt;=5,5,18)),"")</f>
        <v>18</v>
      </c>
      <c r="W146">
        <f t="shared" si="8"/>
        <v>0</v>
      </c>
      <c r="X1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6">
        <f>IF(HEVARIM[[#This Row],[מצב משפחתי2]]="אלמן",'[2]ריכוז נתונים'!$AC$2,0)</f>
        <v>0</v>
      </c>
      <c r="Z146" s="3">
        <f>VLOOKUP(VALUE(HEVARIM[[#This Row],[קוד מעמד]]),הנחות!$I$2:$K$21,3,0)</f>
        <v>1</v>
      </c>
      <c r="AA146" t="b">
        <f>ISERROR(VLOOKUP(HEVARIM[[#This Row],[קוד תקציב]],'[2]ריכוז נתונים'!A:A,1,0))</f>
        <v>0</v>
      </c>
      <c r="AB146" s="1">
        <f t="shared" si="9"/>
        <v>0</v>
      </c>
      <c r="AC146" s="2">
        <f ca="1">IF(HEVARIM[[#This Row],[בר מצוה]]&gt;0,YEAR(TODAY())+'תקציבים מיוחדים'!$F$5-HEVARIM[[#This Row],[גיל]],0)</f>
        <v>0</v>
      </c>
      <c r="AD146" s="1">
        <f t="shared" si="10"/>
        <v>6613.8461538461543</v>
      </c>
      <c r="AE146" s="2">
        <f ca="1">IF(HEVARIM[[#This Row],[בת מצוה]]&gt;0,YEAR(TODAY())+'תקציבים מיוחדים'!$F$5-HEVARIM[[#This Row],[גיל]],0)</f>
        <v>2027</v>
      </c>
      <c r="AF146" s="1">
        <f>IF(AND($S146&gt;="רווק",$Z146=1),AF$4*IF(HEVARIM[[#This Row],[גיל]]&gt;$AF$3,1,(($G146-AF$2)/(AF$3-AF$2))),0)</f>
        <v>34578.571428571428</v>
      </c>
      <c r="AG146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146" s="1">
        <f t="shared" si="11"/>
        <v>60336.28571428571</v>
      </c>
      <c r="AI146" s="2">
        <f ca="1">IF(AH146&gt;0,YEAR(TODAY())+'תקציבים מיוחדים'!$F$7-HEVARIM[[#This Row],[גיל]],0)</f>
        <v>2035</v>
      </c>
      <c r="AJ146" s="9">
        <f>IF(AND(ISERROR(VLOOKUP(H146,'[2]ריכוז נתונים'!A:L,1,0)),P146="1     "),1,0)</f>
        <v>0</v>
      </c>
      <c r="AK14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6" s="1">
        <f>IF(AND(VALUE(HEVARIM[[#This Row],[קוד מעמד]])=1,HEVARIM[[#This Row],[ותק מחברה 40]]&lt;25),HEVARIM[[#This Row],[ותק מחברה 40]]/25*הנחות!$C$4,0)</f>
        <v>0</v>
      </c>
      <c r="AM146" s="9" t="str">
        <f ca="1">IF(HEVARIM[[#This Row],[דמי עזיבה 25 שנות ותק]]&gt;0,YEAR(TODAY())+25-ROUNDDOWN(HEVARIM[[#This Row],[ותק מחברה 40]],0),"")</f>
        <v/>
      </c>
      <c r="AN1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6" s="9" t="str">
        <f ca="1">IF(HEVARIM[[#This Row],[דמי עזיבה לגיל 65]]&gt;0,YEAR(TODAY())+64-ROUNDDOWN(HEVARIM[[#This Row],[גיל]],0),"")</f>
        <v/>
      </c>
      <c r="AP146" s="1">
        <f>SUMIF(HEVARIM[קוד תקציב],HEVARIM[[#This Row],[קוד תקציב משפחה מקורי]],HEVARIM[ותק מחברה 40])</f>
        <v>42</v>
      </c>
      <c r="AQ1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6" s="9">
        <f>IF(HEVARIM[[#This Row],[קוד מעמד]]="1     ",IFERROR(VLOOKUP(HEVARIM[[#This Row],[קוד תקציב]],'תקציב צביעה - לקראת השינוי'!A:F,4,0),0),0)</f>
        <v>0</v>
      </c>
      <c r="AT146" s="1"/>
    </row>
    <row r="147" spans="1:46">
      <c r="A147" t="s">
        <v>748</v>
      </c>
      <c r="B147" t="s">
        <v>749</v>
      </c>
      <c r="C147" t="s">
        <v>727</v>
      </c>
      <c r="D147" t="s">
        <v>750</v>
      </c>
      <c r="E147" t="s">
        <v>79</v>
      </c>
      <c r="F147" s="4">
        <v>42194</v>
      </c>
      <c r="G147">
        <v>10</v>
      </c>
      <c r="H147" t="s">
        <v>729</v>
      </c>
      <c r="I147" t="s">
        <v>730</v>
      </c>
      <c r="J147" s="4" t="s">
        <v>70</v>
      </c>
      <c r="K147" s="4" t="s">
        <v>71</v>
      </c>
      <c r="L147" t="s">
        <v>751</v>
      </c>
      <c r="M147" t="s">
        <v>725</v>
      </c>
      <c r="N147" t="s">
        <v>726</v>
      </c>
      <c r="O147">
        <f>IFERROR(VLOOKUP(HEVARIM[[#This Row],[קוד תקציב]],[2]תקציבים!A:L,6,0),0)</f>
        <v>2</v>
      </c>
      <c r="P147" s="5" t="s">
        <v>227</v>
      </c>
      <c r="Q147" t="s">
        <v>14</v>
      </c>
      <c r="R147" s="4">
        <v>42194</v>
      </c>
      <c r="S147" s="4" t="s">
        <v>90</v>
      </c>
      <c r="T147" s="96" t="s">
        <v>729</v>
      </c>
      <c r="U147" t="str">
        <f>VLOOKUP(HEVARIM[[#This Row],[גיל]],GIL,2,1)</f>
        <v>יסודי</v>
      </c>
      <c r="V147">
        <f>IF(HEVARIM[[#This Row],[קוד מעמד]]="4     ",IF(HEVARIM[[#This Row],[גיל]]=1,1,IF(HEVARIM[[#This Row],[גיל]]&lt;=5,5,18)),"")</f>
        <v>18</v>
      </c>
      <c r="W147">
        <f t="shared" si="8"/>
        <v>0</v>
      </c>
      <c r="X1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7">
        <f>IF(HEVARIM[[#This Row],[מצב משפחתי2]]="אלמן",'[2]ריכוז נתונים'!$AC$2,0)</f>
        <v>0</v>
      </c>
      <c r="Z147" s="3">
        <f>VLOOKUP(VALUE(HEVARIM[[#This Row],[קוד מעמד]]),הנחות!$I$2:$K$21,3,0)</f>
        <v>1</v>
      </c>
      <c r="AA147" t="b">
        <f>ISERROR(VLOOKUP(HEVARIM[[#This Row],[קוד תקציב]],'[2]ריכוז נתונים'!A:A,1,0))</f>
        <v>0</v>
      </c>
      <c r="AB147" s="1">
        <f t="shared" si="9"/>
        <v>0</v>
      </c>
      <c r="AC147" s="2">
        <f ca="1">IF(HEVARIM[[#This Row],[בר מצוה]]&gt;0,YEAR(TODAY())+'תקציבים מיוחדים'!$F$5-HEVARIM[[#This Row],[גיל]],0)</f>
        <v>0</v>
      </c>
      <c r="AD147" s="1">
        <f t="shared" si="10"/>
        <v>5511.5384615384619</v>
      </c>
      <c r="AE147" s="2">
        <f ca="1">IF(HEVARIM[[#This Row],[בת מצוה]]&gt;0,YEAR(TODAY())+'תקציבים מיוחדים'!$F$5-HEVARIM[[#This Row],[גיל]],0)</f>
        <v>2029</v>
      </c>
      <c r="AF147" s="1">
        <f>IF(AND($S147&gt;="רווק",$Z147=1),AF$4*IF(HEVARIM[[#This Row],[גיל]]&gt;$AF$3,1,(($G147-AF$2)/(AF$3-AF$2))),0)</f>
        <v>28815.476190476187</v>
      </c>
      <c r="AG147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147" s="1">
        <f t="shared" si="11"/>
        <v>50280.238095238092</v>
      </c>
      <c r="AI147" s="2">
        <f ca="1">IF(AH147&gt;0,YEAR(TODAY())+'תקציבים מיוחדים'!$F$7-HEVARIM[[#This Row],[גיל]],0)</f>
        <v>2037</v>
      </c>
      <c r="AJ147" s="9">
        <f>IF(AND(ISERROR(VLOOKUP(H147,'[2]ריכוז נתונים'!A:L,1,0)),P147="1     "),1,0)</f>
        <v>0</v>
      </c>
      <c r="AK14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7" s="1">
        <f>IF(AND(VALUE(HEVARIM[[#This Row],[קוד מעמד]])=1,HEVARIM[[#This Row],[ותק מחברה 40]]&lt;25),HEVARIM[[#This Row],[ותק מחברה 40]]/25*הנחות!$C$4,0)</f>
        <v>0</v>
      </c>
      <c r="AM147" s="9" t="str">
        <f ca="1">IF(HEVARIM[[#This Row],[דמי עזיבה 25 שנות ותק]]&gt;0,YEAR(TODAY())+25-ROUNDDOWN(HEVARIM[[#This Row],[ותק מחברה 40]],0),"")</f>
        <v/>
      </c>
      <c r="AN14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7" s="9" t="str">
        <f ca="1">IF(HEVARIM[[#This Row],[דמי עזיבה לגיל 65]]&gt;0,YEAR(TODAY())+64-ROUNDDOWN(HEVARIM[[#This Row],[גיל]],0),"")</f>
        <v/>
      </c>
      <c r="AP147" s="1">
        <f>SUMIF(HEVARIM[קוד תקציב],HEVARIM[[#This Row],[קוד תקציב משפחה מקורי]],HEVARIM[ותק מחברה 40])</f>
        <v>42</v>
      </c>
      <c r="AQ1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7" s="9">
        <f>IF(HEVARIM[[#This Row],[קוד מעמד]]="1     ",IFERROR(VLOOKUP(HEVARIM[[#This Row],[קוד תקציב]],'תקציב צביעה - לקראת השינוי'!A:F,4,0),0),0)</f>
        <v>0</v>
      </c>
      <c r="AT147" s="1"/>
    </row>
    <row r="148" spans="1:46">
      <c r="A148" t="s">
        <v>762</v>
      </c>
      <c r="B148" t="s">
        <v>763</v>
      </c>
      <c r="C148" t="s">
        <v>679</v>
      </c>
      <c r="D148" t="s">
        <v>764</v>
      </c>
      <c r="E148" t="s">
        <v>67</v>
      </c>
      <c r="F148" s="4">
        <v>39709</v>
      </c>
      <c r="G148">
        <v>17</v>
      </c>
      <c r="H148" t="s">
        <v>755</v>
      </c>
      <c r="I148" t="s">
        <v>756</v>
      </c>
      <c r="J148" s="4" t="s">
        <v>70</v>
      </c>
      <c r="K148" s="4" t="s">
        <v>71</v>
      </c>
      <c r="L148" t="s">
        <v>765</v>
      </c>
      <c r="M148" t="s">
        <v>752</v>
      </c>
      <c r="N148" t="s">
        <v>753</v>
      </c>
      <c r="O148">
        <f>IFERROR(VLOOKUP(HEVARIM[[#This Row],[קוד תקציב]],[2]תקציבים!A:L,6,0),0)</f>
        <v>2</v>
      </c>
      <c r="P148" s="5" t="s">
        <v>227</v>
      </c>
      <c r="Q148" t="s">
        <v>14</v>
      </c>
      <c r="R148" s="4">
        <v>39709</v>
      </c>
      <c r="S148" s="4" t="s">
        <v>90</v>
      </c>
      <c r="T148" s="96" t="s">
        <v>755</v>
      </c>
      <c r="U148" t="str">
        <f>VLOOKUP(HEVARIM[[#This Row],[גיל]],GIL,2,1)</f>
        <v>תיכון</v>
      </c>
      <c r="V148">
        <f>IF(HEVARIM[[#This Row],[קוד מעמד]]="4     ",IF(HEVARIM[[#This Row],[גיל]]=1,1,IF(HEVARIM[[#This Row],[גיל]]&lt;=5,5,18)),"")</f>
        <v>18</v>
      </c>
      <c r="W148">
        <f t="shared" si="8"/>
        <v>0</v>
      </c>
      <c r="X14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8">
        <f>IF(HEVARIM[[#This Row],[מצב משפחתי2]]="אלמן",'[2]ריכוז נתונים'!$AC$2,0)</f>
        <v>0</v>
      </c>
      <c r="Z148" s="3">
        <f>VLOOKUP(VALUE(HEVARIM[[#This Row],[קוד מעמד]]),הנחות!$I$2:$K$21,3,0)</f>
        <v>1</v>
      </c>
      <c r="AA148" t="b">
        <f>ISERROR(VLOOKUP(HEVARIM[[#This Row],[קוד תקציב]],'[2]ריכוז נתונים'!A:A,1,0))</f>
        <v>0</v>
      </c>
      <c r="AB148" s="1">
        <f t="shared" si="9"/>
        <v>0</v>
      </c>
      <c r="AC148" s="2">
        <f ca="1">IF(HEVARIM[[#This Row],[בר מצוה]]&gt;0,YEAR(TODAY())+'תקציבים מיוחדים'!$F$5-HEVARIM[[#This Row],[גיל]],0)</f>
        <v>0</v>
      </c>
      <c r="AD148" s="1">
        <f t="shared" si="10"/>
        <v>0</v>
      </c>
      <c r="AE148" s="2">
        <f ca="1">IF(HEVARIM[[#This Row],[בת מצוה]]&gt;0,YEAR(TODAY())+'תקציבים מיוחדים'!$F$5-HEVARIM[[#This Row],[גיל]],0)</f>
        <v>0</v>
      </c>
      <c r="AF148" s="1">
        <f>IF(AND($S148&gt;="רווק",$Z148=1),AF$4*IF(HEVARIM[[#This Row],[גיל]]&gt;$AF$3,1,(($G148-AF$2)/(AF$3-AF$2))),0)</f>
        <v>48986.309523809527</v>
      </c>
      <c r="AG148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148" s="1">
        <f t="shared" si="11"/>
        <v>85476.404761904763</v>
      </c>
      <c r="AI148" s="2">
        <f ca="1">IF(AH148&gt;0,YEAR(TODAY())+'תקציבים מיוחדים'!$F$7-HEVARIM[[#This Row],[גיל]],0)</f>
        <v>2030</v>
      </c>
      <c r="AJ148" s="9">
        <f>IF(AND(ISERROR(VLOOKUP(H148,'[2]ריכוז נתונים'!A:L,1,0)),P148="1     "),1,0)</f>
        <v>0</v>
      </c>
      <c r="AK14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8" s="1">
        <f>IF(AND(VALUE(HEVARIM[[#This Row],[קוד מעמד]])=1,HEVARIM[[#This Row],[ותק מחברה 40]]&lt;25),HEVARIM[[#This Row],[ותק מחברה 40]]/25*הנחות!$C$4,0)</f>
        <v>0</v>
      </c>
      <c r="AM148" s="9" t="str">
        <f ca="1">IF(HEVARIM[[#This Row],[דמי עזיבה 25 שנות ותק]]&gt;0,YEAR(TODAY())+25-ROUNDDOWN(HEVARIM[[#This Row],[ותק מחברה 40]],0),"")</f>
        <v/>
      </c>
      <c r="AN14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8" s="9" t="str">
        <f ca="1">IF(HEVARIM[[#This Row],[דמי עזיבה לגיל 65]]&gt;0,YEAR(TODAY())+64-ROUNDDOWN(HEVARIM[[#This Row],[גיל]],0),"")</f>
        <v/>
      </c>
      <c r="AP148" s="1">
        <f>SUMIF(HEVARIM[קוד תקציב],HEVARIM[[#This Row],[קוד תקציב משפחה מקורי]],HEVARIM[ותק מחברה 40])</f>
        <v>56.17</v>
      </c>
      <c r="AQ1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8" s="9">
        <f>IF(HEVARIM[[#This Row],[קוד מעמד]]="1     ",IFERROR(VLOOKUP(HEVARIM[[#This Row],[קוד תקציב]],'תקציב צביעה - לקראת השינוי'!A:F,4,0),0),0)</f>
        <v>0</v>
      </c>
      <c r="AT148" s="1"/>
    </row>
    <row r="149" spans="1:46">
      <c r="A149" t="s">
        <v>766</v>
      </c>
      <c r="B149" t="s">
        <v>767</v>
      </c>
      <c r="C149" t="s">
        <v>679</v>
      </c>
      <c r="D149" t="s">
        <v>768</v>
      </c>
      <c r="E149" t="s">
        <v>67</v>
      </c>
      <c r="F149" s="4">
        <v>42157</v>
      </c>
      <c r="G149">
        <v>10</v>
      </c>
      <c r="H149" t="s">
        <v>755</v>
      </c>
      <c r="I149" t="s">
        <v>756</v>
      </c>
      <c r="J149" s="4" t="s">
        <v>70</v>
      </c>
      <c r="K149" s="4" t="s">
        <v>71</v>
      </c>
      <c r="L149" t="s">
        <v>769</v>
      </c>
      <c r="M149" t="s">
        <v>752</v>
      </c>
      <c r="N149" t="s">
        <v>753</v>
      </c>
      <c r="O149">
        <f>IFERROR(VLOOKUP(HEVARIM[[#This Row],[קוד תקציב]],[2]תקציבים!A:L,6,0),0)</f>
        <v>2</v>
      </c>
      <c r="P149" s="5" t="s">
        <v>227</v>
      </c>
      <c r="Q149" t="s">
        <v>14</v>
      </c>
      <c r="R149" s="4">
        <v>42157</v>
      </c>
      <c r="S149" s="4" t="s">
        <v>90</v>
      </c>
      <c r="T149" s="96" t="s">
        <v>755</v>
      </c>
      <c r="U149" t="str">
        <f>VLOOKUP(HEVARIM[[#This Row],[גיל]],GIL,2,1)</f>
        <v>יסודי</v>
      </c>
      <c r="V149">
        <f>IF(HEVARIM[[#This Row],[קוד מעמד]]="4     ",IF(HEVARIM[[#This Row],[גיל]]=1,1,IF(HEVARIM[[#This Row],[גיל]]&lt;=5,5,18)),"")</f>
        <v>18</v>
      </c>
      <c r="W149">
        <f t="shared" si="8"/>
        <v>0</v>
      </c>
      <c r="X14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49">
        <f>IF(HEVARIM[[#This Row],[מצב משפחתי2]]="אלמן",'[2]ריכוז נתונים'!$AC$2,0)</f>
        <v>0</v>
      </c>
      <c r="Z149" s="3">
        <f>VLOOKUP(VALUE(HEVARIM[[#This Row],[קוד מעמד]]),הנחות!$I$2:$K$21,3,0)</f>
        <v>1</v>
      </c>
      <c r="AA149" t="b">
        <f>ISERROR(VLOOKUP(HEVARIM[[#This Row],[קוד תקציב]],'[2]ריכוז נתונים'!A:A,1,0))</f>
        <v>0</v>
      </c>
      <c r="AB149" s="1">
        <f t="shared" si="9"/>
        <v>5511.5384615384619</v>
      </c>
      <c r="AC149" s="2">
        <f ca="1">IF(HEVARIM[[#This Row],[בר מצוה]]&gt;0,YEAR(TODAY())+'תקציבים מיוחדים'!$F$5-HEVARIM[[#This Row],[גיל]],0)</f>
        <v>2029</v>
      </c>
      <c r="AD149" s="1">
        <f t="shared" si="10"/>
        <v>0</v>
      </c>
      <c r="AE149" s="2">
        <f ca="1">IF(HEVARIM[[#This Row],[בת מצוה]]&gt;0,YEAR(TODAY())+'תקציבים מיוחדים'!$F$5-HEVARIM[[#This Row],[גיל]],0)</f>
        <v>0</v>
      </c>
      <c r="AF149" s="1">
        <f>IF(AND($S149&gt;="רווק",$Z149=1),AF$4*IF(HEVARIM[[#This Row],[גיל]]&gt;$AF$3,1,(($G149-AF$2)/(AF$3-AF$2))),0)</f>
        <v>28815.476190476187</v>
      </c>
      <c r="AG149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149" s="1">
        <f t="shared" si="11"/>
        <v>50280.238095238092</v>
      </c>
      <c r="AI149" s="2">
        <f ca="1">IF(AH149&gt;0,YEAR(TODAY())+'תקציבים מיוחדים'!$F$7-HEVARIM[[#This Row],[גיל]],0)</f>
        <v>2037</v>
      </c>
      <c r="AJ149" s="9">
        <f>IF(AND(ISERROR(VLOOKUP(H149,'[2]ריכוז נתונים'!A:L,1,0)),P149="1     "),1,0)</f>
        <v>0</v>
      </c>
      <c r="AK14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49" s="1">
        <f>IF(AND(VALUE(HEVARIM[[#This Row],[קוד מעמד]])=1,HEVARIM[[#This Row],[ותק מחברה 40]]&lt;25),HEVARIM[[#This Row],[ותק מחברה 40]]/25*הנחות!$C$4,0)</f>
        <v>0</v>
      </c>
      <c r="AM149" s="9" t="str">
        <f ca="1">IF(HEVARIM[[#This Row],[דמי עזיבה 25 שנות ותק]]&gt;0,YEAR(TODAY())+25-ROUNDDOWN(HEVARIM[[#This Row],[ותק מחברה 40]],0),"")</f>
        <v/>
      </c>
      <c r="AN14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49" s="9" t="str">
        <f ca="1">IF(HEVARIM[[#This Row],[דמי עזיבה לגיל 65]]&gt;0,YEAR(TODAY())+64-ROUNDDOWN(HEVARIM[[#This Row],[גיל]],0),"")</f>
        <v/>
      </c>
      <c r="AP149" s="1">
        <f>SUMIF(HEVARIM[קוד תקציב],HEVARIM[[#This Row],[קוד תקציב משפחה מקורי]],HEVARIM[ותק מחברה 40])</f>
        <v>56.17</v>
      </c>
      <c r="AQ1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49" s="9">
        <f>IF(HEVARIM[[#This Row],[קוד מעמד]]="1     ",IFERROR(VLOOKUP(HEVARIM[[#This Row],[קוד תקציב]],'תקציב צביעה - לקראת השינוי'!A:F,4,0),0),0)</f>
        <v>0</v>
      </c>
      <c r="AT149" s="1"/>
    </row>
    <row r="150" spans="1:46">
      <c r="A150" t="s">
        <v>856</v>
      </c>
      <c r="B150" t="s">
        <v>857</v>
      </c>
      <c r="C150" t="s">
        <v>679</v>
      </c>
      <c r="D150" t="s">
        <v>392</v>
      </c>
      <c r="E150" t="s">
        <v>79</v>
      </c>
      <c r="F150" s="4">
        <v>37209</v>
      </c>
      <c r="G150">
        <v>24</v>
      </c>
      <c r="H150" t="s">
        <v>858</v>
      </c>
      <c r="I150" t="s">
        <v>857</v>
      </c>
      <c r="J150" s="4" t="s">
        <v>70</v>
      </c>
      <c r="K150" s="4" t="s">
        <v>81</v>
      </c>
      <c r="L150" t="s">
        <v>859</v>
      </c>
      <c r="M150" t="s">
        <v>856</v>
      </c>
      <c r="N150" t="s">
        <v>857</v>
      </c>
      <c r="O150">
        <f>IFERROR(VLOOKUP(HEVARIM[[#This Row],[קוד תקציב]],[2]תקציבים!A:L,6,0),0)</f>
        <v>0</v>
      </c>
      <c r="P150" s="5" t="s">
        <v>860</v>
      </c>
      <c r="Q150" t="s">
        <v>34</v>
      </c>
      <c r="R150" s="4">
        <v>45870</v>
      </c>
      <c r="S150" s="4" t="s">
        <v>90</v>
      </c>
      <c r="T150" s="96" t="s">
        <v>755</v>
      </c>
      <c r="U150" t="str">
        <f>VLOOKUP(HEVARIM[[#This Row],[גיל]],GIL,2,1)</f>
        <v>--</v>
      </c>
      <c r="V150" t="str">
        <f>IF(HEVARIM[[#This Row],[קוד מעמד]]="4     ",IF(HEVARIM[[#This Row],[גיל]]=1,1,IF(HEVARIM[[#This Row],[גיל]]&lt;=5,5,18)),"")</f>
        <v/>
      </c>
      <c r="W150">
        <f t="shared" si="8"/>
        <v>0</v>
      </c>
      <c r="X1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0">
        <f>IF(HEVARIM[[#This Row],[מצב משפחתי2]]="אלמן",'[2]ריכוז נתונים'!$AC$2,0)</f>
        <v>0</v>
      </c>
      <c r="Z150" s="3">
        <f>VLOOKUP(VALUE(HEVARIM[[#This Row],[קוד מעמד]]),הנחות!$I$2:$K$21,3,0)</f>
        <v>1</v>
      </c>
      <c r="AA150" t="b">
        <f>ISERROR(VLOOKUP(HEVARIM[[#This Row],[קוד תקציב]],'[2]ריכוז נתונים'!A:A,1,0))</f>
        <v>1</v>
      </c>
      <c r="AB150" s="1">
        <f t="shared" si="9"/>
        <v>0</v>
      </c>
      <c r="AC150" s="2">
        <f ca="1">IF(HEVARIM[[#This Row],[בר מצוה]]&gt;0,YEAR(TODAY())+'תקציבים מיוחדים'!$F$5-HEVARIM[[#This Row],[גיל]],0)</f>
        <v>0</v>
      </c>
      <c r="AD150" s="1">
        <f t="shared" si="10"/>
        <v>0</v>
      </c>
      <c r="AE150" s="2">
        <f ca="1">IF(HEVARIM[[#This Row],[בת מצוה]]&gt;0,YEAR(TODAY())+'תקציבים מיוחדים'!$F$5-HEVARIM[[#This Row],[גיל]],0)</f>
        <v>0</v>
      </c>
      <c r="AF150" s="1">
        <f>IF(AND($S150&gt;="רווק",$Z150=1),AF$4*IF(HEVARIM[[#This Row],[גיל]]&gt;$AF$3,1,(($G150-AF$2)/(AF$3-AF$2))),0)</f>
        <v>60512.5</v>
      </c>
      <c r="AG150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50" s="1">
        <f t="shared" si="11"/>
        <v>0</v>
      </c>
      <c r="AI150" s="2">
        <f ca="1">IF(AH150&gt;0,YEAR(TODAY())+'תקציבים מיוחדים'!$F$7-HEVARIM[[#This Row],[גיל]],0)</f>
        <v>0</v>
      </c>
      <c r="AJ150" s="9">
        <f>IF(AND(ISERROR(VLOOKUP(H150,'[2]ריכוז נתונים'!A:L,1,0)),P150="1     "),1,0)</f>
        <v>0</v>
      </c>
      <c r="AK15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0" s="1">
        <f>IF(AND(VALUE(HEVARIM[[#This Row],[קוד מעמד]])=1,HEVARIM[[#This Row],[ותק מחברה 40]]&lt;25),HEVARIM[[#This Row],[ותק מחברה 40]]/25*הנחות!$C$4,0)</f>
        <v>0</v>
      </c>
      <c r="AM150" s="9" t="str">
        <f ca="1">IF(HEVARIM[[#This Row],[דמי עזיבה 25 שנות ותק]]&gt;0,YEAR(TODAY())+25-ROUNDDOWN(HEVARIM[[#This Row],[ותק מחברה 40]],0),"")</f>
        <v/>
      </c>
      <c r="AN15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0" s="9" t="str">
        <f ca="1">IF(HEVARIM[[#This Row],[דמי עזיבה לגיל 65]]&gt;0,YEAR(TODAY())+64-ROUNDDOWN(HEVARIM[[#This Row],[גיל]],0),"")</f>
        <v/>
      </c>
      <c r="AP150" s="1">
        <f>SUMIF(HEVARIM[קוד תקציב],HEVARIM[[#This Row],[קוד תקציב משפחה מקורי]],HEVARIM[ותק מחברה 40])</f>
        <v>56.17</v>
      </c>
      <c r="AQ1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0" s="9">
        <f>IF(HEVARIM[[#This Row],[קוד מעמד]]="1     ",IFERROR(VLOOKUP(HEVARIM[[#This Row],[קוד תקציב]],'תקציב צביעה - לקראת השינוי'!A:F,4,0),0),0)</f>
        <v>0</v>
      </c>
      <c r="AT150" s="1"/>
    </row>
    <row r="151" spans="1:46">
      <c r="A151" t="s">
        <v>892</v>
      </c>
      <c r="B151" t="s">
        <v>893</v>
      </c>
      <c r="C151" t="s">
        <v>679</v>
      </c>
      <c r="D151" t="s">
        <v>894</v>
      </c>
      <c r="E151" t="s">
        <v>67</v>
      </c>
      <c r="F151" s="4">
        <v>38237</v>
      </c>
      <c r="G151">
        <v>21</v>
      </c>
      <c r="H151" t="s">
        <v>755</v>
      </c>
      <c r="I151" t="s">
        <v>756</v>
      </c>
      <c r="J151" s="4" t="s">
        <v>70</v>
      </c>
      <c r="K151" s="4" t="s">
        <v>71</v>
      </c>
      <c r="L151" t="s">
        <v>895</v>
      </c>
      <c r="M151" t="s">
        <v>752</v>
      </c>
      <c r="N151" t="s">
        <v>753</v>
      </c>
      <c r="O151">
        <f>IFERROR(VLOOKUP(HEVARIM[[#This Row],[קוד תקציב]],[2]תקציבים!A:L,6,0),0)</f>
        <v>2</v>
      </c>
      <c r="P151" s="5" t="s">
        <v>545</v>
      </c>
      <c r="Q151" t="s">
        <v>13</v>
      </c>
      <c r="R151" s="4">
        <v>45035</v>
      </c>
      <c r="S151" s="4" t="s">
        <v>90</v>
      </c>
      <c r="T151" s="96" t="s">
        <v>755</v>
      </c>
      <c r="U151" t="str">
        <f>VLOOKUP(HEVARIM[[#This Row],[גיל]],GIL,2,1)</f>
        <v>--</v>
      </c>
      <c r="V151" t="str">
        <f>IF(HEVARIM[[#This Row],[קוד מעמד]]="4     ",IF(HEVARIM[[#This Row],[גיל]]=1,1,IF(HEVARIM[[#This Row],[גיל]]&lt;=5,5,18)),"")</f>
        <v/>
      </c>
      <c r="W151">
        <f t="shared" si="8"/>
        <v>0</v>
      </c>
      <c r="X15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1">
        <f>IF(HEVARIM[[#This Row],[מצב משפחתי2]]="אלמן",'[2]ריכוז נתונים'!$AC$2,0)</f>
        <v>0</v>
      </c>
      <c r="Z151" s="3">
        <f>VLOOKUP(VALUE(HEVARIM[[#This Row],[קוד מעמד]]),הנחות!$I$2:$K$21,3,0)</f>
        <v>1</v>
      </c>
      <c r="AA151" t="b">
        <f>ISERROR(VLOOKUP(HEVARIM[[#This Row],[קוד תקציב]],'[2]ריכוז נתונים'!A:A,1,0))</f>
        <v>0</v>
      </c>
      <c r="AB151" s="1">
        <f t="shared" si="9"/>
        <v>0</v>
      </c>
      <c r="AC151" s="2">
        <f ca="1">IF(HEVARIM[[#This Row],[בר מצוה]]&gt;0,YEAR(TODAY())+'תקציבים מיוחדים'!$F$5-HEVARIM[[#This Row],[גיל]],0)</f>
        <v>0</v>
      </c>
      <c r="AD151" s="1">
        <f t="shared" si="10"/>
        <v>0</v>
      </c>
      <c r="AE151" s="2">
        <f ca="1">IF(HEVARIM[[#This Row],[בת מצוה]]&gt;0,YEAR(TODAY())+'תקציבים מיוחדים'!$F$5-HEVARIM[[#This Row],[גיל]],0)</f>
        <v>0</v>
      </c>
      <c r="AF151" s="1">
        <f>IF(AND($S151&gt;="רווק",$Z151=1),AF$4*IF(HEVARIM[[#This Row],[גיל]]&gt;$AF$3,1,(($G151-AF$2)/(AF$3-AF$2))),0)</f>
        <v>60512.5</v>
      </c>
      <c r="AG151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151" s="1">
        <f t="shared" si="11"/>
        <v>105588.5</v>
      </c>
      <c r="AI151" s="2">
        <f ca="1">IF(AH151&gt;0,YEAR(TODAY())+'תקציבים מיוחדים'!$F$7-HEVARIM[[#This Row],[גיל]],0)</f>
        <v>2026</v>
      </c>
      <c r="AJ151" s="9">
        <f>IF(AND(ISERROR(VLOOKUP(H151,'[2]ריכוז נתונים'!A:L,1,0)),P151="1     "),1,0)</f>
        <v>0</v>
      </c>
      <c r="AK15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1" s="1">
        <f>IF(AND(VALUE(HEVARIM[[#This Row],[קוד מעמד]])=1,HEVARIM[[#This Row],[ותק מחברה 40]]&lt;25),HEVARIM[[#This Row],[ותק מחברה 40]]/25*הנחות!$C$4,0)</f>
        <v>0</v>
      </c>
      <c r="AM151" s="9" t="str">
        <f ca="1">IF(HEVARIM[[#This Row],[דמי עזיבה 25 שנות ותק]]&gt;0,YEAR(TODAY())+25-ROUNDDOWN(HEVARIM[[#This Row],[ותק מחברה 40]],0),"")</f>
        <v/>
      </c>
      <c r="AN1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1" s="9" t="str">
        <f ca="1">IF(HEVARIM[[#This Row],[דמי עזיבה לגיל 65]]&gt;0,YEAR(TODAY())+64-ROUNDDOWN(HEVARIM[[#This Row],[גיל]],0),"")</f>
        <v/>
      </c>
      <c r="AP151" s="1">
        <f>SUMIF(HEVARIM[קוד תקציב],HEVARIM[[#This Row],[קוד תקציב משפחה מקורי]],HEVARIM[ותק מחברה 40])</f>
        <v>56.17</v>
      </c>
      <c r="AQ1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1" s="9">
        <f>IF(HEVARIM[[#This Row],[קוד מעמד]]="1     ",IFERROR(VLOOKUP(HEVARIM[[#This Row],[קוד תקציב]],'תקציב צביעה - לקראת השינוי'!A:F,4,0),0),0)</f>
        <v>0</v>
      </c>
      <c r="AT151" s="1"/>
    </row>
    <row r="152" spans="1:46">
      <c r="A152" t="s">
        <v>776</v>
      </c>
      <c r="B152" t="s">
        <v>777</v>
      </c>
      <c r="C152" t="s">
        <v>709</v>
      </c>
      <c r="D152" t="s">
        <v>387</v>
      </c>
      <c r="E152" t="s">
        <v>79</v>
      </c>
      <c r="F152" s="4">
        <v>34717</v>
      </c>
      <c r="G152">
        <v>30</v>
      </c>
      <c r="H152" t="s">
        <v>773</v>
      </c>
      <c r="I152" t="s">
        <v>774</v>
      </c>
      <c r="J152" s="4" t="s">
        <v>70</v>
      </c>
      <c r="K152" s="4" t="s">
        <v>81</v>
      </c>
      <c r="L152" t="s">
        <v>778</v>
      </c>
      <c r="M152" t="s">
        <v>770</v>
      </c>
      <c r="N152" t="s">
        <v>771</v>
      </c>
      <c r="O152">
        <f>IFERROR(VLOOKUP(HEVARIM[[#This Row],[קוד תקציב]],[2]תקציבים!A:L,6,0),0)</f>
        <v>0</v>
      </c>
      <c r="P152" s="5" t="s">
        <v>83</v>
      </c>
      <c r="Q152" t="s">
        <v>15</v>
      </c>
      <c r="R152" s="4">
        <v>44075</v>
      </c>
      <c r="S152" s="4" t="s">
        <v>74</v>
      </c>
      <c r="T152" s="96" t="s">
        <v>773</v>
      </c>
      <c r="U152" t="str">
        <f>VLOOKUP(HEVARIM[[#This Row],[גיל]],GIL,2,1)</f>
        <v>--</v>
      </c>
      <c r="V152" t="str">
        <f>IF(HEVARIM[[#This Row],[קוד מעמד]]="4     ",IF(HEVARIM[[#This Row],[גיל]]=1,1,IF(HEVARIM[[#This Row],[גיל]]&lt;=5,5,18)),"")</f>
        <v/>
      </c>
      <c r="W152">
        <f t="shared" si="8"/>
        <v>0</v>
      </c>
      <c r="X1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2">
        <f>IF(HEVARIM[[#This Row],[מצב משפחתי2]]="אלמן",'[2]ריכוז נתונים'!$AC$2,0)</f>
        <v>0</v>
      </c>
      <c r="Z152" s="3">
        <f>VLOOKUP(VALUE(HEVARIM[[#This Row],[קוד מעמד]]),הנחות!$I$2:$K$21,3,0)</f>
        <v>0</v>
      </c>
      <c r="AA152" t="b">
        <f>ISERROR(VLOOKUP(HEVARIM[[#This Row],[קוד תקציב]],'[2]ריכוז נתונים'!A:A,1,0))</f>
        <v>1</v>
      </c>
      <c r="AB152" s="1">
        <f t="shared" si="9"/>
        <v>0</v>
      </c>
      <c r="AC152" s="2">
        <f ca="1">IF(HEVARIM[[#This Row],[בר מצוה]]&gt;0,YEAR(TODAY())+'תקציבים מיוחדים'!$F$5-HEVARIM[[#This Row],[גיל]],0)</f>
        <v>0</v>
      </c>
      <c r="AD152" s="1">
        <f t="shared" si="10"/>
        <v>0</v>
      </c>
      <c r="AE152" s="2">
        <f ca="1">IF(HEVARIM[[#This Row],[בת מצוה]]&gt;0,YEAR(TODAY())+'תקציבים מיוחדים'!$F$5-HEVARIM[[#This Row],[גיל]],0)</f>
        <v>0</v>
      </c>
      <c r="AF152" s="1">
        <f>IF(AND($S152&gt;="רווק",$Z152=1),AF$4*IF(HEVARIM[[#This Row],[גיל]]&gt;$AF$3,1,(($G152-AF$2)/(AF$3-AF$2))),0)</f>
        <v>0</v>
      </c>
      <c r="AG15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52" s="1">
        <f t="shared" si="11"/>
        <v>0</v>
      </c>
      <c r="AI152" s="2">
        <f ca="1">IF(AH152&gt;0,YEAR(TODAY())+'תקציבים מיוחדים'!$F$7-HEVARIM[[#This Row],[גיל]],0)</f>
        <v>0</v>
      </c>
      <c r="AJ152" s="9">
        <f>IF(AND(ISERROR(VLOOKUP(H152,'[2]ריכוז נתונים'!A:L,1,0)),P152="1     "),1,0)</f>
        <v>0</v>
      </c>
      <c r="AK15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2" s="1">
        <f>IF(AND(VALUE(HEVARIM[[#This Row],[קוד מעמד]])=1,HEVARIM[[#This Row],[ותק מחברה 40]]&lt;25),HEVARIM[[#This Row],[ותק מחברה 40]]/25*הנחות!$C$4,0)</f>
        <v>0</v>
      </c>
      <c r="AM152" s="9" t="str">
        <f ca="1">IF(HEVARIM[[#This Row],[דמי עזיבה 25 שנות ותק]]&gt;0,YEAR(TODAY())+25-ROUNDDOWN(HEVARIM[[#This Row],[ותק מחברה 40]],0),"")</f>
        <v/>
      </c>
      <c r="AN15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2" s="9" t="str">
        <f ca="1">IF(HEVARIM[[#This Row],[דמי עזיבה לגיל 65]]&gt;0,YEAR(TODAY())+64-ROUNDDOWN(HEVARIM[[#This Row],[גיל]],0),"")</f>
        <v/>
      </c>
      <c r="AP152" s="1">
        <f>SUMIF(HEVARIM[קוד תקציב],HEVARIM[[#This Row],[קוד תקציב משפחה מקורי]],HEVARIM[ותק מחברה 40])</f>
        <v>0</v>
      </c>
      <c r="AQ1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2" s="9">
        <f>IF(HEVARIM[[#This Row],[קוד מעמד]]="1     ",IFERROR(VLOOKUP(HEVARIM[[#This Row],[קוד תקציב]],'תקציב צביעה - לקראת השינוי'!A:F,4,0),0),0)</f>
        <v>0</v>
      </c>
      <c r="AT152" s="1"/>
    </row>
    <row r="153" spans="1:46">
      <c r="A153" t="s">
        <v>779</v>
      </c>
      <c r="B153" t="s">
        <v>780</v>
      </c>
      <c r="C153" t="s">
        <v>709</v>
      </c>
      <c r="D153" t="s">
        <v>781</v>
      </c>
      <c r="E153" t="s">
        <v>67</v>
      </c>
      <c r="F153" s="4">
        <v>44493</v>
      </c>
      <c r="G153">
        <v>4</v>
      </c>
      <c r="H153" t="s">
        <v>773</v>
      </c>
      <c r="I153" t="s">
        <v>774</v>
      </c>
      <c r="J153" s="4" t="s">
        <v>70</v>
      </c>
      <c r="K153" s="4" t="s">
        <v>81</v>
      </c>
      <c r="L153" t="s">
        <v>782</v>
      </c>
      <c r="M153" t="s">
        <v>770</v>
      </c>
      <c r="N153" t="s">
        <v>771</v>
      </c>
      <c r="O153">
        <f>IFERROR(VLOOKUP(HEVARIM[[#This Row],[קוד תקציב]],[2]תקציבים!A:L,6,0),0)</f>
        <v>0</v>
      </c>
      <c r="P153" s="5" t="s">
        <v>89</v>
      </c>
      <c r="Q153" t="s">
        <v>19</v>
      </c>
      <c r="R153" s="4">
        <v>44493</v>
      </c>
      <c r="S153" s="4" t="s">
        <v>90</v>
      </c>
      <c r="T153" s="96" t="s">
        <v>773</v>
      </c>
      <c r="U153" t="str">
        <f>VLOOKUP(HEVARIM[[#This Row],[גיל]],GIL,2,1)</f>
        <v>גנים</v>
      </c>
      <c r="V153" t="str">
        <f>IF(HEVARIM[[#This Row],[קוד מעמד]]="4     ",IF(HEVARIM[[#This Row],[גיל]]=1,1,IF(HEVARIM[[#This Row],[גיל]]&lt;=5,5,18)),"")</f>
        <v/>
      </c>
      <c r="W153">
        <f t="shared" si="8"/>
        <v>0</v>
      </c>
      <c r="X1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3">
        <f>IF(HEVARIM[[#This Row],[מצב משפחתי2]]="אלמן",'[2]ריכוז נתונים'!$AC$2,0)</f>
        <v>0</v>
      </c>
      <c r="Z153" s="3">
        <f>VLOOKUP(VALUE(HEVARIM[[#This Row],[קוד מעמד]]),הנחות!$I$2:$K$21,3,0)</f>
        <v>0</v>
      </c>
      <c r="AA153" t="b">
        <f>ISERROR(VLOOKUP(HEVARIM[[#This Row],[קוד תקציב]],'[2]ריכוז נתונים'!A:A,1,0))</f>
        <v>1</v>
      </c>
      <c r="AB153" s="1">
        <f t="shared" si="9"/>
        <v>0</v>
      </c>
      <c r="AC153" s="2">
        <f ca="1">IF(HEVARIM[[#This Row],[בר מצוה]]&gt;0,YEAR(TODAY())+'תקציבים מיוחדים'!$F$5-HEVARIM[[#This Row],[גיל]],0)</f>
        <v>0</v>
      </c>
      <c r="AD153" s="1">
        <f t="shared" si="10"/>
        <v>0</v>
      </c>
      <c r="AE153" s="2">
        <f ca="1">IF(HEVARIM[[#This Row],[בת מצוה]]&gt;0,YEAR(TODAY())+'תקציבים מיוחדים'!$F$5-HEVARIM[[#This Row],[גיל]],0)</f>
        <v>0</v>
      </c>
      <c r="AF153" s="1">
        <f>IF(AND($S153&gt;="רווק",$Z153=1),AF$4*IF(HEVARIM[[#This Row],[גיל]]&gt;$AF$3,1,(($G153-AF$2)/(AF$3-AF$2))),0)</f>
        <v>0</v>
      </c>
      <c r="AG15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53" s="1">
        <f t="shared" si="11"/>
        <v>0</v>
      </c>
      <c r="AI153" s="2">
        <f ca="1">IF(AH153&gt;0,YEAR(TODAY())+'תקציבים מיוחדים'!$F$7-HEVARIM[[#This Row],[גיל]],0)</f>
        <v>0</v>
      </c>
      <c r="AJ153" s="9">
        <f>IF(AND(ISERROR(VLOOKUP(H153,'[2]ריכוז נתונים'!A:L,1,0)),P153="1     "),1,0)</f>
        <v>0</v>
      </c>
      <c r="AK15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3" s="1">
        <f>IF(AND(VALUE(HEVARIM[[#This Row],[קוד מעמד]])=1,HEVARIM[[#This Row],[ותק מחברה 40]]&lt;25),HEVARIM[[#This Row],[ותק מחברה 40]]/25*הנחות!$C$4,0)</f>
        <v>0</v>
      </c>
      <c r="AM153" s="9" t="str">
        <f ca="1">IF(HEVARIM[[#This Row],[דמי עזיבה 25 שנות ותק]]&gt;0,YEAR(TODAY())+25-ROUNDDOWN(HEVARIM[[#This Row],[ותק מחברה 40]],0),"")</f>
        <v/>
      </c>
      <c r="AN1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3" s="9" t="str">
        <f ca="1">IF(HEVARIM[[#This Row],[דמי עזיבה לגיל 65]]&gt;0,YEAR(TODAY())+64-ROUNDDOWN(HEVARIM[[#This Row],[גיל]],0),"")</f>
        <v/>
      </c>
      <c r="AP153" s="1">
        <f>SUMIF(HEVARIM[קוד תקציב],HEVARIM[[#This Row],[קוד תקציב משפחה מקורי]],HEVARIM[ותק מחברה 40])</f>
        <v>0</v>
      </c>
      <c r="AQ1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3" s="9">
        <f>IF(HEVARIM[[#This Row],[קוד מעמד]]="1     ",IFERROR(VLOOKUP(HEVARIM[[#This Row],[קוד תקציב]],'תקציב צביעה - לקראת השינוי'!A:F,4,0),0),0)</f>
        <v>0</v>
      </c>
      <c r="AT153" s="1"/>
    </row>
    <row r="154" spans="1:46">
      <c r="A154" t="s">
        <v>783</v>
      </c>
      <c r="B154" t="s">
        <v>784</v>
      </c>
      <c r="C154" t="s">
        <v>709</v>
      </c>
      <c r="D154" t="s">
        <v>785</v>
      </c>
      <c r="E154" t="s">
        <v>67</v>
      </c>
      <c r="F154" s="4">
        <v>45334</v>
      </c>
      <c r="G154">
        <v>1</v>
      </c>
      <c r="H154" t="s">
        <v>773</v>
      </c>
      <c r="I154" t="s">
        <v>774</v>
      </c>
      <c r="J154" s="4" t="s">
        <v>70</v>
      </c>
      <c r="K154" s="4" t="s">
        <v>81</v>
      </c>
      <c r="L154" t="s">
        <v>786</v>
      </c>
      <c r="M154" t="s">
        <v>770</v>
      </c>
      <c r="N154" t="s">
        <v>771</v>
      </c>
      <c r="O154">
        <f>IFERROR(VLOOKUP(HEVARIM[[#This Row],[קוד תקציב]],[2]תקציבים!A:L,6,0),0)</f>
        <v>0</v>
      </c>
      <c r="P154" s="5" t="s">
        <v>89</v>
      </c>
      <c r="Q154" t="s">
        <v>19</v>
      </c>
      <c r="R154" s="4">
        <v>45334</v>
      </c>
      <c r="S154" s="4" t="s">
        <v>90</v>
      </c>
      <c r="T154" s="96" t="s">
        <v>773</v>
      </c>
      <c r="U154" t="str">
        <f>VLOOKUP(HEVARIM[[#This Row],[גיל]],GIL,2,1)</f>
        <v>פעוט</v>
      </c>
      <c r="V154" t="str">
        <f>IF(HEVARIM[[#This Row],[קוד מעמד]]="4     ",IF(HEVARIM[[#This Row],[גיל]]=1,1,IF(HEVARIM[[#This Row],[גיל]]&lt;=5,5,18)),"")</f>
        <v/>
      </c>
      <c r="W154">
        <f t="shared" si="8"/>
        <v>0</v>
      </c>
      <c r="X1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4">
        <f>IF(HEVARIM[[#This Row],[מצב משפחתי2]]="אלמן",'[2]ריכוז נתונים'!$AC$2,0)</f>
        <v>0</v>
      </c>
      <c r="Z154" s="3">
        <f>VLOOKUP(VALUE(HEVARIM[[#This Row],[קוד מעמד]]),הנחות!$I$2:$K$21,3,0)</f>
        <v>0</v>
      </c>
      <c r="AA154" t="b">
        <f>ISERROR(VLOOKUP(HEVARIM[[#This Row],[קוד תקציב]],'[2]ריכוז נתונים'!A:A,1,0))</f>
        <v>1</v>
      </c>
      <c r="AB154" s="1">
        <f t="shared" si="9"/>
        <v>0</v>
      </c>
      <c r="AC154" s="2">
        <f ca="1">IF(HEVARIM[[#This Row],[בר מצוה]]&gt;0,YEAR(TODAY())+'תקציבים מיוחדים'!$F$5-HEVARIM[[#This Row],[גיל]],0)</f>
        <v>0</v>
      </c>
      <c r="AD154" s="1">
        <f t="shared" si="10"/>
        <v>0</v>
      </c>
      <c r="AE154" s="2">
        <f ca="1">IF(HEVARIM[[#This Row],[בת מצוה]]&gt;0,YEAR(TODAY())+'תקציבים מיוחדים'!$F$5-HEVARIM[[#This Row],[גיל]],0)</f>
        <v>0</v>
      </c>
      <c r="AF154" s="1">
        <f>IF(AND($S154&gt;="רווק",$Z154=1),AF$4*IF(HEVARIM[[#This Row],[גיל]]&gt;$AF$3,1,(($G154-AF$2)/(AF$3-AF$2))),0)</f>
        <v>0</v>
      </c>
      <c r="AG15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54" s="1">
        <f t="shared" si="11"/>
        <v>0</v>
      </c>
      <c r="AI154" s="2">
        <f ca="1">IF(AH154&gt;0,YEAR(TODAY())+'תקציבים מיוחדים'!$F$7-HEVARIM[[#This Row],[גיל]],0)</f>
        <v>0</v>
      </c>
      <c r="AJ154" s="9">
        <f>IF(AND(ISERROR(VLOOKUP(H154,'[2]ריכוז נתונים'!A:L,1,0)),P154="1     "),1,0)</f>
        <v>0</v>
      </c>
      <c r="AK15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4" s="1">
        <f>IF(AND(VALUE(HEVARIM[[#This Row],[קוד מעמד]])=1,HEVARIM[[#This Row],[ותק מחברה 40]]&lt;25),HEVARIM[[#This Row],[ותק מחברה 40]]/25*הנחות!$C$4,0)</f>
        <v>0</v>
      </c>
      <c r="AM154" s="9" t="str">
        <f ca="1">IF(HEVARIM[[#This Row],[דמי עזיבה 25 שנות ותק]]&gt;0,YEAR(TODAY())+25-ROUNDDOWN(HEVARIM[[#This Row],[ותק מחברה 40]],0),"")</f>
        <v/>
      </c>
      <c r="AN1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4" s="9" t="str">
        <f ca="1">IF(HEVARIM[[#This Row],[דמי עזיבה לגיל 65]]&gt;0,YEAR(TODAY())+64-ROUNDDOWN(HEVARIM[[#This Row],[גיל]],0),"")</f>
        <v/>
      </c>
      <c r="AP154" s="1">
        <f>SUMIF(HEVARIM[קוד תקציב],HEVARIM[[#This Row],[קוד תקציב משפחה מקורי]],HEVARIM[ותק מחברה 40])</f>
        <v>0</v>
      </c>
      <c r="AQ1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4" s="9">
        <f>IF(HEVARIM[[#This Row],[קוד מעמד]]="1     ",IFERROR(VLOOKUP(HEVARIM[[#This Row],[קוד תקציב]],'תקציב צביעה - לקראת השינוי'!A:F,4,0),0),0)</f>
        <v>0</v>
      </c>
      <c r="AT154" s="1"/>
    </row>
    <row r="155" spans="1:46">
      <c r="A155" t="s">
        <v>787</v>
      </c>
      <c r="B155" t="s">
        <v>788</v>
      </c>
      <c r="C155" t="s">
        <v>690</v>
      </c>
      <c r="D155" t="s">
        <v>789</v>
      </c>
      <c r="E155" t="s">
        <v>67</v>
      </c>
      <c r="F155" s="4">
        <v>30492</v>
      </c>
      <c r="G155">
        <v>42</v>
      </c>
      <c r="H155" t="s">
        <v>790</v>
      </c>
      <c r="I155" t="s">
        <v>791</v>
      </c>
      <c r="J155" s="4" t="s">
        <v>70</v>
      </c>
      <c r="K155" s="4" t="s">
        <v>71</v>
      </c>
      <c r="L155" t="s">
        <v>792</v>
      </c>
      <c r="M155" t="s">
        <v>787</v>
      </c>
      <c r="N155" t="s">
        <v>788</v>
      </c>
      <c r="O155">
        <f>IFERROR(VLOOKUP(HEVARIM[[#This Row],[קוד תקציב]],[2]תקציבים!A:L,6,0),0)</f>
        <v>1</v>
      </c>
      <c r="P155" s="5" t="s">
        <v>104</v>
      </c>
      <c r="Q155" t="s">
        <v>11</v>
      </c>
      <c r="R155" s="4">
        <v>39981</v>
      </c>
      <c r="S155" s="4" t="s">
        <v>145</v>
      </c>
      <c r="T155" s="96" t="s">
        <v>790</v>
      </c>
      <c r="U155" t="str">
        <f>VLOOKUP(HEVARIM[[#This Row],[גיל]],GIL,2,1)</f>
        <v>--</v>
      </c>
      <c r="V155" t="str">
        <f>IF(HEVARIM[[#This Row],[קוד מעמד]]="4     ",IF(HEVARIM[[#This Row],[גיל]]=1,1,IF(HEVARIM[[#This Row],[גיל]]&lt;=5,5,18)),"")</f>
        <v/>
      </c>
      <c r="W155">
        <f t="shared" si="8"/>
        <v>0</v>
      </c>
      <c r="X1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5">
        <f>IF(HEVARIM[[#This Row],[מצב משפחתי2]]="אלמן",'[2]ריכוז נתונים'!$AC$2,0)</f>
        <v>0</v>
      </c>
      <c r="Z155" s="3">
        <f>VLOOKUP(VALUE(HEVARIM[[#This Row],[קוד מעמד]]),הנחות!$I$2:$K$21,3,0)</f>
        <v>0</v>
      </c>
      <c r="AA155" t="b">
        <f>ISERROR(VLOOKUP(HEVARIM[[#This Row],[קוד תקציב]],'[2]ריכוז נתונים'!A:A,1,0))</f>
        <v>0</v>
      </c>
      <c r="AB155" s="1">
        <f t="shared" si="9"/>
        <v>0</v>
      </c>
      <c r="AC155" s="2">
        <f ca="1">IF(HEVARIM[[#This Row],[בר מצוה]]&gt;0,YEAR(TODAY())+'תקציבים מיוחדים'!$F$5-HEVARIM[[#This Row],[גיל]],0)</f>
        <v>0</v>
      </c>
      <c r="AD155" s="1">
        <f t="shared" si="10"/>
        <v>0</v>
      </c>
      <c r="AE155" s="2">
        <f ca="1">IF(HEVARIM[[#This Row],[בת מצוה]]&gt;0,YEAR(TODAY())+'תקציבים מיוחדים'!$F$5-HEVARIM[[#This Row],[גיל]],0)</f>
        <v>0</v>
      </c>
      <c r="AF155" s="1">
        <f>IF(AND($S155&gt;="רווק",$Z155=1),AF$4*IF(HEVARIM[[#This Row],[גיל]]&gt;$AF$3,1,(($G155-AF$2)/(AF$3-AF$2))),0)</f>
        <v>0</v>
      </c>
      <c r="AG15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55" s="1">
        <f t="shared" si="11"/>
        <v>0</v>
      </c>
      <c r="AI155" s="2">
        <f ca="1">IF(AH155&gt;0,YEAR(TODAY())+'תקציבים מיוחדים'!$F$7-HEVARIM[[#This Row],[גיל]],0)</f>
        <v>0</v>
      </c>
      <c r="AJ155" s="9">
        <f>IF(AND(ISERROR(VLOOKUP(H155,'[2]ריכוז נתונים'!A:L,1,0)),P155="1     "),1,0)</f>
        <v>0</v>
      </c>
      <c r="AK155" s="1">
        <f>IF(VALUE(HEVARIM[[#This Row],[קוד מעמד]])=1,VLOOKUP((IF(LEFT(HEVARIM[[#This Row],[קוד חבר]],1)="0",HEVARIM[[#This Row],[קוד חבר]],VALUE(HEVARIM[[#This Row],[קוד חבר]]))),'ותק חברה 40'!AQ:AW,7,0),"")</f>
        <v>18.93</v>
      </c>
      <c r="AL155" s="1">
        <f>IF(AND(VALUE(HEVARIM[[#This Row],[קוד מעמד]])=1,HEVARIM[[#This Row],[ותק מחברה 40]]&lt;25),HEVARIM[[#This Row],[ותק מחברה 40]]/25*הנחות!$C$4,0)</f>
        <v>28421.208584999997</v>
      </c>
      <c r="AM155" s="9">
        <f ca="1">IF(HEVARIM[[#This Row],[דמי עזיבה 25 שנות ותק]]&gt;0,YEAR(TODAY())+25-ROUNDDOWN(HEVARIM[[#This Row],[ותק מחברה 40]],0),"")</f>
        <v>2033</v>
      </c>
      <c r="AN1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5" s="9" t="str">
        <f ca="1">IF(HEVARIM[[#This Row],[דמי עזיבה לגיל 65]]&gt;0,YEAR(TODAY())+64-ROUNDDOWN(HEVARIM[[#This Row],[גיל]],0),"")</f>
        <v/>
      </c>
      <c r="AP155" s="1">
        <f>SUMIF(HEVARIM[קוד תקציב],HEVARIM[[#This Row],[קוד תקציב משפחה מקורי]],HEVARIM[ותק מחברה 40])</f>
        <v>18.93</v>
      </c>
      <c r="AQ1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155" s="9">
        <f>IF(HEVARIM[[#This Row],[קוד מעמד]]="1     ",IFERROR(VLOOKUP(HEVARIM[[#This Row],[קוד תקציב]],'תקציב צביעה - לקראת השינוי'!A:F,4,0),0),0)</f>
        <v>2032</v>
      </c>
      <c r="AT155" s="1"/>
    </row>
    <row r="156" spans="1:46">
      <c r="A156" t="s">
        <v>798</v>
      </c>
      <c r="B156" t="s">
        <v>799</v>
      </c>
      <c r="C156" t="s">
        <v>690</v>
      </c>
      <c r="D156" t="s">
        <v>800</v>
      </c>
      <c r="E156" t="s">
        <v>79</v>
      </c>
      <c r="F156" s="4">
        <v>40309</v>
      </c>
      <c r="G156">
        <v>15</v>
      </c>
      <c r="H156" t="s">
        <v>790</v>
      </c>
      <c r="I156" t="s">
        <v>791</v>
      </c>
      <c r="J156" s="4" t="s">
        <v>70</v>
      </c>
      <c r="K156" s="4" t="s">
        <v>71</v>
      </c>
      <c r="L156" t="s">
        <v>801</v>
      </c>
      <c r="M156" t="s">
        <v>787</v>
      </c>
      <c r="N156" t="s">
        <v>788</v>
      </c>
      <c r="O156">
        <f>IFERROR(VLOOKUP(HEVARIM[[#This Row],[קוד תקציב]],[2]תקציבים!A:L,6,0),0)</f>
        <v>1</v>
      </c>
      <c r="P156" s="5" t="s">
        <v>227</v>
      </c>
      <c r="Q156" t="s">
        <v>14</v>
      </c>
      <c r="R156" s="4">
        <v>40309</v>
      </c>
      <c r="S156" s="4" t="s">
        <v>90</v>
      </c>
      <c r="T156" s="96" t="s">
        <v>790</v>
      </c>
      <c r="U156" t="str">
        <f>VLOOKUP(HEVARIM[[#This Row],[גיל]],GIL,2,1)</f>
        <v>תיכון</v>
      </c>
      <c r="V156">
        <f>IF(HEVARIM[[#This Row],[קוד מעמד]]="4     ",IF(HEVARIM[[#This Row],[גיל]]=1,1,IF(HEVARIM[[#This Row],[גיל]]&lt;=5,5,18)),"")</f>
        <v>18</v>
      </c>
      <c r="W156">
        <f t="shared" si="8"/>
        <v>0</v>
      </c>
      <c r="X1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6">
        <f>IF(HEVARIM[[#This Row],[מצב משפחתי2]]="אלמן",'[2]ריכוז נתונים'!$AC$2,0)</f>
        <v>0</v>
      </c>
      <c r="Z156" s="3">
        <f>VLOOKUP(VALUE(HEVARIM[[#This Row],[קוד מעמד]]),הנחות!$I$2:$K$21,3,0)</f>
        <v>1</v>
      </c>
      <c r="AA156" t="b">
        <f>ISERROR(VLOOKUP(HEVARIM[[#This Row],[קוד תקציב]],'[2]ריכוז נתונים'!A:A,1,0))</f>
        <v>0</v>
      </c>
      <c r="AB156" s="1">
        <f t="shared" si="9"/>
        <v>0</v>
      </c>
      <c r="AC156" s="2">
        <f ca="1">IF(HEVARIM[[#This Row],[בר מצוה]]&gt;0,YEAR(TODAY())+'תקציבים מיוחדים'!$F$5-HEVARIM[[#This Row],[גיל]],0)</f>
        <v>0</v>
      </c>
      <c r="AD156" s="1">
        <f t="shared" si="10"/>
        <v>0</v>
      </c>
      <c r="AE156" s="2">
        <f ca="1">IF(HEVARIM[[#This Row],[בת מצוה]]&gt;0,YEAR(TODAY())+'תקציבים מיוחדים'!$F$5-HEVARIM[[#This Row],[גיל]],0)</f>
        <v>0</v>
      </c>
      <c r="AF156" s="1">
        <f>IF(AND($S156&gt;="רווק",$Z156=1),AF$4*IF(HEVARIM[[#This Row],[גיל]]&gt;$AF$3,1,(($G156-AF$2)/(AF$3-AF$2))),0)</f>
        <v>43223.21428571429</v>
      </c>
      <c r="AG156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156" s="1">
        <f t="shared" si="11"/>
        <v>75420.357142857145</v>
      </c>
      <c r="AI156" s="2">
        <f ca="1">IF(AH156&gt;0,YEAR(TODAY())+'תקציבים מיוחדים'!$F$7-HEVARIM[[#This Row],[גיל]],0)</f>
        <v>2032</v>
      </c>
      <c r="AJ156" s="9">
        <f>IF(AND(ISERROR(VLOOKUP(H156,'[2]ריכוז נתונים'!A:L,1,0)),P156="1     "),1,0)</f>
        <v>0</v>
      </c>
      <c r="AK1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6" s="1">
        <f>IF(AND(VALUE(HEVARIM[[#This Row],[קוד מעמד]])=1,HEVARIM[[#This Row],[ותק מחברה 40]]&lt;25),HEVARIM[[#This Row],[ותק מחברה 40]]/25*הנחות!$C$4,0)</f>
        <v>0</v>
      </c>
      <c r="AM156" s="9" t="str">
        <f ca="1">IF(HEVARIM[[#This Row],[דמי עזיבה 25 שנות ותק]]&gt;0,YEAR(TODAY())+25-ROUNDDOWN(HEVARIM[[#This Row],[ותק מחברה 40]],0),"")</f>
        <v/>
      </c>
      <c r="AN1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6" s="9" t="str">
        <f ca="1">IF(HEVARIM[[#This Row],[דמי עזיבה לגיל 65]]&gt;0,YEAR(TODAY())+64-ROUNDDOWN(HEVARIM[[#This Row],[גיל]],0),"")</f>
        <v/>
      </c>
      <c r="AP156" s="1">
        <f>SUMIF(HEVARIM[קוד תקציב],HEVARIM[[#This Row],[קוד תקציב משפחה מקורי]],HEVARIM[ותק מחברה 40])</f>
        <v>18.93</v>
      </c>
      <c r="AQ1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6" s="9">
        <f>IF(HEVARIM[[#This Row],[קוד מעמד]]="1     ",IFERROR(VLOOKUP(HEVARIM[[#This Row],[קוד תקציב]],'תקציב צביעה - לקראת השינוי'!A:F,4,0),0),0)</f>
        <v>0</v>
      </c>
      <c r="AT156" s="1"/>
    </row>
    <row r="157" spans="1:46">
      <c r="A157" t="s">
        <v>802</v>
      </c>
      <c r="B157" t="s">
        <v>803</v>
      </c>
      <c r="C157" t="s">
        <v>690</v>
      </c>
      <c r="D157" t="s">
        <v>387</v>
      </c>
      <c r="E157" t="s">
        <v>67</v>
      </c>
      <c r="F157" s="4">
        <v>42310</v>
      </c>
      <c r="G157">
        <v>10</v>
      </c>
      <c r="H157" t="s">
        <v>790</v>
      </c>
      <c r="I157" t="s">
        <v>791</v>
      </c>
      <c r="J157" s="4" t="s">
        <v>70</v>
      </c>
      <c r="K157" s="4" t="s">
        <v>71</v>
      </c>
      <c r="L157" t="s">
        <v>804</v>
      </c>
      <c r="M157" t="s">
        <v>787</v>
      </c>
      <c r="N157" t="s">
        <v>788</v>
      </c>
      <c r="O157">
        <f>IFERROR(VLOOKUP(HEVARIM[[#This Row],[קוד תקציב]],[2]תקציבים!A:L,6,0),0)</f>
        <v>1</v>
      </c>
      <c r="P157" s="5" t="s">
        <v>227</v>
      </c>
      <c r="Q157" t="s">
        <v>14</v>
      </c>
      <c r="R157" s="4">
        <v>42310</v>
      </c>
      <c r="S157" s="4" t="s">
        <v>90</v>
      </c>
      <c r="T157" s="96" t="s">
        <v>790</v>
      </c>
      <c r="U157" t="str">
        <f>VLOOKUP(HEVARIM[[#This Row],[גיל]],GIL,2,1)</f>
        <v>יסודי</v>
      </c>
      <c r="V157">
        <f>IF(HEVARIM[[#This Row],[קוד מעמד]]="4     ",IF(HEVARIM[[#This Row],[גיל]]=1,1,IF(HEVARIM[[#This Row],[גיל]]&lt;=5,5,18)),"")</f>
        <v>18</v>
      </c>
      <c r="W157">
        <f t="shared" si="8"/>
        <v>0</v>
      </c>
      <c r="X1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7">
        <f>IF(HEVARIM[[#This Row],[מצב משפחתי2]]="אלמן",'[2]ריכוז נתונים'!$AC$2,0)</f>
        <v>0</v>
      </c>
      <c r="Z157" s="3">
        <f>VLOOKUP(VALUE(HEVARIM[[#This Row],[קוד מעמד]]),הנחות!$I$2:$K$21,3,0)</f>
        <v>1</v>
      </c>
      <c r="AA157" t="b">
        <f>ISERROR(VLOOKUP(HEVARIM[[#This Row],[קוד תקציב]],'[2]ריכוז נתונים'!A:A,1,0))</f>
        <v>0</v>
      </c>
      <c r="AB157" s="1">
        <f t="shared" si="9"/>
        <v>5511.5384615384619</v>
      </c>
      <c r="AC157" s="2">
        <f ca="1">IF(HEVARIM[[#This Row],[בר מצוה]]&gt;0,YEAR(TODAY())+'תקציבים מיוחדים'!$F$5-HEVARIM[[#This Row],[גיל]],0)</f>
        <v>2029</v>
      </c>
      <c r="AD157" s="1">
        <f t="shared" si="10"/>
        <v>0</v>
      </c>
      <c r="AE157" s="2">
        <f ca="1">IF(HEVARIM[[#This Row],[בת מצוה]]&gt;0,YEAR(TODAY())+'תקציבים מיוחדים'!$F$5-HEVARIM[[#This Row],[גיל]],0)</f>
        <v>0</v>
      </c>
      <c r="AF157" s="1">
        <f>IF(AND($S157&gt;="רווק",$Z157=1),AF$4*IF(HEVARIM[[#This Row],[גיל]]&gt;$AF$3,1,(($G157-AF$2)/(AF$3-AF$2))),0)</f>
        <v>28815.476190476187</v>
      </c>
      <c r="AG157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157" s="1">
        <f t="shared" si="11"/>
        <v>50280.238095238092</v>
      </c>
      <c r="AI157" s="2">
        <f ca="1">IF(AH157&gt;0,YEAR(TODAY())+'תקציבים מיוחדים'!$F$7-HEVARIM[[#This Row],[גיל]],0)</f>
        <v>2037</v>
      </c>
      <c r="AJ157" s="9">
        <f>IF(AND(ISERROR(VLOOKUP(H157,'[2]ריכוז נתונים'!A:L,1,0)),P157="1     "),1,0)</f>
        <v>0</v>
      </c>
      <c r="AK15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7" s="1">
        <f>IF(AND(VALUE(HEVARIM[[#This Row],[קוד מעמד]])=1,HEVARIM[[#This Row],[ותק מחברה 40]]&lt;25),HEVARIM[[#This Row],[ותק מחברה 40]]/25*הנחות!$C$4,0)</f>
        <v>0</v>
      </c>
      <c r="AM157" s="9" t="str">
        <f ca="1">IF(HEVARIM[[#This Row],[דמי עזיבה 25 שנות ותק]]&gt;0,YEAR(TODAY())+25-ROUNDDOWN(HEVARIM[[#This Row],[ותק מחברה 40]],0),"")</f>
        <v/>
      </c>
      <c r="AN1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7" s="9" t="str">
        <f ca="1">IF(HEVARIM[[#This Row],[דמי עזיבה לגיל 65]]&gt;0,YEAR(TODAY())+64-ROUNDDOWN(HEVARIM[[#This Row],[גיל]],0),"")</f>
        <v/>
      </c>
      <c r="AP157" s="1">
        <f>SUMIF(HEVARIM[קוד תקציב],HEVARIM[[#This Row],[קוד תקציב משפחה מקורי]],HEVARIM[ותק מחברה 40])</f>
        <v>18.93</v>
      </c>
      <c r="AQ1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7" s="9">
        <f>IF(HEVARIM[[#This Row],[קוד מעמד]]="1     ",IFERROR(VLOOKUP(HEVARIM[[#This Row],[קוד תקציב]],'תקציב צביעה - לקראת השינוי'!A:F,4,0),0),0)</f>
        <v>0</v>
      </c>
      <c r="AT157" s="1"/>
    </row>
    <row r="158" spans="1:46">
      <c r="A158" t="s">
        <v>896</v>
      </c>
      <c r="B158" t="s">
        <v>897</v>
      </c>
      <c r="C158" t="s">
        <v>690</v>
      </c>
      <c r="D158" t="s">
        <v>898</v>
      </c>
      <c r="E158" t="s">
        <v>79</v>
      </c>
      <c r="F158" s="4">
        <v>38900</v>
      </c>
      <c r="G158">
        <v>19</v>
      </c>
      <c r="H158" t="s">
        <v>790</v>
      </c>
      <c r="I158" t="s">
        <v>791</v>
      </c>
      <c r="J158" s="4" t="s">
        <v>70</v>
      </c>
      <c r="K158" s="4" t="s">
        <v>71</v>
      </c>
      <c r="L158" t="s">
        <v>899</v>
      </c>
      <c r="M158" t="s">
        <v>787</v>
      </c>
      <c r="N158" t="s">
        <v>788</v>
      </c>
      <c r="O158">
        <f>IFERROR(VLOOKUP(HEVARIM[[#This Row],[קוד תקציב]],[2]תקציבים!A:L,6,0),0)</f>
        <v>1</v>
      </c>
      <c r="P158" s="5" t="s">
        <v>545</v>
      </c>
      <c r="Q158" t="s">
        <v>13</v>
      </c>
      <c r="R158" s="4">
        <v>45508</v>
      </c>
      <c r="S158" s="4" t="s">
        <v>90</v>
      </c>
      <c r="T158" s="96" t="s">
        <v>790</v>
      </c>
      <c r="U158" t="str">
        <f>VLOOKUP(HEVARIM[[#This Row],[גיל]],GIL,2,1)</f>
        <v>--</v>
      </c>
      <c r="V158" t="str">
        <f>IF(HEVARIM[[#This Row],[קוד מעמד]]="4     ",IF(HEVARIM[[#This Row],[גיל]]=1,1,IF(HEVARIM[[#This Row],[גיל]]&lt;=5,5,18)),"")</f>
        <v/>
      </c>
      <c r="W158">
        <f t="shared" si="8"/>
        <v>0</v>
      </c>
      <c r="X1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8">
        <f>IF(HEVARIM[[#This Row],[מצב משפחתי2]]="אלמן",'[2]ריכוז נתונים'!$AC$2,0)</f>
        <v>0</v>
      </c>
      <c r="Z158" s="3">
        <f>VLOOKUP(VALUE(HEVARIM[[#This Row],[קוד מעמד]]),הנחות!$I$2:$K$21,3,0)</f>
        <v>1</v>
      </c>
      <c r="AA158" t="b">
        <f>ISERROR(VLOOKUP(HEVARIM[[#This Row],[קוד תקציב]],'[2]ריכוז נתונים'!A:A,1,0))</f>
        <v>0</v>
      </c>
      <c r="AB158" s="1">
        <f t="shared" si="9"/>
        <v>0</v>
      </c>
      <c r="AC158" s="2">
        <f ca="1">IF(HEVARIM[[#This Row],[בר מצוה]]&gt;0,YEAR(TODAY())+'תקציבים מיוחדים'!$F$5-HEVARIM[[#This Row],[גיל]],0)</f>
        <v>0</v>
      </c>
      <c r="AD158" s="1">
        <f t="shared" si="10"/>
        <v>0</v>
      </c>
      <c r="AE158" s="2">
        <f ca="1">IF(HEVARIM[[#This Row],[בת מצוה]]&gt;0,YEAR(TODAY())+'תקציבים מיוחדים'!$F$5-HEVARIM[[#This Row],[גיל]],0)</f>
        <v>0</v>
      </c>
      <c r="AF158" s="1">
        <f>IF(AND($S158&gt;="רווק",$Z158=1),AF$4*IF(HEVARIM[[#This Row],[גיל]]&gt;$AF$3,1,(($G158-AF$2)/(AF$3-AF$2))),0)</f>
        <v>54749.404761904763</v>
      </c>
      <c r="AG158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158" s="1">
        <f t="shared" si="11"/>
        <v>95532.452380952382</v>
      </c>
      <c r="AI158" s="2">
        <f ca="1">IF(AH158&gt;0,YEAR(TODAY())+'תקציבים מיוחדים'!$F$7-HEVARIM[[#This Row],[גיל]],0)</f>
        <v>2028</v>
      </c>
      <c r="AJ158" s="9">
        <f>IF(AND(ISERROR(VLOOKUP(H158,'[2]ריכוז נתונים'!A:L,1,0)),P158="1     "),1,0)</f>
        <v>0</v>
      </c>
      <c r="AK15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8" s="1">
        <f>IF(AND(VALUE(HEVARIM[[#This Row],[קוד מעמד]])=1,HEVARIM[[#This Row],[ותק מחברה 40]]&lt;25),HEVARIM[[#This Row],[ותק מחברה 40]]/25*הנחות!$C$4,0)</f>
        <v>0</v>
      </c>
      <c r="AM158" s="9" t="str">
        <f ca="1">IF(HEVARIM[[#This Row],[דמי עזיבה 25 שנות ותק]]&gt;0,YEAR(TODAY())+25-ROUNDDOWN(HEVARIM[[#This Row],[ותק מחברה 40]],0),"")</f>
        <v/>
      </c>
      <c r="AN15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8" s="9" t="str">
        <f ca="1">IF(HEVARIM[[#This Row],[דמי עזיבה לגיל 65]]&gt;0,YEAR(TODAY())+64-ROUNDDOWN(HEVARIM[[#This Row],[גיל]],0),"")</f>
        <v/>
      </c>
      <c r="AP158" s="1">
        <f>SUMIF(HEVARIM[קוד תקציב],HEVARIM[[#This Row],[קוד תקציב משפחה מקורי]],HEVARIM[ותק מחברה 40])</f>
        <v>18.93</v>
      </c>
      <c r="AQ1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1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8" s="9">
        <f>IF(HEVARIM[[#This Row],[קוד מעמד]]="1     ",IFERROR(VLOOKUP(HEVARIM[[#This Row],[קוד תקציב]],'תקציב צביעה - לקראת השינוי'!A:F,4,0),0),0)</f>
        <v>0</v>
      </c>
      <c r="AT158" s="1"/>
    </row>
    <row r="159" spans="1:46">
      <c r="A159" t="s">
        <v>811</v>
      </c>
      <c r="B159" t="s">
        <v>812</v>
      </c>
      <c r="C159" t="s">
        <v>709</v>
      </c>
      <c r="D159" t="s">
        <v>813</v>
      </c>
      <c r="E159" t="s">
        <v>79</v>
      </c>
      <c r="F159" s="4">
        <v>35686</v>
      </c>
      <c r="G159">
        <v>28</v>
      </c>
      <c r="H159" t="s">
        <v>808</v>
      </c>
      <c r="I159" t="s">
        <v>809</v>
      </c>
      <c r="J159" s="4" t="s">
        <v>70</v>
      </c>
      <c r="K159" s="4" t="s">
        <v>81</v>
      </c>
      <c r="L159" t="s">
        <v>814</v>
      </c>
      <c r="M159" t="s">
        <v>805</v>
      </c>
      <c r="N159" t="s">
        <v>806</v>
      </c>
      <c r="O159">
        <f>IFERROR(VLOOKUP(HEVARIM[[#This Row],[קוד תקציב]],[2]תקציבים!A:L,6,0),0)</f>
        <v>0</v>
      </c>
      <c r="P159" s="5" t="s">
        <v>83</v>
      </c>
      <c r="Q159" t="s">
        <v>15</v>
      </c>
      <c r="R159" s="4">
        <v>44649</v>
      </c>
      <c r="S159" s="4" t="s">
        <v>74</v>
      </c>
      <c r="T159" s="96" t="s">
        <v>808</v>
      </c>
      <c r="U159" t="str">
        <f>VLOOKUP(HEVARIM[[#This Row],[גיל]],GIL,2,1)</f>
        <v>--</v>
      </c>
      <c r="V159" t="str">
        <f>IF(HEVARIM[[#This Row],[קוד מעמד]]="4     ",IF(HEVARIM[[#This Row],[גיל]]=1,1,IF(HEVARIM[[#This Row],[גיל]]&lt;=5,5,18)),"")</f>
        <v/>
      </c>
      <c r="W159">
        <f t="shared" si="8"/>
        <v>0</v>
      </c>
      <c r="X15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59">
        <f>IF(HEVARIM[[#This Row],[מצב משפחתי2]]="אלמן",'[2]ריכוז נתונים'!$AC$2,0)</f>
        <v>0</v>
      </c>
      <c r="Z159" s="3">
        <f>VLOOKUP(VALUE(HEVARIM[[#This Row],[קוד מעמד]]),הנחות!$I$2:$K$21,3,0)</f>
        <v>0</v>
      </c>
      <c r="AA159" t="b">
        <f>ISERROR(VLOOKUP(HEVARIM[[#This Row],[קוד תקציב]],'[2]ריכוז נתונים'!A:A,1,0))</f>
        <v>1</v>
      </c>
      <c r="AB159" s="1">
        <f t="shared" si="9"/>
        <v>0</v>
      </c>
      <c r="AC159" s="2">
        <f ca="1">IF(HEVARIM[[#This Row],[בר מצוה]]&gt;0,YEAR(TODAY())+'תקציבים מיוחדים'!$F$5-HEVARIM[[#This Row],[גיל]],0)</f>
        <v>0</v>
      </c>
      <c r="AD159" s="1">
        <f t="shared" si="10"/>
        <v>0</v>
      </c>
      <c r="AE159" s="2">
        <f ca="1">IF(HEVARIM[[#This Row],[בת מצוה]]&gt;0,YEAR(TODAY())+'תקציבים מיוחדים'!$F$5-HEVARIM[[#This Row],[גיל]],0)</f>
        <v>0</v>
      </c>
      <c r="AF159" s="1">
        <f>IF(AND($S159&gt;="רווק",$Z159=1),AF$4*IF(HEVARIM[[#This Row],[גיל]]&gt;$AF$3,1,(($G159-AF$2)/(AF$3-AF$2))),0)</f>
        <v>0</v>
      </c>
      <c r="AG15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59" s="1">
        <f t="shared" si="11"/>
        <v>0</v>
      </c>
      <c r="AI159" s="2">
        <f ca="1">IF(AH159&gt;0,YEAR(TODAY())+'תקציבים מיוחדים'!$F$7-HEVARIM[[#This Row],[גיל]],0)</f>
        <v>0</v>
      </c>
      <c r="AJ159" s="9">
        <f>IF(AND(ISERROR(VLOOKUP(H159,'[2]ריכוז נתונים'!A:L,1,0)),P159="1     "),1,0)</f>
        <v>0</v>
      </c>
      <c r="AK15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59" s="1">
        <f>IF(AND(VALUE(HEVARIM[[#This Row],[קוד מעמד]])=1,HEVARIM[[#This Row],[ותק מחברה 40]]&lt;25),HEVARIM[[#This Row],[ותק מחברה 40]]/25*הנחות!$C$4,0)</f>
        <v>0</v>
      </c>
      <c r="AM159" s="9" t="str">
        <f ca="1">IF(HEVARIM[[#This Row],[דמי עזיבה 25 שנות ותק]]&gt;0,YEAR(TODAY())+25-ROUNDDOWN(HEVARIM[[#This Row],[ותק מחברה 40]],0),"")</f>
        <v/>
      </c>
      <c r="AN1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59" s="9" t="str">
        <f ca="1">IF(HEVARIM[[#This Row],[דמי עזיבה לגיל 65]]&gt;0,YEAR(TODAY())+64-ROUNDDOWN(HEVARIM[[#This Row],[גיל]],0),"")</f>
        <v/>
      </c>
      <c r="AP159" s="1">
        <f>SUMIF(HEVARIM[קוד תקציב],HEVARIM[[#This Row],[קוד תקציב משפחה מקורי]],HEVARIM[ותק מחברה 40])</f>
        <v>0</v>
      </c>
      <c r="AQ1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59" s="9">
        <f>IF(HEVARIM[[#This Row],[קוד מעמד]]="1     ",IFERROR(VLOOKUP(HEVARIM[[#This Row],[קוד תקציב]],'תקציב צביעה - לקראת השינוי'!A:F,4,0),0),0)</f>
        <v>0</v>
      </c>
      <c r="AT159" s="1"/>
    </row>
    <row r="160" spans="1:46">
      <c r="A160" t="s">
        <v>815</v>
      </c>
      <c r="B160" t="s">
        <v>816</v>
      </c>
      <c r="C160" t="s">
        <v>709</v>
      </c>
      <c r="D160" t="s">
        <v>817</v>
      </c>
      <c r="E160" t="s">
        <v>79</v>
      </c>
      <c r="F160" s="4">
        <v>45548</v>
      </c>
      <c r="G160">
        <v>1</v>
      </c>
      <c r="H160" t="s">
        <v>808</v>
      </c>
      <c r="I160" t="s">
        <v>809</v>
      </c>
      <c r="J160" s="4" t="s">
        <v>70</v>
      </c>
      <c r="K160" s="4" t="s">
        <v>81</v>
      </c>
      <c r="L160" t="s">
        <v>818</v>
      </c>
      <c r="M160" t="s">
        <v>805</v>
      </c>
      <c r="N160" t="s">
        <v>806</v>
      </c>
      <c r="O160">
        <f>IFERROR(VLOOKUP(HEVARIM[[#This Row],[קוד תקציב]],[2]תקציבים!A:L,6,0),0)</f>
        <v>0</v>
      </c>
      <c r="P160" s="5" t="s">
        <v>89</v>
      </c>
      <c r="Q160" t="s">
        <v>19</v>
      </c>
      <c r="R160" s="4">
        <v>45548</v>
      </c>
      <c r="S160" s="4" t="s">
        <v>90</v>
      </c>
      <c r="T160" s="96" t="s">
        <v>808</v>
      </c>
      <c r="U160" t="str">
        <f>VLOOKUP(HEVARIM[[#This Row],[גיל]],GIL,2,1)</f>
        <v>פעוט</v>
      </c>
      <c r="V160" t="str">
        <f>IF(HEVARIM[[#This Row],[קוד מעמד]]="4     ",IF(HEVARIM[[#This Row],[גיל]]=1,1,IF(HEVARIM[[#This Row],[גיל]]&lt;=5,5,18)),"")</f>
        <v/>
      </c>
      <c r="W160">
        <f t="shared" si="8"/>
        <v>0</v>
      </c>
      <c r="X1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0">
        <f>IF(HEVARIM[[#This Row],[מצב משפחתי2]]="אלמן",'[2]ריכוז נתונים'!$AC$2,0)</f>
        <v>0</v>
      </c>
      <c r="Z160" s="3">
        <f>VLOOKUP(VALUE(HEVARIM[[#This Row],[קוד מעמד]]),הנחות!$I$2:$K$21,3,0)</f>
        <v>0</v>
      </c>
      <c r="AA160" t="b">
        <f>ISERROR(VLOOKUP(HEVARIM[[#This Row],[קוד תקציב]],'[2]ריכוז נתונים'!A:A,1,0))</f>
        <v>1</v>
      </c>
      <c r="AB160" s="1">
        <f t="shared" si="9"/>
        <v>0</v>
      </c>
      <c r="AC160" s="2">
        <f ca="1">IF(HEVARIM[[#This Row],[בר מצוה]]&gt;0,YEAR(TODAY())+'תקציבים מיוחדים'!$F$5-HEVARIM[[#This Row],[גיל]],0)</f>
        <v>0</v>
      </c>
      <c r="AD160" s="1">
        <f t="shared" si="10"/>
        <v>0</v>
      </c>
      <c r="AE160" s="2">
        <f ca="1">IF(HEVARIM[[#This Row],[בת מצוה]]&gt;0,YEAR(TODAY())+'תקציבים מיוחדים'!$F$5-HEVARIM[[#This Row],[גיל]],0)</f>
        <v>0</v>
      </c>
      <c r="AF160" s="1">
        <f>IF(AND($S160&gt;="רווק",$Z160=1),AF$4*IF(HEVARIM[[#This Row],[גיל]]&gt;$AF$3,1,(($G160-AF$2)/(AF$3-AF$2))),0)</f>
        <v>0</v>
      </c>
      <c r="AG16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60" s="1">
        <f t="shared" si="11"/>
        <v>0</v>
      </c>
      <c r="AI160" s="2">
        <f ca="1">IF(AH160&gt;0,YEAR(TODAY())+'תקציבים מיוחדים'!$F$7-HEVARIM[[#This Row],[גיל]],0)</f>
        <v>0</v>
      </c>
      <c r="AJ160" s="9">
        <f>IF(AND(ISERROR(VLOOKUP(H160,'[2]ריכוז נתונים'!A:L,1,0)),P160="1     "),1,0)</f>
        <v>0</v>
      </c>
      <c r="AK1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0" s="1">
        <f>IF(AND(VALUE(HEVARIM[[#This Row],[קוד מעמד]])=1,HEVARIM[[#This Row],[ותק מחברה 40]]&lt;25),HEVARIM[[#This Row],[ותק מחברה 40]]/25*הנחות!$C$4,0)</f>
        <v>0</v>
      </c>
      <c r="AM160" s="9" t="str">
        <f ca="1">IF(HEVARIM[[#This Row],[דמי עזיבה 25 שנות ותק]]&gt;0,YEAR(TODAY())+25-ROUNDDOWN(HEVARIM[[#This Row],[ותק מחברה 40]],0),"")</f>
        <v/>
      </c>
      <c r="AN1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0" s="9" t="str">
        <f ca="1">IF(HEVARIM[[#This Row],[דמי עזיבה לגיל 65]]&gt;0,YEAR(TODAY())+64-ROUNDDOWN(HEVARIM[[#This Row],[גיל]],0),"")</f>
        <v/>
      </c>
      <c r="AP160" s="1">
        <f>SUMIF(HEVARIM[קוד תקציב],HEVARIM[[#This Row],[קוד תקציב משפחה מקורי]],HEVARIM[ותק מחברה 40])</f>
        <v>0</v>
      </c>
      <c r="AQ1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0" s="9">
        <f>IF(HEVARIM[[#This Row],[קוד מעמד]]="1     ",IFERROR(VLOOKUP(HEVARIM[[#This Row],[קוד תקציב]],'תקציב צביעה - לקראת השינוי'!A:F,4,0),0),0)</f>
        <v>0</v>
      </c>
      <c r="AT160" s="1"/>
    </row>
    <row r="161" spans="1:46">
      <c r="A161" t="s">
        <v>824</v>
      </c>
      <c r="B161" t="s">
        <v>825</v>
      </c>
      <c r="C161" t="s">
        <v>817</v>
      </c>
      <c r="D161" t="s">
        <v>826</v>
      </c>
      <c r="E161" t="s">
        <v>67</v>
      </c>
      <c r="F161" s="4">
        <v>30592</v>
      </c>
      <c r="G161">
        <v>42</v>
      </c>
      <c r="H161" t="s">
        <v>827</v>
      </c>
      <c r="I161" t="s">
        <v>828</v>
      </c>
      <c r="J161" s="4" t="s">
        <v>70</v>
      </c>
      <c r="K161" s="4" t="s">
        <v>71</v>
      </c>
      <c r="L161" t="s">
        <v>829</v>
      </c>
      <c r="M161" t="s">
        <v>824</v>
      </c>
      <c r="N161" t="s">
        <v>825</v>
      </c>
      <c r="O161">
        <f>IFERROR(VLOOKUP(HEVARIM[[#This Row],[קוד תקציב]],[2]תקציבים!A:L,6,0),0)</f>
        <v>2</v>
      </c>
      <c r="P161" s="5" t="s">
        <v>104</v>
      </c>
      <c r="Q161" t="s">
        <v>11</v>
      </c>
      <c r="R161" s="4">
        <v>42095</v>
      </c>
      <c r="S161" s="4" t="s">
        <v>74</v>
      </c>
      <c r="T161" s="96" t="s">
        <v>827</v>
      </c>
      <c r="U161" t="str">
        <f>VLOOKUP(HEVARIM[[#This Row],[גיל]],GIL,2,1)</f>
        <v>--</v>
      </c>
      <c r="V161" t="str">
        <f>IF(HEVARIM[[#This Row],[קוד מעמד]]="4     ",IF(HEVARIM[[#This Row],[גיל]]=1,1,IF(HEVARIM[[#This Row],[גיל]]&lt;=5,5,18)),"")</f>
        <v/>
      </c>
      <c r="W161">
        <f t="shared" si="8"/>
        <v>0</v>
      </c>
      <c r="X1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1">
        <f>IF(HEVARIM[[#This Row],[מצב משפחתי2]]="אלמן",'[2]ריכוז נתונים'!$AC$2,0)</f>
        <v>0</v>
      </c>
      <c r="Z161" s="3">
        <f>VLOOKUP(VALUE(HEVARIM[[#This Row],[קוד מעמד]]),הנחות!$I$2:$K$21,3,0)</f>
        <v>0</v>
      </c>
      <c r="AA161" t="b">
        <f>ISERROR(VLOOKUP(HEVARIM[[#This Row],[קוד תקציב]],'[2]ריכוז נתונים'!A:A,1,0))</f>
        <v>0</v>
      </c>
      <c r="AB161" s="1">
        <f t="shared" si="9"/>
        <v>0</v>
      </c>
      <c r="AC161" s="2">
        <f ca="1">IF(HEVARIM[[#This Row],[בר מצוה]]&gt;0,YEAR(TODAY())+'תקציבים מיוחדים'!$F$5-HEVARIM[[#This Row],[גיל]],0)</f>
        <v>0</v>
      </c>
      <c r="AD161" s="1">
        <f t="shared" si="10"/>
        <v>0</v>
      </c>
      <c r="AE161" s="2">
        <f ca="1">IF(HEVARIM[[#This Row],[בת מצוה]]&gt;0,YEAR(TODAY())+'תקציבים מיוחדים'!$F$5-HEVARIM[[#This Row],[גיל]],0)</f>
        <v>0</v>
      </c>
      <c r="AF161" s="1">
        <f>IF(AND($S161&gt;="רווק",$Z161=1),AF$4*IF(HEVARIM[[#This Row],[גיל]]&gt;$AF$3,1,(($G161-AF$2)/(AF$3-AF$2))),0)</f>
        <v>0</v>
      </c>
      <c r="AG16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61" s="1">
        <f t="shared" si="11"/>
        <v>0</v>
      </c>
      <c r="AI161" s="2">
        <f ca="1">IF(AH161&gt;0,YEAR(TODAY())+'תקציבים מיוחדים'!$F$7-HEVARIM[[#This Row],[גיל]],0)</f>
        <v>0</v>
      </c>
      <c r="AJ161" s="9">
        <f>IF(AND(ISERROR(VLOOKUP(H161,'[2]ריכוז נתונים'!A:L,1,0)),P161="1     "),1,0)</f>
        <v>0</v>
      </c>
      <c r="AK161" s="1">
        <f>IF(VALUE(HEVARIM[[#This Row],[קוד מעמד]])=1,VLOOKUP((IF(LEFT(HEVARIM[[#This Row],[קוד חבר]],1)="0",HEVARIM[[#This Row],[קוד חבר]],VALUE(HEVARIM[[#This Row],[קוד חבר]]))),'ותק חברה 40'!AQ:AW,7,0),"")</f>
        <v>10.43</v>
      </c>
      <c r="AL161" s="1">
        <f>IF(AND(VALUE(HEVARIM[[#This Row],[קוד מעמד]])=1,HEVARIM[[#This Row],[ותק מחברה 40]]&lt;25),HEVARIM[[#This Row],[ותק מחברה 40]]/25*הנחות!$C$4,0)</f>
        <v>15659.440334999999</v>
      </c>
      <c r="AM161" s="9">
        <f ca="1">IF(HEVARIM[[#This Row],[דמי עזיבה 25 שנות ותק]]&gt;0,YEAR(TODAY())+25-ROUNDDOWN(HEVARIM[[#This Row],[ותק מחברה 40]],0),"")</f>
        <v>2041</v>
      </c>
      <c r="AN1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1" s="9" t="str">
        <f ca="1">IF(HEVARIM[[#This Row],[דמי עזיבה לגיל 65]]&gt;0,YEAR(TODAY())+64-ROUNDDOWN(HEVARIM[[#This Row],[גיל]],0),"")</f>
        <v/>
      </c>
      <c r="AP161" s="1">
        <f>SUMIF(HEVARIM[קוד תקציב],HEVARIM[[#This Row],[קוד תקציב משפחה מקורי]],HEVARIM[ותק מחברה 40])</f>
        <v>21.6</v>
      </c>
      <c r="AQ1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61" s="9">
        <f>IF(HEVARIM[[#This Row],[קוד מעמד]]="1     ",IFERROR(VLOOKUP(HEVARIM[[#This Row],[קוד תקציב]],'תקציב צביעה - לקראת השינוי'!A:F,4,0),0),0)</f>
        <v>2028</v>
      </c>
      <c r="AT161" s="1"/>
    </row>
    <row r="162" spans="1:46">
      <c r="A162" t="s">
        <v>834</v>
      </c>
      <c r="B162" t="s">
        <v>835</v>
      </c>
      <c r="C162" t="s">
        <v>817</v>
      </c>
      <c r="D162" t="s">
        <v>556</v>
      </c>
      <c r="E162" t="s">
        <v>67</v>
      </c>
      <c r="F162" s="4">
        <v>40049</v>
      </c>
      <c r="G162">
        <v>16</v>
      </c>
      <c r="H162" t="s">
        <v>827</v>
      </c>
      <c r="I162" t="s">
        <v>828</v>
      </c>
      <c r="J162" s="4" t="s">
        <v>70</v>
      </c>
      <c r="K162" s="4" t="s">
        <v>71</v>
      </c>
      <c r="L162" t="s">
        <v>836</v>
      </c>
      <c r="M162" t="s">
        <v>824</v>
      </c>
      <c r="N162" t="s">
        <v>825</v>
      </c>
      <c r="O162">
        <f>IFERROR(VLOOKUP(HEVARIM[[#This Row],[קוד תקציב]],[2]תקציבים!A:L,6,0),0)</f>
        <v>2</v>
      </c>
      <c r="P162" s="5" t="s">
        <v>227</v>
      </c>
      <c r="Q162" t="s">
        <v>14</v>
      </c>
      <c r="R162" s="4">
        <v>42095</v>
      </c>
      <c r="S162" s="4" t="s">
        <v>90</v>
      </c>
      <c r="T162" s="96" t="s">
        <v>827</v>
      </c>
      <c r="U162" t="str">
        <f>VLOOKUP(HEVARIM[[#This Row],[גיל]],GIL,2,1)</f>
        <v>תיכון</v>
      </c>
      <c r="V162">
        <f>IF(HEVARIM[[#This Row],[קוד מעמד]]="4     ",IF(HEVARIM[[#This Row],[גיל]]=1,1,IF(HEVARIM[[#This Row],[גיל]]&lt;=5,5,18)),"")</f>
        <v>18</v>
      </c>
      <c r="W162">
        <f t="shared" si="8"/>
        <v>0</v>
      </c>
      <c r="X1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2">
        <f>IF(HEVARIM[[#This Row],[מצב משפחתי2]]="אלמן",'[2]ריכוז נתונים'!$AC$2,0)</f>
        <v>0</v>
      </c>
      <c r="Z162" s="3">
        <f>VLOOKUP(VALUE(HEVARIM[[#This Row],[קוד מעמד]]),הנחות!$I$2:$K$21,3,0)</f>
        <v>1</v>
      </c>
      <c r="AA162" t="b">
        <f>ISERROR(VLOOKUP(HEVARIM[[#This Row],[קוד תקציב]],'[2]ריכוז נתונים'!A:A,1,0))</f>
        <v>0</v>
      </c>
      <c r="AB162" s="1">
        <f t="shared" si="9"/>
        <v>0</v>
      </c>
      <c r="AC162" s="2">
        <f ca="1">IF(HEVARIM[[#This Row],[בר מצוה]]&gt;0,YEAR(TODAY())+'תקציבים מיוחדים'!$F$5-HEVARIM[[#This Row],[גיל]],0)</f>
        <v>0</v>
      </c>
      <c r="AD162" s="1">
        <f t="shared" si="10"/>
        <v>0</v>
      </c>
      <c r="AE162" s="2">
        <f ca="1">IF(HEVARIM[[#This Row],[בת מצוה]]&gt;0,YEAR(TODAY())+'תקציבים מיוחדים'!$F$5-HEVARIM[[#This Row],[גיל]],0)</f>
        <v>0</v>
      </c>
      <c r="AF162" s="1">
        <f>IF(AND($S162&gt;="רווק",$Z162=1),AF$4*IF(HEVARIM[[#This Row],[גיל]]&gt;$AF$3,1,(($G162-AF$2)/(AF$3-AF$2))),0)</f>
        <v>46104.761904761901</v>
      </c>
      <c r="AG162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162" s="1">
        <f t="shared" si="11"/>
        <v>80448.380952380947</v>
      </c>
      <c r="AI162" s="2">
        <f ca="1">IF(AH162&gt;0,YEAR(TODAY())+'תקציבים מיוחדים'!$F$7-HEVARIM[[#This Row],[גיל]],0)</f>
        <v>2031</v>
      </c>
      <c r="AJ162" s="9">
        <f>IF(AND(ISERROR(VLOOKUP(H162,'[2]ריכוז נתונים'!A:L,1,0)),P162="1     "),1,0)</f>
        <v>0</v>
      </c>
      <c r="AK1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2" s="1">
        <f>IF(AND(VALUE(HEVARIM[[#This Row],[קוד מעמד]])=1,HEVARIM[[#This Row],[ותק מחברה 40]]&lt;25),HEVARIM[[#This Row],[ותק מחברה 40]]/25*הנחות!$C$4,0)</f>
        <v>0</v>
      </c>
      <c r="AM162" s="9" t="str">
        <f ca="1">IF(HEVARIM[[#This Row],[דמי עזיבה 25 שנות ותק]]&gt;0,YEAR(TODAY())+25-ROUNDDOWN(HEVARIM[[#This Row],[ותק מחברה 40]],0),"")</f>
        <v/>
      </c>
      <c r="AN1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2" s="9" t="str">
        <f ca="1">IF(HEVARIM[[#This Row],[דמי עזיבה לגיל 65]]&gt;0,YEAR(TODAY())+64-ROUNDDOWN(HEVARIM[[#This Row],[גיל]],0),"")</f>
        <v/>
      </c>
      <c r="AP162" s="1">
        <f>SUMIF(HEVARIM[קוד תקציב],HEVARIM[[#This Row],[קוד תקציב משפחה מקורי]],HEVARIM[ותק מחברה 40])</f>
        <v>21.6</v>
      </c>
      <c r="AQ1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2" s="9">
        <f>IF(HEVARIM[[#This Row],[קוד מעמד]]="1     ",IFERROR(VLOOKUP(HEVARIM[[#This Row],[קוד תקציב]],'תקציב צביעה - לקראת השינוי'!A:F,4,0),0),0)</f>
        <v>0</v>
      </c>
      <c r="AT162" s="1"/>
    </row>
    <row r="163" spans="1:46">
      <c r="A163" t="s">
        <v>837</v>
      </c>
      <c r="B163" t="s">
        <v>838</v>
      </c>
      <c r="C163" t="s">
        <v>817</v>
      </c>
      <c r="D163" t="s">
        <v>839</v>
      </c>
      <c r="E163" t="s">
        <v>67</v>
      </c>
      <c r="F163" s="4">
        <v>41170</v>
      </c>
      <c r="G163">
        <v>13</v>
      </c>
      <c r="H163" t="s">
        <v>827</v>
      </c>
      <c r="I163" t="s">
        <v>828</v>
      </c>
      <c r="J163" s="4" t="s">
        <v>70</v>
      </c>
      <c r="K163" s="4" t="s">
        <v>71</v>
      </c>
      <c r="L163" t="s">
        <v>840</v>
      </c>
      <c r="M163" t="s">
        <v>824</v>
      </c>
      <c r="N163" t="s">
        <v>825</v>
      </c>
      <c r="O163">
        <f>IFERROR(VLOOKUP(HEVARIM[[#This Row],[קוד תקציב]],[2]תקציבים!A:L,6,0),0)</f>
        <v>2</v>
      </c>
      <c r="P163" s="5" t="s">
        <v>227</v>
      </c>
      <c r="Q163" t="s">
        <v>14</v>
      </c>
      <c r="R163" s="4">
        <v>42095</v>
      </c>
      <c r="S163" s="4" t="s">
        <v>90</v>
      </c>
      <c r="T163" s="96" t="s">
        <v>827</v>
      </c>
      <c r="U163" t="str">
        <f>VLOOKUP(HEVARIM[[#This Row],[גיל]],GIL,2,1)</f>
        <v>חטיבה</v>
      </c>
      <c r="V163">
        <f>IF(HEVARIM[[#This Row],[קוד מעמד]]="4     ",IF(HEVARIM[[#This Row],[גיל]]=1,1,IF(HEVARIM[[#This Row],[גיל]]&lt;=5,5,18)),"")</f>
        <v>18</v>
      </c>
      <c r="W163">
        <f t="shared" si="8"/>
        <v>0</v>
      </c>
      <c r="X16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3">
        <f>IF(HEVARIM[[#This Row],[מצב משפחתי2]]="אלמן",'[2]ריכוז נתונים'!$AC$2,0)</f>
        <v>0</v>
      </c>
      <c r="Z163" s="3">
        <f>VLOOKUP(VALUE(HEVARIM[[#This Row],[קוד מעמד]]),הנחות!$I$2:$K$21,3,0)</f>
        <v>1</v>
      </c>
      <c r="AA163" t="b">
        <f>ISERROR(VLOOKUP(HEVARIM[[#This Row],[קוד תקציב]],'[2]ריכוז נתונים'!A:A,1,0))</f>
        <v>0</v>
      </c>
      <c r="AB163" s="1">
        <f t="shared" si="9"/>
        <v>7165</v>
      </c>
      <c r="AC163" s="2">
        <f ca="1">IF(HEVARIM[[#This Row],[בר מצוה]]&gt;0,YEAR(TODAY())+'תקציבים מיוחדים'!$F$5-HEVARIM[[#This Row],[גיל]],0)</f>
        <v>2026</v>
      </c>
      <c r="AD163" s="1">
        <f t="shared" si="10"/>
        <v>0</v>
      </c>
      <c r="AE163" s="2">
        <f ca="1">IF(HEVARIM[[#This Row],[בת מצוה]]&gt;0,YEAR(TODAY())+'תקציבים מיוחדים'!$F$5-HEVARIM[[#This Row],[גיל]],0)</f>
        <v>0</v>
      </c>
      <c r="AF163" s="1">
        <f>IF(AND($S163&gt;="רווק",$Z163=1),AF$4*IF(HEVARIM[[#This Row],[גיל]]&gt;$AF$3,1,(($G163-AF$2)/(AF$3-AF$2))),0)</f>
        <v>37460.119047619046</v>
      </c>
      <c r="AG163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163" s="1">
        <f t="shared" si="11"/>
        <v>65364.309523809527</v>
      </c>
      <c r="AI163" s="2">
        <f ca="1">IF(AH163&gt;0,YEAR(TODAY())+'תקציבים מיוחדים'!$F$7-HEVARIM[[#This Row],[גיל]],0)</f>
        <v>2034</v>
      </c>
      <c r="AJ163" s="9">
        <f>IF(AND(ISERROR(VLOOKUP(H163,'[2]ריכוז נתונים'!A:L,1,0)),P163="1     "),1,0)</f>
        <v>0</v>
      </c>
      <c r="AK16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3" s="1">
        <f>IF(AND(VALUE(HEVARIM[[#This Row],[קוד מעמד]])=1,HEVARIM[[#This Row],[ותק מחברה 40]]&lt;25),HEVARIM[[#This Row],[ותק מחברה 40]]/25*הנחות!$C$4,0)</f>
        <v>0</v>
      </c>
      <c r="AM163" s="9" t="str">
        <f ca="1">IF(HEVARIM[[#This Row],[דמי עזיבה 25 שנות ותק]]&gt;0,YEAR(TODAY())+25-ROUNDDOWN(HEVARIM[[#This Row],[ותק מחברה 40]],0),"")</f>
        <v/>
      </c>
      <c r="AN1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3" s="9" t="str">
        <f ca="1">IF(HEVARIM[[#This Row],[דמי עזיבה לגיל 65]]&gt;0,YEAR(TODAY())+64-ROUNDDOWN(HEVARIM[[#This Row],[גיל]],0),"")</f>
        <v/>
      </c>
      <c r="AP163" s="1">
        <f>SUMIF(HEVARIM[קוד תקציב],HEVARIM[[#This Row],[קוד תקציב משפחה מקורי]],HEVARIM[ותק מחברה 40])</f>
        <v>21.6</v>
      </c>
      <c r="AQ1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3" s="9">
        <f>IF(HEVARIM[[#This Row],[קוד מעמד]]="1     ",IFERROR(VLOOKUP(HEVARIM[[#This Row],[קוד תקציב]],'תקציב צביעה - לקראת השינוי'!A:F,4,0),0),0)</f>
        <v>0</v>
      </c>
      <c r="AT163" s="1"/>
    </row>
    <row r="164" spans="1:46">
      <c r="A164" t="s">
        <v>841</v>
      </c>
      <c r="B164" t="s">
        <v>842</v>
      </c>
      <c r="C164" t="s">
        <v>817</v>
      </c>
      <c r="D164" t="s">
        <v>375</v>
      </c>
      <c r="E164" t="s">
        <v>67</v>
      </c>
      <c r="F164" s="4">
        <v>42535</v>
      </c>
      <c r="G164">
        <v>9</v>
      </c>
      <c r="H164" t="s">
        <v>827</v>
      </c>
      <c r="I164" t="s">
        <v>828</v>
      </c>
      <c r="J164" s="4" t="s">
        <v>70</v>
      </c>
      <c r="K164" s="4" t="s">
        <v>71</v>
      </c>
      <c r="L164" t="s">
        <v>843</v>
      </c>
      <c r="M164" t="s">
        <v>824</v>
      </c>
      <c r="N164" t="s">
        <v>825</v>
      </c>
      <c r="O164">
        <f>IFERROR(VLOOKUP(HEVARIM[[#This Row],[קוד תקציב]],[2]תקציבים!A:L,6,0),0)</f>
        <v>2</v>
      </c>
      <c r="P164" s="5" t="s">
        <v>227</v>
      </c>
      <c r="Q164" t="s">
        <v>14</v>
      </c>
      <c r="R164" s="4">
        <v>42535</v>
      </c>
      <c r="S164" s="4" t="s">
        <v>90</v>
      </c>
      <c r="T164" s="96" t="s">
        <v>827</v>
      </c>
      <c r="U164" t="str">
        <f>VLOOKUP(HEVARIM[[#This Row],[גיל]],GIL,2,1)</f>
        <v>יסודי</v>
      </c>
      <c r="V164">
        <f>IF(HEVARIM[[#This Row],[קוד מעמד]]="4     ",IF(HEVARIM[[#This Row],[גיל]]=1,1,IF(HEVARIM[[#This Row],[גיל]]&lt;=5,5,18)),"")</f>
        <v>18</v>
      </c>
      <c r="W164">
        <f t="shared" si="8"/>
        <v>0</v>
      </c>
      <c r="X16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4">
        <f>IF(HEVARIM[[#This Row],[מצב משפחתי2]]="אלמן",'[2]ריכוז נתונים'!$AC$2,0)</f>
        <v>0</v>
      </c>
      <c r="Z164" s="3">
        <f>VLOOKUP(VALUE(HEVARIM[[#This Row],[קוד מעמד]]),הנחות!$I$2:$K$21,3,0)</f>
        <v>1</v>
      </c>
      <c r="AA164" t="b">
        <f>ISERROR(VLOOKUP(HEVARIM[[#This Row],[קוד תקציב]],'[2]ריכוז נתונים'!A:A,1,0))</f>
        <v>0</v>
      </c>
      <c r="AB164" s="1">
        <f t="shared" si="9"/>
        <v>4960.3846153846152</v>
      </c>
      <c r="AC164" s="2">
        <f ca="1">IF(HEVARIM[[#This Row],[בר מצוה]]&gt;0,YEAR(TODAY())+'תקציבים מיוחדים'!$F$5-HEVARIM[[#This Row],[גיל]],0)</f>
        <v>2030</v>
      </c>
      <c r="AD164" s="1">
        <f t="shared" si="10"/>
        <v>0</v>
      </c>
      <c r="AE164" s="2">
        <f ca="1">IF(HEVARIM[[#This Row],[בת מצוה]]&gt;0,YEAR(TODAY())+'תקציבים מיוחדים'!$F$5-HEVARIM[[#This Row],[גיל]],0)</f>
        <v>0</v>
      </c>
      <c r="AF164" s="1">
        <f>IF(AND($S164&gt;="רווק",$Z164=1),AF$4*IF(HEVARIM[[#This Row],[גיל]]&gt;$AF$3,1,(($G164-AF$2)/(AF$3-AF$2))),0)</f>
        <v>25933.928571428569</v>
      </c>
      <c r="AG164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164" s="1">
        <f t="shared" si="11"/>
        <v>45252.214285714283</v>
      </c>
      <c r="AI164" s="2">
        <f ca="1">IF(AH164&gt;0,YEAR(TODAY())+'תקציבים מיוחדים'!$F$7-HEVARIM[[#This Row],[גיל]],0)</f>
        <v>2038</v>
      </c>
      <c r="AJ164" s="9">
        <f>IF(AND(ISERROR(VLOOKUP(H164,'[2]ריכוז נתונים'!A:L,1,0)),P164="1     "),1,0)</f>
        <v>0</v>
      </c>
      <c r="AK16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4" s="1">
        <f>IF(AND(VALUE(HEVARIM[[#This Row],[קוד מעמד]])=1,HEVARIM[[#This Row],[ותק מחברה 40]]&lt;25),HEVARIM[[#This Row],[ותק מחברה 40]]/25*הנחות!$C$4,0)</f>
        <v>0</v>
      </c>
      <c r="AM164" s="9" t="str">
        <f ca="1">IF(HEVARIM[[#This Row],[דמי עזיבה 25 שנות ותק]]&gt;0,YEAR(TODAY())+25-ROUNDDOWN(HEVARIM[[#This Row],[ותק מחברה 40]],0),"")</f>
        <v/>
      </c>
      <c r="AN1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4" s="9" t="str">
        <f ca="1">IF(HEVARIM[[#This Row],[דמי עזיבה לגיל 65]]&gt;0,YEAR(TODAY())+64-ROUNDDOWN(HEVARIM[[#This Row],[גיל]],0),"")</f>
        <v/>
      </c>
      <c r="AP164" s="1">
        <f>SUMIF(HEVARIM[קוד תקציב],HEVARIM[[#This Row],[קוד תקציב משפחה מקורי]],HEVARIM[ותק מחברה 40])</f>
        <v>21.6</v>
      </c>
      <c r="AQ1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4" s="9">
        <f>IF(HEVARIM[[#This Row],[קוד מעמד]]="1     ",IFERROR(VLOOKUP(HEVARIM[[#This Row],[קוד תקציב]],'תקציב צביעה - לקראת השינוי'!A:F,4,0),0),0)</f>
        <v>0</v>
      </c>
      <c r="AT164" s="1"/>
    </row>
    <row r="165" spans="1:46">
      <c r="A165" t="s">
        <v>844</v>
      </c>
      <c r="B165" t="s">
        <v>845</v>
      </c>
      <c r="C165" t="s">
        <v>817</v>
      </c>
      <c r="D165" t="s">
        <v>846</v>
      </c>
      <c r="E165" t="s">
        <v>67</v>
      </c>
      <c r="F165" s="4">
        <v>43168</v>
      </c>
      <c r="G165">
        <v>7</v>
      </c>
      <c r="H165" t="s">
        <v>827</v>
      </c>
      <c r="I165" t="s">
        <v>828</v>
      </c>
      <c r="J165" s="4" t="s">
        <v>70</v>
      </c>
      <c r="K165" s="4" t="s">
        <v>71</v>
      </c>
      <c r="L165" t="s">
        <v>847</v>
      </c>
      <c r="M165" t="s">
        <v>824</v>
      </c>
      <c r="N165" t="s">
        <v>825</v>
      </c>
      <c r="O165">
        <f>IFERROR(VLOOKUP(HEVARIM[[#This Row],[קוד תקציב]],[2]תקציבים!A:L,6,0),0)</f>
        <v>2</v>
      </c>
      <c r="P165" s="5" t="s">
        <v>227</v>
      </c>
      <c r="Q165" t="s">
        <v>14</v>
      </c>
      <c r="R165" s="4">
        <v>43168</v>
      </c>
      <c r="S165" s="4" t="s">
        <v>90</v>
      </c>
      <c r="T165" s="96" t="s">
        <v>827</v>
      </c>
      <c r="U165" t="str">
        <f>VLOOKUP(HEVARIM[[#This Row],[גיל]],GIL,2,1)</f>
        <v>יסודי</v>
      </c>
      <c r="V165">
        <f>IF(HEVARIM[[#This Row],[קוד מעמד]]="4     ",IF(HEVARIM[[#This Row],[גיל]]=1,1,IF(HEVARIM[[#This Row],[גיל]]&lt;=5,5,18)),"")</f>
        <v>18</v>
      </c>
      <c r="W165">
        <f t="shared" si="8"/>
        <v>0</v>
      </c>
      <c r="X16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5">
        <f>IF(HEVARIM[[#This Row],[מצב משפחתי2]]="אלמן",'[2]ריכוז נתונים'!$AC$2,0)</f>
        <v>0</v>
      </c>
      <c r="Z165" s="3">
        <f>VLOOKUP(VALUE(HEVARIM[[#This Row],[קוד מעמד]]),הנחות!$I$2:$K$21,3,0)</f>
        <v>1</v>
      </c>
      <c r="AA165" t="b">
        <f>ISERROR(VLOOKUP(HEVARIM[[#This Row],[קוד תקציב]],'[2]ריכוז נתונים'!A:A,1,0))</f>
        <v>0</v>
      </c>
      <c r="AB165" s="1">
        <f t="shared" si="9"/>
        <v>3858.0769230769229</v>
      </c>
      <c r="AC165" s="2">
        <f ca="1">IF(HEVARIM[[#This Row],[בר מצוה]]&gt;0,YEAR(TODAY())+'תקציבים מיוחדים'!$F$5-HEVARIM[[#This Row],[גיל]],0)</f>
        <v>2032</v>
      </c>
      <c r="AD165" s="1">
        <f t="shared" si="10"/>
        <v>0</v>
      </c>
      <c r="AE165" s="2">
        <f ca="1">IF(HEVARIM[[#This Row],[בת מצוה]]&gt;0,YEAR(TODAY())+'תקציבים מיוחדים'!$F$5-HEVARIM[[#This Row],[גיל]],0)</f>
        <v>0</v>
      </c>
      <c r="AF165" s="1">
        <f>IF(AND($S165&gt;="רווק",$Z165=1),AF$4*IF(HEVARIM[[#This Row],[גיל]]&gt;$AF$3,1,(($G165-AF$2)/(AF$3-AF$2))),0)</f>
        <v>20170.833333333332</v>
      </c>
      <c r="AG165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165" s="1">
        <f t="shared" si="11"/>
        <v>35196.166666666664</v>
      </c>
      <c r="AI165" s="2">
        <f ca="1">IF(AH165&gt;0,YEAR(TODAY())+'תקציבים מיוחדים'!$F$7-HEVARIM[[#This Row],[גיל]],0)</f>
        <v>2040</v>
      </c>
      <c r="AJ165" s="9">
        <f>IF(AND(ISERROR(VLOOKUP(H165,'[2]ריכוז נתונים'!A:L,1,0)),P165="1     "),1,0)</f>
        <v>0</v>
      </c>
      <c r="AK16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5" s="1">
        <f>IF(AND(VALUE(HEVARIM[[#This Row],[קוד מעמד]])=1,HEVARIM[[#This Row],[ותק מחברה 40]]&lt;25),HEVARIM[[#This Row],[ותק מחברה 40]]/25*הנחות!$C$4,0)</f>
        <v>0</v>
      </c>
      <c r="AM165" s="9" t="str">
        <f ca="1">IF(HEVARIM[[#This Row],[דמי עזיבה 25 שנות ותק]]&gt;0,YEAR(TODAY())+25-ROUNDDOWN(HEVARIM[[#This Row],[ותק מחברה 40]],0),"")</f>
        <v/>
      </c>
      <c r="AN1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5" s="9" t="str">
        <f ca="1">IF(HEVARIM[[#This Row],[דמי עזיבה לגיל 65]]&gt;0,YEAR(TODAY())+64-ROUNDDOWN(HEVARIM[[#This Row],[גיל]],0),"")</f>
        <v/>
      </c>
      <c r="AP165" s="1">
        <f>SUMIF(HEVARIM[קוד תקציב],HEVARIM[[#This Row],[קוד תקציב משפחה מקורי]],HEVARIM[ותק מחברה 40])</f>
        <v>21.6</v>
      </c>
      <c r="AQ1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5" s="9">
        <f>IF(HEVARIM[[#This Row],[קוד מעמד]]="1     ",IFERROR(VLOOKUP(HEVARIM[[#This Row],[קוד תקציב]],'תקציב צביעה - לקראת השינוי'!A:F,4,0),0),0)</f>
        <v>0</v>
      </c>
      <c r="AT165" s="1"/>
    </row>
    <row r="166" spans="1:46">
      <c r="A166" t="s">
        <v>848</v>
      </c>
      <c r="B166" t="s">
        <v>849</v>
      </c>
      <c r="C166" t="s">
        <v>817</v>
      </c>
      <c r="D166" t="s">
        <v>850</v>
      </c>
      <c r="E166" t="s">
        <v>79</v>
      </c>
      <c r="F166" s="4">
        <v>44662</v>
      </c>
      <c r="G166">
        <v>3</v>
      </c>
      <c r="H166" t="s">
        <v>827</v>
      </c>
      <c r="I166" t="s">
        <v>828</v>
      </c>
      <c r="J166" s="4" t="s">
        <v>70</v>
      </c>
      <c r="K166" s="4" t="s">
        <v>71</v>
      </c>
      <c r="L166" t="s">
        <v>851</v>
      </c>
      <c r="M166" t="s">
        <v>824</v>
      </c>
      <c r="N166" t="s">
        <v>825</v>
      </c>
      <c r="O166">
        <f>IFERROR(VLOOKUP(HEVARIM[[#This Row],[קוד תקציב]],[2]תקציבים!A:L,6,0),0)</f>
        <v>2</v>
      </c>
      <c r="P166" s="5" t="s">
        <v>227</v>
      </c>
      <c r="Q166" t="s">
        <v>14</v>
      </c>
      <c r="R166" s="4">
        <v>44662</v>
      </c>
      <c r="S166" s="4" t="s">
        <v>90</v>
      </c>
      <c r="T166" s="96" t="s">
        <v>827</v>
      </c>
      <c r="U166" t="str">
        <f>VLOOKUP(HEVARIM[[#This Row],[גיל]],GIL,2,1)</f>
        <v>גנים</v>
      </c>
      <c r="V166">
        <f>IF(HEVARIM[[#This Row],[קוד מעמד]]="4     ",IF(HEVARIM[[#This Row],[גיל]]=1,1,IF(HEVARIM[[#This Row],[גיל]]&lt;=5,5,18)),"")</f>
        <v>5</v>
      </c>
      <c r="W166">
        <f t="shared" si="8"/>
        <v>0</v>
      </c>
      <c r="X16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6">
        <f>IF(HEVARIM[[#This Row],[מצב משפחתי2]]="אלמן",'[2]ריכוז נתונים'!$AC$2,0)</f>
        <v>0</v>
      </c>
      <c r="Z166" s="3">
        <f>VLOOKUP(VALUE(HEVARIM[[#This Row],[קוד מעמד]]),הנחות!$I$2:$K$21,3,0)</f>
        <v>1</v>
      </c>
      <c r="AA166" t="b">
        <f>ISERROR(VLOOKUP(HEVARIM[[#This Row],[קוד תקציב]],'[2]ריכוז נתונים'!A:A,1,0))</f>
        <v>0</v>
      </c>
      <c r="AB166" s="1">
        <f t="shared" si="9"/>
        <v>0</v>
      </c>
      <c r="AC166" s="2">
        <f ca="1">IF(HEVARIM[[#This Row],[בר מצוה]]&gt;0,YEAR(TODAY())+'תקציבים מיוחדים'!$F$5-HEVARIM[[#This Row],[גיל]],0)</f>
        <v>0</v>
      </c>
      <c r="AD166" s="1">
        <f t="shared" si="10"/>
        <v>1653.4615384615386</v>
      </c>
      <c r="AE166" s="2">
        <f ca="1">IF(HEVARIM[[#This Row],[בת מצוה]]&gt;0,YEAR(TODAY())+'תקציבים מיוחדים'!$F$5-HEVARIM[[#This Row],[גיל]],0)</f>
        <v>2036</v>
      </c>
      <c r="AF166" s="1">
        <f>IF(AND($S166&gt;="רווק",$Z166=1),AF$4*IF(HEVARIM[[#This Row],[גיל]]&gt;$AF$3,1,(($G166-AF$2)/(AF$3-AF$2))),0)</f>
        <v>8644.6428571428569</v>
      </c>
      <c r="AG166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166" s="1">
        <f t="shared" si="11"/>
        <v>15084.071428571428</v>
      </c>
      <c r="AI166" s="2">
        <f ca="1">IF(AH166&gt;0,YEAR(TODAY())+'תקציבים מיוחדים'!$F$7-HEVARIM[[#This Row],[גיל]],0)</f>
        <v>2044</v>
      </c>
      <c r="AJ166" s="9">
        <f>IF(AND(ISERROR(VLOOKUP(H166,'[2]ריכוז נתונים'!A:L,1,0)),P166="1     "),1,0)</f>
        <v>0</v>
      </c>
      <c r="AK16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6" s="1">
        <f>IF(AND(VALUE(HEVARIM[[#This Row],[קוד מעמד]])=1,HEVARIM[[#This Row],[ותק מחברה 40]]&lt;25),HEVARIM[[#This Row],[ותק מחברה 40]]/25*הנחות!$C$4,0)</f>
        <v>0</v>
      </c>
      <c r="AM166" s="9" t="str">
        <f ca="1">IF(HEVARIM[[#This Row],[דמי עזיבה 25 שנות ותק]]&gt;0,YEAR(TODAY())+25-ROUNDDOWN(HEVARIM[[#This Row],[ותק מחברה 40]],0),"")</f>
        <v/>
      </c>
      <c r="AN16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6" s="9" t="str">
        <f ca="1">IF(HEVARIM[[#This Row],[דמי עזיבה לגיל 65]]&gt;0,YEAR(TODAY())+64-ROUNDDOWN(HEVARIM[[#This Row],[גיל]],0),"")</f>
        <v/>
      </c>
      <c r="AP166" s="1">
        <f>SUMIF(HEVARIM[קוד תקציב],HEVARIM[[#This Row],[קוד תקציב משפחה מקורי]],HEVARIM[ותק מחברה 40])</f>
        <v>21.6</v>
      </c>
      <c r="AQ1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6" s="9">
        <f>IF(HEVARIM[[#This Row],[קוד מעמד]]="1     ",IFERROR(VLOOKUP(HEVARIM[[#This Row],[קוד תקציב]],'תקציב צביעה - לקראת השינוי'!A:F,4,0),0),0)</f>
        <v>0</v>
      </c>
      <c r="AT166" s="1"/>
    </row>
    <row r="167" spans="1:46">
      <c r="A167" t="s">
        <v>865</v>
      </c>
      <c r="B167" t="s">
        <v>866</v>
      </c>
      <c r="C167" t="s">
        <v>867</v>
      </c>
      <c r="D167" t="s">
        <v>868</v>
      </c>
      <c r="E167" t="s">
        <v>67</v>
      </c>
      <c r="F167" s="4">
        <v>30155</v>
      </c>
      <c r="G167">
        <v>43</v>
      </c>
      <c r="H167" t="s">
        <v>869</v>
      </c>
      <c r="I167" t="s">
        <v>870</v>
      </c>
      <c r="J167" s="4" t="s">
        <v>70</v>
      </c>
      <c r="K167" s="4" t="s">
        <v>71</v>
      </c>
      <c r="L167" t="s">
        <v>871</v>
      </c>
      <c r="M167" t="s">
        <v>865</v>
      </c>
      <c r="N167" t="s">
        <v>866</v>
      </c>
      <c r="O167">
        <f>IFERROR(VLOOKUP(HEVARIM[[#This Row],[קוד תקציב]],[2]תקציבים!A:L,6,0),0)</f>
        <v>2</v>
      </c>
      <c r="P167" s="5" t="s">
        <v>104</v>
      </c>
      <c r="Q167" t="s">
        <v>11</v>
      </c>
      <c r="R167" s="4">
        <v>44131</v>
      </c>
      <c r="S167" s="4" t="s">
        <v>74</v>
      </c>
      <c r="T167" s="96" t="s">
        <v>869</v>
      </c>
      <c r="U167" t="str">
        <f>VLOOKUP(HEVARIM[[#This Row],[גיל]],GIL,2,1)</f>
        <v>--</v>
      </c>
      <c r="V167" t="str">
        <f>IF(HEVARIM[[#This Row],[קוד מעמד]]="4     ",IF(HEVARIM[[#This Row],[גיל]]=1,1,IF(HEVARIM[[#This Row],[גיל]]&lt;=5,5,18)),"")</f>
        <v/>
      </c>
      <c r="W167">
        <f t="shared" si="8"/>
        <v>0</v>
      </c>
      <c r="X16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7">
        <f>IF(HEVARIM[[#This Row],[מצב משפחתי2]]="אלמן",'[2]ריכוז נתונים'!$AC$2,0)</f>
        <v>0</v>
      </c>
      <c r="Z167" s="3">
        <f>VLOOKUP(VALUE(HEVARIM[[#This Row],[קוד מעמד]]),הנחות!$I$2:$K$21,3,0)</f>
        <v>0</v>
      </c>
      <c r="AA167" t="b">
        <f>ISERROR(VLOOKUP(HEVARIM[[#This Row],[קוד תקציב]],'[2]ריכוז נתונים'!A:A,1,0))</f>
        <v>0</v>
      </c>
      <c r="AB167" s="1">
        <f t="shared" si="9"/>
        <v>0</v>
      </c>
      <c r="AC167" s="2">
        <f ca="1">IF(HEVARIM[[#This Row],[בר מצוה]]&gt;0,YEAR(TODAY())+'תקציבים מיוחדים'!$F$5-HEVARIM[[#This Row],[גיל]],0)</f>
        <v>0</v>
      </c>
      <c r="AD167" s="1">
        <f t="shared" si="10"/>
        <v>0</v>
      </c>
      <c r="AE167" s="2">
        <f ca="1">IF(HEVARIM[[#This Row],[בת מצוה]]&gt;0,YEAR(TODAY())+'תקציבים מיוחדים'!$F$5-HEVARIM[[#This Row],[גיל]],0)</f>
        <v>0</v>
      </c>
      <c r="AF167" s="1">
        <f>IF(AND($S167&gt;="רווק",$Z167=1),AF$4*IF(HEVARIM[[#This Row],[גיל]]&gt;$AF$3,1,(($G167-AF$2)/(AF$3-AF$2))),0)</f>
        <v>0</v>
      </c>
      <c r="AG16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67" s="1">
        <f t="shared" si="11"/>
        <v>0</v>
      </c>
      <c r="AI167" s="2">
        <f ca="1">IF(AH167&gt;0,YEAR(TODAY())+'תקציבים מיוחדים'!$F$7-HEVARIM[[#This Row],[גיל]],0)</f>
        <v>0</v>
      </c>
      <c r="AJ167" s="9">
        <f>IF(AND(ISERROR(VLOOKUP(H167,'[2]ריכוז נתונים'!A:L,1,0)),P167="1     "),1,0)</f>
        <v>0</v>
      </c>
      <c r="AK167" s="1">
        <f>IF(VALUE(HEVARIM[[#This Row],[קוד מעמד]])=1,VLOOKUP((IF(LEFT(HEVARIM[[#This Row],[קוד חבר]],1)="0",HEVARIM[[#This Row],[קוד חבר]],VALUE(HEVARIM[[#This Row],[קוד חבר]]))),'ותק חברה 40'!AQ:AW,7,0),"")</f>
        <v>6.84</v>
      </c>
      <c r="AL167" s="1">
        <f>IF(AND(VALUE(HEVARIM[[#This Row],[קוד מעמד]])=1,HEVARIM[[#This Row],[ותק מחברה 40]]&lt;25),HEVARIM[[#This Row],[ותק מחברה 40]]/25*הנחות!$C$4,0)</f>
        <v>10269.46998</v>
      </c>
      <c r="AM167" s="9">
        <f ca="1">IF(HEVARIM[[#This Row],[דמי עזיבה 25 שנות ותק]]&gt;0,YEAR(TODAY())+25-ROUNDDOWN(HEVARIM[[#This Row],[ותק מחברה 40]],0),"")</f>
        <v>2045</v>
      </c>
      <c r="AN1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7" s="9" t="str">
        <f ca="1">IF(HEVARIM[[#This Row],[דמי עזיבה לגיל 65]]&gt;0,YEAR(TODAY())+64-ROUNDDOWN(HEVARIM[[#This Row],[גיל]],0),"")</f>
        <v/>
      </c>
      <c r="AP167" s="1">
        <f>SUMIF(HEVARIM[קוד תקציב],HEVARIM[[#This Row],[קוד תקציב משפחה מקורי]],HEVARIM[ותק מחברה 40])</f>
        <v>13.68</v>
      </c>
      <c r="AQ1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7" s="9">
        <f>IF(HEVARIM[[#This Row],[קוד מעמד]]="1     ",IFERROR(VLOOKUP(HEVARIM[[#This Row],[קוד תקציב]],'תקציב צביעה - לקראת השינוי'!A:F,4,0),0),0)</f>
        <v>0</v>
      </c>
      <c r="AT167" s="1"/>
    </row>
    <row r="168" spans="1:46">
      <c r="A168" t="s">
        <v>872</v>
      </c>
      <c r="B168" t="s">
        <v>873</v>
      </c>
      <c r="C168" t="s">
        <v>867</v>
      </c>
      <c r="D168" t="s">
        <v>686</v>
      </c>
      <c r="E168" t="s">
        <v>79</v>
      </c>
      <c r="F168" s="4">
        <v>31036</v>
      </c>
      <c r="G168">
        <v>41</v>
      </c>
      <c r="H168" t="s">
        <v>869</v>
      </c>
      <c r="I168" t="s">
        <v>870</v>
      </c>
      <c r="J168" s="4" t="s">
        <v>70</v>
      </c>
      <c r="K168" s="4" t="s">
        <v>71</v>
      </c>
      <c r="L168" t="s">
        <v>874</v>
      </c>
      <c r="M168" t="s">
        <v>865</v>
      </c>
      <c r="N168" t="s">
        <v>866</v>
      </c>
      <c r="O168">
        <f>IFERROR(VLOOKUP(HEVARIM[[#This Row],[קוד תקציב]],[2]תקציבים!A:L,6,0),0)</f>
        <v>2</v>
      </c>
      <c r="P168" s="5" t="s">
        <v>104</v>
      </c>
      <c r="Q168" t="s">
        <v>11</v>
      </c>
      <c r="R168" s="4">
        <v>44131</v>
      </c>
      <c r="S168" s="4" t="s">
        <v>74</v>
      </c>
      <c r="T168" s="96" t="s">
        <v>869</v>
      </c>
      <c r="U168" t="str">
        <f>VLOOKUP(HEVARIM[[#This Row],[גיל]],GIL,2,1)</f>
        <v>--</v>
      </c>
      <c r="V168" t="str">
        <f>IF(HEVARIM[[#This Row],[קוד מעמד]]="4     ",IF(HEVARIM[[#This Row],[גיל]]=1,1,IF(HEVARIM[[#This Row],[גיל]]&lt;=5,5,18)),"")</f>
        <v/>
      </c>
      <c r="W168">
        <f t="shared" si="8"/>
        <v>0</v>
      </c>
      <c r="X16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8">
        <f>IF(HEVARIM[[#This Row],[מצב משפחתי2]]="אלמן",'[2]ריכוז נתונים'!$AC$2,0)</f>
        <v>0</v>
      </c>
      <c r="Z168" s="3">
        <f>VLOOKUP(VALUE(HEVARIM[[#This Row],[קוד מעמד]]),הנחות!$I$2:$K$21,3,0)</f>
        <v>0</v>
      </c>
      <c r="AA168" t="b">
        <f>ISERROR(VLOOKUP(HEVARIM[[#This Row],[קוד תקציב]],'[2]ריכוז נתונים'!A:A,1,0))</f>
        <v>0</v>
      </c>
      <c r="AB168" s="1">
        <f t="shared" si="9"/>
        <v>0</v>
      </c>
      <c r="AC168" s="2">
        <f ca="1">IF(HEVARIM[[#This Row],[בר מצוה]]&gt;0,YEAR(TODAY())+'תקציבים מיוחדים'!$F$5-HEVARIM[[#This Row],[גיל]],0)</f>
        <v>0</v>
      </c>
      <c r="AD168" s="1">
        <f t="shared" si="10"/>
        <v>0</v>
      </c>
      <c r="AE168" s="2">
        <f ca="1">IF(HEVARIM[[#This Row],[בת מצוה]]&gt;0,YEAR(TODAY())+'תקציבים מיוחדים'!$F$5-HEVARIM[[#This Row],[גיל]],0)</f>
        <v>0</v>
      </c>
      <c r="AF168" s="1">
        <f>IF(AND($S168&gt;="רווק",$Z168=1),AF$4*IF(HEVARIM[[#This Row],[גיל]]&gt;$AF$3,1,(($G168-AF$2)/(AF$3-AF$2))),0)</f>
        <v>0</v>
      </c>
      <c r="AG16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68" s="1">
        <f t="shared" si="11"/>
        <v>0</v>
      </c>
      <c r="AI168" s="2">
        <f ca="1">IF(AH168&gt;0,YEAR(TODAY())+'תקציבים מיוחדים'!$F$7-HEVARIM[[#This Row],[גיל]],0)</f>
        <v>0</v>
      </c>
      <c r="AJ168" s="9">
        <f>IF(AND(ISERROR(VLOOKUP(H168,'[2]ריכוז נתונים'!A:L,1,0)),P168="1     "),1,0)</f>
        <v>0</v>
      </c>
      <c r="AK168" s="1">
        <f>IF(VALUE(HEVARIM[[#This Row],[קוד מעמד]])=1,VLOOKUP((IF(LEFT(HEVARIM[[#This Row],[קוד חבר]],1)="0",HEVARIM[[#This Row],[קוד חבר]],VALUE(HEVARIM[[#This Row],[קוד חבר]]))),'ותק חברה 40'!AQ:AW,7,0),"")</f>
        <v>6.84</v>
      </c>
      <c r="AL168" s="1">
        <f>IF(AND(VALUE(HEVARIM[[#This Row],[קוד מעמד]])=1,HEVARIM[[#This Row],[ותק מחברה 40]]&lt;25),HEVARIM[[#This Row],[ותק מחברה 40]]/25*הנחות!$C$4,0)</f>
        <v>10269.46998</v>
      </c>
      <c r="AM168" s="9">
        <f ca="1">IF(HEVARIM[[#This Row],[דמי עזיבה 25 שנות ותק]]&gt;0,YEAR(TODAY())+25-ROUNDDOWN(HEVARIM[[#This Row],[ותק מחברה 40]],0),"")</f>
        <v>2045</v>
      </c>
      <c r="AN1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8" s="9" t="str">
        <f ca="1">IF(HEVARIM[[#This Row],[דמי עזיבה לגיל 65]]&gt;0,YEAR(TODAY())+64-ROUNDDOWN(HEVARIM[[#This Row],[גיל]],0),"")</f>
        <v/>
      </c>
      <c r="AP168" s="1">
        <f>SUMIF(HEVARIM[קוד תקציב],HEVARIM[[#This Row],[קוד תקציב משפחה מקורי]],HEVARIM[ותק מחברה 40])</f>
        <v>13.68</v>
      </c>
      <c r="AQ1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8" s="9">
        <f>IF(HEVARIM[[#This Row],[קוד מעמד]]="1     ",IFERROR(VLOOKUP(HEVARIM[[#This Row],[קוד תקציב]],'תקציב צביעה - לקראת השינוי'!A:F,4,0),0),0)</f>
        <v>0</v>
      </c>
      <c r="AT168" s="1"/>
    </row>
    <row r="169" spans="1:46">
      <c r="A169" t="s">
        <v>875</v>
      </c>
      <c r="B169" t="s">
        <v>876</v>
      </c>
      <c r="C169" t="s">
        <v>867</v>
      </c>
      <c r="D169" t="s">
        <v>662</v>
      </c>
      <c r="E169" t="s">
        <v>79</v>
      </c>
      <c r="F169" s="4">
        <v>41189</v>
      </c>
      <c r="G169">
        <v>13</v>
      </c>
      <c r="H169" t="s">
        <v>869</v>
      </c>
      <c r="I169" t="s">
        <v>870</v>
      </c>
      <c r="J169" s="4" t="s">
        <v>70</v>
      </c>
      <c r="K169" s="4" t="s">
        <v>71</v>
      </c>
      <c r="L169" t="s">
        <v>877</v>
      </c>
      <c r="M169" t="s">
        <v>865</v>
      </c>
      <c r="N169" t="s">
        <v>866</v>
      </c>
      <c r="O169">
        <f>IFERROR(VLOOKUP(HEVARIM[[#This Row],[קוד תקציב]],[2]תקציבים!A:L,6,0),0)</f>
        <v>2</v>
      </c>
      <c r="P169" s="5" t="s">
        <v>227</v>
      </c>
      <c r="Q169" t="s">
        <v>14</v>
      </c>
      <c r="R169" s="4">
        <v>43405</v>
      </c>
      <c r="S169" s="4" t="s">
        <v>90</v>
      </c>
      <c r="T169" s="96" t="s">
        <v>869</v>
      </c>
      <c r="U169" t="str">
        <f>VLOOKUP(HEVARIM[[#This Row],[גיל]],GIL,2,1)</f>
        <v>חטיבה</v>
      </c>
      <c r="V169">
        <f>IF(HEVARIM[[#This Row],[קוד מעמד]]="4     ",IF(HEVARIM[[#This Row],[גיל]]=1,1,IF(HEVARIM[[#This Row],[גיל]]&lt;=5,5,18)),"")</f>
        <v>18</v>
      </c>
      <c r="W169">
        <f t="shared" si="8"/>
        <v>0</v>
      </c>
      <c r="X16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69">
        <f>IF(HEVARIM[[#This Row],[מצב משפחתי2]]="אלמן",'[2]ריכוז נתונים'!$AC$2,0)</f>
        <v>0</v>
      </c>
      <c r="Z169" s="3">
        <f>VLOOKUP(VALUE(HEVARIM[[#This Row],[קוד מעמד]]),הנחות!$I$2:$K$21,3,0)</f>
        <v>1</v>
      </c>
      <c r="AA169" t="b">
        <f>ISERROR(VLOOKUP(HEVARIM[[#This Row],[קוד תקציב]],'[2]ריכוז נתונים'!A:A,1,0))</f>
        <v>0</v>
      </c>
      <c r="AB169" s="1">
        <f t="shared" si="9"/>
        <v>0</v>
      </c>
      <c r="AC169" s="2">
        <f ca="1">IF(HEVARIM[[#This Row],[בר מצוה]]&gt;0,YEAR(TODAY())+'תקציבים מיוחדים'!$F$5-HEVARIM[[#This Row],[גיל]],0)</f>
        <v>0</v>
      </c>
      <c r="AD169" s="1">
        <f t="shared" si="10"/>
        <v>7165</v>
      </c>
      <c r="AE169" s="2">
        <f ca="1">IF(HEVARIM[[#This Row],[בת מצוה]]&gt;0,YEAR(TODAY())+'תקציבים מיוחדים'!$F$5-HEVARIM[[#This Row],[גיל]],0)</f>
        <v>2026</v>
      </c>
      <c r="AF169" s="1">
        <f>IF(AND($S169&gt;="רווק",$Z169=1),AF$4*IF(HEVARIM[[#This Row],[גיל]]&gt;$AF$3,1,(($G169-AF$2)/(AF$3-AF$2))),0)</f>
        <v>37460.119047619046</v>
      </c>
      <c r="AG169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169" s="1">
        <f t="shared" si="11"/>
        <v>65364.309523809527</v>
      </c>
      <c r="AI169" s="2">
        <f ca="1">IF(AH169&gt;0,YEAR(TODAY())+'תקציבים מיוחדים'!$F$7-HEVARIM[[#This Row],[גיל]],0)</f>
        <v>2034</v>
      </c>
      <c r="AJ169" s="9">
        <f>IF(AND(ISERROR(VLOOKUP(H169,'[2]ריכוז נתונים'!A:L,1,0)),P169="1     "),1,0)</f>
        <v>0</v>
      </c>
      <c r="AK16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69" s="1">
        <f>IF(AND(VALUE(HEVARIM[[#This Row],[קוד מעמד]])=1,HEVARIM[[#This Row],[ותק מחברה 40]]&lt;25),HEVARIM[[#This Row],[ותק מחברה 40]]/25*הנחות!$C$4,0)</f>
        <v>0</v>
      </c>
      <c r="AM169" s="9" t="str">
        <f ca="1">IF(HEVARIM[[#This Row],[דמי עזיבה 25 שנות ותק]]&gt;0,YEAR(TODAY())+25-ROUNDDOWN(HEVARIM[[#This Row],[ותק מחברה 40]],0),"")</f>
        <v/>
      </c>
      <c r="AN1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69" s="9" t="str">
        <f ca="1">IF(HEVARIM[[#This Row],[דמי עזיבה לגיל 65]]&gt;0,YEAR(TODAY())+64-ROUNDDOWN(HEVARIM[[#This Row],[גיל]],0),"")</f>
        <v/>
      </c>
      <c r="AP169" s="1">
        <f>SUMIF(HEVARIM[קוד תקציב],HEVARIM[[#This Row],[קוד תקציב משפחה מקורי]],HEVARIM[ותק מחברה 40])</f>
        <v>13.68</v>
      </c>
      <c r="AQ1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69" s="9">
        <f>IF(HEVARIM[[#This Row],[קוד מעמד]]="1     ",IFERROR(VLOOKUP(HEVARIM[[#This Row],[קוד תקציב]],'תקציב צביעה - לקראת השינוי'!A:F,4,0),0),0)</f>
        <v>0</v>
      </c>
      <c r="AT169" s="1"/>
    </row>
    <row r="170" spans="1:46">
      <c r="A170" t="s">
        <v>878</v>
      </c>
      <c r="B170" t="s">
        <v>879</v>
      </c>
      <c r="C170" t="s">
        <v>867</v>
      </c>
      <c r="D170" t="s">
        <v>556</v>
      </c>
      <c r="E170" t="s">
        <v>67</v>
      </c>
      <c r="F170" s="4">
        <v>41775</v>
      </c>
      <c r="G170">
        <v>11</v>
      </c>
      <c r="H170" t="s">
        <v>869</v>
      </c>
      <c r="I170" t="s">
        <v>870</v>
      </c>
      <c r="J170" s="4" t="s">
        <v>70</v>
      </c>
      <c r="K170" s="4" t="s">
        <v>71</v>
      </c>
      <c r="L170" t="s">
        <v>880</v>
      </c>
      <c r="M170" t="s">
        <v>865</v>
      </c>
      <c r="N170" t="s">
        <v>866</v>
      </c>
      <c r="O170">
        <f>IFERROR(VLOOKUP(HEVARIM[[#This Row],[קוד תקציב]],[2]תקציבים!A:L,6,0),0)</f>
        <v>2</v>
      </c>
      <c r="P170" s="5" t="s">
        <v>227</v>
      </c>
      <c r="Q170" t="s">
        <v>14</v>
      </c>
      <c r="R170" s="4">
        <v>43405</v>
      </c>
      <c r="S170" s="4" t="s">
        <v>90</v>
      </c>
      <c r="T170" s="96" t="s">
        <v>869</v>
      </c>
      <c r="U170" t="str">
        <f>VLOOKUP(HEVARIM[[#This Row],[גיל]],GIL,2,1)</f>
        <v>יסודי</v>
      </c>
      <c r="V170">
        <f>IF(HEVARIM[[#This Row],[קוד מעמד]]="4     ",IF(HEVARIM[[#This Row],[גיל]]=1,1,IF(HEVARIM[[#This Row],[גיל]]&lt;=5,5,18)),"")</f>
        <v>18</v>
      </c>
      <c r="W170">
        <f t="shared" si="8"/>
        <v>0</v>
      </c>
      <c r="X17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0">
        <f>IF(HEVARIM[[#This Row],[מצב משפחתי2]]="אלמן",'[2]ריכוז נתונים'!$AC$2,0)</f>
        <v>0</v>
      </c>
      <c r="Z170" s="3">
        <f>VLOOKUP(VALUE(HEVARIM[[#This Row],[קוד מעמד]]),הנחות!$I$2:$K$21,3,0)</f>
        <v>1</v>
      </c>
      <c r="AA170" t="b">
        <f>ISERROR(VLOOKUP(HEVARIM[[#This Row],[קוד תקציב]],'[2]ריכוז נתונים'!A:A,1,0))</f>
        <v>0</v>
      </c>
      <c r="AB170" s="1">
        <f t="shared" si="9"/>
        <v>6062.6923076923076</v>
      </c>
      <c r="AC170" s="2">
        <f ca="1">IF(HEVARIM[[#This Row],[בר מצוה]]&gt;0,YEAR(TODAY())+'תקציבים מיוחדים'!$F$5-HEVARIM[[#This Row],[גיל]],0)</f>
        <v>2028</v>
      </c>
      <c r="AD170" s="1">
        <f t="shared" si="10"/>
        <v>0</v>
      </c>
      <c r="AE170" s="2">
        <f ca="1">IF(HEVARIM[[#This Row],[בת מצוה]]&gt;0,YEAR(TODAY())+'תקציבים מיוחדים'!$F$5-HEVARIM[[#This Row],[גיל]],0)</f>
        <v>0</v>
      </c>
      <c r="AF170" s="1">
        <f>IF(AND($S170&gt;="רווק",$Z170=1),AF$4*IF(HEVARIM[[#This Row],[גיל]]&gt;$AF$3,1,(($G170-AF$2)/(AF$3-AF$2))),0)</f>
        <v>31697.023809523813</v>
      </c>
      <c r="AG170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170" s="1">
        <f t="shared" si="11"/>
        <v>55308.261904761908</v>
      </c>
      <c r="AI170" s="2">
        <f ca="1">IF(AH170&gt;0,YEAR(TODAY())+'תקציבים מיוחדים'!$F$7-HEVARIM[[#This Row],[גיל]],0)</f>
        <v>2036</v>
      </c>
      <c r="AJ170" s="9">
        <f>IF(AND(ISERROR(VLOOKUP(H170,'[2]ריכוז נתונים'!A:L,1,0)),P170="1     "),1,0)</f>
        <v>0</v>
      </c>
      <c r="AK17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70" s="1">
        <f>IF(AND(VALUE(HEVARIM[[#This Row],[קוד מעמד]])=1,HEVARIM[[#This Row],[ותק מחברה 40]]&lt;25),HEVARIM[[#This Row],[ותק מחברה 40]]/25*הנחות!$C$4,0)</f>
        <v>0</v>
      </c>
      <c r="AM170" s="9" t="str">
        <f ca="1">IF(HEVARIM[[#This Row],[דמי עזיבה 25 שנות ותק]]&gt;0,YEAR(TODAY())+25-ROUNDDOWN(HEVARIM[[#This Row],[ותק מחברה 40]],0),"")</f>
        <v/>
      </c>
      <c r="AN17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0" s="9" t="str">
        <f ca="1">IF(HEVARIM[[#This Row],[דמי עזיבה לגיל 65]]&gt;0,YEAR(TODAY())+64-ROUNDDOWN(HEVARIM[[#This Row],[גיל]],0),"")</f>
        <v/>
      </c>
      <c r="AP170" s="1">
        <f>SUMIF(HEVARIM[קוד תקציב],HEVARIM[[#This Row],[קוד תקציב משפחה מקורי]],HEVARIM[ותק מחברה 40])</f>
        <v>13.68</v>
      </c>
      <c r="AQ1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70" s="9">
        <f>IF(HEVARIM[[#This Row],[קוד מעמד]]="1     ",IFERROR(VLOOKUP(HEVARIM[[#This Row],[קוד תקציב]],'תקציב צביעה - לקראת השינוי'!A:F,4,0),0),0)</f>
        <v>0</v>
      </c>
      <c r="AT170" s="1"/>
    </row>
    <row r="171" spans="1:46">
      <c r="A171" t="s">
        <v>881</v>
      </c>
      <c r="B171" t="s">
        <v>882</v>
      </c>
      <c r="C171" t="s">
        <v>867</v>
      </c>
      <c r="D171" t="s">
        <v>114</v>
      </c>
      <c r="E171" t="s">
        <v>67</v>
      </c>
      <c r="F171" s="4">
        <v>42972</v>
      </c>
      <c r="G171">
        <v>8</v>
      </c>
      <c r="H171" t="s">
        <v>869</v>
      </c>
      <c r="I171" t="s">
        <v>870</v>
      </c>
      <c r="J171" s="4" t="s">
        <v>70</v>
      </c>
      <c r="K171" s="4" t="s">
        <v>71</v>
      </c>
      <c r="L171" t="s">
        <v>883</v>
      </c>
      <c r="M171" t="s">
        <v>865</v>
      </c>
      <c r="N171" t="s">
        <v>866</v>
      </c>
      <c r="O171">
        <f>IFERROR(VLOOKUP(HEVARIM[[#This Row],[קוד תקציב]],[2]תקציבים!A:L,6,0),0)</f>
        <v>2</v>
      </c>
      <c r="P171" s="5" t="s">
        <v>227</v>
      </c>
      <c r="Q171" t="s">
        <v>14</v>
      </c>
      <c r="R171" s="4">
        <v>43405</v>
      </c>
      <c r="S171" s="4" t="s">
        <v>90</v>
      </c>
      <c r="T171" s="96" t="s">
        <v>869</v>
      </c>
      <c r="U171" t="str">
        <f>VLOOKUP(HEVARIM[[#This Row],[גיל]],GIL,2,1)</f>
        <v>יסודי</v>
      </c>
      <c r="V171">
        <f>IF(HEVARIM[[#This Row],[קוד מעמד]]="4     ",IF(HEVARIM[[#This Row],[גיל]]=1,1,IF(HEVARIM[[#This Row],[גיל]]&lt;=5,5,18)),"")</f>
        <v>18</v>
      </c>
      <c r="W171">
        <f t="shared" si="8"/>
        <v>0</v>
      </c>
      <c r="X17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1">
        <f>IF(HEVARIM[[#This Row],[מצב משפחתי2]]="אלמן",'[2]ריכוז נתונים'!$AC$2,0)</f>
        <v>0</v>
      </c>
      <c r="Z171" s="3">
        <f>VLOOKUP(VALUE(HEVARIM[[#This Row],[קוד מעמד]]),הנחות!$I$2:$K$21,3,0)</f>
        <v>1</v>
      </c>
      <c r="AA171" t="b">
        <f>ISERROR(VLOOKUP(HEVARIM[[#This Row],[קוד תקציב]],'[2]ריכוז נתונים'!A:A,1,0))</f>
        <v>0</v>
      </c>
      <c r="AB171" s="1">
        <f t="shared" si="9"/>
        <v>4409.2307692307695</v>
      </c>
      <c r="AC171" s="2">
        <f ca="1">IF(HEVARIM[[#This Row],[בר מצוה]]&gt;0,YEAR(TODAY())+'תקציבים מיוחדים'!$F$5-HEVARIM[[#This Row],[גיל]],0)</f>
        <v>2031</v>
      </c>
      <c r="AD171" s="1">
        <f t="shared" si="10"/>
        <v>0</v>
      </c>
      <c r="AE171" s="2">
        <f ca="1">IF(HEVARIM[[#This Row],[בת מצוה]]&gt;0,YEAR(TODAY())+'תקציבים מיוחדים'!$F$5-HEVARIM[[#This Row],[גיל]],0)</f>
        <v>0</v>
      </c>
      <c r="AF171" s="1">
        <f>IF(AND($S171&gt;="רווק",$Z171=1),AF$4*IF(HEVARIM[[#This Row],[גיל]]&gt;$AF$3,1,(($G171-AF$2)/(AF$3-AF$2))),0)</f>
        <v>23052.38095238095</v>
      </c>
      <c r="AG171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171" s="1">
        <f t="shared" si="11"/>
        <v>40224.190476190473</v>
      </c>
      <c r="AI171" s="2">
        <f ca="1">IF(AH171&gt;0,YEAR(TODAY())+'תקציבים מיוחדים'!$F$7-HEVARIM[[#This Row],[גיל]],0)</f>
        <v>2039</v>
      </c>
      <c r="AJ171" s="9">
        <f>IF(AND(ISERROR(VLOOKUP(H171,'[2]ריכוז נתונים'!A:L,1,0)),P171="1     "),1,0)</f>
        <v>0</v>
      </c>
      <c r="AK17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71" s="1">
        <f>IF(AND(VALUE(HEVARIM[[#This Row],[קוד מעמד]])=1,HEVARIM[[#This Row],[ותק מחברה 40]]&lt;25),HEVARIM[[#This Row],[ותק מחברה 40]]/25*הנחות!$C$4,0)</f>
        <v>0</v>
      </c>
      <c r="AM171" s="9" t="str">
        <f ca="1">IF(HEVARIM[[#This Row],[דמי עזיבה 25 שנות ותק]]&gt;0,YEAR(TODAY())+25-ROUNDDOWN(HEVARIM[[#This Row],[ותק מחברה 40]],0),"")</f>
        <v/>
      </c>
      <c r="AN1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1" s="9" t="str">
        <f ca="1">IF(HEVARIM[[#This Row],[דמי עזיבה לגיל 65]]&gt;0,YEAR(TODAY())+64-ROUNDDOWN(HEVARIM[[#This Row],[גיל]],0),"")</f>
        <v/>
      </c>
      <c r="AP171" s="1">
        <f>SUMIF(HEVARIM[קוד תקציב],HEVARIM[[#This Row],[קוד תקציב משפחה מקורי]],HEVARIM[ותק מחברה 40])</f>
        <v>13.68</v>
      </c>
      <c r="AQ1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71" s="9">
        <f>IF(HEVARIM[[#This Row],[קוד מעמד]]="1     ",IFERROR(VLOOKUP(HEVARIM[[#This Row],[קוד תקציב]],'תקציב צביעה - לקראת השינוי'!A:F,4,0),0),0)</f>
        <v>0</v>
      </c>
      <c r="AT171" s="1"/>
    </row>
    <row r="172" spans="1:46">
      <c r="A172" t="s">
        <v>884</v>
      </c>
      <c r="B172" t="s">
        <v>885</v>
      </c>
      <c r="C172" t="s">
        <v>867</v>
      </c>
      <c r="D172" t="s">
        <v>886</v>
      </c>
      <c r="E172" t="s">
        <v>67</v>
      </c>
      <c r="F172" s="4">
        <v>43963</v>
      </c>
      <c r="G172">
        <v>5</v>
      </c>
      <c r="H172" t="s">
        <v>869</v>
      </c>
      <c r="I172" t="s">
        <v>870</v>
      </c>
      <c r="J172" s="4" t="s">
        <v>70</v>
      </c>
      <c r="K172" s="4" t="s">
        <v>71</v>
      </c>
      <c r="L172" t="s">
        <v>887</v>
      </c>
      <c r="M172" t="s">
        <v>865</v>
      </c>
      <c r="N172" t="s">
        <v>866</v>
      </c>
      <c r="O172">
        <f>IFERROR(VLOOKUP(HEVARIM[[#This Row],[קוד תקציב]],[2]תקציבים!A:L,6,0),0)</f>
        <v>2</v>
      </c>
      <c r="P172" s="5" t="s">
        <v>227</v>
      </c>
      <c r="Q172" t="s">
        <v>14</v>
      </c>
      <c r="R172" s="4">
        <v>43963</v>
      </c>
      <c r="S172" s="4" t="s">
        <v>90</v>
      </c>
      <c r="T172" s="96" t="s">
        <v>869</v>
      </c>
      <c r="U172" t="str">
        <f>VLOOKUP(HEVARIM[[#This Row],[גיל]],GIL,2,1)</f>
        <v>גנים</v>
      </c>
      <c r="V172">
        <f>IF(HEVARIM[[#This Row],[קוד מעמד]]="4     ",IF(HEVARIM[[#This Row],[גיל]]=1,1,IF(HEVARIM[[#This Row],[גיל]]&lt;=5,5,18)),"")</f>
        <v>5</v>
      </c>
      <c r="W172">
        <f t="shared" si="8"/>
        <v>0</v>
      </c>
      <c r="X17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2">
        <f>IF(HEVARIM[[#This Row],[מצב משפחתי2]]="אלמן",'[2]ריכוז נתונים'!$AC$2,0)</f>
        <v>0</v>
      </c>
      <c r="Z172" s="3">
        <f>VLOOKUP(VALUE(HEVARIM[[#This Row],[קוד מעמד]]),הנחות!$I$2:$K$21,3,0)</f>
        <v>1</v>
      </c>
      <c r="AA172" t="b">
        <f>ISERROR(VLOOKUP(HEVARIM[[#This Row],[קוד תקציב]],'[2]ריכוז נתונים'!A:A,1,0))</f>
        <v>0</v>
      </c>
      <c r="AB172" s="1">
        <f t="shared" si="9"/>
        <v>2755.7692307692309</v>
      </c>
      <c r="AC172" s="2">
        <f ca="1">IF(HEVARIM[[#This Row],[בר מצוה]]&gt;0,YEAR(TODAY())+'תקציבים מיוחדים'!$F$5-HEVARIM[[#This Row],[גיל]],0)</f>
        <v>2034</v>
      </c>
      <c r="AD172" s="1">
        <f t="shared" si="10"/>
        <v>0</v>
      </c>
      <c r="AE172" s="2">
        <f ca="1">IF(HEVARIM[[#This Row],[בת מצוה]]&gt;0,YEAR(TODAY())+'תקציבים מיוחדים'!$F$5-HEVARIM[[#This Row],[גיל]],0)</f>
        <v>0</v>
      </c>
      <c r="AF172" s="1">
        <f>IF(AND($S172&gt;="רווק",$Z172=1),AF$4*IF(HEVARIM[[#This Row],[גיל]]&gt;$AF$3,1,(($G172-AF$2)/(AF$3-AF$2))),0)</f>
        <v>14407.738095238094</v>
      </c>
      <c r="AG172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172" s="1">
        <f t="shared" si="11"/>
        <v>25140.119047619046</v>
      </c>
      <c r="AI172" s="2">
        <f ca="1">IF(AH172&gt;0,YEAR(TODAY())+'תקציבים מיוחדים'!$F$7-HEVARIM[[#This Row],[גיל]],0)</f>
        <v>2042</v>
      </c>
      <c r="AJ172" s="9">
        <f>IF(AND(ISERROR(VLOOKUP(H172,'[2]ריכוז נתונים'!A:L,1,0)),P172="1     "),1,0)</f>
        <v>0</v>
      </c>
      <c r="AK17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72" s="1">
        <f>IF(AND(VALUE(HEVARIM[[#This Row],[קוד מעמד]])=1,HEVARIM[[#This Row],[ותק מחברה 40]]&lt;25),HEVARIM[[#This Row],[ותק מחברה 40]]/25*הנחות!$C$4,0)</f>
        <v>0</v>
      </c>
      <c r="AM172" s="9" t="str">
        <f ca="1">IF(HEVARIM[[#This Row],[דמי עזיבה 25 שנות ותק]]&gt;0,YEAR(TODAY())+25-ROUNDDOWN(HEVARIM[[#This Row],[ותק מחברה 40]],0),"")</f>
        <v/>
      </c>
      <c r="AN1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2" s="9" t="str">
        <f ca="1">IF(HEVARIM[[#This Row],[דמי עזיבה לגיל 65]]&gt;0,YEAR(TODAY())+64-ROUNDDOWN(HEVARIM[[#This Row],[גיל]],0),"")</f>
        <v/>
      </c>
      <c r="AP172" s="1">
        <f>SUMIF(HEVARIM[קוד תקציב],HEVARIM[[#This Row],[קוד תקציב משפחה מקורי]],HEVARIM[ותק מחברה 40])</f>
        <v>13.68</v>
      </c>
      <c r="AQ1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72" s="9">
        <f>IF(HEVARIM[[#This Row],[קוד מעמד]]="1     ",IFERROR(VLOOKUP(HEVARIM[[#This Row],[קוד תקציב]],'תקציב צביעה - לקראת השינוי'!A:F,4,0),0),0)</f>
        <v>0</v>
      </c>
      <c r="AT172" s="1"/>
    </row>
    <row r="173" spans="1:46">
      <c r="A173" t="s">
        <v>888</v>
      </c>
      <c r="B173" t="s">
        <v>889</v>
      </c>
      <c r="C173" t="s">
        <v>867</v>
      </c>
      <c r="D173" t="s">
        <v>890</v>
      </c>
      <c r="E173" t="s">
        <v>67</v>
      </c>
      <c r="F173" s="4">
        <v>44677</v>
      </c>
      <c r="G173">
        <v>3</v>
      </c>
      <c r="H173" t="s">
        <v>869</v>
      </c>
      <c r="I173" t="s">
        <v>870</v>
      </c>
      <c r="J173" s="4" t="s">
        <v>70</v>
      </c>
      <c r="K173" s="4" t="s">
        <v>71</v>
      </c>
      <c r="L173" t="s">
        <v>891</v>
      </c>
      <c r="M173" t="s">
        <v>865</v>
      </c>
      <c r="N173" t="s">
        <v>866</v>
      </c>
      <c r="O173">
        <f>IFERROR(VLOOKUP(HEVARIM[[#This Row],[קוד תקציב]],[2]תקציבים!A:L,6,0),0)</f>
        <v>2</v>
      </c>
      <c r="P173" s="5" t="s">
        <v>227</v>
      </c>
      <c r="Q173" t="s">
        <v>14</v>
      </c>
      <c r="R173" s="4">
        <v>44677</v>
      </c>
      <c r="S173" s="4" t="s">
        <v>90</v>
      </c>
      <c r="T173" s="96" t="s">
        <v>869</v>
      </c>
      <c r="U173" t="str">
        <f>VLOOKUP(HEVARIM[[#This Row],[גיל]],GIL,2,1)</f>
        <v>גנים</v>
      </c>
      <c r="V173">
        <f>IF(HEVARIM[[#This Row],[קוד מעמד]]="4     ",IF(HEVARIM[[#This Row],[גיל]]=1,1,IF(HEVARIM[[#This Row],[גיל]]&lt;=5,5,18)),"")</f>
        <v>5</v>
      </c>
      <c r="W173">
        <f t="shared" si="8"/>
        <v>0</v>
      </c>
      <c r="X17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3">
        <f>IF(HEVARIM[[#This Row],[מצב משפחתי2]]="אלמן",'[2]ריכוז נתונים'!$AC$2,0)</f>
        <v>0</v>
      </c>
      <c r="Z173" s="3">
        <f>VLOOKUP(VALUE(HEVARIM[[#This Row],[קוד מעמד]]),הנחות!$I$2:$K$21,3,0)</f>
        <v>1</v>
      </c>
      <c r="AA173" t="b">
        <f>ISERROR(VLOOKUP(HEVARIM[[#This Row],[קוד תקציב]],'[2]ריכוז נתונים'!A:A,1,0))</f>
        <v>0</v>
      </c>
      <c r="AB173" s="1">
        <f t="shared" si="9"/>
        <v>1653.4615384615386</v>
      </c>
      <c r="AC173" s="2">
        <f ca="1">IF(HEVARIM[[#This Row],[בר מצוה]]&gt;0,YEAR(TODAY())+'תקציבים מיוחדים'!$F$5-HEVARIM[[#This Row],[גיל]],0)</f>
        <v>2036</v>
      </c>
      <c r="AD173" s="1">
        <f t="shared" si="10"/>
        <v>0</v>
      </c>
      <c r="AE173" s="2">
        <f ca="1">IF(HEVARIM[[#This Row],[בת מצוה]]&gt;0,YEAR(TODAY())+'תקציבים מיוחדים'!$F$5-HEVARIM[[#This Row],[גיל]],0)</f>
        <v>0</v>
      </c>
      <c r="AF173" s="1">
        <f>IF(AND($S173&gt;="רווק",$Z173=1),AF$4*IF(HEVARIM[[#This Row],[גיל]]&gt;$AF$3,1,(($G173-AF$2)/(AF$3-AF$2))),0)</f>
        <v>8644.6428571428569</v>
      </c>
      <c r="AG173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173" s="1">
        <f t="shared" si="11"/>
        <v>15084.071428571428</v>
      </c>
      <c r="AI173" s="2">
        <f ca="1">IF(AH173&gt;0,YEAR(TODAY())+'תקציבים מיוחדים'!$F$7-HEVARIM[[#This Row],[גיל]],0)</f>
        <v>2044</v>
      </c>
      <c r="AJ173" s="9">
        <f>IF(AND(ISERROR(VLOOKUP(H173,'[2]ריכוז נתונים'!A:L,1,0)),P173="1     "),1,0)</f>
        <v>0</v>
      </c>
      <c r="AK17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73" s="1">
        <f>IF(AND(VALUE(HEVARIM[[#This Row],[קוד מעמד]])=1,HEVARIM[[#This Row],[ותק מחברה 40]]&lt;25),HEVARIM[[#This Row],[ותק מחברה 40]]/25*הנחות!$C$4,0)</f>
        <v>0</v>
      </c>
      <c r="AM173" s="9" t="str">
        <f ca="1">IF(HEVARIM[[#This Row],[דמי עזיבה 25 שנות ותק]]&gt;0,YEAR(TODAY())+25-ROUNDDOWN(HEVARIM[[#This Row],[ותק מחברה 40]],0),"")</f>
        <v/>
      </c>
      <c r="AN1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3" s="9" t="str">
        <f ca="1">IF(HEVARIM[[#This Row],[דמי עזיבה לגיל 65]]&gt;0,YEAR(TODAY())+64-ROUNDDOWN(HEVARIM[[#This Row],[גיל]],0),"")</f>
        <v/>
      </c>
      <c r="AP173" s="1">
        <f>SUMIF(HEVARIM[קוד תקציב],HEVARIM[[#This Row],[קוד תקציב משפחה מקורי]],HEVARIM[ותק מחברה 40])</f>
        <v>13.68</v>
      </c>
      <c r="AQ1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73" s="9">
        <f>IF(HEVARIM[[#This Row],[קוד מעמד]]="1     ",IFERROR(VLOOKUP(HEVARIM[[#This Row],[קוד תקציב]],'תקציב צביעה - לקראת השינוי'!A:F,4,0),0),0)</f>
        <v>0</v>
      </c>
      <c r="AT173" s="1"/>
    </row>
    <row r="174" spans="1:46">
      <c r="A174" t="s">
        <v>907</v>
      </c>
      <c r="B174" t="s">
        <v>908</v>
      </c>
      <c r="C174" t="s">
        <v>902</v>
      </c>
      <c r="D174" t="s">
        <v>909</v>
      </c>
      <c r="E174" t="s">
        <v>79</v>
      </c>
      <c r="F174" s="4">
        <v>17191</v>
      </c>
      <c r="G174">
        <v>78</v>
      </c>
      <c r="H174" t="s">
        <v>904</v>
      </c>
      <c r="I174" t="s">
        <v>905</v>
      </c>
      <c r="J174" s="4" t="s">
        <v>70</v>
      </c>
      <c r="K174" s="4" t="s">
        <v>71</v>
      </c>
      <c r="L174" t="s">
        <v>910</v>
      </c>
      <c r="M174" t="s">
        <v>900</v>
      </c>
      <c r="N174" t="s">
        <v>901</v>
      </c>
      <c r="O174">
        <f>IFERROR(VLOOKUP(HEVARIM[[#This Row],[קוד תקציב]],[2]תקציבים!A:L,6,0),0)</f>
        <v>2</v>
      </c>
      <c r="P174" s="5" t="s">
        <v>104</v>
      </c>
      <c r="Q174" t="s">
        <v>11</v>
      </c>
      <c r="R174" s="4">
        <v>25568</v>
      </c>
      <c r="S174" s="4" t="s">
        <v>74</v>
      </c>
      <c r="T174" s="96" t="s">
        <v>904</v>
      </c>
      <c r="U174" t="str">
        <f>VLOOKUP(HEVARIM[[#This Row],[גיל]],GIL,2,1)</f>
        <v>--</v>
      </c>
      <c r="V174" t="str">
        <f>IF(HEVARIM[[#This Row],[קוד מעמד]]="4     ",IF(HEVARIM[[#This Row],[גיל]]=1,1,IF(HEVARIM[[#This Row],[גיל]]&lt;=5,5,18)),"")</f>
        <v/>
      </c>
      <c r="W174">
        <f t="shared" si="8"/>
        <v>2365</v>
      </c>
      <c r="X17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74">
        <f>IF(HEVARIM[[#This Row],[מצב משפחתי2]]="אלמן",'[2]ריכוז נתונים'!$AC$2,0)</f>
        <v>0</v>
      </c>
      <c r="Z174" s="3">
        <f>VLOOKUP(VALUE(HEVARIM[[#This Row],[קוד מעמד]]),הנחות!$I$2:$K$21,3,0)</f>
        <v>0</v>
      </c>
      <c r="AA174" t="b">
        <f>ISERROR(VLOOKUP(HEVARIM[[#This Row],[קוד תקציב]],'[2]ריכוז נתונים'!A:A,1,0))</f>
        <v>0</v>
      </c>
      <c r="AB174" s="1">
        <f t="shared" si="9"/>
        <v>0</v>
      </c>
      <c r="AC174" s="2">
        <f ca="1">IF(HEVARIM[[#This Row],[בר מצוה]]&gt;0,YEAR(TODAY())+'תקציבים מיוחדים'!$F$5-HEVARIM[[#This Row],[גיל]],0)</f>
        <v>0</v>
      </c>
      <c r="AD174" s="1">
        <f t="shared" si="10"/>
        <v>0</v>
      </c>
      <c r="AE174" s="2">
        <f ca="1">IF(HEVARIM[[#This Row],[בת מצוה]]&gt;0,YEAR(TODAY())+'תקציבים מיוחדים'!$F$5-HEVARIM[[#This Row],[גיל]],0)</f>
        <v>0</v>
      </c>
      <c r="AF174" s="1">
        <f>IF(AND($S174&gt;="רווק",$Z174=1),AF$4*IF(HEVARIM[[#This Row],[גיל]]&gt;$AF$3,1,(($G174-AF$2)/(AF$3-AF$2))),0)</f>
        <v>0</v>
      </c>
      <c r="AG17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74" s="1">
        <f t="shared" si="11"/>
        <v>0</v>
      </c>
      <c r="AI174" s="2">
        <f ca="1">IF(AH174&gt;0,YEAR(TODAY())+'תקציבים מיוחדים'!$F$7-HEVARIM[[#This Row],[גיל]],0)</f>
        <v>0</v>
      </c>
      <c r="AJ174" s="9">
        <f>IF(AND(ISERROR(VLOOKUP(H174,'[2]ריכוז נתונים'!A:L,1,0)),P174="1     "),1,0)</f>
        <v>0</v>
      </c>
      <c r="AK174" s="1">
        <f>IF(VALUE(HEVARIM[[#This Row],[קוד מעמד]])=1,VLOOKUP((IF(LEFT(HEVARIM[[#This Row],[קוד חבר]],1)="0",HEVARIM[[#This Row],[קוד חבר]],VALUE(HEVARIM[[#This Row],[קוד חבר]]))),'ותק חברה 40'!AQ:AW,7,0),"")</f>
        <v>47.96</v>
      </c>
      <c r="AL174" s="1">
        <f>IF(AND(VALUE(HEVARIM[[#This Row],[קוד מעמד]])=1,HEVARIM[[#This Row],[ותק מחברה 40]]&lt;25),HEVARIM[[#This Row],[ותק מחברה 40]]/25*הנחות!$C$4,0)</f>
        <v>0</v>
      </c>
      <c r="AM174" s="9" t="str">
        <f ca="1">IF(HEVARIM[[#This Row],[דמי עזיבה 25 שנות ותק]]&gt;0,YEAR(TODAY())+25-ROUNDDOWN(HEVARIM[[#This Row],[ותק מחברה 40]],0),"")</f>
        <v/>
      </c>
      <c r="AN17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4" s="9" t="str">
        <f ca="1">IF(HEVARIM[[#This Row],[דמי עזיבה לגיל 65]]&gt;0,YEAR(TODAY())+64-ROUNDDOWN(HEVARIM[[#This Row],[גיל]],0),"")</f>
        <v/>
      </c>
      <c r="AP174" s="1">
        <f>SUMIF(HEVARIM[קוד תקציב],HEVARIM[[#This Row],[קוד תקציב משפחה מקורי]],HEVARIM[ותק מחברה 40])</f>
        <v>95.960000000000008</v>
      </c>
      <c r="AQ1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174" s="9">
        <f>IF(HEVARIM[[#This Row],[קוד מעמד]]="1     ",IFERROR(VLOOKUP(HEVARIM[[#This Row],[קוד תקציב]],'תקציב צביעה - לקראת השינוי'!A:F,4,0),0),0)</f>
        <v>2033</v>
      </c>
      <c r="AT174" s="1"/>
    </row>
    <row r="175" spans="1:46">
      <c r="A175" t="s">
        <v>982</v>
      </c>
      <c r="B175" t="s">
        <v>983</v>
      </c>
      <c r="C175" t="s">
        <v>902</v>
      </c>
      <c r="D175" t="s">
        <v>195</v>
      </c>
      <c r="E175" t="s">
        <v>67</v>
      </c>
      <c r="F175" s="4">
        <v>25678</v>
      </c>
      <c r="G175">
        <v>55</v>
      </c>
      <c r="H175" t="s">
        <v>984</v>
      </c>
      <c r="I175" t="s">
        <v>983</v>
      </c>
      <c r="J175" s="4" t="s">
        <v>70</v>
      </c>
      <c r="K175" s="4" t="s">
        <v>71</v>
      </c>
      <c r="L175" t="s">
        <v>985</v>
      </c>
      <c r="M175" t="s">
        <v>982</v>
      </c>
      <c r="N175" t="s">
        <v>983</v>
      </c>
      <c r="O175">
        <f>IFERROR(VLOOKUP(HEVARIM[[#This Row],[קוד תקציב]],[2]תקציבים!A:L,6,0),0)</f>
        <v>1</v>
      </c>
      <c r="P175" s="5" t="s">
        <v>104</v>
      </c>
      <c r="Q175" t="s">
        <v>11</v>
      </c>
      <c r="R175" s="4">
        <v>37379</v>
      </c>
      <c r="S175" s="4" t="s">
        <v>145</v>
      </c>
      <c r="T175" s="96" t="s">
        <v>904</v>
      </c>
      <c r="U175" t="str">
        <f>VLOOKUP(HEVARIM[[#This Row],[גיל]],GIL,2,1)</f>
        <v>--</v>
      </c>
      <c r="V175" t="str">
        <f>IF(HEVARIM[[#This Row],[קוד מעמד]]="4     ",IF(HEVARIM[[#This Row],[גיל]]=1,1,IF(HEVARIM[[#This Row],[גיל]]&lt;=5,5,18)),"")</f>
        <v/>
      </c>
      <c r="W175">
        <f t="shared" si="8"/>
        <v>0</v>
      </c>
      <c r="X17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5">
        <f>IF(HEVARIM[[#This Row],[מצב משפחתי2]]="אלמן",'[2]ריכוז נתונים'!$AC$2,0)</f>
        <v>0</v>
      </c>
      <c r="Z175" s="3">
        <f>VLOOKUP(VALUE(HEVARIM[[#This Row],[קוד מעמד]]),הנחות!$I$2:$K$21,3,0)</f>
        <v>0</v>
      </c>
      <c r="AA175" t="b">
        <f>ISERROR(VLOOKUP(HEVARIM[[#This Row],[קוד תקציב]],'[2]ריכוז נתונים'!A:A,1,0))</f>
        <v>0</v>
      </c>
      <c r="AB175" s="1">
        <f t="shared" si="9"/>
        <v>0</v>
      </c>
      <c r="AC175" s="2">
        <f ca="1">IF(HEVARIM[[#This Row],[בר מצוה]]&gt;0,YEAR(TODAY())+'תקציבים מיוחדים'!$F$5-HEVARIM[[#This Row],[גיל]],0)</f>
        <v>0</v>
      </c>
      <c r="AD175" s="1">
        <f t="shared" si="10"/>
        <v>0</v>
      </c>
      <c r="AE175" s="2">
        <f ca="1">IF(HEVARIM[[#This Row],[בת מצוה]]&gt;0,YEAR(TODAY())+'תקציבים מיוחדים'!$F$5-HEVARIM[[#This Row],[גיל]],0)</f>
        <v>0</v>
      </c>
      <c r="AF175" s="1">
        <f>IF(AND($S175&gt;="רווק",$Z175=1),AF$4*IF(HEVARIM[[#This Row],[גיל]]&gt;$AF$3,1,(($G175-AF$2)/(AF$3-AF$2))),0)</f>
        <v>0</v>
      </c>
      <c r="AG17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75" s="1">
        <f t="shared" si="11"/>
        <v>0</v>
      </c>
      <c r="AI175" s="2">
        <f ca="1">IF(AH175&gt;0,YEAR(TODAY())+'תקציבים מיוחדים'!$F$7-HEVARIM[[#This Row],[גיל]],0)</f>
        <v>0</v>
      </c>
      <c r="AJ175" s="9">
        <f>IF(AND(ISERROR(VLOOKUP(H175,'[2]ריכוז נתונים'!A:L,1,0)),P175="1     "),1,0)</f>
        <v>0</v>
      </c>
      <c r="AK175" s="1">
        <f>IF(VALUE(HEVARIM[[#This Row],[קוד מעמד]])=1,VLOOKUP((IF(LEFT(HEVARIM[[#This Row],[קוד חבר]],1)="0",HEVARIM[[#This Row],[קוד חבר]],VALUE(HEVARIM[[#This Row],[קוד חבר]]))),'ותק חברה 40'!AQ:AW,7,0),"")</f>
        <v>36.86</v>
      </c>
      <c r="AL175" s="1">
        <f>IF(AND(VALUE(HEVARIM[[#This Row],[קוד מעמד]])=1,HEVARIM[[#This Row],[ותק מחברה 40]]&lt;25),HEVARIM[[#This Row],[ותק מחברה 40]]/25*הנחות!$C$4,0)</f>
        <v>0</v>
      </c>
      <c r="AM175" s="9" t="str">
        <f ca="1">IF(HEVARIM[[#This Row],[דמי עזיבה 25 שנות ותק]]&gt;0,YEAR(TODAY())+25-ROUNDDOWN(HEVARIM[[#This Row],[ותק מחברה 40]],0),"")</f>
        <v/>
      </c>
      <c r="AN175" s="1">
        <f>IF(AND(VALUE(HEVARIM[[#This Row],[קוד מעמד]])=1,HEVARIM[[#This Row],[ותק מחברה 40]]&gt;25,HEVARIM[[#This Row],[גיל]]&lt;65),הנחות!$C$14+(HEVARIM[[#This Row],[ותק מחברה 40]]-25)*הנחות!$C$10*0.25,0)</f>
        <v>58607.616374999998</v>
      </c>
      <c r="AO175" s="9">
        <f ca="1">IF(HEVARIM[[#This Row],[דמי עזיבה לגיל 65]]&gt;0,YEAR(TODAY())+64-ROUNDDOWN(HEVARIM[[#This Row],[גיל]],0),"")</f>
        <v>2035</v>
      </c>
      <c r="AP175" s="1">
        <f>SUMIF(HEVARIM[קוד תקציב],HEVARIM[[#This Row],[קוד תקציב משפחה מקורי]],HEVARIM[ותק מחברה 40])</f>
        <v>95.960000000000008</v>
      </c>
      <c r="AQ1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175" s="9">
        <f>IF(HEVARIM[[#This Row],[קוד מעמד]]="1     ",IFERROR(VLOOKUP(HEVARIM[[#This Row],[קוד תקציב]],'תקציב צביעה - לקראת השינוי'!A:F,4,0),0),0)</f>
        <v>2031</v>
      </c>
      <c r="AT175" s="1"/>
    </row>
    <row r="176" spans="1:46">
      <c r="A176" t="s">
        <v>916</v>
      </c>
      <c r="B176" t="s">
        <v>917</v>
      </c>
      <c r="C176" t="s">
        <v>918</v>
      </c>
      <c r="D176" t="s">
        <v>333</v>
      </c>
      <c r="E176" t="s">
        <v>67</v>
      </c>
      <c r="F176" s="4">
        <v>31167</v>
      </c>
      <c r="G176">
        <v>40</v>
      </c>
      <c r="H176" t="s">
        <v>919</v>
      </c>
      <c r="I176" t="s">
        <v>920</v>
      </c>
      <c r="J176" s="4" t="s">
        <v>70</v>
      </c>
      <c r="K176" s="4" t="s">
        <v>71</v>
      </c>
      <c r="L176" t="s">
        <v>921</v>
      </c>
      <c r="M176" t="s">
        <v>916</v>
      </c>
      <c r="N176" t="s">
        <v>917</v>
      </c>
      <c r="O176">
        <f>IFERROR(VLOOKUP(HEVARIM[[#This Row],[קוד תקציב]],[2]תקציבים!A:L,6,0),0)</f>
        <v>2</v>
      </c>
      <c r="P176" s="5" t="s">
        <v>104</v>
      </c>
      <c r="Q176" t="s">
        <v>11</v>
      </c>
      <c r="R176" s="4">
        <v>43104</v>
      </c>
      <c r="S176" s="4" t="s">
        <v>74</v>
      </c>
      <c r="T176" s="96" t="s">
        <v>919</v>
      </c>
      <c r="U176" t="str">
        <f>VLOOKUP(HEVARIM[[#This Row],[גיל]],GIL,2,1)</f>
        <v>--</v>
      </c>
      <c r="V176" t="str">
        <f>IF(HEVARIM[[#This Row],[קוד מעמד]]="4     ",IF(HEVARIM[[#This Row],[גיל]]=1,1,IF(HEVARIM[[#This Row],[גיל]]&lt;=5,5,18)),"")</f>
        <v/>
      </c>
      <c r="W176">
        <f t="shared" si="8"/>
        <v>0</v>
      </c>
      <c r="X17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6">
        <f>IF(HEVARIM[[#This Row],[מצב משפחתי2]]="אלמן",'[2]ריכוז נתונים'!$AC$2,0)</f>
        <v>0</v>
      </c>
      <c r="Z176" s="3">
        <f>VLOOKUP(VALUE(HEVARIM[[#This Row],[קוד מעמד]]),הנחות!$I$2:$K$21,3,0)</f>
        <v>0</v>
      </c>
      <c r="AA176" t="b">
        <f>ISERROR(VLOOKUP(HEVARIM[[#This Row],[קוד תקציב]],'[2]ריכוז נתונים'!A:A,1,0))</f>
        <v>0</v>
      </c>
      <c r="AB176" s="1">
        <f t="shared" si="9"/>
        <v>0</v>
      </c>
      <c r="AC176" s="2">
        <f ca="1">IF(HEVARIM[[#This Row],[בר מצוה]]&gt;0,YEAR(TODAY())+'תקציבים מיוחדים'!$F$5-HEVARIM[[#This Row],[גיל]],0)</f>
        <v>0</v>
      </c>
      <c r="AD176" s="1">
        <f t="shared" si="10"/>
        <v>0</v>
      </c>
      <c r="AE176" s="2">
        <f ca="1">IF(HEVARIM[[#This Row],[בת מצוה]]&gt;0,YEAR(TODAY())+'תקציבים מיוחדים'!$F$5-HEVARIM[[#This Row],[גיל]],0)</f>
        <v>0</v>
      </c>
      <c r="AF176" s="1">
        <f>IF(AND($S176&gt;="רווק",$Z176=1),AF$4*IF(HEVARIM[[#This Row],[גיל]]&gt;$AF$3,1,(($G176-AF$2)/(AF$3-AF$2))),0)</f>
        <v>0</v>
      </c>
      <c r="AG17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76" s="1">
        <f t="shared" si="11"/>
        <v>0</v>
      </c>
      <c r="AI176" s="2">
        <f ca="1">IF(AH176&gt;0,YEAR(TODAY())+'תקציבים מיוחדים'!$F$7-HEVARIM[[#This Row],[גיל]],0)</f>
        <v>0</v>
      </c>
      <c r="AJ176" s="9">
        <f>IF(AND(ISERROR(VLOOKUP(H176,'[2]ריכוז נתונים'!A:L,1,0)),P176="1     "),1,0)</f>
        <v>0</v>
      </c>
      <c r="AK176" s="1">
        <f>IF(VALUE(HEVARIM[[#This Row],[קוד מעמד]])=1,VLOOKUP((IF(LEFT(HEVARIM[[#This Row],[קוד חבר]],1)="0",HEVARIM[[#This Row],[קוד חבר]],VALUE(HEVARIM[[#This Row],[קוד חבר]]))),'ותק חברה 40'!AQ:AW,7,0),"")</f>
        <v>10.59</v>
      </c>
      <c r="AL176" s="1">
        <f>IF(AND(VALUE(HEVARIM[[#This Row],[קוד מעמד]])=1,HEVARIM[[#This Row],[ותק מחברה 40]]&lt;25),HEVARIM[[#This Row],[ותק מחברה 40]]/25*הנחות!$C$4,0)</f>
        <v>15899.661854999997</v>
      </c>
      <c r="AM176" s="9">
        <f ca="1">IF(HEVARIM[[#This Row],[דמי עזיבה 25 שנות ותק]]&gt;0,YEAR(TODAY())+25-ROUNDDOWN(HEVARIM[[#This Row],[ותק מחברה 40]],0),"")</f>
        <v>2041</v>
      </c>
      <c r="AN1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6" s="9" t="str">
        <f ca="1">IF(HEVARIM[[#This Row],[דמי עזיבה לגיל 65]]&gt;0,YEAR(TODAY())+64-ROUNDDOWN(HEVARIM[[#This Row],[גיל]],0),"")</f>
        <v/>
      </c>
      <c r="AP176" s="1">
        <f>SUMIF(HEVARIM[קוד תקציב],HEVARIM[[#This Row],[קוד תקציב משפחה מקורי]],HEVARIM[ותק מחברה 40])</f>
        <v>21.18</v>
      </c>
      <c r="AQ1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176" s="9">
        <f>IF(HEVARIM[[#This Row],[קוד מעמד]]="1     ",IFERROR(VLOOKUP(HEVARIM[[#This Row],[קוד תקציב]],'תקציב צביעה - לקראת השינוי'!A:F,4,0),0),0)</f>
        <v>2031</v>
      </c>
      <c r="AT176" s="1"/>
    </row>
    <row r="177" spans="1:46">
      <c r="A177" t="s">
        <v>922</v>
      </c>
      <c r="B177" t="s">
        <v>923</v>
      </c>
      <c r="C177" t="s">
        <v>918</v>
      </c>
      <c r="D177" t="s">
        <v>924</v>
      </c>
      <c r="E177" t="s">
        <v>79</v>
      </c>
      <c r="F177" s="4">
        <v>31908</v>
      </c>
      <c r="G177">
        <v>38</v>
      </c>
      <c r="H177" t="s">
        <v>919</v>
      </c>
      <c r="I177" t="s">
        <v>920</v>
      </c>
      <c r="J177" s="4" t="s">
        <v>70</v>
      </c>
      <c r="K177" s="4" t="s">
        <v>71</v>
      </c>
      <c r="L177" t="s">
        <v>925</v>
      </c>
      <c r="M177" t="s">
        <v>916</v>
      </c>
      <c r="N177" t="s">
        <v>917</v>
      </c>
      <c r="O177">
        <f>IFERROR(VLOOKUP(HEVARIM[[#This Row],[קוד תקציב]],[2]תקציבים!A:L,6,0),0)</f>
        <v>2</v>
      </c>
      <c r="P177" s="5" t="s">
        <v>104</v>
      </c>
      <c r="Q177" t="s">
        <v>11</v>
      </c>
      <c r="R177" s="4">
        <v>43104</v>
      </c>
      <c r="S177" s="4" t="s">
        <v>74</v>
      </c>
      <c r="T177" s="96" t="s">
        <v>919</v>
      </c>
      <c r="U177" t="str">
        <f>VLOOKUP(HEVARIM[[#This Row],[גיל]],GIL,2,1)</f>
        <v>--</v>
      </c>
      <c r="V177" t="str">
        <f>IF(HEVARIM[[#This Row],[קוד מעמד]]="4     ",IF(HEVARIM[[#This Row],[גיל]]=1,1,IF(HEVARIM[[#This Row],[גיל]]&lt;=5,5,18)),"")</f>
        <v/>
      </c>
      <c r="W177">
        <f t="shared" si="8"/>
        <v>0</v>
      </c>
      <c r="X17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7">
        <f>IF(HEVARIM[[#This Row],[מצב משפחתי2]]="אלמן",'[2]ריכוז נתונים'!$AC$2,0)</f>
        <v>0</v>
      </c>
      <c r="Z177" s="3">
        <f>VLOOKUP(VALUE(HEVARIM[[#This Row],[קוד מעמד]]),הנחות!$I$2:$K$21,3,0)</f>
        <v>0</v>
      </c>
      <c r="AA177" t="b">
        <f>ISERROR(VLOOKUP(HEVARIM[[#This Row],[קוד תקציב]],'[2]ריכוז נתונים'!A:A,1,0))</f>
        <v>0</v>
      </c>
      <c r="AB177" s="1">
        <f t="shared" si="9"/>
        <v>0</v>
      </c>
      <c r="AC177" s="2">
        <f ca="1">IF(HEVARIM[[#This Row],[בר מצוה]]&gt;0,YEAR(TODAY())+'תקציבים מיוחדים'!$F$5-HEVARIM[[#This Row],[גיל]],0)</f>
        <v>0</v>
      </c>
      <c r="AD177" s="1">
        <f t="shared" si="10"/>
        <v>0</v>
      </c>
      <c r="AE177" s="2">
        <f ca="1">IF(HEVARIM[[#This Row],[בת מצוה]]&gt;0,YEAR(TODAY())+'תקציבים מיוחדים'!$F$5-HEVARIM[[#This Row],[גיל]],0)</f>
        <v>0</v>
      </c>
      <c r="AF177" s="1">
        <f>IF(AND($S177&gt;="רווק",$Z177=1),AF$4*IF(HEVARIM[[#This Row],[גיל]]&gt;$AF$3,1,(($G177-AF$2)/(AF$3-AF$2))),0)</f>
        <v>0</v>
      </c>
      <c r="AG17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77" s="1">
        <f t="shared" si="11"/>
        <v>0</v>
      </c>
      <c r="AI177" s="2">
        <f ca="1">IF(AH177&gt;0,YEAR(TODAY())+'תקציבים מיוחדים'!$F$7-HEVARIM[[#This Row],[גיל]],0)</f>
        <v>0</v>
      </c>
      <c r="AJ177" s="9">
        <f>IF(AND(ISERROR(VLOOKUP(H177,'[2]ריכוז נתונים'!A:L,1,0)),P177="1     "),1,0)</f>
        <v>0</v>
      </c>
      <c r="AK177" s="1">
        <f>IF(VALUE(HEVARIM[[#This Row],[קוד מעמד]])=1,VLOOKUP((IF(LEFT(HEVARIM[[#This Row],[קוד חבר]],1)="0",HEVARIM[[#This Row],[קוד חבר]],VALUE(HEVARIM[[#This Row],[קוד חבר]]))),'ותק חברה 40'!AQ:AW,7,0),"")</f>
        <v>10.59</v>
      </c>
      <c r="AL177" s="1">
        <f>IF(AND(VALUE(HEVARIM[[#This Row],[קוד מעמד]])=1,HEVARIM[[#This Row],[ותק מחברה 40]]&lt;25),HEVARIM[[#This Row],[ותק מחברה 40]]/25*הנחות!$C$4,0)</f>
        <v>15899.661854999997</v>
      </c>
      <c r="AM177" s="9">
        <f ca="1">IF(HEVARIM[[#This Row],[דמי עזיבה 25 שנות ותק]]&gt;0,YEAR(TODAY())+25-ROUNDDOWN(HEVARIM[[#This Row],[ותק מחברה 40]],0),"")</f>
        <v>2041</v>
      </c>
      <c r="AN17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7" s="9" t="str">
        <f ca="1">IF(HEVARIM[[#This Row],[דמי עזיבה לגיל 65]]&gt;0,YEAR(TODAY())+64-ROUNDDOWN(HEVARIM[[#This Row],[גיל]],0),"")</f>
        <v/>
      </c>
      <c r="AP177" s="1">
        <f>SUMIF(HEVARIM[קוד תקציב],HEVARIM[[#This Row],[קוד תקציב משפחה מקורי]],HEVARIM[ותק מחברה 40])</f>
        <v>21.18</v>
      </c>
      <c r="AQ1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177" s="9">
        <f>IF(HEVARIM[[#This Row],[קוד מעמד]]="1     ",IFERROR(VLOOKUP(HEVARIM[[#This Row],[קוד תקציב]],'תקציב צביעה - לקראת השינוי'!A:F,4,0),0),0)</f>
        <v>2031</v>
      </c>
      <c r="AT177" s="1"/>
    </row>
    <row r="178" spans="1:46">
      <c r="A178" t="s">
        <v>926</v>
      </c>
      <c r="B178" t="s">
        <v>927</v>
      </c>
      <c r="C178" t="s">
        <v>918</v>
      </c>
      <c r="D178" t="s">
        <v>928</v>
      </c>
      <c r="E178" t="s">
        <v>79</v>
      </c>
      <c r="F178" s="4">
        <v>41786</v>
      </c>
      <c r="G178">
        <v>11</v>
      </c>
      <c r="H178" t="s">
        <v>919</v>
      </c>
      <c r="I178" t="s">
        <v>920</v>
      </c>
      <c r="J178" s="4" t="s">
        <v>70</v>
      </c>
      <c r="K178" s="4" t="s">
        <v>71</v>
      </c>
      <c r="L178" t="s">
        <v>929</v>
      </c>
      <c r="M178" t="s">
        <v>916</v>
      </c>
      <c r="N178" t="s">
        <v>917</v>
      </c>
      <c r="O178">
        <f>IFERROR(VLOOKUP(HEVARIM[[#This Row],[קוד תקציב]],[2]תקציבים!A:L,6,0),0)</f>
        <v>2</v>
      </c>
      <c r="P178" s="5" t="s">
        <v>227</v>
      </c>
      <c r="Q178" t="s">
        <v>14</v>
      </c>
      <c r="R178" s="4">
        <v>42036</v>
      </c>
      <c r="S178" s="4" t="s">
        <v>90</v>
      </c>
      <c r="T178" s="96" t="s">
        <v>919</v>
      </c>
      <c r="U178" t="str">
        <f>VLOOKUP(HEVARIM[[#This Row],[גיל]],GIL,2,1)</f>
        <v>יסודי</v>
      </c>
      <c r="V178">
        <f>IF(HEVARIM[[#This Row],[קוד מעמד]]="4     ",IF(HEVARIM[[#This Row],[גיל]]=1,1,IF(HEVARIM[[#This Row],[גיל]]&lt;=5,5,18)),"")</f>
        <v>18</v>
      </c>
      <c r="W178">
        <f t="shared" si="8"/>
        <v>0</v>
      </c>
      <c r="X17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8">
        <f>IF(HEVARIM[[#This Row],[מצב משפחתי2]]="אלמן",'[2]ריכוז נתונים'!$AC$2,0)</f>
        <v>0</v>
      </c>
      <c r="Z178" s="3">
        <f>VLOOKUP(VALUE(HEVARIM[[#This Row],[קוד מעמד]]),הנחות!$I$2:$K$21,3,0)</f>
        <v>1</v>
      </c>
      <c r="AA178" t="b">
        <f>ISERROR(VLOOKUP(HEVARIM[[#This Row],[קוד תקציב]],'[2]ריכוז נתונים'!A:A,1,0))</f>
        <v>0</v>
      </c>
      <c r="AB178" s="1">
        <f t="shared" si="9"/>
        <v>0</v>
      </c>
      <c r="AC178" s="2">
        <f ca="1">IF(HEVARIM[[#This Row],[בר מצוה]]&gt;0,YEAR(TODAY())+'תקציבים מיוחדים'!$F$5-HEVARIM[[#This Row],[גיל]],0)</f>
        <v>0</v>
      </c>
      <c r="AD178" s="1">
        <f t="shared" si="10"/>
        <v>6062.6923076923076</v>
      </c>
      <c r="AE178" s="2">
        <f ca="1">IF(HEVARIM[[#This Row],[בת מצוה]]&gt;0,YEAR(TODAY())+'תקציבים מיוחדים'!$F$5-HEVARIM[[#This Row],[גיל]],0)</f>
        <v>2028</v>
      </c>
      <c r="AF178" s="1">
        <f>IF(AND($S178&gt;="רווק",$Z178=1),AF$4*IF(HEVARIM[[#This Row],[גיל]]&gt;$AF$3,1,(($G178-AF$2)/(AF$3-AF$2))),0)</f>
        <v>31697.023809523813</v>
      </c>
      <c r="AG178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178" s="1">
        <f t="shared" si="11"/>
        <v>55308.261904761908</v>
      </c>
      <c r="AI178" s="2">
        <f ca="1">IF(AH178&gt;0,YEAR(TODAY())+'תקציבים מיוחדים'!$F$7-HEVARIM[[#This Row],[גיל]],0)</f>
        <v>2036</v>
      </c>
      <c r="AJ178" s="9">
        <f>IF(AND(ISERROR(VLOOKUP(H178,'[2]ריכוז נתונים'!A:L,1,0)),P178="1     "),1,0)</f>
        <v>0</v>
      </c>
      <c r="AK17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78" s="1">
        <f>IF(AND(VALUE(HEVARIM[[#This Row],[קוד מעמד]])=1,HEVARIM[[#This Row],[ותק מחברה 40]]&lt;25),HEVARIM[[#This Row],[ותק מחברה 40]]/25*הנחות!$C$4,0)</f>
        <v>0</v>
      </c>
      <c r="AM178" s="9" t="str">
        <f ca="1">IF(HEVARIM[[#This Row],[דמי עזיבה 25 שנות ותק]]&gt;0,YEAR(TODAY())+25-ROUNDDOWN(HEVARIM[[#This Row],[ותק מחברה 40]],0),"")</f>
        <v/>
      </c>
      <c r="AN1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8" s="9" t="str">
        <f ca="1">IF(HEVARIM[[#This Row],[דמי עזיבה לגיל 65]]&gt;0,YEAR(TODAY())+64-ROUNDDOWN(HEVARIM[[#This Row],[גיל]],0),"")</f>
        <v/>
      </c>
      <c r="AP178" s="1">
        <f>SUMIF(HEVARIM[קוד תקציב],HEVARIM[[#This Row],[קוד תקציב משפחה מקורי]],HEVARIM[ותק מחברה 40])</f>
        <v>21.18</v>
      </c>
      <c r="AQ1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78" s="9">
        <f>IF(HEVARIM[[#This Row],[קוד מעמד]]="1     ",IFERROR(VLOOKUP(HEVARIM[[#This Row],[קוד תקציב]],'תקציב צביעה - לקראת השינוי'!A:F,4,0),0),0)</f>
        <v>0</v>
      </c>
      <c r="AT178" s="1"/>
    </row>
    <row r="179" spans="1:46">
      <c r="A179" t="s">
        <v>930</v>
      </c>
      <c r="B179" t="s">
        <v>931</v>
      </c>
      <c r="C179" t="s">
        <v>918</v>
      </c>
      <c r="D179" t="s">
        <v>303</v>
      </c>
      <c r="E179" t="s">
        <v>67</v>
      </c>
      <c r="F179" s="4">
        <v>44037</v>
      </c>
      <c r="G179">
        <v>5</v>
      </c>
      <c r="H179" t="s">
        <v>919</v>
      </c>
      <c r="I179" t="s">
        <v>920</v>
      </c>
      <c r="J179" s="4" t="s">
        <v>70</v>
      </c>
      <c r="K179" s="4" t="s">
        <v>71</v>
      </c>
      <c r="L179" t="s">
        <v>932</v>
      </c>
      <c r="M179" t="s">
        <v>916</v>
      </c>
      <c r="N179" t="s">
        <v>917</v>
      </c>
      <c r="O179">
        <f>IFERROR(VLOOKUP(HEVARIM[[#This Row],[קוד תקציב]],[2]תקציבים!A:L,6,0),0)</f>
        <v>2</v>
      </c>
      <c r="P179" s="5" t="s">
        <v>227</v>
      </c>
      <c r="Q179" t="s">
        <v>14</v>
      </c>
      <c r="R179" s="4">
        <v>44037</v>
      </c>
      <c r="S179" s="4" t="s">
        <v>90</v>
      </c>
      <c r="T179" s="96" t="s">
        <v>919</v>
      </c>
      <c r="U179" t="str">
        <f>VLOOKUP(HEVARIM[[#This Row],[גיל]],GIL,2,1)</f>
        <v>גנים</v>
      </c>
      <c r="V179">
        <f>IF(HEVARIM[[#This Row],[קוד מעמד]]="4     ",IF(HEVARIM[[#This Row],[גיל]]=1,1,IF(HEVARIM[[#This Row],[גיל]]&lt;=5,5,18)),"")</f>
        <v>5</v>
      </c>
      <c r="W179">
        <f t="shared" si="8"/>
        <v>0</v>
      </c>
      <c r="X17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79">
        <f>IF(HEVARIM[[#This Row],[מצב משפחתי2]]="אלמן",'[2]ריכוז נתונים'!$AC$2,0)</f>
        <v>0</v>
      </c>
      <c r="Z179" s="3">
        <f>VLOOKUP(VALUE(HEVARIM[[#This Row],[קוד מעמד]]),הנחות!$I$2:$K$21,3,0)</f>
        <v>1</v>
      </c>
      <c r="AA179" t="b">
        <f>ISERROR(VLOOKUP(HEVARIM[[#This Row],[קוד תקציב]],'[2]ריכוז נתונים'!A:A,1,0))</f>
        <v>0</v>
      </c>
      <c r="AB179" s="1">
        <f t="shared" si="9"/>
        <v>2755.7692307692309</v>
      </c>
      <c r="AC179" s="2">
        <f ca="1">IF(HEVARIM[[#This Row],[בר מצוה]]&gt;0,YEAR(TODAY())+'תקציבים מיוחדים'!$F$5-HEVARIM[[#This Row],[גיל]],0)</f>
        <v>2034</v>
      </c>
      <c r="AD179" s="1">
        <f t="shared" si="10"/>
        <v>0</v>
      </c>
      <c r="AE179" s="2">
        <f ca="1">IF(HEVARIM[[#This Row],[בת מצוה]]&gt;0,YEAR(TODAY())+'תקציבים מיוחדים'!$F$5-HEVARIM[[#This Row],[גיל]],0)</f>
        <v>0</v>
      </c>
      <c r="AF179" s="1">
        <f>IF(AND($S179&gt;="רווק",$Z179=1),AF$4*IF(HEVARIM[[#This Row],[גיל]]&gt;$AF$3,1,(($G179-AF$2)/(AF$3-AF$2))),0)</f>
        <v>14407.738095238094</v>
      </c>
      <c r="AG179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179" s="1">
        <f t="shared" si="11"/>
        <v>25140.119047619046</v>
      </c>
      <c r="AI179" s="2">
        <f ca="1">IF(AH179&gt;0,YEAR(TODAY())+'תקציבים מיוחדים'!$F$7-HEVARIM[[#This Row],[גיל]],0)</f>
        <v>2042</v>
      </c>
      <c r="AJ179" s="9">
        <f>IF(AND(ISERROR(VLOOKUP(H179,'[2]ריכוז נתונים'!A:L,1,0)),P179="1     "),1,0)</f>
        <v>0</v>
      </c>
      <c r="AK17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79" s="1">
        <f>IF(AND(VALUE(HEVARIM[[#This Row],[קוד מעמד]])=1,HEVARIM[[#This Row],[ותק מחברה 40]]&lt;25),HEVARIM[[#This Row],[ותק מחברה 40]]/25*הנחות!$C$4,0)</f>
        <v>0</v>
      </c>
      <c r="AM179" s="9" t="str">
        <f ca="1">IF(HEVARIM[[#This Row],[דמי עזיבה 25 שנות ותק]]&gt;0,YEAR(TODAY())+25-ROUNDDOWN(HEVARIM[[#This Row],[ותק מחברה 40]],0),"")</f>
        <v/>
      </c>
      <c r="AN1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79" s="9" t="str">
        <f ca="1">IF(HEVARIM[[#This Row],[דמי עזיבה לגיל 65]]&gt;0,YEAR(TODAY())+64-ROUNDDOWN(HEVARIM[[#This Row],[גיל]],0),"")</f>
        <v/>
      </c>
      <c r="AP179" s="1">
        <f>SUMIF(HEVARIM[קוד תקציב],HEVARIM[[#This Row],[קוד תקציב משפחה מקורי]],HEVARIM[ותק מחברה 40])</f>
        <v>21.18</v>
      </c>
      <c r="AQ1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79" s="9">
        <f>IF(HEVARIM[[#This Row],[קוד מעמד]]="1     ",IFERROR(VLOOKUP(HEVARIM[[#This Row],[קוד תקציב]],'תקציב צביעה - לקראת השינוי'!A:F,4,0),0),0)</f>
        <v>0</v>
      </c>
      <c r="AT179" s="1"/>
    </row>
    <row r="180" spans="1:46">
      <c r="A180" t="s">
        <v>933</v>
      </c>
      <c r="B180" t="s">
        <v>934</v>
      </c>
      <c r="C180" t="s">
        <v>918</v>
      </c>
      <c r="D180" t="s">
        <v>935</v>
      </c>
      <c r="E180" t="s">
        <v>67</v>
      </c>
      <c r="F180" s="4">
        <v>45431</v>
      </c>
      <c r="G180">
        <v>1</v>
      </c>
      <c r="H180" t="s">
        <v>919</v>
      </c>
      <c r="I180" t="s">
        <v>920</v>
      </c>
      <c r="J180" s="4" t="s">
        <v>70</v>
      </c>
      <c r="K180" s="4" t="s">
        <v>71</v>
      </c>
      <c r="L180" t="s">
        <v>936</v>
      </c>
      <c r="M180" t="s">
        <v>916</v>
      </c>
      <c r="N180" t="s">
        <v>917</v>
      </c>
      <c r="O180">
        <f>IFERROR(VLOOKUP(HEVARIM[[#This Row],[קוד תקציב]],[2]תקציבים!A:L,6,0),0)</f>
        <v>2</v>
      </c>
      <c r="P180" s="5" t="s">
        <v>227</v>
      </c>
      <c r="Q180" t="s">
        <v>14</v>
      </c>
      <c r="R180" s="4">
        <v>45431</v>
      </c>
      <c r="S180" s="4" t="s">
        <v>90</v>
      </c>
      <c r="T180" s="96" t="s">
        <v>919</v>
      </c>
      <c r="U180" t="str">
        <f>VLOOKUP(HEVARIM[[#This Row],[גיל]],GIL,2,1)</f>
        <v>פעוט</v>
      </c>
      <c r="V180">
        <f>IF(HEVARIM[[#This Row],[קוד מעמד]]="4     ",IF(HEVARIM[[#This Row],[גיל]]=1,1,IF(HEVARIM[[#This Row],[גיל]]&lt;=5,5,18)),"")</f>
        <v>1</v>
      </c>
      <c r="W180">
        <f t="shared" si="8"/>
        <v>0</v>
      </c>
      <c r="X18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0">
        <f>IF(HEVARIM[[#This Row],[מצב משפחתי2]]="אלמן",'[2]ריכוז נתונים'!$AC$2,0)</f>
        <v>0</v>
      </c>
      <c r="Z180" s="3">
        <f>VLOOKUP(VALUE(HEVARIM[[#This Row],[קוד מעמד]]),הנחות!$I$2:$K$21,3,0)</f>
        <v>1</v>
      </c>
      <c r="AA180" t="b">
        <f>ISERROR(VLOOKUP(HEVARIM[[#This Row],[קוד תקציב]],'[2]ריכוז נתונים'!A:A,1,0))</f>
        <v>0</v>
      </c>
      <c r="AB180" s="1">
        <f t="shared" si="9"/>
        <v>551.15384615384619</v>
      </c>
      <c r="AC180" s="2">
        <f ca="1">IF(HEVARIM[[#This Row],[בר מצוה]]&gt;0,YEAR(TODAY())+'תקציבים מיוחדים'!$F$5-HEVARIM[[#This Row],[גיל]],0)</f>
        <v>2038</v>
      </c>
      <c r="AD180" s="1">
        <f t="shared" si="10"/>
        <v>0</v>
      </c>
      <c r="AE180" s="2">
        <f ca="1">IF(HEVARIM[[#This Row],[בת מצוה]]&gt;0,YEAR(TODAY())+'תקציבים מיוחדים'!$F$5-HEVARIM[[#This Row],[גיל]],0)</f>
        <v>0</v>
      </c>
      <c r="AF180" s="1">
        <f>IF(AND($S180&gt;="רווק",$Z180=1),AF$4*IF(HEVARIM[[#This Row],[גיל]]&gt;$AF$3,1,(($G180-AF$2)/(AF$3-AF$2))),0)</f>
        <v>2881.5476190476188</v>
      </c>
      <c r="AG180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180" s="1">
        <f t="shared" si="11"/>
        <v>5028.0238095238092</v>
      </c>
      <c r="AI180" s="2">
        <f ca="1">IF(AH180&gt;0,YEAR(TODAY())+'תקציבים מיוחדים'!$F$7-HEVARIM[[#This Row],[גיל]],0)</f>
        <v>2046</v>
      </c>
      <c r="AJ180" s="9">
        <f>IF(AND(ISERROR(VLOOKUP(H180,'[2]ריכוז נתונים'!A:L,1,0)),P180="1     "),1,0)</f>
        <v>0</v>
      </c>
      <c r="AK18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80" s="1">
        <f>IF(AND(VALUE(HEVARIM[[#This Row],[קוד מעמד]])=1,HEVARIM[[#This Row],[ותק מחברה 40]]&lt;25),HEVARIM[[#This Row],[ותק מחברה 40]]/25*הנחות!$C$4,0)</f>
        <v>0</v>
      </c>
      <c r="AM180" s="9" t="str">
        <f ca="1">IF(HEVARIM[[#This Row],[דמי עזיבה 25 שנות ותק]]&gt;0,YEAR(TODAY())+25-ROUNDDOWN(HEVARIM[[#This Row],[ותק מחברה 40]],0),"")</f>
        <v/>
      </c>
      <c r="AN1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0" s="9" t="str">
        <f ca="1">IF(HEVARIM[[#This Row],[דמי עזיבה לגיל 65]]&gt;0,YEAR(TODAY())+64-ROUNDDOWN(HEVARIM[[#This Row],[גיל]],0),"")</f>
        <v/>
      </c>
      <c r="AP180" s="1">
        <f>SUMIF(HEVARIM[קוד תקציב],HEVARIM[[#This Row],[קוד תקציב משפחה מקורי]],HEVARIM[ותק מחברה 40])</f>
        <v>21.18</v>
      </c>
      <c r="AQ1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0" s="9">
        <f>IF(HEVARIM[[#This Row],[קוד מעמד]]="1     ",IFERROR(VLOOKUP(HEVARIM[[#This Row],[קוד תקציב]],'תקציב צביעה - לקראת השינוי'!A:F,4,0),0),0)</f>
        <v>0</v>
      </c>
      <c r="AT180" s="1"/>
    </row>
    <row r="181" spans="1:46">
      <c r="A181" t="s">
        <v>942</v>
      </c>
      <c r="B181" t="s">
        <v>943</v>
      </c>
      <c r="C181" t="s">
        <v>902</v>
      </c>
      <c r="D181" t="s">
        <v>944</v>
      </c>
      <c r="E181" t="s">
        <v>79</v>
      </c>
      <c r="F181" s="4">
        <v>20598</v>
      </c>
      <c r="G181">
        <v>69</v>
      </c>
      <c r="H181" t="s">
        <v>939</v>
      </c>
      <c r="I181" t="s">
        <v>940</v>
      </c>
      <c r="J181" s="4" t="s">
        <v>70</v>
      </c>
      <c r="K181" s="4" t="s">
        <v>71</v>
      </c>
      <c r="L181" t="s">
        <v>945</v>
      </c>
      <c r="M181" t="s">
        <v>937</v>
      </c>
      <c r="N181" t="s">
        <v>938</v>
      </c>
      <c r="O181">
        <f>IFERROR(VLOOKUP(HEVARIM[[#This Row],[קוד תקציב]],[2]תקציבים!A:L,6,0),0)</f>
        <v>2</v>
      </c>
      <c r="P181" s="5" t="s">
        <v>104</v>
      </c>
      <c r="Q181" t="s">
        <v>11</v>
      </c>
      <c r="R181" s="4">
        <v>29586</v>
      </c>
      <c r="S181" s="4" t="s">
        <v>74</v>
      </c>
      <c r="T181" s="96" t="s">
        <v>939</v>
      </c>
      <c r="U181" t="str">
        <f>VLOOKUP(HEVARIM[[#This Row],[גיל]],GIL,2,1)</f>
        <v>--</v>
      </c>
      <c r="V181" t="str">
        <f>IF(HEVARIM[[#This Row],[קוד מעמד]]="4     ",IF(HEVARIM[[#This Row],[גיל]]=1,1,IF(HEVARIM[[#This Row],[גיל]]&lt;=5,5,18)),"")</f>
        <v/>
      </c>
      <c r="W181">
        <f t="shared" si="8"/>
        <v>2365</v>
      </c>
      <c r="X18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81">
        <f>IF(HEVARIM[[#This Row],[מצב משפחתי2]]="אלמן",'[2]ריכוז נתונים'!$AC$2,0)</f>
        <v>0</v>
      </c>
      <c r="Z181" s="3">
        <f>VLOOKUP(VALUE(HEVARIM[[#This Row],[קוד מעמד]]),הנחות!$I$2:$K$21,3,0)</f>
        <v>0</v>
      </c>
      <c r="AA181" t="b">
        <f>ISERROR(VLOOKUP(HEVARIM[[#This Row],[קוד תקציב]],'[2]ריכוז נתונים'!A:A,1,0))</f>
        <v>0</v>
      </c>
      <c r="AB181" s="1">
        <f t="shared" si="9"/>
        <v>0</v>
      </c>
      <c r="AC181" s="2">
        <f ca="1">IF(HEVARIM[[#This Row],[בר מצוה]]&gt;0,YEAR(TODAY())+'תקציבים מיוחדים'!$F$5-HEVARIM[[#This Row],[גיל]],0)</f>
        <v>0</v>
      </c>
      <c r="AD181" s="1">
        <f t="shared" si="10"/>
        <v>0</v>
      </c>
      <c r="AE181" s="2">
        <f ca="1">IF(HEVARIM[[#This Row],[בת מצוה]]&gt;0,YEAR(TODAY())+'תקציבים מיוחדים'!$F$5-HEVARIM[[#This Row],[גיל]],0)</f>
        <v>0</v>
      </c>
      <c r="AF181" s="1">
        <f>IF(AND($S181&gt;="רווק",$Z181=1),AF$4*IF(HEVARIM[[#This Row],[גיל]]&gt;$AF$3,1,(($G181-AF$2)/(AF$3-AF$2))),0)</f>
        <v>0</v>
      </c>
      <c r="AG18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1" s="1">
        <f t="shared" si="11"/>
        <v>0</v>
      </c>
      <c r="AI181" s="2">
        <f ca="1">IF(AH181&gt;0,YEAR(TODAY())+'תקציבים מיוחדים'!$F$7-HEVARIM[[#This Row],[גיל]],0)</f>
        <v>0</v>
      </c>
      <c r="AJ181" s="9">
        <f>IF(AND(ISERROR(VLOOKUP(H181,'[2]ריכוז נתונים'!A:L,1,0)),P181="1     "),1,0)</f>
        <v>0</v>
      </c>
      <c r="AK181" s="1">
        <f>IF(VALUE(HEVARIM[[#This Row],[קוד מעמד]])=1,VLOOKUP((IF(LEFT(HEVARIM[[#This Row],[קוד חבר]],1)="0",HEVARIM[[#This Row],[קוד חבר]],VALUE(HEVARIM[[#This Row],[קוד חבר]]))),'ותק חברה 40'!AQ:AW,7,0),"")</f>
        <v>45.87</v>
      </c>
      <c r="AL181" s="1">
        <f>IF(AND(VALUE(HEVARIM[[#This Row],[קוד מעמד]])=1,HEVARIM[[#This Row],[ותק מחברה 40]]&lt;25),HEVARIM[[#This Row],[ותק מחברה 40]]/25*הנחות!$C$4,0)</f>
        <v>0</v>
      </c>
      <c r="AM181" s="9" t="str">
        <f ca="1">IF(HEVARIM[[#This Row],[דמי עזיבה 25 שנות ותק]]&gt;0,YEAR(TODAY())+25-ROUNDDOWN(HEVARIM[[#This Row],[ותק מחברה 40]],0),"")</f>
        <v/>
      </c>
      <c r="AN1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1" s="9" t="str">
        <f ca="1">IF(HEVARIM[[#This Row],[דמי עזיבה לגיל 65]]&gt;0,YEAR(TODAY())+64-ROUNDDOWN(HEVARIM[[#This Row],[גיל]],0),"")</f>
        <v/>
      </c>
      <c r="AP181" s="1">
        <f>SUMIF(HEVARIM[קוד תקציב],HEVARIM[[#This Row],[קוד תקציב משפחה מקורי]],HEVARIM[ותק מחברה 40])</f>
        <v>93.87</v>
      </c>
      <c r="AQ1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181" s="9">
        <f>IF(HEVARIM[[#This Row],[קוד מעמד]]="1     ",IFERROR(VLOOKUP(HEVARIM[[#This Row],[קוד תקציב]],'תקציב צביעה - לקראת השינוי'!A:F,4,0),0),0)</f>
        <v>2027</v>
      </c>
      <c r="AT181" s="1"/>
    </row>
    <row r="182" spans="1:46">
      <c r="A182" t="s">
        <v>3015</v>
      </c>
      <c r="B182" t="s">
        <v>3016</v>
      </c>
      <c r="C182" t="s">
        <v>3017</v>
      </c>
      <c r="D182" t="s">
        <v>781</v>
      </c>
      <c r="E182" t="s">
        <v>79</v>
      </c>
      <c r="F182" s="4">
        <v>31750</v>
      </c>
      <c r="G182">
        <v>39</v>
      </c>
      <c r="H182" t="s">
        <v>3018</v>
      </c>
      <c r="I182" t="s">
        <v>3019</v>
      </c>
      <c r="J182" s="4" t="s">
        <v>70</v>
      </c>
      <c r="K182" s="4" t="s">
        <v>71</v>
      </c>
      <c r="L182" t="s">
        <v>3020</v>
      </c>
      <c r="M182" t="s">
        <v>3015</v>
      </c>
      <c r="N182" t="s">
        <v>3016</v>
      </c>
      <c r="O182">
        <f>IFERROR(VLOOKUP(HEVARIM[[#This Row],[קוד תקציב]],[2]תקציבים!A:L,6,0),0)</f>
        <v>1</v>
      </c>
      <c r="P182" s="5" t="s">
        <v>104</v>
      </c>
      <c r="Q182" t="s">
        <v>11</v>
      </c>
      <c r="R182" s="4">
        <v>40330</v>
      </c>
      <c r="S182" s="4" t="s">
        <v>145</v>
      </c>
      <c r="T182" s="96" t="s">
        <v>939</v>
      </c>
      <c r="U182" t="str">
        <f>VLOOKUP(HEVARIM[[#This Row],[גיל]],GIL,2,1)</f>
        <v>--</v>
      </c>
      <c r="V182" t="str">
        <f>IF(HEVARIM[[#This Row],[קוד מעמד]]="4     ",IF(HEVARIM[[#This Row],[גיל]]=1,1,IF(HEVARIM[[#This Row],[גיל]]&lt;=5,5,18)),"")</f>
        <v/>
      </c>
      <c r="W182">
        <f t="shared" si="8"/>
        <v>0</v>
      </c>
      <c r="X18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2">
        <f>IF(HEVARIM[[#This Row],[מצב משפחתי2]]="אלמן",'[2]ריכוז נתונים'!$AC$2,0)</f>
        <v>0</v>
      </c>
      <c r="Z182" s="3">
        <f>VLOOKUP(VALUE(HEVARIM[[#This Row],[קוד מעמד]]),הנחות!$I$2:$K$21,3,0)</f>
        <v>0</v>
      </c>
      <c r="AA182" t="b">
        <f>ISERROR(VLOOKUP(HEVARIM[[#This Row],[קוד תקציב]],'[2]ריכוז נתונים'!A:A,1,0))</f>
        <v>0</v>
      </c>
      <c r="AB182" s="1">
        <f t="shared" si="9"/>
        <v>0</v>
      </c>
      <c r="AC182" s="2">
        <f ca="1">IF(HEVARIM[[#This Row],[בר מצוה]]&gt;0,YEAR(TODAY())+'תקציבים מיוחדים'!$F$5-HEVARIM[[#This Row],[גיל]],0)</f>
        <v>0</v>
      </c>
      <c r="AD182" s="1">
        <f t="shared" si="10"/>
        <v>0</v>
      </c>
      <c r="AE182" s="2">
        <f ca="1">IF(HEVARIM[[#This Row],[בת מצוה]]&gt;0,YEAR(TODAY())+'תקציבים מיוחדים'!$F$5-HEVARIM[[#This Row],[גיל]],0)</f>
        <v>0</v>
      </c>
      <c r="AF182" s="1">
        <f>IF(AND($S182&gt;="רווק",$Z182=1),AF$4*IF(HEVARIM[[#This Row],[גיל]]&gt;$AF$3,1,(($G182-AF$2)/(AF$3-AF$2))),0)</f>
        <v>0</v>
      </c>
      <c r="AG18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2" s="1">
        <f t="shared" si="11"/>
        <v>0</v>
      </c>
      <c r="AI182" s="2">
        <f ca="1">IF(AH182&gt;0,YEAR(TODAY())+'תקציבים מיוחדים'!$F$7-HEVARIM[[#This Row],[גיל]],0)</f>
        <v>0</v>
      </c>
      <c r="AJ182" s="9">
        <f>IF(AND(ISERROR(VLOOKUP(H182,'[2]ריכוז נתונים'!A:L,1,0)),P182="1     "),1,0)</f>
        <v>0</v>
      </c>
      <c r="AK182" s="1">
        <f>IF(VALUE(HEVARIM[[#This Row],[קוד מעמד]])=1,VLOOKUP((IF(LEFT(HEVARIM[[#This Row],[קוד חבר]],1)="0",HEVARIM[[#This Row],[קוד חבר]],VALUE(HEVARIM[[#This Row],[קוד חבר]]))),'ותק חברה 40'!AQ:AW,7,0),"")</f>
        <v>16.739999999999998</v>
      </c>
      <c r="AL182" s="1">
        <f>IF(AND(VALUE(HEVARIM[[#This Row],[קוד מעמד]])=1,HEVARIM[[#This Row],[ותק מחברה 40]]&lt;25),HEVARIM[[#This Row],[ותק מחברה 40]]/25*הנחות!$C$4,0)</f>
        <v>25133.176529999997</v>
      </c>
      <c r="AM182" s="9">
        <f ca="1">IF(HEVARIM[[#This Row],[דמי עזיבה 25 שנות ותק]]&gt;0,YEAR(TODAY())+25-ROUNDDOWN(HEVARIM[[#This Row],[ותק מחברה 40]],0),"")</f>
        <v>2035</v>
      </c>
      <c r="AN1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2" s="9" t="str">
        <f ca="1">IF(HEVARIM[[#This Row],[דמי עזיבה לגיל 65]]&gt;0,YEAR(TODAY())+64-ROUNDDOWN(HEVARIM[[#This Row],[גיל]],0),"")</f>
        <v/>
      </c>
      <c r="AP182" s="1">
        <f>SUMIF(HEVARIM[קוד תקציב],HEVARIM[[#This Row],[קוד תקציב משפחה מקורי]],HEVARIM[ותק מחברה 40])</f>
        <v>93.87</v>
      </c>
      <c r="AQ1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2" s="9">
        <f>IF(HEVARIM[[#This Row],[קוד מעמד]]="1     ",IFERROR(VLOOKUP(HEVARIM[[#This Row],[קוד תקציב]],'תקציב צביעה - לקראת השינוי'!A:F,4,0),0),0)</f>
        <v>0</v>
      </c>
      <c r="AT182" s="1"/>
    </row>
    <row r="183" spans="1:46">
      <c r="A183" t="s">
        <v>946</v>
      </c>
      <c r="B183" t="s">
        <v>947</v>
      </c>
      <c r="C183" t="s">
        <v>948</v>
      </c>
      <c r="D183" t="s">
        <v>728</v>
      </c>
      <c r="E183" t="s">
        <v>67</v>
      </c>
      <c r="F183" s="4">
        <v>21235</v>
      </c>
      <c r="G183">
        <v>67</v>
      </c>
      <c r="H183" t="s">
        <v>949</v>
      </c>
      <c r="I183" t="s">
        <v>950</v>
      </c>
      <c r="J183" s="4" t="s">
        <v>70</v>
      </c>
      <c r="K183" s="4" t="s">
        <v>71</v>
      </c>
      <c r="L183" t="s">
        <v>951</v>
      </c>
      <c r="M183" t="s">
        <v>946</v>
      </c>
      <c r="N183" t="s">
        <v>947</v>
      </c>
      <c r="O183">
        <f>IFERROR(VLOOKUP(HEVARIM[[#This Row],[קוד תקציב]],[2]תקציבים!A:L,6,0),0)</f>
        <v>2</v>
      </c>
      <c r="P183" s="5" t="s">
        <v>104</v>
      </c>
      <c r="Q183" t="s">
        <v>11</v>
      </c>
      <c r="R183" s="4">
        <v>33786</v>
      </c>
      <c r="S183" s="4" t="s">
        <v>74</v>
      </c>
      <c r="T183" s="96" t="s">
        <v>949</v>
      </c>
      <c r="U183" t="str">
        <f>VLOOKUP(HEVARIM[[#This Row],[גיל]],GIL,2,1)</f>
        <v>--</v>
      </c>
      <c r="V183" t="str">
        <f>IF(HEVARIM[[#This Row],[קוד מעמד]]="4     ",IF(HEVARIM[[#This Row],[גיל]]=1,1,IF(HEVARIM[[#This Row],[גיל]]&lt;=5,5,18)),"")</f>
        <v/>
      </c>
      <c r="W183">
        <f t="shared" si="8"/>
        <v>2365</v>
      </c>
      <c r="X18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3">
        <f>IF(HEVARIM[[#This Row],[מצב משפחתי2]]="אלמן",'[2]ריכוז נתונים'!$AC$2,0)</f>
        <v>0</v>
      </c>
      <c r="Z183" s="3">
        <f>VLOOKUP(VALUE(HEVARIM[[#This Row],[קוד מעמד]]),הנחות!$I$2:$K$21,3,0)</f>
        <v>0</v>
      </c>
      <c r="AA183" t="b">
        <f>ISERROR(VLOOKUP(HEVARIM[[#This Row],[קוד תקציב]],'[2]ריכוז נתונים'!A:A,1,0))</f>
        <v>0</v>
      </c>
      <c r="AB183" s="1">
        <f t="shared" si="9"/>
        <v>0</v>
      </c>
      <c r="AC183" s="2">
        <f ca="1">IF(HEVARIM[[#This Row],[בר מצוה]]&gt;0,YEAR(TODAY())+'תקציבים מיוחדים'!$F$5-HEVARIM[[#This Row],[גיל]],0)</f>
        <v>0</v>
      </c>
      <c r="AD183" s="1">
        <f t="shared" si="10"/>
        <v>0</v>
      </c>
      <c r="AE183" s="2">
        <f ca="1">IF(HEVARIM[[#This Row],[בת מצוה]]&gt;0,YEAR(TODAY())+'תקציבים מיוחדים'!$F$5-HEVARIM[[#This Row],[גיל]],0)</f>
        <v>0</v>
      </c>
      <c r="AF183" s="1">
        <f>IF(AND($S183&gt;="רווק",$Z183=1),AF$4*IF(HEVARIM[[#This Row],[גיל]]&gt;$AF$3,1,(($G183-AF$2)/(AF$3-AF$2))),0)</f>
        <v>0</v>
      </c>
      <c r="AG18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3" s="1">
        <f t="shared" si="11"/>
        <v>0</v>
      </c>
      <c r="AI183" s="2">
        <f ca="1">IF(AH183&gt;0,YEAR(TODAY())+'תקציבים מיוחדים'!$F$7-HEVARIM[[#This Row],[גיל]],0)</f>
        <v>0</v>
      </c>
      <c r="AJ183" s="9">
        <f>IF(AND(ISERROR(VLOOKUP(H183,'[2]ריכוז נתונים'!A:L,1,0)),P183="1     "),1,0)</f>
        <v>0</v>
      </c>
      <c r="AK183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83" s="1">
        <f>IF(AND(VALUE(HEVARIM[[#This Row],[קוד מעמד]])=1,HEVARIM[[#This Row],[ותק מחברה 40]]&lt;25),HEVARIM[[#This Row],[ותק מחברה 40]]/25*הנחות!$C$4,0)</f>
        <v>0</v>
      </c>
      <c r="AM183" s="9" t="str">
        <f ca="1">IF(HEVARIM[[#This Row],[דמי עזיבה 25 שנות ותק]]&gt;0,YEAR(TODAY())+25-ROUNDDOWN(HEVARIM[[#This Row],[ותק מחברה 40]],0),"")</f>
        <v/>
      </c>
      <c r="AN1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3" s="9" t="str">
        <f ca="1">IF(HEVARIM[[#This Row],[דמי עזיבה לגיל 65]]&gt;0,YEAR(TODAY())+64-ROUNDDOWN(HEVARIM[[#This Row],[גיל]],0),"")</f>
        <v/>
      </c>
      <c r="AP183" s="1">
        <f>SUMIF(HEVARIM[קוד תקציב],HEVARIM[[#This Row],[קוד תקציב משפחה מקורי]],HEVARIM[ותק מחברה 40])</f>
        <v>94.28</v>
      </c>
      <c r="AQ1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183" s="9">
        <f>IF(HEVARIM[[#This Row],[קוד מעמד]]="1     ",IFERROR(VLOOKUP(HEVARIM[[#This Row],[קוד תקציב]],'תקציב צביעה - לקראת השינוי'!A:F,4,0),0),0)</f>
        <v>2033</v>
      </c>
      <c r="AT183" s="1"/>
    </row>
    <row r="184" spans="1:46">
      <c r="A184" t="s">
        <v>965</v>
      </c>
      <c r="B184" t="s">
        <v>966</v>
      </c>
      <c r="C184" t="s">
        <v>948</v>
      </c>
      <c r="D184" t="s">
        <v>967</v>
      </c>
      <c r="E184" t="s">
        <v>67</v>
      </c>
      <c r="F184" s="4">
        <v>33243</v>
      </c>
      <c r="G184">
        <v>34</v>
      </c>
      <c r="H184" t="s">
        <v>968</v>
      </c>
      <c r="I184" t="s">
        <v>969</v>
      </c>
      <c r="J184" s="4" t="s">
        <v>70</v>
      </c>
      <c r="K184" s="4" t="s">
        <v>71</v>
      </c>
      <c r="L184" t="s">
        <v>970</v>
      </c>
      <c r="M184" t="s">
        <v>965</v>
      </c>
      <c r="N184" t="s">
        <v>966</v>
      </c>
      <c r="O184">
        <f>IFERROR(VLOOKUP(HEVARIM[[#This Row],[קוד תקציב]],[2]תקציבים!A:L,6,0),0)</f>
        <v>2</v>
      </c>
      <c r="P184" s="5" t="s">
        <v>104</v>
      </c>
      <c r="Q184" t="s">
        <v>11</v>
      </c>
      <c r="R184" s="4">
        <v>45495</v>
      </c>
      <c r="S184" s="4" t="s">
        <v>74</v>
      </c>
      <c r="T184" s="96" t="s">
        <v>949</v>
      </c>
      <c r="U184" t="str">
        <f>VLOOKUP(HEVARIM[[#This Row],[גיל]],GIL,2,1)</f>
        <v>--</v>
      </c>
      <c r="V184" t="str">
        <f>IF(HEVARIM[[#This Row],[קוד מעמד]]="4     ",IF(HEVARIM[[#This Row],[גיל]]=1,1,IF(HEVARIM[[#This Row],[גיל]]&lt;=5,5,18)),"")</f>
        <v/>
      </c>
      <c r="W184">
        <f t="shared" si="8"/>
        <v>0</v>
      </c>
      <c r="X18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4">
        <f>IF(HEVARIM[[#This Row],[מצב משפחתי2]]="אלמן",'[2]ריכוז נתונים'!$AC$2,0)</f>
        <v>0</v>
      </c>
      <c r="Z184" s="3">
        <f>VLOOKUP(VALUE(HEVARIM[[#This Row],[קוד מעמד]]),הנחות!$I$2:$K$21,3,0)</f>
        <v>0</v>
      </c>
      <c r="AA184" t="b">
        <f>ISERROR(VLOOKUP(HEVARIM[[#This Row],[קוד תקציב]],'[2]ריכוז נתונים'!A:A,1,0))</f>
        <v>0</v>
      </c>
      <c r="AB184" s="1">
        <f t="shared" si="9"/>
        <v>0</v>
      </c>
      <c r="AC184" s="2">
        <f ca="1">IF(HEVARIM[[#This Row],[בר מצוה]]&gt;0,YEAR(TODAY())+'תקציבים מיוחדים'!$F$5-HEVARIM[[#This Row],[גיל]],0)</f>
        <v>0</v>
      </c>
      <c r="AD184" s="1">
        <f t="shared" si="10"/>
        <v>0</v>
      </c>
      <c r="AE184" s="2">
        <f ca="1">IF(HEVARIM[[#This Row],[בת מצוה]]&gt;0,YEAR(TODAY())+'תקציבים מיוחדים'!$F$5-HEVARIM[[#This Row],[גיל]],0)</f>
        <v>0</v>
      </c>
      <c r="AF184" s="1">
        <f>IF(AND($S184&gt;="רווק",$Z184=1),AF$4*IF(HEVARIM[[#This Row],[גיל]]&gt;$AF$3,1,(($G184-AF$2)/(AF$3-AF$2))),0)</f>
        <v>0</v>
      </c>
      <c r="AG18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4" s="1">
        <f t="shared" si="11"/>
        <v>0</v>
      </c>
      <c r="AI184" s="2">
        <f ca="1">IF(AH184&gt;0,YEAR(TODAY())+'תקציבים מיוחדים'!$F$7-HEVARIM[[#This Row],[גיל]],0)</f>
        <v>0</v>
      </c>
      <c r="AJ184" s="9">
        <f>IF(AND(ISERROR(VLOOKUP(H184,'[2]ריכוז נתונים'!A:L,1,0)),P184="1     "),1,0)</f>
        <v>0</v>
      </c>
      <c r="AK184" s="1">
        <f>IF(VALUE(HEVARIM[[#This Row],[קוד מעמד]])=1,VLOOKUP((IF(LEFT(HEVARIM[[#This Row],[קוד חבר]],1)="0",HEVARIM[[#This Row],[קוד חבר]],VALUE(HEVARIM[[#This Row],[קוד חבר]]))),'ותק חברה 40'!AQ:AW,7,0),"")</f>
        <v>3.19</v>
      </c>
      <c r="AL184" s="1">
        <f>IF(AND(VALUE(HEVARIM[[#This Row],[קוד מעמד]])=1,HEVARIM[[#This Row],[ותק מחברה 40]]&lt;25),HEVARIM[[#This Row],[ותק מחברה 40]]/25*הנחות!$C$4,0)</f>
        <v>4789.4165549999989</v>
      </c>
      <c r="AM184" s="9">
        <f ca="1">IF(HEVARIM[[#This Row],[דמי עזיבה 25 שנות ותק]]&gt;0,YEAR(TODAY())+25-ROUNDDOWN(HEVARIM[[#This Row],[ותק מחברה 40]],0),"")</f>
        <v>2048</v>
      </c>
      <c r="AN18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4" s="9" t="str">
        <f ca="1">IF(HEVARIM[[#This Row],[דמי עזיבה לגיל 65]]&gt;0,YEAR(TODAY())+64-ROUNDDOWN(HEVARIM[[#This Row],[גיל]],0),"")</f>
        <v/>
      </c>
      <c r="AP184" s="1">
        <f>SUMIF(HEVARIM[קוד תקציב],HEVARIM[[#This Row],[קוד תקציב משפחה מקורי]],HEVARIM[ותק מחברה 40])</f>
        <v>94.28</v>
      </c>
      <c r="AQ1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4" s="9">
        <f>IF(HEVARIM[[#This Row],[קוד מעמד]]="1     ",IFERROR(VLOOKUP(HEVARIM[[#This Row],[קוד תקציב]],'תקציב צביעה - לקראת השינוי'!A:F,4,0),0),0)</f>
        <v>0</v>
      </c>
      <c r="AT184" s="1"/>
    </row>
    <row r="185" spans="1:46">
      <c r="A185" t="s">
        <v>955</v>
      </c>
      <c r="B185" t="s">
        <v>956</v>
      </c>
      <c r="C185" t="s">
        <v>902</v>
      </c>
      <c r="D185" t="s">
        <v>957</v>
      </c>
      <c r="E185" t="s">
        <v>79</v>
      </c>
      <c r="F185" s="4">
        <v>25700</v>
      </c>
      <c r="G185">
        <v>55</v>
      </c>
      <c r="H185" t="s">
        <v>958</v>
      </c>
      <c r="I185" t="s">
        <v>956</v>
      </c>
      <c r="J185" s="4" t="s">
        <v>70</v>
      </c>
      <c r="K185" s="4" t="s">
        <v>71</v>
      </c>
      <c r="L185" t="s">
        <v>959</v>
      </c>
      <c r="M185" t="s">
        <v>955</v>
      </c>
      <c r="N185" t="s">
        <v>956</v>
      </c>
      <c r="O185">
        <f>IFERROR(VLOOKUP(HEVARIM[[#This Row],[קוד תקציב]],[2]תקציבים!A:L,6,0),0)</f>
        <v>1</v>
      </c>
      <c r="P185" s="5" t="s">
        <v>104</v>
      </c>
      <c r="Q185" t="s">
        <v>11</v>
      </c>
      <c r="R185" s="4">
        <v>43040</v>
      </c>
      <c r="S185" s="4" t="s">
        <v>145</v>
      </c>
      <c r="T185" s="96" t="s">
        <v>958</v>
      </c>
      <c r="U185" t="str">
        <f>VLOOKUP(HEVARIM[[#This Row],[גיל]],GIL,2,1)</f>
        <v>--</v>
      </c>
      <c r="V185" t="str">
        <f>IF(HEVARIM[[#This Row],[קוד מעמד]]="4     ",IF(HEVARIM[[#This Row],[גיל]]=1,1,IF(HEVARIM[[#This Row],[גיל]]&lt;=5,5,18)),"")</f>
        <v/>
      </c>
      <c r="W185">
        <f t="shared" si="8"/>
        <v>0</v>
      </c>
      <c r="X18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5">
        <f>IF(HEVARIM[[#This Row],[מצב משפחתי2]]="אלמן",'[2]ריכוז נתונים'!$AC$2,0)</f>
        <v>0</v>
      </c>
      <c r="Z185" s="3">
        <f>VLOOKUP(VALUE(HEVARIM[[#This Row],[קוד מעמד]]),הנחות!$I$2:$K$21,3,0)</f>
        <v>0</v>
      </c>
      <c r="AA185" t="b">
        <f>ISERROR(VLOOKUP(HEVARIM[[#This Row],[קוד תקציב]],'[2]ריכוז נתונים'!A:A,1,0))</f>
        <v>0</v>
      </c>
      <c r="AB185" s="1">
        <f t="shared" si="9"/>
        <v>0</v>
      </c>
      <c r="AC185" s="2">
        <f ca="1">IF(HEVARIM[[#This Row],[בר מצוה]]&gt;0,YEAR(TODAY())+'תקציבים מיוחדים'!$F$5-HEVARIM[[#This Row],[גיל]],0)</f>
        <v>0</v>
      </c>
      <c r="AD185" s="1">
        <f t="shared" si="10"/>
        <v>0</v>
      </c>
      <c r="AE185" s="2">
        <f ca="1">IF(HEVARIM[[#This Row],[בת מצוה]]&gt;0,YEAR(TODAY())+'תקציבים מיוחדים'!$F$5-HEVARIM[[#This Row],[גיל]],0)</f>
        <v>0</v>
      </c>
      <c r="AF185" s="1">
        <f>IF(AND($S185&gt;="רווק",$Z185=1),AF$4*IF(HEVARIM[[#This Row],[גיל]]&gt;$AF$3,1,(($G185-AF$2)/(AF$3-AF$2))),0)</f>
        <v>0</v>
      </c>
      <c r="AG18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5" s="1">
        <f t="shared" si="11"/>
        <v>0</v>
      </c>
      <c r="AI185" s="2">
        <f ca="1">IF(AH185&gt;0,YEAR(TODAY())+'תקציבים מיוחדים'!$F$7-HEVARIM[[#This Row],[גיל]],0)</f>
        <v>0</v>
      </c>
      <c r="AJ185" s="9">
        <f>IF(AND(ISERROR(VLOOKUP(H185,'[2]ריכוז נתונים'!A:L,1,0)),P185="1     "),1,0)</f>
        <v>0</v>
      </c>
      <c r="AK185" s="1">
        <f>IF(VALUE(HEVARIM[[#This Row],[קוד מעמד]])=1,VLOOKUP((IF(LEFT(HEVARIM[[#This Row],[קוד חבר]],1)="0",HEVARIM[[#This Row],[קוד חבר]],VALUE(HEVARIM[[#This Row],[קוד חבר]]))),'ותק חברה 40'!AQ:AW,7,0),"")</f>
        <v>34.19</v>
      </c>
      <c r="AL185" s="1">
        <f>IF(AND(VALUE(HEVARIM[[#This Row],[קוד מעמד]])=1,HEVARIM[[#This Row],[ותק מחברה 40]]&lt;25),HEVARIM[[#This Row],[ותק מחברה 40]]/25*הנחות!$C$4,0)</f>
        <v>0</v>
      </c>
      <c r="AM185" s="9" t="str">
        <f ca="1">IF(HEVARIM[[#This Row],[דמי עזיבה 25 שנות ותק]]&gt;0,YEAR(TODAY())+25-ROUNDDOWN(HEVARIM[[#This Row],[ותק מחברה 40]],0),"")</f>
        <v/>
      </c>
      <c r="AN185" s="1">
        <f>IF(AND(VALUE(HEVARIM[[#This Row],[קוד מעמד]])=1,HEVARIM[[#This Row],[ותק מחברה 40]]&gt;25,HEVARIM[[#This Row],[גיל]]&lt;65),הנחות!$C$14+(HEVARIM[[#This Row],[ותק מחברה 40]]-25)*הנחות!$C$10*0.25,0)</f>
        <v>51449.229562499997</v>
      </c>
      <c r="AO185" s="9">
        <f ca="1">IF(HEVARIM[[#This Row],[דמי עזיבה לגיל 65]]&gt;0,YEAR(TODAY())+64-ROUNDDOWN(HEVARIM[[#This Row],[גיל]],0),"")</f>
        <v>2035</v>
      </c>
      <c r="AP185" s="1">
        <f>SUMIF(HEVARIM[קוד תקציב],HEVARIM[[#This Row],[קוד תקציב משפחה מקורי]],HEVARIM[ותק מחברה 40])</f>
        <v>34.19</v>
      </c>
      <c r="AQ1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185" s="9">
        <f>IF(HEVARIM[[#This Row],[קוד מעמד]]="1     ",IFERROR(VLOOKUP(HEVARIM[[#This Row],[קוד תקציב]],'תקציב צביעה - לקראת השינוי'!A:F,4,0),0),0)</f>
        <v>2033</v>
      </c>
      <c r="AT185" s="1"/>
    </row>
    <row r="186" spans="1:46">
      <c r="A186" t="s">
        <v>960</v>
      </c>
      <c r="B186" t="s">
        <v>961</v>
      </c>
      <c r="C186" t="s">
        <v>962</v>
      </c>
      <c r="D186" t="s">
        <v>963</v>
      </c>
      <c r="E186" t="s">
        <v>79</v>
      </c>
      <c r="F186" s="4">
        <v>40646</v>
      </c>
      <c r="G186">
        <v>14</v>
      </c>
      <c r="H186" t="s">
        <v>958</v>
      </c>
      <c r="I186" t="s">
        <v>956</v>
      </c>
      <c r="J186" s="4" t="s">
        <v>70</v>
      </c>
      <c r="K186" s="4" t="s">
        <v>71</v>
      </c>
      <c r="L186" t="s">
        <v>964</v>
      </c>
      <c r="M186" t="s">
        <v>955</v>
      </c>
      <c r="N186" t="s">
        <v>956</v>
      </c>
      <c r="O186">
        <f>IFERROR(VLOOKUP(HEVARIM[[#This Row],[קוד תקציב]],[2]תקציבים!A:L,6,0),0)</f>
        <v>1</v>
      </c>
      <c r="P186" s="5" t="s">
        <v>227</v>
      </c>
      <c r="Q186" t="s">
        <v>14</v>
      </c>
      <c r="R186" s="4">
        <v>43040</v>
      </c>
      <c r="S186" s="4" t="s">
        <v>90</v>
      </c>
      <c r="T186" s="96" t="s">
        <v>958</v>
      </c>
      <c r="U186" t="str">
        <f>VLOOKUP(HEVARIM[[#This Row],[גיל]],GIL,2,1)</f>
        <v>חטיבה</v>
      </c>
      <c r="V186">
        <f>IF(HEVARIM[[#This Row],[קוד מעמד]]="4     ",IF(HEVARIM[[#This Row],[גיל]]=1,1,IF(HEVARIM[[#This Row],[גיל]]&lt;=5,5,18)),"")</f>
        <v>18</v>
      </c>
      <c r="W186">
        <f t="shared" si="8"/>
        <v>0</v>
      </c>
      <c r="X18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6">
        <f>IF(HEVARIM[[#This Row],[מצב משפחתי2]]="אלמן",'[2]ריכוז נתונים'!$AC$2,0)</f>
        <v>0</v>
      </c>
      <c r="Z186" s="3">
        <f>VLOOKUP(VALUE(HEVARIM[[#This Row],[קוד מעמד]]),הנחות!$I$2:$K$21,3,0)</f>
        <v>1</v>
      </c>
      <c r="AA186" t="b">
        <f>ISERROR(VLOOKUP(HEVARIM[[#This Row],[קוד תקציב]],'[2]ריכוז נתונים'!A:A,1,0))</f>
        <v>0</v>
      </c>
      <c r="AB186" s="1">
        <f t="shared" si="9"/>
        <v>0</v>
      </c>
      <c r="AC186" s="2">
        <f ca="1">IF(HEVARIM[[#This Row],[בר מצוה]]&gt;0,YEAR(TODAY())+'תקציבים מיוחדים'!$F$5-HEVARIM[[#This Row],[גיל]],0)</f>
        <v>0</v>
      </c>
      <c r="AD186" s="1">
        <f t="shared" si="10"/>
        <v>0</v>
      </c>
      <c r="AE186" s="2">
        <f ca="1">IF(HEVARIM[[#This Row],[בת מצוה]]&gt;0,YEAR(TODAY())+'תקציבים מיוחדים'!$F$5-HEVARIM[[#This Row],[גיל]],0)</f>
        <v>0</v>
      </c>
      <c r="AF186" s="1">
        <f>IF(AND($S186&gt;="רווק",$Z186=1),AF$4*IF(HEVARIM[[#This Row],[גיל]]&gt;$AF$3,1,(($G186-AF$2)/(AF$3-AF$2))),0)</f>
        <v>40341.666666666664</v>
      </c>
      <c r="AG186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186" s="1">
        <f t="shared" si="11"/>
        <v>70392.333333333328</v>
      </c>
      <c r="AI186" s="2">
        <f ca="1">IF(AH186&gt;0,YEAR(TODAY())+'תקציבים מיוחדים'!$F$7-HEVARIM[[#This Row],[גיל]],0)</f>
        <v>2033</v>
      </c>
      <c r="AJ186" s="9">
        <f>IF(AND(ISERROR(VLOOKUP(H186,'[2]ריכוז נתונים'!A:L,1,0)),P186="1     "),1,0)</f>
        <v>0</v>
      </c>
      <c r="AK18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86" s="1">
        <f>IF(AND(VALUE(HEVARIM[[#This Row],[קוד מעמד]])=1,HEVARIM[[#This Row],[ותק מחברה 40]]&lt;25),HEVARIM[[#This Row],[ותק מחברה 40]]/25*הנחות!$C$4,0)</f>
        <v>0</v>
      </c>
      <c r="AM186" s="9" t="str">
        <f ca="1">IF(HEVARIM[[#This Row],[דמי עזיבה 25 שנות ותק]]&gt;0,YEAR(TODAY())+25-ROUNDDOWN(HEVARIM[[#This Row],[ותק מחברה 40]],0),"")</f>
        <v/>
      </c>
      <c r="AN1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6" s="9" t="str">
        <f ca="1">IF(HEVARIM[[#This Row],[דמי עזיבה לגיל 65]]&gt;0,YEAR(TODAY())+64-ROUNDDOWN(HEVARIM[[#This Row],[גיל]],0),"")</f>
        <v/>
      </c>
      <c r="AP186" s="1">
        <f>SUMIF(HEVARIM[קוד תקציב],HEVARIM[[#This Row],[קוד תקציב משפחה מקורי]],HEVARIM[ותק מחברה 40])</f>
        <v>34.19</v>
      </c>
      <c r="AQ1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6" s="9">
        <f>IF(HEVARIM[[#This Row],[קוד מעמד]]="1     ",IFERROR(VLOOKUP(HEVARIM[[#This Row],[קוד תקציב]],'תקציב צביעה - לקראת השינוי'!A:F,4,0),0),0)</f>
        <v>0</v>
      </c>
      <c r="AT186" s="1"/>
    </row>
    <row r="187" spans="1:46">
      <c r="A187" t="s">
        <v>911</v>
      </c>
      <c r="B187" t="s">
        <v>912</v>
      </c>
      <c r="C187" t="s">
        <v>902</v>
      </c>
      <c r="D187" t="s">
        <v>913</v>
      </c>
      <c r="E187" t="s">
        <v>79</v>
      </c>
      <c r="F187" s="4">
        <v>35149</v>
      </c>
      <c r="G187">
        <v>29</v>
      </c>
      <c r="H187" t="s">
        <v>914</v>
      </c>
      <c r="I187" t="s">
        <v>912</v>
      </c>
      <c r="J187" s="4" t="s">
        <v>70</v>
      </c>
      <c r="K187" s="4" t="s">
        <v>81</v>
      </c>
      <c r="L187" t="s">
        <v>915</v>
      </c>
      <c r="M187" t="s">
        <v>911</v>
      </c>
      <c r="N187" t="s">
        <v>912</v>
      </c>
      <c r="O187">
        <f>IFERROR(VLOOKUP(HEVARIM[[#This Row],[קוד תקציב]],[2]תקציבים!A:L,6,0),0)</f>
        <v>0</v>
      </c>
      <c r="P187" s="5" t="s">
        <v>129</v>
      </c>
      <c r="Q187" t="s">
        <v>26</v>
      </c>
      <c r="R187" s="4">
        <v>44562</v>
      </c>
      <c r="S187" s="4" t="s">
        <v>90</v>
      </c>
      <c r="T187" s="96" t="s">
        <v>958</v>
      </c>
      <c r="U187" t="str">
        <f>VLOOKUP(HEVARIM[[#This Row],[גיל]],GIL,2,1)</f>
        <v>--</v>
      </c>
      <c r="V187" t="str">
        <f>IF(HEVARIM[[#This Row],[קוד מעמד]]="4     ",IF(HEVARIM[[#This Row],[גיל]]=1,1,IF(HEVARIM[[#This Row],[גיל]]&lt;=5,5,18)),"")</f>
        <v/>
      </c>
      <c r="W187">
        <f t="shared" si="8"/>
        <v>0</v>
      </c>
      <c r="X18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7">
        <f>IF(HEVARIM[[#This Row],[מצב משפחתי2]]="אלמן",'[2]ריכוז נתונים'!$AC$2,0)</f>
        <v>0</v>
      </c>
      <c r="Z187" s="3">
        <f>VLOOKUP(VALUE(HEVARIM[[#This Row],[קוד מעמד]]),הנחות!$I$2:$K$21,3,0)</f>
        <v>1</v>
      </c>
      <c r="AA187" t="b">
        <f>ISERROR(VLOOKUP(HEVARIM[[#This Row],[קוד תקציב]],'[2]ריכוז נתונים'!A:A,1,0))</f>
        <v>1</v>
      </c>
      <c r="AB187" s="1">
        <f t="shared" si="9"/>
        <v>0</v>
      </c>
      <c r="AC187" s="2">
        <f ca="1">IF(HEVARIM[[#This Row],[בר מצוה]]&gt;0,YEAR(TODAY())+'תקציבים מיוחדים'!$F$5-HEVARIM[[#This Row],[גיל]],0)</f>
        <v>0</v>
      </c>
      <c r="AD187" s="1">
        <f t="shared" si="10"/>
        <v>0</v>
      </c>
      <c r="AE187" s="2">
        <f ca="1">IF(HEVARIM[[#This Row],[בת מצוה]]&gt;0,YEAR(TODAY())+'תקציבים מיוחדים'!$F$5-HEVARIM[[#This Row],[גיל]],0)</f>
        <v>0</v>
      </c>
      <c r="AF187" s="1">
        <f>IF(AND($S187&gt;="רווק",$Z187=1),AF$4*IF(HEVARIM[[#This Row],[גיל]]&gt;$AF$3,1,(($G187-AF$2)/(AF$3-AF$2))),0)</f>
        <v>60512.5</v>
      </c>
      <c r="AG187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87" s="1">
        <f t="shared" si="11"/>
        <v>0</v>
      </c>
      <c r="AI187" s="2">
        <f ca="1">IF(AH187&gt;0,YEAR(TODAY())+'תקציבים מיוחדים'!$F$7-HEVARIM[[#This Row],[גיל]],0)</f>
        <v>0</v>
      </c>
      <c r="AJ187" s="9">
        <f>IF(AND(ISERROR(VLOOKUP(H187,'[2]ריכוז נתונים'!A:L,1,0)),P187="1     "),1,0)</f>
        <v>0</v>
      </c>
      <c r="AK18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87" s="1">
        <f>IF(AND(VALUE(HEVARIM[[#This Row],[קוד מעמד]])=1,HEVARIM[[#This Row],[ותק מחברה 40]]&lt;25),HEVARIM[[#This Row],[ותק מחברה 40]]/25*הנחות!$C$4,0)</f>
        <v>0</v>
      </c>
      <c r="AM187" s="9" t="str">
        <f ca="1">IF(HEVARIM[[#This Row],[דמי עזיבה 25 שנות ותק]]&gt;0,YEAR(TODAY())+25-ROUNDDOWN(HEVARIM[[#This Row],[ותק מחברה 40]],0),"")</f>
        <v/>
      </c>
      <c r="AN1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7" s="9" t="str">
        <f ca="1">IF(HEVARIM[[#This Row],[דמי עזיבה לגיל 65]]&gt;0,YEAR(TODAY())+64-ROUNDDOWN(HEVARIM[[#This Row],[גיל]],0),"")</f>
        <v/>
      </c>
      <c r="AP187" s="1">
        <f>SUMIF(HEVARIM[קוד תקציב],HEVARIM[[#This Row],[קוד תקציב משפחה מקורי]],HEVARIM[ותק מחברה 40])</f>
        <v>34.19</v>
      </c>
      <c r="AQ1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7" s="9">
        <f>IF(HEVARIM[[#This Row],[קוד מעמד]]="1     ",IFERROR(VLOOKUP(HEVARIM[[#This Row],[קוד תקציב]],'תקציב צביעה - לקראת השינוי'!A:F,4,0),0),0)</f>
        <v>0</v>
      </c>
      <c r="AT187" s="1"/>
    </row>
    <row r="188" spans="1:46">
      <c r="A188" t="s">
        <v>971</v>
      </c>
      <c r="B188" t="s">
        <v>972</v>
      </c>
      <c r="C188" t="s">
        <v>948</v>
      </c>
      <c r="D188" t="s">
        <v>973</v>
      </c>
      <c r="E188" t="s">
        <v>79</v>
      </c>
      <c r="F188" s="4">
        <v>33250</v>
      </c>
      <c r="G188">
        <v>34</v>
      </c>
      <c r="H188" t="s">
        <v>968</v>
      </c>
      <c r="I188" t="s">
        <v>969</v>
      </c>
      <c r="J188" s="4" t="s">
        <v>70</v>
      </c>
      <c r="K188" s="4" t="s">
        <v>71</v>
      </c>
      <c r="L188" t="s">
        <v>974</v>
      </c>
      <c r="M188" t="s">
        <v>965</v>
      </c>
      <c r="N188" t="s">
        <v>966</v>
      </c>
      <c r="O188">
        <f>IFERROR(VLOOKUP(HEVARIM[[#This Row],[קוד תקציב]],[2]תקציבים!A:L,6,0),0)</f>
        <v>2</v>
      </c>
      <c r="P188" s="5" t="s">
        <v>104</v>
      </c>
      <c r="Q188" t="s">
        <v>11</v>
      </c>
      <c r="R188" s="4">
        <v>45495</v>
      </c>
      <c r="S188" s="4" t="s">
        <v>74</v>
      </c>
      <c r="T188" s="96" t="s">
        <v>968</v>
      </c>
      <c r="U188" t="str">
        <f>VLOOKUP(HEVARIM[[#This Row],[גיל]],GIL,2,1)</f>
        <v>--</v>
      </c>
      <c r="V188" t="str">
        <f>IF(HEVARIM[[#This Row],[קוד מעמד]]="4     ",IF(HEVARIM[[#This Row],[גיל]]=1,1,IF(HEVARIM[[#This Row],[גיל]]&lt;=5,5,18)),"")</f>
        <v/>
      </c>
      <c r="W188">
        <f t="shared" si="8"/>
        <v>0</v>
      </c>
      <c r="X18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8">
        <f>IF(HEVARIM[[#This Row],[מצב משפחתי2]]="אלמן",'[2]ריכוז נתונים'!$AC$2,0)</f>
        <v>0</v>
      </c>
      <c r="Z188" s="3">
        <f>VLOOKUP(VALUE(HEVARIM[[#This Row],[קוד מעמד]]),הנחות!$I$2:$K$21,3,0)</f>
        <v>0</v>
      </c>
      <c r="AA188" t="b">
        <f>ISERROR(VLOOKUP(HEVARIM[[#This Row],[קוד תקציב]],'[2]ריכוז נתונים'!A:A,1,0))</f>
        <v>0</v>
      </c>
      <c r="AB188" s="1">
        <f t="shared" si="9"/>
        <v>0</v>
      </c>
      <c r="AC188" s="2">
        <f ca="1">IF(HEVARIM[[#This Row],[בר מצוה]]&gt;0,YEAR(TODAY())+'תקציבים מיוחדים'!$F$5-HEVARIM[[#This Row],[גיל]],0)</f>
        <v>0</v>
      </c>
      <c r="AD188" s="1">
        <f t="shared" si="10"/>
        <v>0</v>
      </c>
      <c r="AE188" s="2">
        <f ca="1">IF(HEVARIM[[#This Row],[בת מצוה]]&gt;0,YEAR(TODAY())+'תקציבים מיוחדים'!$F$5-HEVARIM[[#This Row],[גיל]],0)</f>
        <v>0</v>
      </c>
      <c r="AF188" s="1">
        <f>IF(AND($S188&gt;="רווק",$Z188=1),AF$4*IF(HEVARIM[[#This Row],[גיל]]&gt;$AF$3,1,(($G188-AF$2)/(AF$3-AF$2))),0)</f>
        <v>0</v>
      </c>
      <c r="AG18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88" s="1">
        <f t="shared" si="11"/>
        <v>0</v>
      </c>
      <c r="AI188" s="2">
        <f ca="1">IF(AH188&gt;0,YEAR(TODAY())+'תקציבים מיוחדים'!$F$7-HEVARIM[[#This Row],[גיל]],0)</f>
        <v>0</v>
      </c>
      <c r="AJ188" s="9">
        <f>IF(AND(ISERROR(VLOOKUP(H188,'[2]ריכוז נתונים'!A:L,1,0)),P188="1     "),1,0)</f>
        <v>0</v>
      </c>
      <c r="AK188" s="1">
        <f>IF(VALUE(HEVARIM[[#This Row],[קוד מעמד]])=1,VLOOKUP((IF(LEFT(HEVARIM[[#This Row],[קוד חבר]],1)="0",HEVARIM[[#This Row],[קוד חבר]],VALUE(HEVARIM[[#This Row],[קוד חבר]]))),'ותק חברה 40'!AQ:AW,7,0),"")</f>
        <v>3.19</v>
      </c>
      <c r="AL188" s="1">
        <f>IF(AND(VALUE(HEVARIM[[#This Row],[קוד מעמד]])=1,HEVARIM[[#This Row],[ותק מחברה 40]]&lt;25),HEVARIM[[#This Row],[ותק מחברה 40]]/25*הנחות!$C$4,0)</f>
        <v>4789.4165549999989</v>
      </c>
      <c r="AM188" s="9">
        <f ca="1">IF(HEVARIM[[#This Row],[דמי עזיבה 25 שנות ותק]]&gt;0,YEAR(TODAY())+25-ROUNDDOWN(HEVARIM[[#This Row],[ותק מחברה 40]],0),"")</f>
        <v>2048</v>
      </c>
      <c r="AN1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8" s="9" t="str">
        <f ca="1">IF(HEVARIM[[#This Row],[דמי עזיבה לגיל 65]]&gt;0,YEAR(TODAY())+64-ROUNDDOWN(HEVARIM[[#This Row],[גיל]],0),"")</f>
        <v/>
      </c>
      <c r="AP188" s="1">
        <f>SUMIF(HEVARIM[קוד תקציב],HEVARIM[[#This Row],[קוד תקציב משפחה מקורי]],HEVARIM[ותק מחברה 40])</f>
        <v>6.38</v>
      </c>
      <c r="AQ1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8" s="9">
        <f>IF(HEVARIM[[#This Row],[קוד מעמד]]="1     ",IFERROR(VLOOKUP(HEVARIM[[#This Row],[קוד תקציב]],'תקציב צביעה - לקראת השינוי'!A:F,4,0),0),0)</f>
        <v>0</v>
      </c>
      <c r="AT188" s="1"/>
    </row>
    <row r="189" spans="1:46">
      <c r="A189" t="s">
        <v>975</v>
      </c>
      <c r="B189" t="s">
        <v>976</v>
      </c>
      <c r="C189" t="s">
        <v>948</v>
      </c>
      <c r="D189" t="s">
        <v>977</v>
      </c>
      <c r="E189" t="s">
        <v>79</v>
      </c>
      <c r="F189" s="4">
        <v>44798</v>
      </c>
      <c r="G189">
        <v>3</v>
      </c>
      <c r="H189" t="s">
        <v>968</v>
      </c>
      <c r="I189" t="s">
        <v>969</v>
      </c>
      <c r="J189" s="4" t="s">
        <v>70</v>
      </c>
      <c r="K189" s="4" t="s">
        <v>71</v>
      </c>
      <c r="L189" t="s">
        <v>978</v>
      </c>
      <c r="M189" t="s">
        <v>965</v>
      </c>
      <c r="N189" t="s">
        <v>966</v>
      </c>
      <c r="O189">
        <f>IFERROR(VLOOKUP(HEVARIM[[#This Row],[קוד תקציב]],[2]תקציבים!A:L,6,0),0)</f>
        <v>2</v>
      </c>
      <c r="P189" s="5" t="s">
        <v>227</v>
      </c>
      <c r="Q189" t="s">
        <v>14</v>
      </c>
      <c r="R189" s="4">
        <v>44798</v>
      </c>
      <c r="S189" s="4" t="s">
        <v>90</v>
      </c>
      <c r="T189" s="96" t="s">
        <v>968</v>
      </c>
      <c r="U189" t="str">
        <f>VLOOKUP(HEVARIM[[#This Row],[גיל]],GIL,2,1)</f>
        <v>גנים</v>
      </c>
      <c r="V189">
        <f>IF(HEVARIM[[#This Row],[קוד מעמד]]="4     ",IF(HEVARIM[[#This Row],[גיל]]=1,1,IF(HEVARIM[[#This Row],[גיל]]&lt;=5,5,18)),"")</f>
        <v>5</v>
      </c>
      <c r="W189">
        <f t="shared" si="8"/>
        <v>0</v>
      </c>
      <c r="X18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89">
        <f>IF(HEVARIM[[#This Row],[מצב משפחתי2]]="אלמן",'[2]ריכוז נתונים'!$AC$2,0)</f>
        <v>0</v>
      </c>
      <c r="Z189" s="3">
        <f>VLOOKUP(VALUE(HEVARIM[[#This Row],[קוד מעמד]]),הנחות!$I$2:$K$21,3,0)</f>
        <v>1</v>
      </c>
      <c r="AA189" t="b">
        <f>ISERROR(VLOOKUP(HEVARIM[[#This Row],[קוד תקציב]],'[2]ריכוז נתונים'!A:A,1,0))</f>
        <v>0</v>
      </c>
      <c r="AB189" s="1">
        <f t="shared" si="9"/>
        <v>0</v>
      </c>
      <c r="AC189" s="2">
        <f ca="1">IF(HEVARIM[[#This Row],[בר מצוה]]&gt;0,YEAR(TODAY())+'תקציבים מיוחדים'!$F$5-HEVARIM[[#This Row],[גיל]],0)</f>
        <v>0</v>
      </c>
      <c r="AD189" s="1">
        <f t="shared" si="10"/>
        <v>1653.4615384615386</v>
      </c>
      <c r="AE189" s="2">
        <f ca="1">IF(HEVARIM[[#This Row],[בת מצוה]]&gt;0,YEAR(TODAY())+'תקציבים מיוחדים'!$F$5-HEVARIM[[#This Row],[גיל]],0)</f>
        <v>2036</v>
      </c>
      <c r="AF189" s="1">
        <f>IF(AND($S189&gt;="רווק",$Z189=1),AF$4*IF(HEVARIM[[#This Row],[גיל]]&gt;$AF$3,1,(($G189-AF$2)/(AF$3-AF$2))),0)</f>
        <v>8644.6428571428569</v>
      </c>
      <c r="AG189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189" s="1">
        <f t="shared" si="11"/>
        <v>15084.071428571428</v>
      </c>
      <c r="AI189" s="2">
        <f ca="1">IF(AH189&gt;0,YEAR(TODAY())+'תקציבים מיוחדים'!$F$7-HEVARIM[[#This Row],[גיל]],0)</f>
        <v>2044</v>
      </c>
      <c r="AJ189" s="9">
        <f>IF(AND(ISERROR(VLOOKUP(H189,'[2]ריכוז נתונים'!A:L,1,0)),P189="1     "),1,0)</f>
        <v>0</v>
      </c>
      <c r="AK18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89" s="1">
        <f>IF(AND(VALUE(HEVARIM[[#This Row],[קוד מעמד]])=1,HEVARIM[[#This Row],[ותק מחברה 40]]&lt;25),HEVARIM[[#This Row],[ותק מחברה 40]]/25*הנחות!$C$4,0)</f>
        <v>0</v>
      </c>
      <c r="AM189" s="9" t="str">
        <f ca="1">IF(HEVARIM[[#This Row],[דמי עזיבה 25 שנות ותק]]&gt;0,YEAR(TODAY())+25-ROUNDDOWN(HEVARIM[[#This Row],[ותק מחברה 40]],0),"")</f>
        <v/>
      </c>
      <c r="AN18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89" s="9" t="str">
        <f ca="1">IF(HEVARIM[[#This Row],[דמי עזיבה לגיל 65]]&gt;0,YEAR(TODAY())+64-ROUNDDOWN(HEVARIM[[#This Row],[גיל]],0),"")</f>
        <v/>
      </c>
      <c r="AP189" s="1">
        <f>SUMIF(HEVARIM[קוד תקציב],HEVARIM[[#This Row],[קוד תקציב משפחה מקורי]],HEVARIM[ותק מחברה 40])</f>
        <v>6.38</v>
      </c>
      <c r="AQ1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89" s="9">
        <f>IF(HEVARIM[[#This Row],[קוד מעמד]]="1     ",IFERROR(VLOOKUP(HEVARIM[[#This Row],[קוד תקציב]],'תקציב צביעה - לקראת השינוי'!A:F,4,0),0),0)</f>
        <v>0</v>
      </c>
      <c r="AT189" s="1"/>
    </row>
    <row r="190" spans="1:46">
      <c r="A190" t="s">
        <v>979</v>
      </c>
      <c r="B190" t="s">
        <v>980</v>
      </c>
      <c r="C190" t="s">
        <v>948</v>
      </c>
      <c r="D190" t="s">
        <v>341</v>
      </c>
      <c r="E190" t="s">
        <v>67</v>
      </c>
      <c r="F190" s="4">
        <v>45396</v>
      </c>
      <c r="G190">
        <v>1</v>
      </c>
      <c r="H190" t="s">
        <v>968</v>
      </c>
      <c r="I190" t="s">
        <v>969</v>
      </c>
      <c r="J190" s="4" t="s">
        <v>70</v>
      </c>
      <c r="K190" s="4" t="s">
        <v>71</v>
      </c>
      <c r="L190" t="s">
        <v>981</v>
      </c>
      <c r="M190" t="s">
        <v>965</v>
      </c>
      <c r="N190" t="s">
        <v>966</v>
      </c>
      <c r="O190">
        <f>IFERROR(VLOOKUP(HEVARIM[[#This Row],[קוד תקציב]],[2]תקציבים!A:L,6,0),0)</f>
        <v>2</v>
      </c>
      <c r="P190" s="5" t="s">
        <v>227</v>
      </c>
      <c r="Q190" t="s">
        <v>14</v>
      </c>
      <c r="R190" s="4">
        <v>45396</v>
      </c>
      <c r="S190" s="4" t="s">
        <v>90</v>
      </c>
      <c r="T190" s="96" t="s">
        <v>968</v>
      </c>
      <c r="U190" t="str">
        <f>VLOOKUP(HEVARIM[[#This Row],[גיל]],GIL,2,1)</f>
        <v>פעוט</v>
      </c>
      <c r="V190">
        <f>IF(HEVARIM[[#This Row],[קוד מעמד]]="4     ",IF(HEVARIM[[#This Row],[גיל]]=1,1,IF(HEVARIM[[#This Row],[גיל]]&lt;=5,5,18)),"")</f>
        <v>1</v>
      </c>
      <c r="W190">
        <f t="shared" si="8"/>
        <v>0</v>
      </c>
      <c r="X19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0">
        <f>IF(HEVARIM[[#This Row],[מצב משפחתי2]]="אלמן",'[2]ריכוז נתונים'!$AC$2,0)</f>
        <v>0</v>
      </c>
      <c r="Z190" s="3">
        <f>VLOOKUP(VALUE(HEVARIM[[#This Row],[קוד מעמד]]),הנחות!$I$2:$K$21,3,0)</f>
        <v>1</v>
      </c>
      <c r="AA190" t="b">
        <f>ISERROR(VLOOKUP(HEVARIM[[#This Row],[קוד תקציב]],'[2]ריכוז נתונים'!A:A,1,0))</f>
        <v>0</v>
      </c>
      <c r="AB190" s="1">
        <f t="shared" si="9"/>
        <v>551.15384615384619</v>
      </c>
      <c r="AC190" s="2">
        <f ca="1">IF(HEVARIM[[#This Row],[בר מצוה]]&gt;0,YEAR(TODAY())+'תקציבים מיוחדים'!$F$5-HEVARIM[[#This Row],[גיל]],0)</f>
        <v>2038</v>
      </c>
      <c r="AD190" s="1">
        <f t="shared" si="10"/>
        <v>0</v>
      </c>
      <c r="AE190" s="2">
        <f ca="1">IF(HEVARIM[[#This Row],[בת מצוה]]&gt;0,YEAR(TODAY())+'תקציבים מיוחדים'!$F$5-HEVARIM[[#This Row],[גיל]],0)</f>
        <v>0</v>
      </c>
      <c r="AF190" s="1">
        <f>IF(AND($S190&gt;="רווק",$Z190=1),AF$4*IF(HEVARIM[[#This Row],[גיל]]&gt;$AF$3,1,(($G190-AF$2)/(AF$3-AF$2))),0)</f>
        <v>2881.5476190476188</v>
      </c>
      <c r="AG190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190" s="1">
        <f t="shared" si="11"/>
        <v>5028.0238095238092</v>
      </c>
      <c r="AI190" s="2">
        <f ca="1">IF(AH190&gt;0,YEAR(TODAY())+'תקציבים מיוחדים'!$F$7-HEVARIM[[#This Row],[גיל]],0)</f>
        <v>2046</v>
      </c>
      <c r="AJ190" s="9">
        <f>IF(AND(ISERROR(VLOOKUP(H190,'[2]ריכוז נתונים'!A:L,1,0)),P190="1     "),1,0)</f>
        <v>0</v>
      </c>
      <c r="AK19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90" s="1">
        <f>IF(AND(VALUE(HEVARIM[[#This Row],[קוד מעמד]])=1,HEVARIM[[#This Row],[ותק מחברה 40]]&lt;25),HEVARIM[[#This Row],[ותק מחברה 40]]/25*הנחות!$C$4,0)</f>
        <v>0</v>
      </c>
      <c r="AM190" s="9" t="str">
        <f ca="1">IF(HEVARIM[[#This Row],[דמי עזיבה 25 שנות ותק]]&gt;0,YEAR(TODAY())+25-ROUNDDOWN(HEVARIM[[#This Row],[ותק מחברה 40]],0),"")</f>
        <v/>
      </c>
      <c r="AN1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0" s="9" t="str">
        <f ca="1">IF(HEVARIM[[#This Row],[דמי עזיבה לגיל 65]]&gt;0,YEAR(TODAY())+64-ROUNDDOWN(HEVARIM[[#This Row],[גיל]],0),"")</f>
        <v/>
      </c>
      <c r="AP190" s="1">
        <f>SUMIF(HEVARIM[קוד תקציב],HEVARIM[[#This Row],[קוד תקציב משפחה מקורי]],HEVARIM[ותק מחברה 40])</f>
        <v>6.38</v>
      </c>
      <c r="AQ1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90" s="9">
        <f>IF(HEVARIM[[#This Row],[קוד מעמד]]="1     ",IFERROR(VLOOKUP(HEVARIM[[#This Row],[קוד תקציב]],'תקציב צביעה - לקראת השינוי'!A:F,4,0),0),0)</f>
        <v>0</v>
      </c>
      <c r="AT190" s="1"/>
    </row>
    <row r="191" spans="1:46">
      <c r="A191" t="s">
        <v>999</v>
      </c>
      <c r="B191" t="s">
        <v>1000</v>
      </c>
      <c r="C191" t="s">
        <v>994</v>
      </c>
      <c r="D191" t="s">
        <v>1001</v>
      </c>
      <c r="E191" t="s">
        <v>79</v>
      </c>
      <c r="F191" s="4">
        <v>24370</v>
      </c>
      <c r="G191">
        <v>59</v>
      </c>
      <c r="H191" t="s">
        <v>996</v>
      </c>
      <c r="I191" t="s">
        <v>997</v>
      </c>
      <c r="J191" s="4" t="s">
        <v>70</v>
      </c>
      <c r="K191" s="4" t="s">
        <v>71</v>
      </c>
      <c r="L191" t="s">
        <v>1002</v>
      </c>
      <c r="M191" t="s">
        <v>992</v>
      </c>
      <c r="N191" t="s">
        <v>993</v>
      </c>
      <c r="O191">
        <f>IFERROR(VLOOKUP(HEVARIM[[#This Row],[קוד תקציב]],[2]תקציבים!A:L,6,0),0)</f>
        <v>2</v>
      </c>
      <c r="P191" s="5" t="s">
        <v>104</v>
      </c>
      <c r="Q191" t="s">
        <v>11</v>
      </c>
      <c r="R191" s="4">
        <v>33117</v>
      </c>
      <c r="S191" s="4" t="s">
        <v>74</v>
      </c>
      <c r="T191" s="96" t="s">
        <v>996</v>
      </c>
      <c r="U191" t="str">
        <f>VLOOKUP(HEVARIM[[#This Row],[גיל]],GIL,2,1)</f>
        <v>--</v>
      </c>
      <c r="V191" t="str">
        <f>IF(HEVARIM[[#This Row],[קוד מעמד]]="4     ",IF(HEVARIM[[#This Row],[גיל]]=1,1,IF(HEVARIM[[#This Row],[גיל]]&lt;=5,5,18)),"")</f>
        <v/>
      </c>
      <c r="W191">
        <f t="shared" si="8"/>
        <v>0</v>
      </c>
      <c r="X19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1">
        <f>IF(HEVARIM[[#This Row],[מצב משפחתי2]]="אלמן",'[2]ריכוז נתונים'!$AC$2,0)</f>
        <v>0</v>
      </c>
      <c r="Z191" s="3">
        <f>VLOOKUP(VALUE(HEVARIM[[#This Row],[קוד מעמד]]),הנחות!$I$2:$K$21,3,0)</f>
        <v>0</v>
      </c>
      <c r="AA191" t="b">
        <f>ISERROR(VLOOKUP(HEVARIM[[#This Row],[קוד תקציב]],'[2]ריכוז נתונים'!A:A,1,0))</f>
        <v>0</v>
      </c>
      <c r="AB191" s="1">
        <f t="shared" si="9"/>
        <v>0</v>
      </c>
      <c r="AC191" s="2">
        <f ca="1">IF(HEVARIM[[#This Row],[בר מצוה]]&gt;0,YEAR(TODAY())+'תקציבים מיוחדים'!$F$5-HEVARIM[[#This Row],[גיל]],0)</f>
        <v>0</v>
      </c>
      <c r="AD191" s="1">
        <f t="shared" si="10"/>
        <v>0</v>
      </c>
      <c r="AE191" s="2">
        <f ca="1">IF(HEVARIM[[#This Row],[בת מצוה]]&gt;0,YEAR(TODAY())+'תקציבים מיוחדים'!$F$5-HEVARIM[[#This Row],[גיל]],0)</f>
        <v>0</v>
      </c>
      <c r="AF191" s="1">
        <f>IF(AND($S191&gt;="רווק",$Z191=1),AF$4*IF(HEVARIM[[#This Row],[גיל]]&gt;$AF$3,1,(($G191-AF$2)/(AF$3-AF$2))),0)</f>
        <v>0</v>
      </c>
      <c r="AG19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1" s="1">
        <f t="shared" si="11"/>
        <v>0</v>
      </c>
      <c r="AI191" s="2">
        <f ca="1">IF(AH191&gt;0,YEAR(TODAY())+'תקציבים מיוחדים'!$F$7-HEVARIM[[#This Row],[גיל]],0)</f>
        <v>0</v>
      </c>
      <c r="AJ191" s="9">
        <f>IF(AND(ISERROR(VLOOKUP(H191,'[2]ריכוז נתונים'!A:L,1,0)),P191="1     "),1,0)</f>
        <v>0</v>
      </c>
      <c r="AK191" s="1">
        <f>IF(VALUE(HEVARIM[[#This Row],[קוד מעמד]])=1,VLOOKUP((IF(LEFT(HEVARIM[[#This Row],[קוד חבר]],1)="0",HEVARIM[[#This Row],[קוד חבר]],VALUE(HEVARIM[[#This Row],[קוד חבר]]))),'ותק חברה 40'!AQ:AW,7,0),"")</f>
        <v>36.200000000000003</v>
      </c>
      <c r="AL191" s="1">
        <f>IF(AND(VALUE(HEVARIM[[#This Row],[קוד מעמד]])=1,HEVARIM[[#This Row],[ותק מחברה 40]]&lt;25),HEVARIM[[#This Row],[ותק מחברה 40]]/25*הנחות!$C$4,0)</f>
        <v>0</v>
      </c>
      <c r="AM191" s="9" t="str">
        <f ca="1">IF(HEVARIM[[#This Row],[דמי עזיבה 25 שנות ותק]]&gt;0,YEAR(TODAY())+25-ROUNDDOWN(HEVARIM[[#This Row],[ותק מחברה 40]],0),"")</f>
        <v/>
      </c>
      <c r="AN191" s="1">
        <f>IF(AND(VALUE(HEVARIM[[#This Row],[קוד מעמד]])=1,HEVARIM[[#This Row],[ותק מחברה 40]]&gt;25,HEVARIM[[#This Row],[גיל]]&lt;65),הנחות!$C$14+(HEVARIM[[#This Row],[ותק מחברה 40]]-25)*הנחות!$C$10*0.25,0)</f>
        <v>56838.127500000002</v>
      </c>
      <c r="AO191" s="9">
        <f ca="1">IF(HEVARIM[[#This Row],[דמי עזיבה לגיל 65]]&gt;0,YEAR(TODAY())+64-ROUNDDOWN(HEVARIM[[#This Row],[גיל]],0),"")</f>
        <v>2031</v>
      </c>
      <c r="AP191" s="1">
        <f>SUMIF(HEVARIM[קוד תקציב],HEVARIM[[#This Row],[קוד תקציב משפחה מקורי]],HEVARIM[ותק מחברה 40])</f>
        <v>83.15</v>
      </c>
      <c r="AQ1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91" s="9">
        <f>IF(HEVARIM[[#This Row],[קוד מעמד]]="1     ",IFERROR(VLOOKUP(HEVARIM[[#This Row],[קוד תקציב]],'תקציב צביעה - לקראת השינוי'!A:F,4,0),0),0)</f>
        <v>2028</v>
      </c>
      <c r="AT191" s="1"/>
    </row>
    <row r="192" spans="1:46">
      <c r="A192" t="s">
        <v>1003</v>
      </c>
      <c r="B192" t="s">
        <v>1004</v>
      </c>
      <c r="C192" t="s">
        <v>994</v>
      </c>
      <c r="D192" t="s">
        <v>1005</v>
      </c>
      <c r="E192" t="s">
        <v>67</v>
      </c>
      <c r="F192" s="4">
        <v>38647</v>
      </c>
      <c r="G192">
        <v>20</v>
      </c>
      <c r="H192" t="s">
        <v>996</v>
      </c>
      <c r="I192" t="s">
        <v>997</v>
      </c>
      <c r="J192" s="4" t="s">
        <v>70</v>
      </c>
      <c r="K192" s="4" t="s">
        <v>71</v>
      </c>
      <c r="L192" t="s">
        <v>1006</v>
      </c>
      <c r="M192" t="s">
        <v>992</v>
      </c>
      <c r="N192" t="s">
        <v>993</v>
      </c>
      <c r="O192">
        <f>IFERROR(VLOOKUP(HEVARIM[[#This Row],[קוד תקציב]],[2]תקציבים!A:L,6,0),0)</f>
        <v>2</v>
      </c>
      <c r="P192" s="5" t="s">
        <v>1007</v>
      </c>
      <c r="Q192" t="s">
        <v>24</v>
      </c>
      <c r="R192" s="4">
        <v>45200</v>
      </c>
      <c r="S192" s="4" t="s">
        <v>90</v>
      </c>
      <c r="T192" s="96" t="s">
        <v>996</v>
      </c>
      <c r="U192" t="str">
        <f>VLOOKUP(HEVARIM[[#This Row],[גיל]],GIL,2,1)</f>
        <v>--</v>
      </c>
      <c r="V192" t="str">
        <f>IF(HEVARIM[[#This Row],[קוד מעמד]]="4     ",IF(HEVARIM[[#This Row],[גיל]]=1,1,IF(HEVARIM[[#This Row],[גיל]]&lt;=5,5,18)),"")</f>
        <v/>
      </c>
      <c r="W192">
        <f t="shared" si="8"/>
        <v>0</v>
      </c>
      <c r="X19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2">
        <f>IF(HEVARIM[[#This Row],[מצב משפחתי2]]="אלמן",'[2]ריכוז נתונים'!$AC$2,0)</f>
        <v>0</v>
      </c>
      <c r="Z192" s="3">
        <f>VLOOKUP(VALUE(HEVARIM[[#This Row],[קוד מעמד]]),הנחות!$I$2:$K$21,3,0)</f>
        <v>0</v>
      </c>
      <c r="AA192" t="b">
        <f>ISERROR(VLOOKUP(HEVARIM[[#This Row],[קוד תקציב]],'[2]ריכוז נתונים'!A:A,1,0))</f>
        <v>0</v>
      </c>
      <c r="AB192" s="1">
        <f t="shared" si="9"/>
        <v>0</v>
      </c>
      <c r="AC192" s="2">
        <f ca="1">IF(HEVARIM[[#This Row],[בר מצוה]]&gt;0,YEAR(TODAY())+'תקציבים מיוחדים'!$F$5-HEVARIM[[#This Row],[גיל]],0)</f>
        <v>0</v>
      </c>
      <c r="AD192" s="1">
        <f t="shared" si="10"/>
        <v>0</v>
      </c>
      <c r="AE192" s="2">
        <f ca="1">IF(HEVARIM[[#This Row],[בת מצוה]]&gt;0,YEAR(TODAY())+'תקציבים מיוחדים'!$F$5-HEVARIM[[#This Row],[גיל]],0)</f>
        <v>0</v>
      </c>
      <c r="AF192" s="1">
        <f>IF(AND($S192&gt;="רווק",$Z192=1),AF$4*IF(HEVARIM[[#This Row],[גיל]]&gt;$AF$3,1,(($G192-AF$2)/(AF$3-AF$2))),0)</f>
        <v>0</v>
      </c>
      <c r="AG19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2" s="1">
        <f t="shared" si="11"/>
        <v>0</v>
      </c>
      <c r="AI192" s="2">
        <f ca="1">IF(AH192&gt;0,YEAR(TODAY())+'תקציבים מיוחדים'!$F$7-HEVARIM[[#This Row],[גיל]],0)</f>
        <v>0</v>
      </c>
      <c r="AJ192" s="9">
        <f>IF(AND(ISERROR(VLOOKUP(H192,'[2]ריכוז נתונים'!A:L,1,0)),P192="1     "),1,0)</f>
        <v>0</v>
      </c>
      <c r="AK19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92" s="1">
        <f>IF(AND(VALUE(HEVARIM[[#This Row],[קוד מעמד]])=1,HEVARIM[[#This Row],[ותק מחברה 40]]&lt;25),HEVARIM[[#This Row],[ותק מחברה 40]]/25*הנחות!$C$4,0)</f>
        <v>0</v>
      </c>
      <c r="AM192" s="9" t="str">
        <f ca="1">IF(HEVARIM[[#This Row],[דמי עזיבה 25 שנות ותק]]&gt;0,YEAR(TODAY())+25-ROUNDDOWN(HEVARIM[[#This Row],[ותק מחברה 40]],0),"")</f>
        <v/>
      </c>
      <c r="AN1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2" s="9" t="str">
        <f ca="1">IF(HEVARIM[[#This Row],[דמי עזיבה לגיל 65]]&gt;0,YEAR(TODAY())+64-ROUNDDOWN(HEVARIM[[#This Row],[גיל]],0),"")</f>
        <v/>
      </c>
      <c r="AP192" s="1">
        <f>SUMIF(HEVARIM[קוד תקציב],HEVARIM[[#This Row],[קוד תקציב משפחה מקורי]],HEVARIM[ותק מחברה 40])</f>
        <v>83.15</v>
      </c>
      <c r="AQ1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92" s="9">
        <f>IF(HEVARIM[[#This Row],[קוד מעמד]]="1     ",IFERROR(VLOOKUP(HEVARIM[[#This Row],[קוד תקציב]],'תקציב צביעה - לקראת השינוי'!A:F,4,0),0),0)</f>
        <v>0</v>
      </c>
      <c r="AT192" s="1"/>
    </row>
    <row r="193" spans="1:46">
      <c r="A193" t="s">
        <v>1036</v>
      </c>
      <c r="B193" t="s">
        <v>1037</v>
      </c>
      <c r="C193" t="s">
        <v>994</v>
      </c>
      <c r="D193" t="s">
        <v>1038</v>
      </c>
      <c r="E193" t="s">
        <v>67</v>
      </c>
      <c r="F193" s="4">
        <v>36344</v>
      </c>
      <c r="G193">
        <v>26</v>
      </c>
      <c r="H193" t="s">
        <v>1039</v>
      </c>
      <c r="I193" t="s">
        <v>1037</v>
      </c>
      <c r="J193" s="4" t="s">
        <v>70</v>
      </c>
      <c r="K193" s="4" t="s">
        <v>81</v>
      </c>
      <c r="L193" t="s">
        <v>1040</v>
      </c>
      <c r="M193" t="s">
        <v>1036</v>
      </c>
      <c r="N193" t="s">
        <v>1037</v>
      </c>
      <c r="O193">
        <f>IFERROR(VLOOKUP(HEVARIM[[#This Row],[קוד תקציב]],[2]תקציבים!A:L,6,0),0)</f>
        <v>0</v>
      </c>
      <c r="P193" s="5" t="s">
        <v>860</v>
      </c>
      <c r="Q193" t="s">
        <v>34</v>
      </c>
      <c r="R193" s="4">
        <v>45717</v>
      </c>
      <c r="S193" s="4" t="s">
        <v>90</v>
      </c>
      <c r="T193" s="96" t="s">
        <v>996</v>
      </c>
      <c r="U193" t="str">
        <f>VLOOKUP(HEVARIM[[#This Row],[גיל]],GIL,2,1)</f>
        <v>--</v>
      </c>
      <c r="V193" t="str">
        <f>IF(HEVARIM[[#This Row],[קוד מעמד]]="4     ",IF(HEVARIM[[#This Row],[גיל]]=1,1,IF(HEVARIM[[#This Row],[גיל]]&lt;=5,5,18)),"")</f>
        <v/>
      </c>
      <c r="W193">
        <f t="shared" si="8"/>
        <v>0</v>
      </c>
      <c r="X19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3">
        <f>IF(HEVARIM[[#This Row],[מצב משפחתי2]]="אלמן",'[2]ריכוז נתונים'!$AC$2,0)</f>
        <v>0</v>
      </c>
      <c r="Z193" s="3">
        <f>VLOOKUP(VALUE(HEVARIM[[#This Row],[קוד מעמד]]),הנחות!$I$2:$K$21,3,0)</f>
        <v>1</v>
      </c>
      <c r="AA193" t="b">
        <f>ISERROR(VLOOKUP(HEVARIM[[#This Row],[קוד תקציב]],'[2]ריכוז נתונים'!A:A,1,0))</f>
        <v>1</v>
      </c>
      <c r="AB193" s="1">
        <f t="shared" si="9"/>
        <v>0</v>
      </c>
      <c r="AC193" s="2">
        <f ca="1">IF(HEVARIM[[#This Row],[בר מצוה]]&gt;0,YEAR(TODAY())+'תקציבים מיוחדים'!$F$5-HEVARIM[[#This Row],[גיל]],0)</f>
        <v>0</v>
      </c>
      <c r="AD193" s="1">
        <f t="shared" si="10"/>
        <v>0</v>
      </c>
      <c r="AE193" s="2">
        <f ca="1">IF(HEVARIM[[#This Row],[בת מצוה]]&gt;0,YEAR(TODAY())+'תקציבים מיוחדים'!$F$5-HEVARIM[[#This Row],[גיל]],0)</f>
        <v>0</v>
      </c>
      <c r="AF193" s="1">
        <f>IF(AND($S193&gt;="רווק",$Z193=1),AF$4*IF(HEVARIM[[#This Row],[גיל]]&gt;$AF$3,1,(($G193-AF$2)/(AF$3-AF$2))),0)</f>
        <v>60512.5</v>
      </c>
      <c r="AG193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93" s="1">
        <f t="shared" si="11"/>
        <v>0</v>
      </c>
      <c r="AI193" s="2">
        <f ca="1">IF(AH193&gt;0,YEAR(TODAY())+'תקציבים מיוחדים'!$F$7-HEVARIM[[#This Row],[גיל]],0)</f>
        <v>0</v>
      </c>
      <c r="AJ193" s="9">
        <f>IF(AND(ISERROR(VLOOKUP(H193,'[2]ריכוז נתונים'!A:L,1,0)),P193="1     "),1,0)</f>
        <v>0</v>
      </c>
      <c r="AK19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93" s="1">
        <f>IF(AND(VALUE(HEVARIM[[#This Row],[קוד מעמד]])=1,HEVARIM[[#This Row],[ותק מחברה 40]]&lt;25),HEVARIM[[#This Row],[ותק מחברה 40]]/25*הנחות!$C$4,0)</f>
        <v>0</v>
      </c>
      <c r="AM193" s="9" t="str">
        <f ca="1">IF(HEVARIM[[#This Row],[דמי עזיבה 25 שנות ותק]]&gt;0,YEAR(TODAY())+25-ROUNDDOWN(HEVARIM[[#This Row],[ותק מחברה 40]],0),"")</f>
        <v/>
      </c>
      <c r="AN19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3" s="9" t="str">
        <f ca="1">IF(HEVARIM[[#This Row],[דמי עזיבה לגיל 65]]&gt;0,YEAR(TODAY())+64-ROUNDDOWN(HEVARIM[[#This Row],[גיל]],0),"")</f>
        <v/>
      </c>
      <c r="AP193" s="1">
        <f>SUMIF(HEVARIM[קוד תקציב],HEVARIM[[#This Row],[קוד תקציב משפחה מקורי]],HEVARIM[ותק מחברה 40])</f>
        <v>83.15</v>
      </c>
      <c r="AQ1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93" s="9">
        <f>IF(HEVARIM[[#This Row],[קוד מעמד]]="1     ",IFERROR(VLOOKUP(HEVARIM[[#This Row],[קוד תקציב]],'תקציב צביעה - לקראת השינוי'!A:F,4,0),0),0)</f>
        <v>0</v>
      </c>
      <c r="AT193" s="1"/>
    </row>
    <row r="194" spans="1:46">
      <c r="A194" t="s">
        <v>1108</v>
      </c>
      <c r="B194" t="s">
        <v>1109</v>
      </c>
      <c r="C194" t="s">
        <v>994</v>
      </c>
      <c r="D194" t="s">
        <v>1110</v>
      </c>
      <c r="E194" t="s">
        <v>67</v>
      </c>
      <c r="F194" s="4">
        <v>35269</v>
      </c>
      <c r="G194">
        <v>29</v>
      </c>
      <c r="H194" t="s">
        <v>1111</v>
      </c>
      <c r="I194" t="s">
        <v>1109</v>
      </c>
      <c r="J194" s="4" t="s">
        <v>70</v>
      </c>
      <c r="K194" s="4" t="s">
        <v>81</v>
      </c>
      <c r="L194" t="s">
        <v>1112</v>
      </c>
      <c r="M194" t="s">
        <v>1108</v>
      </c>
      <c r="N194" t="s">
        <v>1109</v>
      </c>
      <c r="O194">
        <f>IFERROR(VLOOKUP(HEVARIM[[#This Row],[קוד תקציב]],[2]תקציבים!A:L,6,0),0)</f>
        <v>0</v>
      </c>
      <c r="P194" s="5" t="s">
        <v>129</v>
      </c>
      <c r="Q194" t="s">
        <v>26</v>
      </c>
      <c r="R194" s="4">
        <v>45108</v>
      </c>
      <c r="S194" s="4" t="s">
        <v>90</v>
      </c>
      <c r="T194" s="96" t="s">
        <v>996</v>
      </c>
      <c r="U194" t="str">
        <f>VLOOKUP(HEVARIM[[#This Row],[גיל]],GIL,2,1)</f>
        <v>--</v>
      </c>
      <c r="V194" t="str">
        <f>IF(HEVARIM[[#This Row],[קוד מעמד]]="4     ",IF(HEVARIM[[#This Row],[גיל]]=1,1,IF(HEVARIM[[#This Row],[גיל]]&lt;=5,5,18)),"")</f>
        <v/>
      </c>
      <c r="W194">
        <f t="shared" si="8"/>
        <v>0</v>
      </c>
      <c r="X19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4">
        <f>IF(HEVARIM[[#This Row],[מצב משפחתי2]]="אלמן",'[2]ריכוז נתונים'!$AC$2,0)</f>
        <v>0</v>
      </c>
      <c r="Z194" s="3">
        <f>VLOOKUP(VALUE(HEVARIM[[#This Row],[קוד מעמד]]),הנחות!$I$2:$K$21,3,0)</f>
        <v>1</v>
      </c>
      <c r="AA194" t="b">
        <f>ISERROR(VLOOKUP(HEVARIM[[#This Row],[קוד תקציב]],'[2]ריכוז נתונים'!A:A,1,0))</f>
        <v>1</v>
      </c>
      <c r="AB194" s="1">
        <f t="shared" si="9"/>
        <v>0</v>
      </c>
      <c r="AC194" s="2">
        <f ca="1">IF(HEVARIM[[#This Row],[בר מצוה]]&gt;0,YEAR(TODAY())+'תקציבים מיוחדים'!$F$5-HEVARIM[[#This Row],[גיל]],0)</f>
        <v>0</v>
      </c>
      <c r="AD194" s="1">
        <f t="shared" si="10"/>
        <v>0</v>
      </c>
      <c r="AE194" s="2">
        <f ca="1">IF(HEVARIM[[#This Row],[בת מצוה]]&gt;0,YEAR(TODAY())+'תקציבים מיוחדים'!$F$5-HEVARIM[[#This Row],[גיל]],0)</f>
        <v>0</v>
      </c>
      <c r="AF194" s="1">
        <f>IF(AND($S194&gt;="רווק",$Z194=1),AF$4*IF(HEVARIM[[#This Row],[גיל]]&gt;$AF$3,1,(($G194-AF$2)/(AF$3-AF$2))),0)</f>
        <v>60512.5</v>
      </c>
      <c r="AG194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194" s="1">
        <f t="shared" si="11"/>
        <v>0</v>
      </c>
      <c r="AI194" s="2">
        <f ca="1">IF(AH194&gt;0,YEAR(TODAY())+'תקציבים מיוחדים'!$F$7-HEVARIM[[#This Row],[גיל]],0)</f>
        <v>0</v>
      </c>
      <c r="AJ194" s="9">
        <f>IF(AND(ISERROR(VLOOKUP(H194,'[2]ריכוז נתונים'!A:L,1,0)),P194="1     "),1,0)</f>
        <v>0</v>
      </c>
      <c r="AK19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94" s="1">
        <f>IF(AND(VALUE(HEVARIM[[#This Row],[קוד מעמד]])=1,HEVARIM[[#This Row],[ותק מחברה 40]]&lt;25),HEVARIM[[#This Row],[ותק מחברה 40]]/25*הנחות!$C$4,0)</f>
        <v>0</v>
      </c>
      <c r="AM194" s="9" t="str">
        <f ca="1">IF(HEVARIM[[#This Row],[דמי עזיבה 25 שנות ותק]]&gt;0,YEAR(TODAY())+25-ROUNDDOWN(HEVARIM[[#This Row],[ותק מחברה 40]],0),"")</f>
        <v/>
      </c>
      <c r="AN19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4" s="9" t="str">
        <f ca="1">IF(HEVARIM[[#This Row],[דמי עזיבה לגיל 65]]&gt;0,YEAR(TODAY())+64-ROUNDDOWN(HEVARIM[[#This Row],[גיל]],0),"")</f>
        <v/>
      </c>
      <c r="AP194" s="1">
        <f>SUMIF(HEVARIM[קוד תקציב],HEVARIM[[#This Row],[קוד תקציב משפחה מקורי]],HEVARIM[ותק מחברה 40])</f>
        <v>83.15</v>
      </c>
      <c r="AQ1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94" s="9">
        <f>IF(HEVARIM[[#This Row],[קוד מעמד]]="1     ",IFERROR(VLOOKUP(HEVARIM[[#This Row],[קוד תקציב]],'תקציב צביעה - לקראת השינוי'!A:F,4,0),0),0)</f>
        <v>0</v>
      </c>
      <c r="AT194" s="1"/>
    </row>
    <row r="195" spans="1:46">
      <c r="A195" t="s">
        <v>1008</v>
      </c>
      <c r="B195" t="s">
        <v>1009</v>
      </c>
      <c r="C195" t="s">
        <v>994</v>
      </c>
      <c r="D195" t="s">
        <v>1010</v>
      </c>
      <c r="E195" t="s">
        <v>79</v>
      </c>
      <c r="F195" s="4">
        <v>20507</v>
      </c>
      <c r="G195">
        <v>69</v>
      </c>
      <c r="H195" t="s">
        <v>1011</v>
      </c>
      <c r="I195" t="s">
        <v>1012</v>
      </c>
      <c r="J195" s="4" t="s">
        <v>70</v>
      </c>
      <c r="K195" s="4" t="s">
        <v>71</v>
      </c>
      <c r="L195" t="s">
        <v>1013</v>
      </c>
      <c r="M195" t="s">
        <v>1014</v>
      </c>
      <c r="N195" t="s">
        <v>1015</v>
      </c>
      <c r="O195">
        <f>IFERROR(VLOOKUP(HEVARIM[[#This Row],[קוד תקציב]],[2]תקציבים!A:L,6,0),0)</f>
        <v>1</v>
      </c>
      <c r="P195" s="5" t="s">
        <v>104</v>
      </c>
      <c r="Q195" t="s">
        <v>11</v>
      </c>
      <c r="R195" s="4">
        <v>28490</v>
      </c>
      <c r="S195" s="4" t="s">
        <v>449</v>
      </c>
      <c r="T195" s="96" t="s">
        <v>1011</v>
      </c>
      <c r="U195" t="str">
        <f>VLOOKUP(HEVARIM[[#This Row],[גיל]],GIL,2,1)</f>
        <v>--</v>
      </c>
      <c r="V195" t="str">
        <f>IF(HEVARIM[[#This Row],[קוד מעמד]]="4     ",IF(HEVARIM[[#This Row],[גיל]]=1,1,IF(HEVARIM[[#This Row],[גיל]]&lt;=5,5,18)),"")</f>
        <v/>
      </c>
      <c r="W195">
        <f t="shared" si="8"/>
        <v>1564</v>
      </c>
      <c r="X19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95">
        <f>IF(HEVARIM[[#This Row],[מצב משפחתי2]]="אלמן",'[2]ריכוז נתונים'!$AC$2,0)</f>
        <v>4900</v>
      </c>
      <c r="Z195" s="3">
        <f>VLOOKUP(VALUE(HEVARIM[[#This Row],[קוד מעמד]]),הנחות!$I$2:$K$21,3,0)</f>
        <v>0</v>
      </c>
      <c r="AA195" t="b">
        <f>ISERROR(VLOOKUP(HEVARIM[[#This Row],[קוד תקציב]],'[2]ריכוז נתונים'!A:A,1,0))</f>
        <v>0</v>
      </c>
      <c r="AB195" s="1">
        <f t="shared" si="9"/>
        <v>0</v>
      </c>
      <c r="AC195" s="2">
        <f ca="1">IF(HEVARIM[[#This Row],[בר מצוה]]&gt;0,YEAR(TODAY())+'תקציבים מיוחדים'!$F$5-HEVARIM[[#This Row],[גיל]],0)</f>
        <v>0</v>
      </c>
      <c r="AD195" s="1">
        <f t="shared" si="10"/>
        <v>0</v>
      </c>
      <c r="AE195" s="2">
        <f ca="1">IF(HEVARIM[[#This Row],[בת מצוה]]&gt;0,YEAR(TODAY())+'תקציבים מיוחדים'!$F$5-HEVARIM[[#This Row],[גיל]],0)</f>
        <v>0</v>
      </c>
      <c r="AF195" s="1">
        <f>IF(AND($S195&gt;="רווק",$Z195=1),AF$4*IF(HEVARIM[[#This Row],[גיל]]&gt;$AF$3,1,(($G195-AF$2)/(AF$3-AF$2))),0)</f>
        <v>0</v>
      </c>
      <c r="AG19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5" s="1">
        <f t="shared" si="11"/>
        <v>0</v>
      </c>
      <c r="AI195" s="2">
        <f ca="1">IF(AH195&gt;0,YEAR(TODAY())+'תקציבים מיוחדים'!$F$7-HEVARIM[[#This Row],[גיל]],0)</f>
        <v>0</v>
      </c>
      <c r="AJ195" s="9">
        <f>IF(AND(ISERROR(VLOOKUP(H195,'[2]ריכוז נתונים'!A:L,1,0)),P195="1     "),1,0)</f>
        <v>0</v>
      </c>
      <c r="AK195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195" s="1">
        <f>IF(AND(VALUE(HEVARIM[[#This Row],[קוד מעמד]])=1,HEVARIM[[#This Row],[ותק מחברה 40]]&lt;25),HEVARIM[[#This Row],[ותק מחברה 40]]/25*הנחות!$C$4,0)</f>
        <v>0</v>
      </c>
      <c r="AM195" s="9" t="str">
        <f ca="1">IF(HEVARIM[[#This Row],[דמי עזיבה 25 שנות ותק]]&gt;0,YEAR(TODAY())+25-ROUNDDOWN(HEVARIM[[#This Row],[ותק מחברה 40]],0),"")</f>
        <v/>
      </c>
      <c r="AN1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5" s="9" t="str">
        <f ca="1">IF(HEVARIM[[#This Row],[דמי עזיבה לגיל 65]]&gt;0,YEAR(TODAY())+64-ROUNDDOWN(HEVARIM[[#This Row],[גיל]],0),"")</f>
        <v/>
      </c>
      <c r="AP195" s="1">
        <f>SUMIF(HEVARIM[קוד תקציב],HEVARIM[[#This Row],[קוד תקציב משפחה מקורי]],HEVARIM[ותק מחברה 40])</f>
        <v>48</v>
      </c>
      <c r="AQ1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195" s="9">
        <f>IF(HEVARIM[[#This Row],[קוד מעמד]]="1     ",IFERROR(VLOOKUP(HEVARIM[[#This Row],[קוד תקציב]],'תקציב צביעה - לקראת השינוי'!A:F,4,0),0),0)</f>
        <v>2027</v>
      </c>
      <c r="AT195" s="1"/>
    </row>
    <row r="196" spans="1:46">
      <c r="A196" t="s">
        <v>1022</v>
      </c>
      <c r="B196" t="s">
        <v>1023</v>
      </c>
      <c r="C196" t="s">
        <v>988</v>
      </c>
      <c r="D196" t="s">
        <v>1024</v>
      </c>
      <c r="E196" t="s">
        <v>79</v>
      </c>
      <c r="F196" s="4">
        <v>20863</v>
      </c>
      <c r="G196">
        <v>68</v>
      </c>
      <c r="H196" t="s">
        <v>1019</v>
      </c>
      <c r="I196" t="s">
        <v>1020</v>
      </c>
      <c r="J196" s="4" t="s">
        <v>70</v>
      </c>
      <c r="K196" s="4" t="s">
        <v>71</v>
      </c>
      <c r="L196" t="s">
        <v>1025</v>
      </c>
      <c r="M196" t="s">
        <v>1016</v>
      </c>
      <c r="N196" t="s">
        <v>1017</v>
      </c>
      <c r="O196">
        <f>IFERROR(VLOOKUP(HEVARIM[[#This Row],[קוד תקציב]],[2]תקציבים!A:L,6,0),0)</f>
        <v>2</v>
      </c>
      <c r="P196" s="5" t="s">
        <v>104</v>
      </c>
      <c r="Q196" t="s">
        <v>11</v>
      </c>
      <c r="R196" s="4">
        <v>29951</v>
      </c>
      <c r="S196" s="4" t="s">
        <v>74</v>
      </c>
      <c r="T196" s="96" t="s">
        <v>1019</v>
      </c>
      <c r="U196" t="str">
        <f>VLOOKUP(HEVARIM[[#This Row],[גיל]],GIL,2,1)</f>
        <v>--</v>
      </c>
      <c r="V196" t="str">
        <f>IF(HEVARIM[[#This Row],[קוד מעמד]]="4     ",IF(HEVARIM[[#This Row],[גיל]]=1,1,IF(HEVARIM[[#This Row],[גיל]]&lt;=5,5,18)),"")</f>
        <v/>
      </c>
      <c r="W196">
        <f t="shared" si="8"/>
        <v>2365</v>
      </c>
      <c r="X19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96">
        <f>IF(HEVARIM[[#This Row],[מצב משפחתי2]]="אלמן",'[2]ריכוז נתונים'!$AC$2,0)</f>
        <v>0</v>
      </c>
      <c r="Z196" s="3">
        <f>VLOOKUP(VALUE(HEVARIM[[#This Row],[קוד מעמד]]),הנחות!$I$2:$K$21,3,0)</f>
        <v>0</v>
      </c>
      <c r="AA196" t="b">
        <f>ISERROR(VLOOKUP(HEVARIM[[#This Row],[קוד תקציב]],'[2]ריכוז נתונים'!A:A,1,0))</f>
        <v>0</v>
      </c>
      <c r="AB196" s="1">
        <f t="shared" si="9"/>
        <v>0</v>
      </c>
      <c r="AC196" s="2">
        <f ca="1">IF(HEVARIM[[#This Row],[בר מצוה]]&gt;0,YEAR(TODAY())+'תקציבים מיוחדים'!$F$5-HEVARIM[[#This Row],[גיל]],0)</f>
        <v>0</v>
      </c>
      <c r="AD196" s="1">
        <f t="shared" si="10"/>
        <v>0</v>
      </c>
      <c r="AE196" s="2">
        <f ca="1">IF(HEVARIM[[#This Row],[בת מצוה]]&gt;0,YEAR(TODAY())+'תקציבים מיוחדים'!$F$5-HEVARIM[[#This Row],[גיל]],0)</f>
        <v>0</v>
      </c>
      <c r="AF196" s="1">
        <f>IF(AND($S196&gt;="רווק",$Z196=1),AF$4*IF(HEVARIM[[#This Row],[גיל]]&gt;$AF$3,1,(($G196-AF$2)/(AF$3-AF$2))),0)</f>
        <v>0</v>
      </c>
      <c r="AG19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6" s="1">
        <f t="shared" si="11"/>
        <v>0</v>
      </c>
      <c r="AI196" s="2">
        <f ca="1">IF(AH196&gt;0,YEAR(TODAY())+'תקציבים מיוחדים'!$F$7-HEVARIM[[#This Row],[גיל]],0)</f>
        <v>0</v>
      </c>
      <c r="AJ196" s="9">
        <f>IF(AND(ISERROR(VLOOKUP(H196,'[2]ריכוז נתונים'!A:L,1,0)),P196="1     "),1,0)</f>
        <v>0</v>
      </c>
      <c r="AK196" s="1">
        <f>IF(VALUE(HEVARIM[[#This Row],[קוד מעמד]])=1,VLOOKUP((IF(LEFT(HEVARIM[[#This Row],[קוד חבר]],1)="0",HEVARIM[[#This Row],[קוד חבר]],VALUE(HEVARIM[[#This Row],[קוד חבר]]))),'ותק חברה 40'!AQ:AW,7,0),"")</f>
        <v>44.16</v>
      </c>
      <c r="AL196" s="1">
        <f>IF(AND(VALUE(HEVARIM[[#This Row],[קוד מעמד]])=1,HEVARIM[[#This Row],[ותק מחברה 40]]&lt;25),HEVARIM[[#This Row],[ותק מחברה 40]]/25*הנחות!$C$4,0)</f>
        <v>0</v>
      </c>
      <c r="AM196" s="9" t="str">
        <f ca="1">IF(HEVARIM[[#This Row],[דמי עזיבה 25 שנות ותק]]&gt;0,YEAR(TODAY())+25-ROUNDDOWN(HEVARIM[[#This Row],[ותק מחברה 40]],0),"")</f>
        <v/>
      </c>
      <c r="AN1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6" s="9" t="str">
        <f ca="1">IF(HEVARIM[[#This Row],[דמי עזיבה לגיל 65]]&gt;0,YEAR(TODAY())+64-ROUNDDOWN(HEVARIM[[#This Row],[גיל]],0),"")</f>
        <v/>
      </c>
      <c r="AP196" s="1">
        <f>SUMIF(HEVARIM[קוד תקציב],HEVARIM[[#This Row],[קוד תקציב משפחה מקורי]],HEVARIM[ותק מחברה 40])</f>
        <v>92.16</v>
      </c>
      <c r="AQ1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196" s="9">
        <f>IF(HEVARIM[[#This Row],[קוד מעמד]]="1     ",IFERROR(VLOOKUP(HEVARIM[[#This Row],[קוד תקציב]],'תקציב צביעה - לקראת השינוי'!A:F,4,0),0),0)</f>
        <v>2028</v>
      </c>
      <c r="AT196" s="1"/>
    </row>
    <row r="197" spans="1:46">
      <c r="A197" t="s">
        <v>3185</v>
      </c>
      <c r="B197" t="s">
        <v>3186</v>
      </c>
      <c r="C197" t="s">
        <v>3168</v>
      </c>
      <c r="D197" t="s">
        <v>817</v>
      </c>
      <c r="E197" t="s">
        <v>79</v>
      </c>
      <c r="F197" s="4">
        <v>34176</v>
      </c>
      <c r="G197">
        <v>32</v>
      </c>
      <c r="H197" t="s">
        <v>3182</v>
      </c>
      <c r="I197" t="s">
        <v>3183</v>
      </c>
      <c r="J197" s="4" t="s">
        <v>70</v>
      </c>
      <c r="K197" s="4" t="s">
        <v>71</v>
      </c>
      <c r="L197" t="s">
        <v>3187</v>
      </c>
      <c r="M197" t="s">
        <v>3180</v>
      </c>
      <c r="N197" t="s">
        <v>3181</v>
      </c>
      <c r="O197">
        <f>IFERROR(VLOOKUP(HEVARIM[[#This Row],[קוד תקציב]],[2]תקציבים!A:L,6,0),0)</f>
        <v>2</v>
      </c>
      <c r="P197" s="5" t="s">
        <v>3054</v>
      </c>
      <c r="Q197" t="s">
        <v>21</v>
      </c>
      <c r="R197" s="4">
        <v>45901</v>
      </c>
      <c r="S197" s="4" t="s">
        <v>74</v>
      </c>
      <c r="T197" s="96" t="s">
        <v>1019</v>
      </c>
      <c r="U197" t="str">
        <f>VLOOKUP(HEVARIM[[#This Row],[גיל]],GIL,2,1)</f>
        <v>--</v>
      </c>
      <c r="V197" t="str">
        <f>IF(HEVARIM[[#This Row],[קוד מעמד]]="4     ",IF(HEVARIM[[#This Row],[גיל]]=1,1,IF(HEVARIM[[#This Row],[גיל]]&lt;=5,5,18)),"")</f>
        <v/>
      </c>
      <c r="W197">
        <f t="shared" si="8"/>
        <v>0</v>
      </c>
      <c r="X19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7">
        <f>IF(HEVARIM[[#This Row],[מצב משפחתי2]]="אלמן",'[2]ריכוז נתונים'!$AC$2,0)</f>
        <v>0</v>
      </c>
      <c r="Z197" s="3">
        <f>VLOOKUP(VALUE(HEVARIM[[#This Row],[קוד מעמד]]),הנחות!$I$2:$K$21,3,0)</f>
        <v>0</v>
      </c>
      <c r="AA197" t="b">
        <f>ISERROR(VLOOKUP(HEVARIM[[#This Row],[קוד תקציב]],'[2]ריכוז נתונים'!A:A,1,0))</f>
        <v>1</v>
      </c>
      <c r="AB197" s="1">
        <f t="shared" si="9"/>
        <v>0</v>
      </c>
      <c r="AC197" s="2">
        <f ca="1">IF(HEVARIM[[#This Row],[בר מצוה]]&gt;0,YEAR(TODAY())+'תקציבים מיוחדים'!$F$5-HEVARIM[[#This Row],[גיל]],0)</f>
        <v>0</v>
      </c>
      <c r="AD197" s="1">
        <f t="shared" si="10"/>
        <v>0</v>
      </c>
      <c r="AE197" s="2">
        <f ca="1">IF(HEVARIM[[#This Row],[בת מצוה]]&gt;0,YEAR(TODAY())+'תקציבים מיוחדים'!$F$5-HEVARIM[[#This Row],[גיל]],0)</f>
        <v>0</v>
      </c>
      <c r="AF197" s="1">
        <f>IF(AND($S197&gt;="רווק",$Z197=1),AF$4*IF(HEVARIM[[#This Row],[גיל]]&gt;$AF$3,1,(($G197-AF$2)/(AF$3-AF$2))),0)</f>
        <v>0</v>
      </c>
      <c r="AG19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7" s="1">
        <f t="shared" si="11"/>
        <v>0</v>
      </c>
      <c r="AI197" s="2">
        <f ca="1">IF(AH197&gt;0,YEAR(TODAY())+'תקציבים מיוחדים'!$F$7-HEVARIM[[#This Row],[גיל]],0)</f>
        <v>0</v>
      </c>
      <c r="AJ197" s="9">
        <f>IF(AND(ISERROR(VLOOKUP(H197,'[2]ריכוז נתונים'!A:L,1,0)),P197="1     "),1,0)</f>
        <v>0</v>
      </c>
      <c r="AK19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197" s="1">
        <f>IF(AND(VALUE(HEVARIM[[#This Row],[קוד מעמד]])=1,HEVARIM[[#This Row],[ותק מחברה 40]]&lt;25),HEVARIM[[#This Row],[ותק מחברה 40]]/25*הנחות!$C$4,0)</f>
        <v>0</v>
      </c>
      <c r="AM197" s="9" t="str">
        <f ca="1">IF(HEVARIM[[#This Row],[דמי עזיבה 25 שנות ותק]]&gt;0,YEAR(TODAY())+25-ROUNDDOWN(HEVARIM[[#This Row],[ותק מחברה 40]],0),"")</f>
        <v/>
      </c>
      <c r="AN1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7" s="9" t="str">
        <f ca="1">IF(HEVARIM[[#This Row],[דמי עזיבה לגיל 65]]&gt;0,YEAR(TODAY())+64-ROUNDDOWN(HEVARIM[[#This Row],[גיל]],0),"")</f>
        <v/>
      </c>
      <c r="AP197" s="1">
        <f>SUMIF(HEVARIM[קוד תקציב],HEVARIM[[#This Row],[קוד תקציב משפחה מקורי]],HEVARIM[ותק מחברה 40])</f>
        <v>92.16</v>
      </c>
      <c r="AQ1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197" s="9">
        <f>IF(HEVARIM[[#This Row],[קוד מעמד]]="1     ",IFERROR(VLOOKUP(HEVARIM[[#This Row],[קוד תקציב]],'תקציב צביעה - לקראת השינוי'!A:F,4,0),0),0)</f>
        <v>0</v>
      </c>
      <c r="AT197" s="1"/>
    </row>
    <row r="198" spans="1:46">
      <c r="A198" t="s">
        <v>1026</v>
      </c>
      <c r="B198" t="s">
        <v>1027</v>
      </c>
      <c r="C198" t="s">
        <v>1028</v>
      </c>
      <c r="D198" t="s">
        <v>413</v>
      </c>
      <c r="E198" t="s">
        <v>67</v>
      </c>
      <c r="F198" s="4">
        <v>19289</v>
      </c>
      <c r="G198">
        <v>73</v>
      </c>
      <c r="H198" t="s">
        <v>1029</v>
      </c>
      <c r="I198" t="s">
        <v>1030</v>
      </c>
      <c r="J198" s="4" t="s">
        <v>70</v>
      </c>
      <c r="K198" s="4" t="s">
        <v>71</v>
      </c>
      <c r="L198" t="s">
        <v>1031</v>
      </c>
      <c r="M198" t="s">
        <v>1026</v>
      </c>
      <c r="N198" t="s">
        <v>1027</v>
      </c>
      <c r="O198">
        <f>IFERROR(VLOOKUP(HEVARIM[[#This Row],[קוד תקציב]],[2]תקציבים!A:L,6,0),0)</f>
        <v>2</v>
      </c>
      <c r="P198" s="5" t="s">
        <v>104</v>
      </c>
      <c r="Q198" t="s">
        <v>11</v>
      </c>
      <c r="R198" s="4">
        <v>30452</v>
      </c>
      <c r="S198" s="4" t="s">
        <v>74</v>
      </c>
      <c r="T198" s="96" t="s">
        <v>1029</v>
      </c>
      <c r="U198" t="str">
        <f>VLOOKUP(HEVARIM[[#This Row],[גיל]],GIL,2,1)</f>
        <v>--</v>
      </c>
      <c r="V198" t="str">
        <f>IF(HEVARIM[[#This Row],[קוד מעמד]]="4     ",IF(HEVARIM[[#This Row],[גיל]]=1,1,IF(HEVARIM[[#This Row],[גיל]]&lt;=5,5,18)),"")</f>
        <v/>
      </c>
      <c r="W198">
        <f t="shared" ref="W198:W261" si="12">IF(G198&lt;67,0,
 IF(O198=1,
   IF(G198&gt;=80,1896-231,1795-231),
 IF(O198=2,
   IF(G198&gt;=80,2899-332,2697-332),
 0))
)</f>
        <v>2365</v>
      </c>
      <c r="X19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198">
        <f>IF(HEVARIM[[#This Row],[מצב משפחתי2]]="אלמן",'[2]ריכוז נתונים'!$AC$2,0)</f>
        <v>0</v>
      </c>
      <c r="Z198" s="3">
        <f>VLOOKUP(VALUE(HEVARIM[[#This Row],[קוד מעמד]]),הנחות!$I$2:$K$21,3,0)</f>
        <v>0</v>
      </c>
      <c r="AA198" t="b">
        <f>ISERROR(VLOOKUP(HEVARIM[[#This Row],[קוד תקציב]],'[2]ריכוז נתונים'!A:A,1,0))</f>
        <v>0</v>
      </c>
      <c r="AB198" s="1">
        <f t="shared" ref="AB198:AB261" si="13">IF(AND($G198&gt;=AC$2,$G198&lt;=AC$3,$E198="ז ",$Z198=1),AC$4*(($G198-AC$2)/(AC$3-AC$2)),0)</f>
        <v>0</v>
      </c>
      <c r="AC198" s="2">
        <f ca="1">IF(HEVARIM[[#This Row],[בר מצוה]]&gt;0,YEAR(TODAY())+'תקציבים מיוחדים'!$F$5-HEVARIM[[#This Row],[גיל]],0)</f>
        <v>0</v>
      </c>
      <c r="AD198" s="1">
        <f t="shared" ref="AD198:AD261" si="14">IF(AND($G198&gt;=AE$2,$G198&lt;=AE$3,$E198="נ ",$Z198=1),AE$4*(($G198-AE$2)/(AE$3-AE$2)),0)</f>
        <v>0</v>
      </c>
      <c r="AE198" s="2">
        <f ca="1">IF(HEVARIM[[#This Row],[בת מצוה]]&gt;0,YEAR(TODAY())+'תקציבים מיוחדים'!$F$5-HEVARIM[[#This Row],[גיל]],0)</f>
        <v>0</v>
      </c>
      <c r="AF198" s="1">
        <f>IF(AND($S198&gt;="רווק",$Z198=1),AF$4*IF(HEVARIM[[#This Row],[גיל]]&gt;$AF$3,1,(($G198-AF$2)/(AF$3-AF$2))),0)</f>
        <v>0</v>
      </c>
      <c r="AG19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8" s="1">
        <f t="shared" ref="AH198:AH261" si="15">IF(AND($G198&gt;=AI$2,$G198&lt;=AI$3,$Z198=1),AI$4*(($G198-AI$2)/(AI$3-AI$2)),0)</f>
        <v>0</v>
      </c>
      <c r="AI198" s="2">
        <f ca="1">IF(AH198&gt;0,YEAR(TODAY())+'תקציבים מיוחדים'!$F$7-HEVARIM[[#This Row],[גיל]],0)</f>
        <v>0</v>
      </c>
      <c r="AJ198" s="9">
        <f>IF(AND(ISERROR(VLOOKUP(H198,'[2]ריכוז נתונים'!A:L,1,0)),P198="1     "),1,0)</f>
        <v>0</v>
      </c>
      <c r="AK198" s="1">
        <f>IF(VALUE(HEVARIM[[#This Row],[קוד מעמד]])=1,VLOOKUP((IF(LEFT(HEVARIM[[#This Row],[קוד חבר]],1)="0",HEVARIM[[#This Row],[קוד חבר]],VALUE(HEVARIM[[#This Row],[קוד חבר]]))),'ותק חברה 40'!AQ:AW,7,0),"")</f>
        <v>39.47</v>
      </c>
      <c r="AL198" s="1">
        <f>IF(AND(VALUE(HEVARIM[[#This Row],[קוד מעמד]])=1,HEVARIM[[#This Row],[ותק מחברה 40]]&lt;25),HEVARIM[[#This Row],[ותק מחברה 40]]/25*הנחות!$C$4,0)</f>
        <v>0</v>
      </c>
      <c r="AM198" s="9" t="str">
        <f ca="1">IF(HEVARIM[[#This Row],[דמי עזיבה 25 שנות ותק]]&gt;0,YEAR(TODAY())+25-ROUNDDOWN(HEVARIM[[#This Row],[ותק מחברה 40]],0),"")</f>
        <v/>
      </c>
      <c r="AN19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8" s="9" t="str">
        <f ca="1">IF(HEVARIM[[#This Row],[דמי עזיבה לגיל 65]]&gt;0,YEAR(TODAY())+64-ROUNDDOWN(HEVARIM[[#This Row],[גיל]],0),"")</f>
        <v/>
      </c>
      <c r="AP198" s="1">
        <f>SUMIF(HEVARIM[קוד תקציב],HEVARIM[[#This Row],[קוד תקציב משפחה מקורי]],HEVARIM[ותק מחברה 40])</f>
        <v>81.8</v>
      </c>
      <c r="AQ1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198" s="9">
        <f>IF(HEVARIM[[#This Row],[קוד מעמד]]="1     ",IFERROR(VLOOKUP(HEVARIM[[#This Row],[קוד תקציב]],'תקציב צביעה - לקראת השינוי'!A:F,4,0),0),0)</f>
        <v>2033</v>
      </c>
      <c r="AT198" s="1"/>
    </row>
    <row r="199" spans="1:46">
      <c r="A199" t="s">
        <v>1063</v>
      </c>
      <c r="B199" t="s">
        <v>1064</v>
      </c>
      <c r="C199" t="s">
        <v>1028</v>
      </c>
      <c r="D199" t="s">
        <v>1065</v>
      </c>
      <c r="E199" t="s">
        <v>67</v>
      </c>
      <c r="F199" s="4">
        <v>30769</v>
      </c>
      <c r="G199">
        <v>41</v>
      </c>
      <c r="H199" t="s">
        <v>1066</v>
      </c>
      <c r="I199" t="s">
        <v>1067</v>
      </c>
      <c r="J199" s="4" t="s">
        <v>70</v>
      </c>
      <c r="K199" s="4" t="s">
        <v>71</v>
      </c>
      <c r="L199" t="s">
        <v>1068</v>
      </c>
      <c r="M199" t="s">
        <v>1063</v>
      </c>
      <c r="N199" t="s">
        <v>1064</v>
      </c>
      <c r="O199">
        <f>IFERROR(VLOOKUP(HEVARIM[[#This Row],[קוד תקציב]],[2]תקציבים!A:L,6,0),0)</f>
        <v>2</v>
      </c>
      <c r="P199" s="5" t="s">
        <v>104</v>
      </c>
      <c r="Q199" t="s">
        <v>11</v>
      </c>
      <c r="R199" s="4">
        <v>39226</v>
      </c>
      <c r="S199" s="4" t="s">
        <v>74</v>
      </c>
      <c r="T199" s="96" t="s">
        <v>1029</v>
      </c>
      <c r="U199" t="str">
        <f>VLOOKUP(HEVARIM[[#This Row],[גיל]],GIL,2,1)</f>
        <v>--</v>
      </c>
      <c r="V199" t="str">
        <f>IF(HEVARIM[[#This Row],[קוד מעמד]]="4     ",IF(HEVARIM[[#This Row],[גיל]]=1,1,IF(HEVARIM[[#This Row],[גיל]]&lt;=5,5,18)),"")</f>
        <v/>
      </c>
      <c r="W199">
        <f t="shared" si="12"/>
        <v>0</v>
      </c>
      <c r="X19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199">
        <f>IF(HEVARIM[[#This Row],[מצב משפחתי2]]="אלמן",'[2]ריכוז נתונים'!$AC$2,0)</f>
        <v>0</v>
      </c>
      <c r="Z199" s="3">
        <f>VLOOKUP(VALUE(HEVARIM[[#This Row],[קוד מעמד]]),הנחות!$I$2:$K$21,3,0)</f>
        <v>0</v>
      </c>
      <c r="AA199" t="b">
        <f>ISERROR(VLOOKUP(HEVARIM[[#This Row],[קוד תקציב]],'[2]ריכוז נתונים'!A:A,1,0))</f>
        <v>0</v>
      </c>
      <c r="AB199" s="1">
        <f t="shared" si="13"/>
        <v>0</v>
      </c>
      <c r="AC199" s="2">
        <f ca="1">IF(HEVARIM[[#This Row],[בר מצוה]]&gt;0,YEAR(TODAY())+'תקציבים מיוחדים'!$F$5-HEVARIM[[#This Row],[גיל]],0)</f>
        <v>0</v>
      </c>
      <c r="AD199" s="1">
        <f t="shared" si="14"/>
        <v>0</v>
      </c>
      <c r="AE199" s="2">
        <f ca="1">IF(HEVARIM[[#This Row],[בת מצוה]]&gt;0,YEAR(TODAY())+'תקציבים מיוחדים'!$F$5-HEVARIM[[#This Row],[גיל]],0)</f>
        <v>0</v>
      </c>
      <c r="AF199" s="1">
        <f>IF(AND($S199&gt;="רווק",$Z199=1),AF$4*IF(HEVARIM[[#This Row],[גיל]]&gt;$AF$3,1,(($G199-AF$2)/(AF$3-AF$2))),0)</f>
        <v>0</v>
      </c>
      <c r="AG19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199" s="1">
        <f t="shared" si="15"/>
        <v>0</v>
      </c>
      <c r="AI199" s="2">
        <f ca="1">IF(AH199&gt;0,YEAR(TODAY())+'תקציבים מיוחדים'!$F$7-HEVARIM[[#This Row],[גיל]],0)</f>
        <v>0</v>
      </c>
      <c r="AJ199" s="9">
        <f>IF(AND(ISERROR(VLOOKUP(H199,'[2]ריכוז נתונים'!A:L,1,0)),P199="1     "),1,0)</f>
        <v>0</v>
      </c>
      <c r="AK199" s="1">
        <f>IF(VALUE(HEVARIM[[#This Row],[קוד מעמד]])=1,VLOOKUP((IF(LEFT(HEVARIM[[#This Row],[קוד חבר]],1)="0",HEVARIM[[#This Row],[קוד חבר]],VALUE(HEVARIM[[#This Row],[קוד חבר]]))),'ותק חברה 40'!AQ:AW,7,0),"")</f>
        <v>19.79</v>
      </c>
      <c r="AL199" s="1">
        <f>IF(AND(VALUE(HEVARIM[[#This Row],[קוד מעמד]])=1,HEVARIM[[#This Row],[ותק מחברה 40]]&lt;25),HEVARIM[[#This Row],[ותק מחברה 40]]/25*הנחות!$C$4,0)</f>
        <v>29712.399254999997</v>
      </c>
      <c r="AM199" s="9">
        <f ca="1">IF(HEVARIM[[#This Row],[דמי עזיבה 25 שנות ותק]]&gt;0,YEAR(TODAY())+25-ROUNDDOWN(HEVARIM[[#This Row],[ותק מחברה 40]],0),"")</f>
        <v>2032</v>
      </c>
      <c r="AN19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199" s="9" t="str">
        <f ca="1">IF(HEVARIM[[#This Row],[דמי עזיבה לגיל 65]]&gt;0,YEAR(TODAY())+64-ROUNDDOWN(HEVARIM[[#This Row],[גיל]],0),"")</f>
        <v/>
      </c>
      <c r="AP199" s="1">
        <f>SUMIF(HEVARIM[קוד תקציב],HEVARIM[[#This Row],[קוד תקציב משפחה מקורי]],HEVARIM[ותק מחברה 40])</f>
        <v>81.8</v>
      </c>
      <c r="AQ1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1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199" s="9">
        <f>IF(HEVARIM[[#This Row],[קוד מעמד]]="1     ",IFERROR(VLOOKUP(HEVARIM[[#This Row],[קוד תקציב]],'תקציב צביעה - לקראת השינוי'!A:F,4,0),0),0)</f>
        <v>2034</v>
      </c>
      <c r="AT199" s="1"/>
    </row>
    <row r="200" spans="1:46">
      <c r="A200" t="s">
        <v>1089</v>
      </c>
      <c r="B200" t="s">
        <v>1090</v>
      </c>
      <c r="C200" t="s">
        <v>1028</v>
      </c>
      <c r="D200" t="s">
        <v>1091</v>
      </c>
      <c r="E200" t="s">
        <v>67</v>
      </c>
      <c r="F200" s="4">
        <v>34014</v>
      </c>
      <c r="G200">
        <v>32</v>
      </c>
      <c r="H200" t="s">
        <v>1092</v>
      </c>
      <c r="I200" t="s">
        <v>1093</v>
      </c>
      <c r="J200" s="4" t="s">
        <v>70</v>
      </c>
      <c r="K200" s="4" t="s">
        <v>81</v>
      </c>
      <c r="L200" t="s">
        <v>1094</v>
      </c>
      <c r="M200" t="s">
        <v>1089</v>
      </c>
      <c r="N200" t="s">
        <v>1090</v>
      </c>
      <c r="O200">
        <f>IFERROR(VLOOKUP(HEVARIM[[#This Row],[קוד תקציב]],[2]תקציבים!A:L,6,0),0)</f>
        <v>0</v>
      </c>
      <c r="P200" s="5" t="s">
        <v>1095</v>
      </c>
      <c r="Q200" t="s">
        <v>12</v>
      </c>
      <c r="R200" s="4">
        <v>45676</v>
      </c>
      <c r="S200" s="4" t="s">
        <v>74</v>
      </c>
      <c r="T200" s="96" t="s">
        <v>1029</v>
      </c>
      <c r="U200" t="str">
        <f>VLOOKUP(HEVARIM[[#This Row],[גיל]],GIL,2,1)</f>
        <v>--</v>
      </c>
      <c r="V200" t="str">
        <f>IF(HEVARIM[[#This Row],[קוד מעמד]]="4     ",IF(HEVARIM[[#This Row],[גיל]]=1,1,IF(HEVARIM[[#This Row],[גיל]]&lt;=5,5,18)),"")</f>
        <v/>
      </c>
      <c r="W200">
        <f t="shared" si="12"/>
        <v>0</v>
      </c>
      <c r="X20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0">
        <f>IF(HEVARIM[[#This Row],[מצב משפחתי2]]="אלמן",'[2]ריכוז נתונים'!$AC$2,0)</f>
        <v>0</v>
      </c>
      <c r="Z200" s="3">
        <f>VLOOKUP(VALUE(HEVARIM[[#This Row],[קוד מעמד]]),הנחות!$I$2:$K$21,3,0)</f>
        <v>0</v>
      </c>
      <c r="AA200" t="b">
        <f>ISERROR(VLOOKUP(HEVARIM[[#This Row],[קוד תקציב]],'[2]ריכוז נתונים'!A:A,1,0))</f>
        <v>1</v>
      </c>
      <c r="AB200" s="1">
        <f t="shared" si="13"/>
        <v>0</v>
      </c>
      <c r="AC200" s="2">
        <f ca="1">IF(HEVARIM[[#This Row],[בר מצוה]]&gt;0,YEAR(TODAY())+'תקציבים מיוחדים'!$F$5-HEVARIM[[#This Row],[גיל]],0)</f>
        <v>0</v>
      </c>
      <c r="AD200" s="1">
        <f t="shared" si="14"/>
        <v>0</v>
      </c>
      <c r="AE200" s="2">
        <f ca="1">IF(HEVARIM[[#This Row],[בת מצוה]]&gt;0,YEAR(TODAY())+'תקציבים מיוחדים'!$F$5-HEVARIM[[#This Row],[גיל]],0)</f>
        <v>0</v>
      </c>
      <c r="AF200" s="1">
        <f>IF(AND($S200&gt;="רווק",$Z200=1),AF$4*IF(HEVARIM[[#This Row],[גיל]]&gt;$AF$3,1,(($G200-AF$2)/(AF$3-AF$2))),0)</f>
        <v>0</v>
      </c>
      <c r="AG20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00" s="1">
        <f t="shared" si="15"/>
        <v>0</v>
      </c>
      <c r="AI200" s="2">
        <f ca="1">IF(AH200&gt;0,YEAR(TODAY())+'תקציבים מיוחדים'!$F$7-HEVARIM[[#This Row],[גיל]],0)</f>
        <v>0</v>
      </c>
      <c r="AJ200" s="9">
        <f>IF(AND(ISERROR(VLOOKUP(H200,'[2]ריכוז נתונים'!A:L,1,0)),P200="1     "),1,0)</f>
        <v>0</v>
      </c>
      <c r="AK20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00" s="1">
        <f>IF(AND(VALUE(HEVARIM[[#This Row],[קוד מעמד]])=1,HEVARIM[[#This Row],[ותק מחברה 40]]&lt;25),HEVARIM[[#This Row],[ותק מחברה 40]]/25*הנחות!$C$4,0)</f>
        <v>0</v>
      </c>
      <c r="AM200" s="9" t="str">
        <f ca="1">IF(HEVARIM[[#This Row],[דמי עזיבה 25 שנות ותק]]&gt;0,YEAR(TODAY())+25-ROUNDDOWN(HEVARIM[[#This Row],[ותק מחברה 40]],0),"")</f>
        <v/>
      </c>
      <c r="AN2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0" s="9" t="str">
        <f ca="1">IF(HEVARIM[[#This Row],[דמי עזיבה לגיל 65]]&gt;0,YEAR(TODAY())+64-ROUNDDOWN(HEVARIM[[#This Row],[גיל]],0),"")</f>
        <v/>
      </c>
      <c r="AP200" s="1">
        <f>SUMIF(HEVARIM[קוד תקציב],HEVARIM[[#This Row],[קוד תקציב משפחה מקורי]],HEVARIM[ותק מחברה 40])</f>
        <v>81.8</v>
      </c>
      <c r="AQ2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00" s="9">
        <f>IF(HEVARIM[[#This Row],[קוד מעמד]]="1     ",IFERROR(VLOOKUP(HEVARIM[[#This Row],[קוד תקציב]],'תקציב צביעה - לקראת השינוי'!A:F,4,0),0),0)</f>
        <v>0</v>
      </c>
      <c r="AT200" s="1"/>
    </row>
    <row r="201" spans="1:46">
      <c r="A201" t="s">
        <v>1207</v>
      </c>
      <c r="B201" t="s">
        <v>1208</v>
      </c>
      <c r="C201" t="s">
        <v>1203</v>
      </c>
      <c r="D201" t="s">
        <v>1209</v>
      </c>
      <c r="E201" t="s">
        <v>79</v>
      </c>
      <c r="F201" s="4">
        <v>30253</v>
      </c>
      <c r="G201">
        <v>43</v>
      </c>
      <c r="H201" t="s">
        <v>1204</v>
      </c>
      <c r="I201" t="s">
        <v>1205</v>
      </c>
      <c r="J201" s="4" t="s">
        <v>70</v>
      </c>
      <c r="K201" s="4" t="s">
        <v>71</v>
      </c>
      <c r="L201" t="s">
        <v>1210</v>
      </c>
      <c r="M201" t="s">
        <v>1201</v>
      </c>
      <c r="N201" t="s">
        <v>1202</v>
      </c>
      <c r="O201">
        <f>IFERROR(VLOOKUP(HEVARIM[[#This Row],[קוד תקציב]],[2]תקציבים!A:L,6,0),0)</f>
        <v>2</v>
      </c>
      <c r="P201" s="5" t="s">
        <v>104</v>
      </c>
      <c r="Q201" t="s">
        <v>11</v>
      </c>
      <c r="R201" s="4">
        <v>39295</v>
      </c>
      <c r="S201" s="4" t="s">
        <v>74</v>
      </c>
      <c r="T201" s="96" t="s">
        <v>1029</v>
      </c>
      <c r="U201" t="str">
        <f>VLOOKUP(HEVARIM[[#This Row],[גיל]],GIL,2,1)</f>
        <v>--</v>
      </c>
      <c r="V201" t="str">
        <f>IF(HEVARIM[[#This Row],[קוד מעמד]]="4     ",IF(HEVARIM[[#This Row],[גיל]]=1,1,IF(HEVARIM[[#This Row],[גיל]]&lt;=5,5,18)),"")</f>
        <v/>
      </c>
      <c r="W201">
        <f t="shared" si="12"/>
        <v>0</v>
      </c>
      <c r="X2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1">
        <f>IF(HEVARIM[[#This Row],[מצב משפחתי2]]="אלמן",'[2]ריכוז נתונים'!$AC$2,0)</f>
        <v>0</v>
      </c>
      <c r="Z201" s="3">
        <f>VLOOKUP(VALUE(HEVARIM[[#This Row],[קוד מעמד]]),הנחות!$I$2:$K$21,3,0)</f>
        <v>0</v>
      </c>
      <c r="AA201" t="b">
        <f>ISERROR(VLOOKUP(HEVARIM[[#This Row],[קוד תקציב]],'[2]ריכוז נתונים'!A:A,1,0))</f>
        <v>0</v>
      </c>
      <c r="AB201" s="1">
        <f t="shared" si="13"/>
        <v>0</v>
      </c>
      <c r="AC201" s="2">
        <f ca="1">IF(HEVARIM[[#This Row],[בר מצוה]]&gt;0,YEAR(TODAY())+'תקציבים מיוחדים'!$F$5-HEVARIM[[#This Row],[גיל]],0)</f>
        <v>0</v>
      </c>
      <c r="AD201" s="1">
        <f t="shared" si="14"/>
        <v>0</v>
      </c>
      <c r="AE201" s="2">
        <f ca="1">IF(HEVARIM[[#This Row],[בת מצוה]]&gt;0,YEAR(TODAY())+'תקציבים מיוחדים'!$F$5-HEVARIM[[#This Row],[גיל]],0)</f>
        <v>0</v>
      </c>
      <c r="AF201" s="1">
        <f>IF(AND($S201&gt;="רווק",$Z201=1),AF$4*IF(HEVARIM[[#This Row],[גיל]]&gt;$AF$3,1,(($G201-AF$2)/(AF$3-AF$2))),0)</f>
        <v>0</v>
      </c>
      <c r="AG20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01" s="1">
        <f t="shared" si="15"/>
        <v>0</v>
      </c>
      <c r="AI201" s="2">
        <f ca="1">IF(AH201&gt;0,YEAR(TODAY())+'תקציבים מיוחדים'!$F$7-HEVARIM[[#This Row],[גיל]],0)</f>
        <v>0</v>
      </c>
      <c r="AJ201" s="9">
        <f>IF(AND(ISERROR(VLOOKUP(H201,'[2]ריכוז נתונים'!A:L,1,0)),P201="1     "),1,0)</f>
        <v>0</v>
      </c>
      <c r="AK201" s="1">
        <f>IF(VALUE(HEVARIM[[#This Row],[קוד מעמד]])=1,VLOOKUP((IF(LEFT(HEVARIM[[#This Row],[קוד חבר]],1)="0",HEVARIM[[#This Row],[קוד חבר]],VALUE(HEVARIM[[#This Row],[קוד חבר]]))),'ותק חברה 40'!AQ:AW,7,0),"")</f>
        <v>20.059999999999999</v>
      </c>
      <c r="AL201" s="1">
        <f>IF(AND(VALUE(HEVARIM[[#This Row],[קוד מעמד]])=1,HEVARIM[[#This Row],[ותק מחברה 40]]&lt;25),HEVARIM[[#This Row],[ותק מחברה 40]]/25*הנחות!$C$4,0)</f>
        <v>30117.773069999996</v>
      </c>
      <c r="AM201" s="9">
        <f ca="1">IF(HEVARIM[[#This Row],[דמי עזיבה 25 שנות ותק]]&gt;0,YEAR(TODAY())+25-ROUNDDOWN(HEVARIM[[#This Row],[ותק מחברה 40]],0),"")</f>
        <v>2031</v>
      </c>
      <c r="AN20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1" s="9" t="str">
        <f ca="1">IF(HEVARIM[[#This Row],[דמי עזיבה לגיל 65]]&gt;0,YEAR(TODAY())+64-ROUNDDOWN(HEVARIM[[#This Row],[גיל]],0),"")</f>
        <v/>
      </c>
      <c r="AP201" s="1">
        <f>SUMIF(HEVARIM[קוד תקציב],HEVARIM[[#This Row],[קוד תקציב משפחה מקורי]],HEVARIM[ותק מחברה 40])</f>
        <v>81.8</v>
      </c>
      <c r="AQ2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201" s="9">
        <f>IF(HEVARIM[[#This Row],[קוד מעמד]]="1     ",IFERROR(VLOOKUP(HEVARIM[[#This Row],[קוד תקציב]],'תקציב צביעה - לקראת השינוי'!A:F,4,0),0),0)</f>
        <v>2032</v>
      </c>
      <c r="AT201" s="1"/>
    </row>
    <row r="202" spans="1:46">
      <c r="A202" t="s">
        <v>1104</v>
      </c>
      <c r="B202" t="s">
        <v>1105</v>
      </c>
      <c r="C202" t="s">
        <v>1043</v>
      </c>
      <c r="D202" t="s">
        <v>1106</v>
      </c>
      <c r="E202" t="s">
        <v>67</v>
      </c>
      <c r="F202" s="4">
        <v>38294</v>
      </c>
      <c r="G202">
        <v>21</v>
      </c>
      <c r="H202" t="s">
        <v>1044</v>
      </c>
      <c r="I202" t="s">
        <v>1045</v>
      </c>
      <c r="J202" s="4" t="s">
        <v>70</v>
      </c>
      <c r="K202" s="4" t="s">
        <v>71</v>
      </c>
      <c r="L202" t="s">
        <v>1107</v>
      </c>
      <c r="M202" t="s">
        <v>1041</v>
      </c>
      <c r="N202" t="s">
        <v>1042</v>
      </c>
      <c r="O202">
        <f>IFERROR(VLOOKUP(HEVARIM[[#This Row],[קוד תקציב]],[2]תקציבים!A:L,6,0),0)</f>
        <v>2</v>
      </c>
      <c r="P202" s="5" t="s">
        <v>545</v>
      </c>
      <c r="Q202" t="s">
        <v>13</v>
      </c>
      <c r="R202" s="4">
        <v>45008</v>
      </c>
      <c r="S202" s="4" t="s">
        <v>90</v>
      </c>
      <c r="T202" s="96" t="s">
        <v>1044</v>
      </c>
      <c r="U202" t="str">
        <f>VLOOKUP(HEVARIM[[#This Row],[גיל]],GIL,2,1)</f>
        <v>--</v>
      </c>
      <c r="V202" t="str">
        <f>IF(HEVARIM[[#This Row],[קוד מעמד]]="4     ",IF(HEVARIM[[#This Row],[גיל]]=1,1,IF(HEVARIM[[#This Row],[גיל]]&lt;=5,5,18)),"")</f>
        <v/>
      </c>
      <c r="W202">
        <f t="shared" si="12"/>
        <v>0</v>
      </c>
      <c r="X20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2">
        <f>IF(HEVARIM[[#This Row],[מצב משפחתי2]]="אלמן",'[2]ריכוז נתונים'!$AC$2,0)</f>
        <v>0</v>
      </c>
      <c r="Z202" s="3">
        <f>VLOOKUP(VALUE(HEVARIM[[#This Row],[קוד מעמד]]),הנחות!$I$2:$K$21,3,0)</f>
        <v>1</v>
      </c>
      <c r="AA202" t="b">
        <f>ISERROR(VLOOKUP(HEVARIM[[#This Row],[קוד תקציב]],'[2]ריכוז נתונים'!A:A,1,0))</f>
        <v>0</v>
      </c>
      <c r="AB202" s="1">
        <f t="shared" si="13"/>
        <v>0</v>
      </c>
      <c r="AC202" s="2">
        <f ca="1">IF(HEVARIM[[#This Row],[בר מצוה]]&gt;0,YEAR(TODAY())+'תקציבים מיוחדים'!$F$5-HEVARIM[[#This Row],[גיל]],0)</f>
        <v>0</v>
      </c>
      <c r="AD202" s="1">
        <f t="shared" si="14"/>
        <v>0</v>
      </c>
      <c r="AE202" s="2">
        <f ca="1">IF(HEVARIM[[#This Row],[בת מצוה]]&gt;0,YEAR(TODAY())+'תקציבים מיוחדים'!$F$5-HEVARIM[[#This Row],[גיל]],0)</f>
        <v>0</v>
      </c>
      <c r="AF202" s="1">
        <f>IF(AND($S202&gt;="רווק",$Z202=1),AF$4*IF(HEVARIM[[#This Row],[גיל]]&gt;$AF$3,1,(($G202-AF$2)/(AF$3-AF$2))),0)</f>
        <v>60512.5</v>
      </c>
      <c r="AG202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202" s="1">
        <f t="shared" si="15"/>
        <v>105588.5</v>
      </c>
      <c r="AI202" s="2">
        <f ca="1">IF(AH202&gt;0,YEAR(TODAY())+'תקציבים מיוחדים'!$F$7-HEVARIM[[#This Row],[גיל]],0)</f>
        <v>2026</v>
      </c>
      <c r="AJ202" s="9">
        <f>IF(AND(ISERROR(VLOOKUP(H202,'[2]ריכוז נתונים'!A:L,1,0)),P202="1     "),1,0)</f>
        <v>0</v>
      </c>
      <c r="AK20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02" s="1">
        <f>IF(AND(VALUE(HEVARIM[[#This Row],[קוד מעמד]])=1,HEVARIM[[#This Row],[ותק מחברה 40]]&lt;25),HEVARIM[[#This Row],[ותק מחברה 40]]/25*הנחות!$C$4,0)</f>
        <v>0</v>
      </c>
      <c r="AM202" s="9" t="str">
        <f ca="1">IF(HEVARIM[[#This Row],[דמי עזיבה 25 שנות ותק]]&gt;0,YEAR(TODAY())+25-ROUNDDOWN(HEVARIM[[#This Row],[ותק מחברה 40]],0),"")</f>
        <v/>
      </c>
      <c r="AN2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2" s="9" t="str">
        <f ca="1">IF(HEVARIM[[#This Row],[דמי עזיבה לגיל 65]]&gt;0,YEAR(TODAY())+64-ROUNDDOWN(HEVARIM[[#This Row],[גיל]],0),"")</f>
        <v/>
      </c>
      <c r="AP202" s="1">
        <f>SUMIF(HEVARIM[קוד תקציב],HEVARIM[[#This Row],[קוד תקציב משפחה מקורי]],HEVARIM[ותק מחברה 40])</f>
        <v>35.64</v>
      </c>
      <c r="AQ2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02" s="9">
        <f>IF(HEVARIM[[#This Row],[קוד מעמד]]="1     ",IFERROR(VLOOKUP(HEVARIM[[#This Row],[קוד תקציב]],'תקציב צביעה - לקראת השינוי'!A:F,4,0),0),0)</f>
        <v>0</v>
      </c>
      <c r="AT202" s="1"/>
    </row>
    <row r="203" spans="1:46">
      <c r="A203" t="s">
        <v>1041</v>
      </c>
      <c r="B203" t="s">
        <v>1042</v>
      </c>
      <c r="C203" t="s">
        <v>1043</v>
      </c>
      <c r="D203" t="s">
        <v>142</v>
      </c>
      <c r="E203" t="s">
        <v>67</v>
      </c>
      <c r="F203" s="4">
        <v>28322</v>
      </c>
      <c r="G203">
        <v>48</v>
      </c>
      <c r="H203" t="s">
        <v>1044</v>
      </c>
      <c r="I203" t="s">
        <v>1045</v>
      </c>
      <c r="J203" s="4" t="s">
        <v>70</v>
      </c>
      <c r="K203" s="4" t="s">
        <v>71</v>
      </c>
      <c r="L203" t="s">
        <v>1046</v>
      </c>
      <c r="M203" t="s">
        <v>1041</v>
      </c>
      <c r="N203" t="s">
        <v>1042</v>
      </c>
      <c r="O203">
        <f>IFERROR(VLOOKUP(HEVARIM[[#This Row],[קוד תקציב]],[2]תקציבים!A:L,6,0),0)</f>
        <v>2</v>
      </c>
      <c r="P203" s="5" t="s">
        <v>104</v>
      </c>
      <c r="Q203" t="s">
        <v>11</v>
      </c>
      <c r="R203" s="4">
        <v>40130</v>
      </c>
      <c r="S203" s="4" t="s">
        <v>74</v>
      </c>
      <c r="T203" s="96" t="s">
        <v>1044</v>
      </c>
      <c r="U203" t="str">
        <f>VLOOKUP(HEVARIM[[#This Row],[גיל]],GIL,2,1)</f>
        <v>--</v>
      </c>
      <c r="V203" t="str">
        <f>IF(HEVARIM[[#This Row],[קוד מעמד]]="4     ",IF(HEVARIM[[#This Row],[גיל]]=1,1,IF(HEVARIM[[#This Row],[גיל]]&lt;=5,5,18)),"")</f>
        <v/>
      </c>
      <c r="W203">
        <f t="shared" si="12"/>
        <v>0</v>
      </c>
      <c r="X20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3">
        <f>IF(HEVARIM[[#This Row],[מצב משפחתי2]]="אלמן",'[2]ריכוז נתונים'!$AC$2,0)</f>
        <v>0</v>
      </c>
      <c r="Z203" s="3">
        <f>VLOOKUP(VALUE(HEVARIM[[#This Row],[קוד מעמד]]),הנחות!$I$2:$K$21,3,0)</f>
        <v>0</v>
      </c>
      <c r="AA203" t="b">
        <f>ISERROR(VLOOKUP(HEVARIM[[#This Row],[קוד תקציב]],'[2]ריכוז נתונים'!A:A,1,0))</f>
        <v>0</v>
      </c>
      <c r="AB203" s="1">
        <f t="shared" si="13"/>
        <v>0</v>
      </c>
      <c r="AC203" s="2">
        <f ca="1">IF(HEVARIM[[#This Row],[בר מצוה]]&gt;0,YEAR(TODAY())+'תקציבים מיוחדים'!$F$5-HEVARIM[[#This Row],[גיל]],0)</f>
        <v>0</v>
      </c>
      <c r="AD203" s="1">
        <f t="shared" si="14"/>
        <v>0</v>
      </c>
      <c r="AE203" s="2">
        <f ca="1">IF(HEVARIM[[#This Row],[בת מצוה]]&gt;0,YEAR(TODAY())+'תקציבים מיוחדים'!$F$5-HEVARIM[[#This Row],[גיל]],0)</f>
        <v>0</v>
      </c>
      <c r="AF203" s="1">
        <f>IF(AND($S203&gt;="רווק",$Z203=1),AF$4*IF(HEVARIM[[#This Row],[גיל]]&gt;$AF$3,1,(($G203-AF$2)/(AF$3-AF$2))),0)</f>
        <v>0</v>
      </c>
      <c r="AG20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03" s="1">
        <f t="shared" si="15"/>
        <v>0</v>
      </c>
      <c r="AI203" s="2">
        <f ca="1">IF(AH203&gt;0,YEAR(TODAY())+'תקציבים מיוחדים'!$F$7-HEVARIM[[#This Row],[גיל]],0)</f>
        <v>0</v>
      </c>
      <c r="AJ203" s="9">
        <f>IF(AND(ISERROR(VLOOKUP(H203,'[2]ריכוז נתונים'!A:L,1,0)),P203="1     "),1,0)</f>
        <v>0</v>
      </c>
      <c r="AK203" s="1">
        <f>IF(VALUE(HEVARIM[[#This Row],[קוד מעמד]])=1,VLOOKUP((IF(LEFT(HEVARIM[[#This Row],[קוד חבר]],1)="0",HEVARIM[[#This Row],[קוד חבר]],VALUE(HEVARIM[[#This Row],[קוד חבר]]))),'ותק חברה 40'!AQ:AW,7,0),"")</f>
        <v>17.82</v>
      </c>
      <c r="AL203" s="1">
        <f>IF(AND(VALUE(HEVARIM[[#This Row],[קוד מעמד]])=1,HEVARIM[[#This Row],[ותק מחברה 40]]&lt;25),HEVARIM[[#This Row],[ותק מחברה 40]]/25*הנחות!$C$4,0)</f>
        <v>26754.671789999997</v>
      </c>
      <c r="AM203" s="9">
        <f ca="1">IF(HEVARIM[[#This Row],[דמי עזיבה 25 שנות ותק]]&gt;0,YEAR(TODAY())+25-ROUNDDOWN(HEVARIM[[#This Row],[ותק מחברה 40]],0),"")</f>
        <v>2034</v>
      </c>
      <c r="AN2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3" s="9" t="str">
        <f ca="1">IF(HEVARIM[[#This Row],[דמי עזיבה לגיל 65]]&gt;0,YEAR(TODAY())+64-ROUNDDOWN(HEVARIM[[#This Row],[גיל]],0),"")</f>
        <v/>
      </c>
      <c r="AP203" s="1">
        <f>SUMIF(HEVARIM[קוד תקציב],HEVARIM[[#This Row],[קוד תקציב משפחה מקורי]],HEVARIM[ותק מחברה 40])</f>
        <v>35.64</v>
      </c>
      <c r="AQ2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203" s="9">
        <f>IF(HEVARIM[[#This Row],[קוד מעמד]]="1     ",IFERROR(VLOOKUP(HEVARIM[[#This Row],[קוד תקציב]],'תקציב צביעה - לקראת השינוי'!A:F,4,0),0),0)</f>
        <v>2027</v>
      </c>
      <c r="AT203" s="1"/>
    </row>
    <row r="204" spans="1:46">
      <c r="A204" t="s">
        <v>1047</v>
      </c>
      <c r="B204" t="s">
        <v>1048</v>
      </c>
      <c r="C204" t="s">
        <v>1043</v>
      </c>
      <c r="D204" t="s">
        <v>1049</v>
      </c>
      <c r="E204" t="s">
        <v>79</v>
      </c>
      <c r="F204" s="4">
        <v>28360</v>
      </c>
      <c r="G204">
        <v>48</v>
      </c>
      <c r="H204" t="s">
        <v>1044</v>
      </c>
      <c r="I204" t="s">
        <v>1045</v>
      </c>
      <c r="J204" s="4" t="s">
        <v>70</v>
      </c>
      <c r="K204" s="4" t="s">
        <v>71</v>
      </c>
      <c r="L204" t="s">
        <v>1050</v>
      </c>
      <c r="M204" t="s">
        <v>1041</v>
      </c>
      <c r="N204" t="s">
        <v>1042</v>
      </c>
      <c r="O204">
        <f>IFERROR(VLOOKUP(HEVARIM[[#This Row],[קוד תקציב]],[2]תקציבים!A:L,6,0),0)</f>
        <v>2</v>
      </c>
      <c r="P204" s="5" t="s">
        <v>104</v>
      </c>
      <c r="Q204" t="s">
        <v>11</v>
      </c>
      <c r="R204" s="4">
        <v>40130</v>
      </c>
      <c r="S204" s="4" t="s">
        <v>74</v>
      </c>
      <c r="T204" s="96" t="s">
        <v>1044</v>
      </c>
      <c r="U204" t="str">
        <f>VLOOKUP(HEVARIM[[#This Row],[גיל]],GIL,2,1)</f>
        <v>--</v>
      </c>
      <c r="V204" t="str">
        <f>IF(HEVARIM[[#This Row],[קוד מעמד]]="4     ",IF(HEVARIM[[#This Row],[גיל]]=1,1,IF(HEVARIM[[#This Row],[גיל]]&lt;=5,5,18)),"")</f>
        <v/>
      </c>
      <c r="W204">
        <f t="shared" si="12"/>
        <v>0</v>
      </c>
      <c r="X20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4">
        <f>IF(HEVARIM[[#This Row],[מצב משפחתי2]]="אלמן",'[2]ריכוז נתונים'!$AC$2,0)</f>
        <v>0</v>
      </c>
      <c r="Z204" s="3">
        <f>VLOOKUP(VALUE(HEVARIM[[#This Row],[קוד מעמד]]),הנחות!$I$2:$K$21,3,0)</f>
        <v>0</v>
      </c>
      <c r="AA204" t="b">
        <f>ISERROR(VLOOKUP(HEVARIM[[#This Row],[קוד תקציב]],'[2]ריכוז נתונים'!A:A,1,0))</f>
        <v>0</v>
      </c>
      <c r="AB204" s="1">
        <f t="shared" si="13"/>
        <v>0</v>
      </c>
      <c r="AC204" s="2">
        <f ca="1">IF(HEVARIM[[#This Row],[בר מצוה]]&gt;0,YEAR(TODAY())+'תקציבים מיוחדים'!$F$5-HEVARIM[[#This Row],[גיל]],0)</f>
        <v>0</v>
      </c>
      <c r="AD204" s="1">
        <f t="shared" si="14"/>
        <v>0</v>
      </c>
      <c r="AE204" s="2">
        <f ca="1">IF(HEVARIM[[#This Row],[בת מצוה]]&gt;0,YEAR(TODAY())+'תקציבים מיוחדים'!$F$5-HEVARIM[[#This Row],[גיל]],0)</f>
        <v>0</v>
      </c>
      <c r="AF204" s="1">
        <f>IF(AND($S204&gt;="רווק",$Z204=1),AF$4*IF(HEVARIM[[#This Row],[גיל]]&gt;$AF$3,1,(($G204-AF$2)/(AF$3-AF$2))),0)</f>
        <v>0</v>
      </c>
      <c r="AG20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04" s="1">
        <f t="shared" si="15"/>
        <v>0</v>
      </c>
      <c r="AI204" s="2">
        <f ca="1">IF(AH204&gt;0,YEAR(TODAY())+'תקציבים מיוחדים'!$F$7-HEVARIM[[#This Row],[גיל]],0)</f>
        <v>0</v>
      </c>
      <c r="AJ204" s="9">
        <f>IF(AND(ISERROR(VLOOKUP(H204,'[2]ריכוז נתונים'!A:L,1,0)),P204="1     "),1,0)</f>
        <v>0</v>
      </c>
      <c r="AK204" s="1">
        <f>IF(VALUE(HEVARIM[[#This Row],[קוד מעמד]])=1,VLOOKUP((IF(LEFT(HEVARIM[[#This Row],[קוד חבר]],1)="0",HEVARIM[[#This Row],[קוד חבר]],VALUE(HEVARIM[[#This Row],[קוד חבר]]))),'ותק חברה 40'!AQ:AW,7,0),"")</f>
        <v>17.82</v>
      </c>
      <c r="AL204" s="1">
        <f>IF(AND(VALUE(HEVARIM[[#This Row],[קוד מעמד]])=1,HEVARIM[[#This Row],[ותק מחברה 40]]&lt;25),HEVARIM[[#This Row],[ותק מחברה 40]]/25*הנחות!$C$4,0)</f>
        <v>26754.671789999997</v>
      </c>
      <c r="AM204" s="9">
        <f ca="1">IF(HEVARIM[[#This Row],[דמי עזיבה 25 שנות ותק]]&gt;0,YEAR(TODAY())+25-ROUNDDOWN(HEVARIM[[#This Row],[ותק מחברה 40]],0),"")</f>
        <v>2034</v>
      </c>
      <c r="AN2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4" s="9" t="str">
        <f ca="1">IF(HEVARIM[[#This Row],[דמי עזיבה לגיל 65]]&gt;0,YEAR(TODAY())+64-ROUNDDOWN(HEVARIM[[#This Row],[גיל]],0),"")</f>
        <v/>
      </c>
      <c r="AP204" s="1">
        <f>SUMIF(HEVARIM[קוד תקציב],HEVARIM[[#This Row],[קוד תקציב משפחה מקורי]],HEVARIM[ותק מחברה 40])</f>
        <v>35.64</v>
      </c>
      <c r="AQ2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204" s="9">
        <f>IF(HEVARIM[[#This Row],[קוד מעמד]]="1     ",IFERROR(VLOOKUP(HEVARIM[[#This Row],[קוד תקציב]],'תקציב צביעה - לקראת השינוי'!A:F,4,0),0),0)</f>
        <v>2027</v>
      </c>
      <c r="AT204" s="1"/>
    </row>
    <row r="205" spans="1:46">
      <c r="A205" t="s">
        <v>1051</v>
      </c>
      <c r="B205" t="s">
        <v>1052</v>
      </c>
      <c r="C205" t="s">
        <v>1043</v>
      </c>
      <c r="D205" t="s">
        <v>1053</v>
      </c>
      <c r="E205" t="s">
        <v>79</v>
      </c>
      <c r="F205" s="4">
        <v>39477</v>
      </c>
      <c r="G205">
        <v>17</v>
      </c>
      <c r="H205" t="s">
        <v>1044</v>
      </c>
      <c r="I205" t="s">
        <v>1045</v>
      </c>
      <c r="J205" s="4" t="s">
        <v>70</v>
      </c>
      <c r="K205" s="4" t="s">
        <v>71</v>
      </c>
      <c r="L205" t="s">
        <v>1054</v>
      </c>
      <c r="M205" t="s">
        <v>1041</v>
      </c>
      <c r="N205" t="s">
        <v>1042</v>
      </c>
      <c r="O205">
        <f>IFERROR(VLOOKUP(HEVARIM[[#This Row],[קוד תקציב]],[2]תקציבים!A:L,6,0),0)</f>
        <v>2</v>
      </c>
      <c r="P205" s="5" t="s">
        <v>227</v>
      </c>
      <c r="Q205" t="s">
        <v>14</v>
      </c>
      <c r="R205" s="4">
        <v>39477</v>
      </c>
      <c r="S205" s="4" t="s">
        <v>90</v>
      </c>
      <c r="T205" s="96" t="s">
        <v>1044</v>
      </c>
      <c r="U205" t="str">
        <f>VLOOKUP(HEVARIM[[#This Row],[גיל]],GIL,2,1)</f>
        <v>תיכון</v>
      </c>
      <c r="V205">
        <f>IF(HEVARIM[[#This Row],[קוד מעמד]]="4     ",IF(HEVARIM[[#This Row],[גיל]]=1,1,IF(HEVARIM[[#This Row],[גיל]]&lt;=5,5,18)),"")</f>
        <v>18</v>
      </c>
      <c r="W205">
        <f t="shared" si="12"/>
        <v>0</v>
      </c>
      <c r="X2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5">
        <f>IF(HEVARIM[[#This Row],[מצב משפחתי2]]="אלמן",'[2]ריכוז נתונים'!$AC$2,0)</f>
        <v>0</v>
      </c>
      <c r="Z205" s="3">
        <f>VLOOKUP(VALUE(HEVARIM[[#This Row],[קוד מעמד]]),הנחות!$I$2:$K$21,3,0)</f>
        <v>1</v>
      </c>
      <c r="AA205" t="b">
        <f>ISERROR(VLOOKUP(HEVARIM[[#This Row],[קוד תקציב]],'[2]ריכוז נתונים'!A:A,1,0))</f>
        <v>0</v>
      </c>
      <c r="AB205" s="1">
        <f t="shared" si="13"/>
        <v>0</v>
      </c>
      <c r="AC205" s="2">
        <f ca="1">IF(HEVARIM[[#This Row],[בר מצוה]]&gt;0,YEAR(TODAY())+'תקציבים מיוחדים'!$F$5-HEVARIM[[#This Row],[גיל]],0)</f>
        <v>0</v>
      </c>
      <c r="AD205" s="1">
        <f t="shared" si="14"/>
        <v>0</v>
      </c>
      <c r="AE205" s="2">
        <f ca="1">IF(HEVARIM[[#This Row],[בת מצוה]]&gt;0,YEAR(TODAY())+'תקציבים מיוחדים'!$F$5-HEVARIM[[#This Row],[גיל]],0)</f>
        <v>0</v>
      </c>
      <c r="AF205" s="1">
        <f>IF(AND($S205&gt;="רווק",$Z205=1),AF$4*IF(HEVARIM[[#This Row],[גיל]]&gt;$AF$3,1,(($G205-AF$2)/(AF$3-AF$2))),0)</f>
        <v>48986.309523809527</v>
      </c>
      <c r="AG205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205" s="1">
        <f t="shared" si="15"/>
        <v>85476.404761904763</v>
      </c>
      <c r="AI205" s="2">
        <f ca="1">IF(AH205&gt;0,YEAR(TODAY())+'תקציבים מיוחדים'!$F$7-HEVARIM[[#This Row],[גיל]],0)</f>
        <v>2030</v>
      </c>
      <c r="AJ205" s="9">
        <f>IF(AND(ISERROR(VLOOKUP(H205,'[2]ריכוז נתונים'!A:L,1,0)),P205="1     "),1,0)</f>
        <v>0</v>
      </c>
      <c r="AK20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05" s="1">
        <f>IF(AND(VALUE(HEVARIM[[#This Row],[קוד מעמד]])=1,HEVARIM[[#This Row],[ותק מחברה 40]]&lt;25),HEVARIM[[#This Row],[ותק מחברה 40]]/25*הנחות!$C$4,0)</f>
        <v>0</v>
      </c>
      <c r="AM205" s="9" t="str">
        <f ca="1">IF(HEVARIM[[#This Row],[דמי עזיבה 25 שנות ותק]]&gt;0,YEAR(TODAY())+25-ROUNDDOWN(HEVARIM[[#This Row],[ותק מחברה 40]],0),"")</f>
        <v/>
      </c>
      <c r="AN20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5" s="9" t="str">
        <f ca="1">IF(HEVARIM[[#This Row],[דמי עזיבה לגיל 65]]&gt;0,YEAR(TODAY())+64-ROUNDDOWN(HEVARIM[[#This Row],[גיל]],0),"")</f>
        <v/>
      </c>
      <c r="AP205" s="1">
        <f>SUMIF(HEVARIM[קוד תקציב],HEVARIM[[#This Row],[קוד תקציב משפחה מקורי]],HEVARIM[ותק מחברה 40])</f>
        <v>35.64</v>
      </c>
      <c r="AQ2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05" s="9">
        <f>IF(HEVARIM[[#This Row],[קוד מעמד]]="1     ",IFERROR(VLOOKUP(HEVARIM[[#This Row],[קוד תקציב]],'תקציב צביעה - לקראת השינוי'!A:F,4,0),0),0)</f>
        <v>0</v>
      </c>
      <c r="AT205" s="1"/>
    </row>
    <row r="206" spans="1:46">
      <c r="A206" t="s">
        <v>1055</v>
      </c>
      <c r="B206" t="s">
        <v>1056</v>
      </c>
      <c r="C206" t="s">
        <v>1043</v>
      </c>
      <c r="D206" t="s">
        <v>1057</v>
      </c>
      <c r="E206" t="s">
        <v>79</v>
      </c>
      <c r="F206" s="4">
        <v>41288</v>
      </c>
      <c r="G206">
        <v>12</v>
      </c>
      <c r="H206" t="s">
        <v>1044</v>
      </c>
      <c r="I206" t="s">
        <v>1045</v>
      </c>
      <c r="J206" s="4" t="s">
        <v>70</v>
      </c>
      <c r="K206" s="4" t="s">
        <v>71</v>
      </c>
      <c r="L206" t="s">
        <v>1058</v>
      </c>
      <c r="M206" t="s">
        <v>1041</v>
      </c>
      <c r="N206" t="s">
        <v>1042</v>
      </c>
      <c r="O206">
        <f>IFERROR(VLOOKUP(HEVARIM[[#This Row],[קוד תקציב]],[2]תקציבים!A:L,6,0),0)</f>
        <v>2</v>
      </c>
      <c r="P206" s="5" t="s">
        <v>227</v>
      </c>
      <c r="Q206" t="s">
        <v>14</v>
      </c>
      <c r="R206" s="4">
        <v>41288</v>
      </c>
      <c r="S206" s="4" t="s">
        <v>90</v>
      </c>
      <c r="T206" s="96" t="s">
        <v>1044</v>
      </c>
      <c r="U206" t="str">
        <f>VLOOKUP(HEVARIM[[#This Row],[גיל]],GIL,2,1)</f>
        <v>יסודי</v>
      </c>
      <c r="V206">
        <f>IF(HEVARIM[[#This Row],[קוד מעמד]]="4     ",IF(HEVARIM[[#This Row],[גיל]]=1,1,IF(HEVARIM[[#This Row],[גיל]]&lt;=5,5,18)),"")</f>
        <v>18</v>
      </c>
      <c r="W206">
        <f t="shared" si="12"/>
        <v>0</v>
      </c>
      <c r="X20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6">
        <f>IF(HEVARIM[[#This Row],[מצב משפחתי2]]="אלמן",'[2]ריכוז נתונים'!$AC$2,0)</f>
        <v>0</v>
      </c>
      <c r="Z206" s="3">
        <f>VLOOKUP(VALUE(HEVARIM[[#This Row],[קוד מעמד]]),הנחות!$I$2:$K$21,3,0)</f>
        <v>1</v>
      </c>
      <c r="AA206" t="b">
        <f>ISERROR(VLOOKUP(HEVARIM[[#This Row],[קוד תקציב]],'[2]ריכוז נתונים'!A:A,1,0))</f>
        <v>0</v>
      </c>
      <c r="AB206" s="1">
        <f t="shared" si="13"/>
        <v>0</v>
      </c>
      <c r="AC206" s="2">
        <f ca="1">IF(HEVARIM[[#This Row],[בר מצוה]]&gt;0,YEAR(TODAY())+'תקציבים מיוחדים'!$F$5-HEVARIM[[#This Row],[גיל]],0)</f>
        <v>0</v>
      </c>
      <c r="AD206" s="1">
        <f t="shared" si="14"/>
        <v>6613.8461538461543</v>
      </c>
      <c r="AE206" s="2">
        <f ca="1">IF(HEVARIM[[#This Row],[בת מצוה]]&gt;0,YEAR(TODAY())+'תקציבים מיוחדים'!$F$5-HEVARIM[[#This Row],[גיל]],0)</f>
        <v>2027</v>
      </c>
      <c r="AF206" s="1">
        <f>IF(AND($S206&gt;="רווק",$Z206=1),AF$4*IF(HEVARIM[[#This Row],[גיל]]&gt;$AF$3,1,(($G206-AF$2)/(AF$3-AF$2))),0)</f>
        <v>34578.571428571428</v>
      </c>
      <c r="AG206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206" s="1">
        <f t="shared" si="15"/>
        <v>60336.28571428571</v>
      </c>
      <c r="AI206" s="2">
        <f ca="1">IF(AH206&gt;0,YEAR(TODAY())+'תקציבים מיוחדים'!$F$7-HEVARIM[[#This Row],[גיל]],0)</f>
        <v>2035</v>
      </c>
      <c r="AJ206" s="9">
        <f>IF(AND(ISERROR(VLOOKUP(H206,'[2]ריכוז נתונים'!A:L,1,0)),P206="1     "),1,0)</f>
        <v>0</v>
      </c>
      <c r="AK20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06" s="1">
        <f>IF(AND(VALUE(HEVARIM[[#This Row],[קוד מעמד]])=1,HEVARIM[[#This Row],[ותק מחברה 40]]&lt;25),HEVARIM[[#This Row],[ותק מחברה 40]]/25*הנחות!$C$4,0)</f>
        <v>0</v>
      </c>
      <c r="AM206" s="9" t="str">
        <f ca="1">IF(HEVARIM[[#This Row],[דמי עזיבה 25 שנות ותק]]&gt;0,YEAR(TODAY())+25-ROUNDDOWN(HEVARIM[[#This Row],[ותק מחברה 40]],0),"")</f>
        <v/>
      </c>
      <c r="AN2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6" s="9" t="str">
        <f ca="1">IF(HEVARIM[[#This Row],[דמי עזיבה לגיל 65]]&gt;0,YEAR(TODAY())+64-ROUNDDOWN(HEVARIM[[#This Row],[גיל]],0),"")</f>
        <v/>
      </c>
      <c r="AP206" s="1">
        <f>SUMIF(HEVARIM[קוד תקציב],HEVARIM[[#This Row],[קוד תקציב משפחה מקורי]],HEVARIM[ותק מחברה 40])</f>
        <v>35.64</v>
      </c>
      <c r="AQ2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06" s="9">
        <f>IF(HEVARIM[[#This Row],[קוד מעמד]]="1     ",IFERROR(VLOOKUP(HEVARIM[[#This Row],[קוד תקציב]],'תקציב צביעה - לקראת השינוי'!A:F,4,0),0),0)</f>
        <v>0</v>
      </c>
      <c r="AT206" s="1"/>
    </row>
    <row r="207" spans="1:46">
      <c r="A207" t="s">
        <v>1059</v>
      </c>
      <c r="B207" t="s">
        <v>1060</v>
      </c>
      <c r="C207" t="s">
        <v>1043</v>
      </c>
      <c r="D207" t="s">
        <v>1061</v>
      </c>
      <c r="E207" t="s">
        <v>79</v>
      </c>
      <c r="F207" s="4">
        <v>42732</v>
      </c>
      <c r="G207">
        <v>9</v>
      </c>
      <c r="H207" t="s">
        <v>1044</v>
      </c>
      <c r="I207" t="s">
        <v>1045</v>
      </c>
      <c r="J207" s="4" t="s">
        <v>70</v>
      </c>
      <c r="K207" s="4" t="s">
        <v>71</v>
      </c>
      <c r="L207" t="s">
        <v>1062</v>
      </c>
      <c r="M207" t="s">
        <v>1041</v>
      </c>
      <c r="N207" t="s">
        <v>1042</v>
      </c>
      <c r="O207">
        <f>IFERROR(VLOOKUP(HEVARIM[[#This Row],[קוד תקציב]],[2]תקציבים!A:L,6,0),0)</f>
        <v>2</v>
      </c>
      <c r="P207" s="5" t="s">
        <v>227</v>
      </c>
      <c r="Q207" t="s">
        <v>14</v>
      </c>
      <c r="R207" s="4">
        <v>42732</v>
      </c>
      <c r="S207" s="4" t="s">
        <v>90</v>
      </c>
      <c r="T207" s="96" t="s">
        <v>1044</v>
      </c>
      <c r="U207" t="str">
        <f>VLOOKUP(HEVARIM[[#This Row],[גיל]],GIL,2,1)</f>
        <v>יסודי</v>
      </c>
      <c r="V207">
        <f>IF(HEVARIM[[#This Row],[קוד מעמד]]="4     ",IF(HEVARIM[[#This Row],[גיל]]=1,1,IF(HEVARIM[[#This Row],[גיל]]&lt;=5,5,18)),"")</f>
        <v>18</v>
      </c>
      <c r="W207">
        <f t="shared" si="12"/>
        <v>0</v>
      </c>
      <c r="X20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7">
        <f>IF(HEVARIM[[#This Row],[מצב משפחתי2]]="אלמן",'[2]ריכוז נתונים'!$AC$2,0)</f>
        <v>0</v>
      </c>
      <c r="Z207" s="3">
        <f>VLOOKUP(VALUE(HEVARIM[[#This Row],[קוד מעמד]]),הנחות!$I$2:$K$21,3,0)</f>
        <v>1</v>
      </c>
      <c r="AA207" t="b">
        <f>ISERROR(VLOOKUP(HEVARIM[[#This Row],[קוד תקציב]],'[2]ריכוז נתונים'!A:A,1,0))</f>
        <v>0</v>
      </c>
      <c r="AB207" s="1">
        <f t="shared" si="13"/>
        <v>0</v>
      </c>
      <c r="AC207" s="2">
        <f ca="1">IF(HEVARIM[[#This Row],[בר מצוה]]&gt;0,YEAR(TODAY())+'תקציבים מיוחדים'!$F$5-HEVARIM[[#This Row],[גיל]],0)</f>
        <v>0</v>
      </c>
      <c r="AD207" s="1">
        <f t="shared" si="14"/>
        <v>4960.3846153846152</v>
      </c>
      <c r="AE207" s="2">
        <f ca="1">IF(HEVARIM[[#This Row],[בת מצוה]]&gt;0,YEAR(TODAY())+'תקציבים מיוחדים'!$F$5-HEVARIM[[#This Row],[גיל]],0)</f>
        <v>2030</v>
      </c>
      <c r="AF207" s="1">
        <f>IF(AND($S207&gt;="רווק",$Z207=1),AF$4*IF(HEVARIM[[#This Row],[גיל]]&gt;$AF$3,1,(($G207-AF$2)/(AF$3-AF$2))),0)</f>
        <v>25933.928571428569</v>
      </c>
      <c r="AG207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207" s="1">
        <f t="shared" si="15"/>
        <v>45252.214285714283</v>
      </c>
      <c r="AI207" s="2">
        <f ca="1">IF(AH207&gt;0,YEAR(TODAY())+'תקציבים מיוחדים'!$F$7-HEVARIM[[#This Row],[גיל]],0)</f>
        <v>2038</v>
      </c>
      <c r="AJ207" s="9">
        <f>IF(AND(ISERROR(VLOOKUP(H207,'[2]ריכוז נתונים'!A:L,1,0)),P207="1     "),1,0)</f>
        <v>0</v>
      </c>
      <c r="AK20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07" s="1">
        <f>IF(AND(VALUE(HEVARIM[[#This Row],[קוד מעמד]])=1,HEVARIM[[#This Row],[ותק מחברה 40]]&lt;25),HEVARIM[[#This Row],[ותק מחברה 40]]/25*הנחות!$C$4,0)</f>
        <v>0</v>
      </c>
      <c r="AM207" s="9" t="str">
        <f ca="1">IF(HEVARIM[[#This Row],[דמי עזיבה 25 שנות ותק]]&gt;0,YEAR(TODAY())+25-ROUNDDOWN(HEVARIM[[#This Row],[ותק מחברה 40]],0),"")</f>
        <v/>
      </c>
      <c r="AN20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7" s="9" t="str">
        <f ca="1">IF(HEVARIM[[#This Row],[דמי עזיבה לגיל 65]]&gt;0,YEAR(TODAY())+64-ROUNDDOWN(HEVARIM[[#This Row],[גיל]],0),"")</f>
        <v/>
      </c>
      <c r="AP207" s="1">
        <f>SUMIF(HEVARIM[קוד תקציב],HEVARIM[[#This Row],[קוד תקציב משפחה מקורי]],HEVARIM[ותק מחברה 40])</f>
        <v>35.64</v>
      </c>
      <c r="AQ2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07" s="9">
        <f>IF(HEVARIM[[#This Row],[קוד מעמד]]="1     ",IFERROR(VLOOKUP(HEVARIM[[#This Row],[קוד תקציב]],'תקציב צביעה - לקראת השינוי'!A:F,4,0),0),0)</f>
        <v>0</v>
      </c>
      <c r="AT207" s="1"/>
    </row>
    <row r="208" spans="1:46">
      <c r="A208" t="s">
        <v>1069</v>
      </c>
      <c r="B208" t="s">
        <v>1070</v>
      </c>
      <c r="C208" t="s">
        <v>1028</v>
      </c>
      <c r="D208" t="s">
        <v>1071</v>
      </c>
      <c r="E208" t="s">
        <v>79</v>
      </c>
      <c r="F208" s="4">
        <v>31047</v>
      </c>
      <c r="G208">
        <v>41</v>
      </c>
      <c r="H208" t="s">
        <v>1066</v>
      </c>
      <c r="I208" t="s">
        <v>1067</v>
      </c>
      <c r="J208" s="4" t="s">
        <v>70</v>
      </c>
      <c r="K208" s="4" t="s">
        <v>71</v>
      </c>
      <c r="L208" t="s">
        <v>1072</v>
      </c>
      <c r="M208" t="s">
        <v>1063</v>
      </c>
      <c r="N208" t="s">
        <v>1064</v>
      </c>
      <c r="O208">
        <f>IFERROR(VLOOKUP(HEVARIM[[#This Row],[קוד תקציב]],[2]תקציבים!A:L,6,0),0)</f>
        <v>2</v>
      </c>
      <c r="P208" s="5" t="s">
        <v>104</v>
      </c>
      <c r="Q208" t="s">
        <v>11</v>
      </c>
      <c r="R208" s="4">
        <v>41883</v>
      </c>
      <c r="S208" s="4" t="s">
        <v>74</v>
      </c>
      <c r="T208" s="96" t="s">
        <v>1066</v>
      </c>
      <c r="U208" t="str">
        <f>VLOOKUP(HEVARIM[[#This Row],[גיל]],GIL,2,1)</f>
        <v>--</v>
      </c>
      <c r="V208" t="str">
        <f>IF(HEVARIM[[#This Row],[קוד מעמד]]="4     ",IF(HEVARIM[[#This Row],[גיל]]=1,1,IF(HEVARIM[[#This Row],[גיל]]&lt;=5,5,18)),"")</f>
        <v/>
      </c>
      <c r="W208">
        <f t="shared" si="12"/>
        <v>0</v>
      </c>
      <c r="X2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8">
        <f>IF(HEVARIM[[#This Row],[מצב משפחתי2]]="אלמן",'[2]ריכוז נתונים'!$AC$2,0)</f>
        <v>0</v>
      </c>
      <c r="Z208" s="3">
        <f>VLOOKUP(VALUE(HEVARIM[[#This Row],[קוד מעמד]]),הנחות!$I$2:$K$21,3,0)</f>
        <v>0</v>
      </c>
      <c r="AA208" t="b">
        <f>ISERROR(VLOOKUP(HEVARIM[[#This Row],[קוד תקציב]],'[2]ריכוז נתונים'!A:A,1,0))</f>
        <v>0</v>
      </c>
      <c r="AB208" s="1">
        <f t="shared" si="13"/>
        <v>0</v>
      </c>
      <c r="AC208" s="2">
        <f ca="1">IF(HEVARIM[[#This Row],[בר מצוה]]&gt;0,YEAR(TODAY())+'תקציבים מיוחדים'!$F$5-HEVARIM[[#This Row],[גיל]],0)</f>
        <v>0</v>
      </c>
      <c r="AD208" s="1">
        <f t="shared" si="14"/>
        <v>0</v>
      </c>
      <c r="AE208" s="2">
        <f ca="1">IF(HEVARIM[[#This Row],[בת מצוה]]&gt;0,YEAR(TODAY())+'תקציבים מיוחדים'!$F$5-HEVARIM[[#This Row],[גיל]],0)</f>
        <v>0</v>
      </c>
      <c r="AF208" s="1">
        <f>IF(AND($S208&gt;="רווק",$Z208=1),AF$4*IF(HEVARIM[[#This Row],[גיל]]&gt;$AF$3,1,(($G208-AF$2)/(AF$3-AF$2))),0)</f>
        <v>0</v>
      </c>
      <c r="AG20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08" s="1">
        <f t="shared" si="15"/>
        <v>0</v>
      </c>
      <c r="AI208" s="2">
        <f ca="1">IF(AH208&gt;0,YEAR(TODAY())+'תקציבים מיוחדים'!$F$7-HEVARIM[[#This Row],[גיל]],0)</f>
        <v>0</v>
      </c>
      <c r="AJ208" s="9">
        <f>IF(AND(ISERROR(VLOOKUP(H208,'[2]ריכוז נתונים'!A:L,1,0)),P208="1     "),1,0)</f>
        <v>0</v>
      </c>
      <c r="AK208" s="1">
        <f>IF(VALUE(HEVARIM[[#This Row],[קוד מעמד]])=1,VLOOKUP((IF(LEFT(HEVARIM[[#This Row],[קוד חבר]],1)="0",HEVARIM[[#This Row],[קוד חבר]],VALUE(HEVARIM[[#This Row],[קוד חבר]]))),'ותק חברה 40'!AQ:AW,7,0),"")</f>
        <v>13</v>
      </c>
      <c r="AL208" s="1">
        <f>IF(AND(VALUE(HEVARIM[[#This Row],[קוד מעמד]])=1,HEVARIM[[#This Row],[ותק מחברה 40]]&lt;25),HEVARIM[[#This Row],[ותק מחברה 40]]/25*הנחות!$C$4,0)</f>
        <v>19517.998499999998</v>
      </c>
      <c r="AM208" s="9">
        <f ca="1">IF(HEVARIM[[#This Row],[דמי עזיבה 25 שנות ותק]]&gt;0,YEAR(TODAY())+25-ROUNDDOWN(HEVARIM[[#This Row],[ותק מחברה 40]],0),"")</f>
        <v>2038</v>
      </c>
      <c r="AN20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8" s="9" t="str">
        <f ca="1">IF(HEVARIM[[#This Row],[דמי עזיבה לגיל 65]]&gt;0,YEAR(TODAY())+64-ROUNDDOWN(HEVARIM[[#This Row],[גיל]],0),"")</f>
        <v/>
      </c>
      <c r="AP208" s="1">
        <f>SUMIF(HEVARIM[קוד תקציב],HEVARIM[[#This Row],[קוד תקציב משפחה מקורי]],HEVARIM[ותק מחברה 40])</f>
        <v>32.79</v>
      </c>
      <c r="AQ2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208" s="9">
        <f>IF(HEVARIM[[#This Row],[קוד מעמד]]="1     ",IFERROR(VLOOKUP(HEVARIM[[#This Row],[קוד תקציב]],'תקציב צביעה - לקראת השינוי'!A:F,4,0),0),0)</f>
        <v>2034</v>
      </c>
      <c r="AT208" s="1"/>
    </row>
    <row r="209" spans="1:46">
      <c r="A209" t="s">
        <v>1073</v>
      </c>
      <c r="B209" t="s">
        <v>1074</v>
      </c>
      <c r="C209" t="s">
        <v>1028</v>
      </c>
      <c r="D209" t="s">
        <v>1075</v>
      </c>
      <c r="E209" t="s">
        <v>79</v>
      </c>
      <c r="F209" s="4">
        <v>41817</v>
      </c>
      <c r="G209">
        <v>11</v>
      </c>
      <c r="H209" t="s">
        <v>1066</v>
      </c>
      <c r="I209" t="s">
        <v>1067</v>
      </c>
      <c r="J209" s="4" t="s">
        <v>70</v>
      </c>
      <c r="K209" s="4" t="s">
        <v>71</v>
      </c>
      <c r="L209" t="s">
        <v>1076</v>
      </c>
      <c r="M209" t="s">
        <v>1063</v>
      </c>
      <c r="N209" t="s">
        <v>1064</v>
      </c>
      <c r="O209">
        <f>IFERROR(VLOOKUP(HEVARIM[[#This Row],[קוד תקציב]],[2]תקציבים!A:L,6,0),0)</f>
        <v>2</v>
      </c>
      <c r="P209" s="5" t="s">
        <v>227</v>
      </c>
      <c r="Q209" t="s">
        <v>14</v>
      </c>
      <c r="R209" s="4">
        <v>41817</v>
      </c>
      <c r="S209" s="4" t="s">
        <v>90</v>
      </c>
      <c r="T209" s="96" t="s">
        <v>1066</v>
      </c>
      <c r="U209" t="str">
        <f>VLOOKUP(HEVARIM[[#This Row],[גיל]],GIL,2,1)</f>
        <v>יסודי</v>
      </c>
      <c r="V209">
        <f>IF(HEVARIM[[#This Row],[קוד מעמד]]="4     ",IF(HEVARIM[[#This Row],[גיל]]=1,1,IF(HEVARIM[[#This Row],[גיל]]&lt;=5,5,18)),"")</f>
        <v>18</v>
      </c>
      <c r="W209">
        <f t="shared" si="12"/>
        <v>0</v>
      </c>
      <c r="X2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09">
        <f>IF(HEVARIM[[#This Row],[מצב משפחתי2]]="אלמן",'[2]ריכוז נתונים'!$AC$2,0)</f>
        <v>0</v>
      </c>
      <c r="Z209" s="3">
        <f>VLOOKUP(VALUE(HEVARIM[[#This Row],[קוד מעמד]]),הנחות!$I$2:$K$21,3,0)</f>
        <v>1</v>
      </c>
      <c r="AA209" t="b">
        <f>ISERROR(VLOOKUP(HEVARIM[[#This Row],[קוד תקציב]],'[2]ריכוז נתונים'!A:A,1,0))</f>
        <v>0</v>
      </c>
      <c r="AB209" s="1">
        <f t="shared" si="13"/>
        <v>0</v>
      </c>
      <c r="AC209" s="2">
        <f ca="1">IF(HEVARIM[[#This Row],[בר מצוה]]&gt;0,YEAR(TODAY())+'תקציבים מיוחדים'!$F$5-HEVARIM[[#This Row],[גיל]],0)</f>
        <v>0</v>
      </c>
      <c r="AD209" s="1">
        <f t="shared" si="14"/>
        <v>6062.6923076923076</v>
      </c>
      <c r="AE209" s="2">
        <f ca="1">IF(HEVARIM[[#This Row],[בת מצוה]]&gt;0,YEAR(TODAY())+'תקציבים מיוחדים'!$F$5-HEVARIM[[#This Row],[גיל]],0)</f>
        <v>2028</v>
      </c>
      <c r="AF209" s="1">
        <f>IF(AND($S209&gt;="רווק",$Z209=1),AF$4*IF(HEVARIM[[#This Row],[גיל]]&gt;$AF$3,1,(($G209-AF$2)/(AF$3-AF$2))),0)</f>
        <v>31697.023809523813</v>
      </c>
      <c r="AG209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209" s="1">
        <f t="shared" si="15"/>
        <v>55308.261904761908</v>
      </c>
      <c r="AI209" s="2">
        <f ca="1">IF(AH209&gt;0,YEAR(TODAY())+'תקציבים מיוחדים'!$F$7-HEVARIM[[#This Row],[גיל]],0)</f>
        <v>2036</v>
      </c>
      <c r="AJ209" s="9">
        <f>IF(AND(ISERROR(VLOOKUP(H209,'[2]ריכוז נתונים'!A:L,1,0)),P209="1     "),1,0)</f>
        <v>0</v>
      </c>
      <c r="AK20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09" s="1">
        <f>IF(AND(VALUE(HEVARIM[[#This Row],[קוד מעמד]])=1,HEVARIM[[#This Row],[ותק מחברה 40]]&lt;25),HEVARIM[[#This Row],[ותק מחברה 40]]/25*הנחות!$C$4,0)</f>
        <v>0</v>
      </c>
      <c r="AM209" s="9" t="str">
        <f ca="1">IF(HEVARIM[[#This Row],[דמי עזיבה 25 שנות ותק]]&gt;0,YEAR(TODAY())+25-ROUNDDOWN(HEVARIM[[#This Row],[ותק מחברה 40]],0),"")</f>
        <v/>
      </c>
      <c r="AN20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09" s="9" t="str">
        <f ca="1">IF(HEVARIM[[#This Row],[דמי עזיבה לגיל 65]]&gt;0,YEAR(TODAY())+64-ROUNDDOWN(HEVARIM[[#This Row],[גיל]],0),"")</f>
        <v/>
      </c>
      <c r="AP209" s="1">
        <f>SUMIF(HEVARIM[קוד תקציב],HEVARIM[[#This Row],[קוד תקציב משפחה מקורי]],HEVARIM[ותק מחברה 40])</f>
        <v>32.79</v>
      </c>
      <c r="AQ2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09" s="9">
        <f>IF(HEVARIM[[#This Row],[קוד מעמד]]="1     ",IFERROR(VLOOKUP(HEVARIM[[#This Row],[קוד תקציב]],'תקציב צביעה - לקראת השינוי'!A:F,4,0),0),0)</f>
        <v>0</v>
      </c>
      <c r="AT209" s="1"/>
    </row>
    <row r="210" spans="1:46">
      <c r="A210" t="s">
        <v>1077</v>
      </c>
      <c r="B210" t="s">
        <v>1078</v>
      </c>
      <c r="C210" t="s">
        <v>1028</v>
      </c>
      <c r="D210" t="s">
        <v>1079</v>
      </c>
      <c r="E210" t="s">
        <v>67</v>
      </c>
      <c r="F210" s="4">
        <v>42326</v>
      </c>
      <c r="G210">
        <v>10</v>
      </c>
      <c r="H210" t="s">
        <v>1066</v>
      </c>
      <c r="I210" t="s">
        <v>1067</v>
      </c>
      <c r="J210" s="4" t="s">
        <v>70</v>
      </c>
      <c r="K210" s="4" t="s">
        <v>71</v>
      </c>
      <c r="L210" t="s">
        <v>1080</v>
      </c>
      <c r="M210" t="s">
        <v>1063</v>
      </c>
      <c r="N210" t="s">
        <v>1064</v>
      </c>
      <c r="O210">
        <f>IFERROR(VLOOKUP(HEVARIM[[#This Row],[קוד תקציב]],[2]תקציבים!A:L,6,0),0)</f>
        <v>2</v>
      </c>
      <c r="P210" s="5" t="s">
        <v>227</v>
      </c>
      <c r="Q210" t="s">
        <v>14</v>
      </c>
      <c r="R210" s="4">
        <v>42326</v>
      </c>
      <c r="S210" s="4" t="s">
        <v>90</v>
      </c>
      <c r="T210" s="96" t="s">
        <v>1066</v>
      </c>
      <c r="U210" t="str">
        <f>VLOOKUP(HEVARIM[[#This Row],[גיל]],GIL,2,1)</f>
        <v>יסודי</v>
      </c>
      <c r="V210">
        <f>IF(HEVARIM[[#This Row],[קוד מעמד]]="4     ",IF(HEVARIM[[#This Row],[גיל]]=1,1,IF(HEVARIM[[#This Row],[גיל]]&lt;=5,5,18)),"")</f>
        <v>18</v>
      </c>
      <c r="W210">
        <f t="shared" si="12"/>
        <v>0</v>
      </c>
      <c r="X21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0">
        <f>IF(HEVARIM[[#This Row],[מצב משפחתי2]]="אלמן",'[2]ריכוז נתונים'!$AC$2,0)</f>
        <v>0</v>
      </c>
      <c r="Z210" s="3">
        <f>VLOOKUP(VALUE(HEVARIM[[#This Row],[קוד מעמד]]),הנחות!$I$2:$K$21,3,0)</f>
        <v>1</v>
      </c>
      <c r="AA210" t="b">
        <f>ISERROR(VLOOKUP(HEVARIM[[#This Row],[קוד תקציב]],'[2]ריכוז נתונים'!A:A,1,0))</f>
        <v>0</v>
      </c>
      <c r="AB210" s="1">
        <f t="shared" si="13"/>
        <v>5511.5384615384619</v>
      </c>
      <c r="AC210" s="2">
        <f ca="1">IF(HEVARIM[[#This Row],[בר מצוה]]&gt;0,YEAR(TODAY())+'תקציבים מיוחדים'!$F$5-HEVARIM[[#This Row],[גיל]],0)</f>
        <v>2029</v>
      </c>
      <c r="AD210" s="1">
        <f t="shared" si="14"/>
        <v>0</v>
      </c>
      <c r="AE210" s="2">
        <f ca="1">IF(HEVARIM[[#This Row],[בת מצוה]]&gt;0,YEAR(TODAY())+'תקציבים מיוחדים'!$F$5-HEVARIM[[#This Row],[גיל]],0)</f>
        <v>0</v>
      </c>
      <c r="AF210" s="1">
        <f>IF(AND($S210&gt;="רווק",$Z210=1),AF$4*IF(HEVARIM[[#This Row],[גיל]]&gt;$AF$3,1,(($G210-AF$2)/(AF$3-AF$2))),0)</f>
        <v>28815.476190476187</v>
      </c>
      <c r="AG210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210" s="1">
        <f t="shared" si="15"/>
        <v>50280.238095238092</v>
      </c>
      <c r="AI210" s="2">
        <f ca="1">IF(AH210&gt;0,YEAR(TODAY())+'תקציבים מיוחדים'!$F$7-HEVARIM[[#This Row],[גיל]],0)</f>
        <v>2037</v>
      </c>
      <c r="AJ210" s="9">
        <f>IF(AND(ISERROR(VLOOKUP(H210,'[2]ריכוז נתונים'!A:L,1,0)),P210="1     "),1,0)</f>
        <v>0</v>
      </c>
      <c r="AK21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0" s="1">
        <f>IF(AND(VALUE(HEVARIM[[#This Row],[קוד מעמד]])=1,HEVARIM[[#This Row],[ותק מחברה 40]]&lt;25),HEVARIM[[#This Row],[ותק מחברה 40]]/25*הנחות!$C$4,0)</f>
        <v>0</v>
      </c>
      <c r="AM210" s="9" t="str">
        <f ca="1">IF(HEVARIM[[#This Row],[דמי עזיבה 25 שנות ותק]]&gt;0,YEAR(TODAY())+25-ROUNDDOWN(HEVARIM[[#This Row],[ותק מחברה 40]],0),"")</f>
        <v/>
      </c>
      <c r="AN2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0" s="9" t="str">
        <f ca="1">IF(HEVARIM[[#This Row],[דמי עזיבה לגיל 65]]&gt;0,YEAR(TODAY())+64-ROUNDDOWN(HEVARIM[[#This Row],[גיל]],0),"")</f>
        <v/>
      </c>
      <c r="AP210" s="1">
        <f>SUMIF(HEVARIM[קוד תקציב],HEVARIM[[#This Row],[קוד תקציב משפחה מקורי]],HEVARIM[ותק מחברה 40])</f>
        <v>32.79</v>
      </c>
      <c r="AQ2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0" s="9">
        <f>IF(HEVARIM[[#This Row],[קוד מעמד]]="1     ",IFERROR(VLOOKUP(HEVARIM[[#This Row],[קוד תקציב]],'תקציב צביעה - לקראת השינוי'!A:F,4,0),0),0)</f>
        <v>0</v>
      </c>
      <c r="AT210" s="1"/>
    </row>
    <row r="211" spans="1:46">
      <c r="A211" t="s">
        <v>1081</v>
      </c>
      <c r="B211" t="s">
        <v>1082</v>
      </c>
      <c r="C211" t="s">
        <v>1028</v>
      </c>
      <c r="D211" t="s">
        <v>1083</v>
      </c>
      <c r="E211" t="s">
        <v>79</v>
      </c>
      <c r="F211" s="4">
        <v>43124</v>
      </c>
      <c r="G211">
        <v>7</v>
      </c>
      <c r="H211" t="s">
        <v>1066</v>
      </c>
      <c r="I211" t="s">
        <v>1067</v>
      </c>
      <c r="J211" s="4" t="s">
        <v>70</v>
      </c>
      <c r="K211" s="4" t="s">
        <v>71</v>
      </c>
      <c r="L211" t="s">
        <v>1084</v>
      </c>
      <c r="M211" t="s">
        <v>1063</v>
      </c>
      <c r="N211" t="s">
        <v>1064</v>
      </c>
      <c r="O211">
        <f>IFERROR(VLOOKUP(HEVARIM[[#This Row],[קוד תקציב]],[2]תקציבים!A:L,6,0),0)</f>
        <v>2</v>
      </c>
      <c r="P211" s="5" t="s">
        <v>227</v>
      </c>
      <c r="Q211" t="s">
        <v>14</v>
      </c>
      <c r="R211" s="4">
        <v>43124</v>
      </c>
      <c r="S211" s="4" t="s">
        <v>90</v>
      </c>
      <c r="T211" s="96" t="s">
        <v>1066</v>
      </c>
      <c r="U211" t="str">
        <f>VLOOKUP(HEVARIM[[#This Row],[גיל]],GIL,2,1)</f>
        <v>יסודי</v>
      </c>
      <c r="V211">
        <f>IF(HEVARIM[[#This Row],[קוד מעמד]]="4     ",IF(HEVARIM[[#This Row],[גיל]]=1,1,IF(HEVARIM[[#This Row],[גיל]]&lt;=5,5,18)),"")</f>
        <v>18</v>
      </c>
      <c r="W211">
        <f t="shared" si="12"/>
        <v>0</v>
      </c>
      <c r="X2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1">
        <f>IF(HEVARIM[[#This Row],[מצב משפחתי2]]="אלמן",'[2]ריכוז נתונים'!$AC$2,0)</f>
        <v>0</v>
      </c>
      <c r="Z211" s="3">
        <f>VLOOKUP(VALUE(HEVARIM[[#This Row],[קוד מעמד]]),הנחות!$I$2:$K$21,3,0)</f>
        <v>1</v>
      </c>
      <c r="AA211" t="b">
        <f>ISERROR(VLOOKUP(HEVARIM[[#This Row],[קוד תקציב]],'[2]ריכוז נתונים'!A:A,1,0))</f>
        <v>0</v>
      </c>
      <c r="AB211" s="1">
        <f t="shared" si="13"/>
        <v>0</v>
      </c>
      <c r="AC211" s="2">
        <f ca="1">IF(HEVARIM[[#This Row],[בר מצוה]]&gt;0,YEAR(TODAY())+'תקציבים מיוחדים'!$F$5-HEVARIM[[#This Row],[גיל]],0)</f>
        <v>0</v>
      </c>
      <c r="AD211" s="1">
        <f t="shared" si="14"/>
        <v>3858.0769230769229</v>
      </c>
      <c r="AE211" s="2">
        <f ca="1">IF(HEVARIM[[#This Row],[בת מצוה]]&gt;0,YEAR(TODAY())+'תקציבים מיוחדים'!$F$5-HEVARIM[[#This Row],[גיל]],0)</f>
        <v>2032</v>
      </c>
      <c r="AF211" s="1">
        <f>IF(AND($S211&gt;="רווק",$Z211=1),AF$4*IF(HEVARIM[[#This Row],[גיל]]&gt;$AF$3,1,(($G211-AF$2)/(AF$3-AF$2))),0)</f>
        <v>20170.833333333332</v>
      </c>
      <c r="AG211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211" s="1">
        <f t="shared" si="15"/>
        <v>35196.166666666664</v>
      </c>
      <c r="AI211" s="2">
        <f ca="1">IF(AH211&gt;0,YEAR(TODAY())+'תקציבים מיוחדים'!$F$7-HEVARIM[[#This Row],[גיל]],0)</f>
        <v>2040</v>
      </c>
      <c r="AJ211" s="9">
        <f>IF(AND(ISERROR(VLOOKUP(H211,'[2]ריכוז נתונים'!A:L,1,0)),P211="1     "),1,0)</f>
        <v>0</v>
      </c>
      <c r="AK21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1" s="1">
        <f>IF(AND(VALUE(HEVARIM[[#This Row],[קוד מעמד]])=1,HEVARIM[[#This Row],[ותק מחברה 40]]&lt;25),HEVARIM[[#This Row],[ותק מחברה 40]]/25*הנחות!$C$4,0)</f>
        <v>0</v>
      </c>
      <c r="AM211" s="9" t="str">
        <f ca="1">IF(HEVARIM[[#This Row],[דמי עזיבה 25 שנות ותק]]&gt;0,YEAR(TODAY())+25-ROUNDDOWN(HEVARIM[[#This Row],[ותק מחברה 40]],0),"")</f>
        <v/>
      </c>
      <c r="AN21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1" s="9" t="str">
        <f ca="1">IF(HEVARIM[[#This Row],[דמי עזיבה לגיל 65]]&gt;0,YEAR(TODAY())+64-ROUNDDOWN(HEVARIM[[#This Row],[גיל]],0),"")</f>
        <v/>
      </c>
      <c r="AP211" s="1">
        <f>SUMIF(HEVARIM[קוד תקציב],HEVARIM[[#This Row],[קוד תקציב משפחה מקורי]],HEVARIM[ותק מחברה 40])</f>
        <v>32.79</v>
      </c>
      <c r="AQ2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1" s="9">
        <f>IF(HEVARIM[[#This Row],[קוד מעמד]]="1     ",IFERROR(VLOOKUP(HEVARIM[[#This Row],[קוד תקציב]],'תקציב צביעה - לקראת השינוי'!A:F,4,0),0),0)</f>
        <v>0</v>
      </c>
      <c r="AT211" s="1"/>
    </row>
    <row r="212" spans="1:46">
      <c r="A212" t="s">
        <v>1085</v>
      </c>
      <c r="B212" t="s">
        <v>1086</v>
      </c>
      <c r="C212" t="s">
        <v>1028</v>
      </c>
      <c r="D212" t="s">
        <v>1087</v>
      </c>
      <c r="E212" t="s">
        <v>67</v>
      </c>
      <c r="F212" s="4">
        <v>43994</v>
      </c>
      <c r="G212">
        <v>5</v>
      </c>
      <c r="H212" t="s">
        <v>1066</v>
      </c>
      <c r="I212" t="s">
        <v>1067</v>
      </c>
      <c r="J212" s="4" t="s">
        <v>70</v>
      </c>
      <c r="K212" s="4" t="s">
        <v>71</v>
      </c>
      <c r="L212" t="s">
        <v>1088</v>
      </c>
      <c r="M212" t="s">
        <v>1063</v>
      </c>
      <c r="N212" t="s">
        <v>1064</v>
      </c>
      <c r="O212">
        <f>IFERROR(VLOOKUP(HEVARIM[[#This Row],[קוד תקציב]],[2]תקציבים!A:L,6,0),0)</f>
        <v>2</v>
      </c>
      <c r="P212" s="5" t="s">
        <v>227</v>
      </c>
      <c r="Q212" t="s">
        <v>14</v>
      </c>
      <c r="R212" s="4">
        <v>43994</v>
      </c>
      <c r="S212" s="4" t="s">
        <v>90</v>
      </c>
      <c r="T212" s="96" t="s">
        <v>1066</v>
      </c>
      <c r="U212" t="str">
        <f>VLOOKUP(HEVARIM[[#This Row],[גיל]],GIL,2,1)</f>
        <v>גנים</v>
      </c>
      <c r="V212">
        <f>IF(HEVARIM[[#This Row],[קוד מעמד]]="4     ",IF(HEVARIM[[#This Row],[גיל]]=1,1,IF(HEVARIM[[#This Row],[גיל]]&lt;=5,5,18)),"")</f>
        <v>5</v>
      </c>
      <c r="W212">
        <f t="shared" si="12"/>
        <v>0</v>
      </c>
      <c r="X2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2">
        <f>IF(HEVARIM[[#This Row],[מצב משפחתי2]]="אלמן",'[2]ריכוז נתונים'!$AC$2,0)</f>
        <v>0</v>
      </c>
      <c r="Z212" s="3">
        <f>VLOOKUP(VALUE(HEVARIM[[#This Row],[קוד מעמד]]),הנחות!$I$2:$K$21,3,0)</f>
        <v>1</v>
      </c>
      <c r="AA212" t="b">
        <f>ISERROR(VLOOKUP(HEVARIM[[#This Row],[קוד תקציב]],'[2]ריכוז נתונים'!A:A,1,0))</f>
        <v>0</v>
      </c>
      <c r="AB212" s="1">
        <f t="shared" si="13"/>
        <v>2755.7692307692309</v>
      </c>
      <c r="AC212" s="2">
        <f ca="1">IF(HEVARIM[[#This Row],[בר מצוה]]&gt;0,YEAR(TODAY())+'תקציבים מיוחדים'!$F$5-HEVARIM[[#This Row],[גיל]],0)</f>
        <v>2034</v>
      </c>
      <c r="AD212" s="1">
        <f t="shared" si="14"/>
        <v>0</v>
      </c>
      <c r="AE212" s="2">
        <f ca="1">IF(HEVARIM[[#This Row],[בת מצוה]]&gt;0,YEAR(TODAY())+'תקציבים מיוחדים'!$F$5-HEVARIM[[#This Row],[גיל]],0)</f>
        <v>0</v>
      </c>
      <c r="AF212" s="1">
        <f>IF(AND($S212&gt;="רווק",$Z212=1),AF$4*IF(HEVARIM[[#This Row],[גיל]]&gt;$AF$3,1,(($G212-AF$2)/(AF$3-AF$2))),0)</f>
        <v>14407.738095238094</v>
      </c>
      <c r="AG212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212" s="1">
        <f t="shared" si="15"/>
        <v>25140.119047619046</v>
      </c>
      <c r="AI212" s="2">
        <f ca="1">IF(AH212&gt;0,YEAR(TODAY())+'תקציבים מיוחדים'!$F$7-HEVARIM[[#This Row],[גיל]],0)</f>
        <v>2042</v>
      </c>
      <c r="AJ212" s="9">
        <f>IF(AND(ISERROR(VLOOKUP(H212,'[2]ריכוז נתונים'!A:L,1,0)),P212="1     "),1,0)</f>
        <v>0</v>
      </c>
      <c r="AK21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2" s="1">
        <f>IF(AND(VALUE(HEVARIM[[#This Row],[קוד מעמד]])=1,HEVARIM[[#This Row],[ותק מחברה 40]]&lt;25),HEVARIM[[#This Row],[ותק מחברה 40]]/25*הנחות!$C$4,0)</f>
        <v>0</v>
      </c>
      <c r="AM212" s="9" t="str">
        <f ca="1">IF(HEVARIM[[#This Row],[דמי עזיבה 25 שנות ותק]]&gt;0,YEAR(TODAY())+25-ROUNDDOWN(HEVARIM[[#This Row],[ותק מחברה 40]],0),"")</f>
        <v/>
      </c>
      <c r="AN21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2" s="9" t="str">
        <f ca="1">IF(HEVARIM[[#This Row],[דמי עזיבה לגיל 65]]&gt;0,YEAR(TODAY())+64-ROUNDDOWN(HEVARIM[[#This Row],[גיל]],0),"")</f>
        <v/>
      </c>
      <c r="AP212" s="1">
        <f>SUMIF(HEVARIM[קוד תקציב],HEVARIM[[#This Row],[קוד תקציב משפחה מקורי]],HEVARIM[ותק מחברה 40])</f>
        <v>32.79</v>
      </c>
      <c r="AQ2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2" s="9">
        <f>IF(HEVARIM[[#This Row],[קוד מעמד]]="1     ",IFERROR(VLOOKUP(HEVARIM[[#This Row],[קוד תקציב]],'תקציב צביעה - לקראת השינוי'!A:F,4,0),0),0)</f>
        <v>0</v>
      </c>
      <c r="AT212" s="1"/>
    </row>
    <row r="213" spans="1:46">
      <c r="A213" t="s">
        <v>1096</v>
      </c>
      <c r="B213" t="s">
        <v>1097</v>
      </c>
      <c r="C213" t="s">
        <v>1028</v>
      </c>
      <c r="D213" t="s">
        <v>1098</v>
      </c>
      <c r="E213" t="s">
        <v>79</v>
      </c>
      <c r="F213" s="4">
        <v>35405</v>
      </c>
      <c r="G213">
        <v>29</v>
      </c>
      <c r="H213" t="s">
        <v>1092</v>
      </c>
      <c r="I213" t="s">
        <v>1093</v>
      </c>
      <c r="J213" s="4" t="s">
        <v>70</v>
      </c>
      <c r="K213" s="4" t="s">
        <v>81</v>
      </c>
      <c r="L213" t="s">
        <v>1099</v>
      </c>
      <c r="M213" t="s">
        <v>1089</v>
      </c>
      <c r="N213" t="s">
        <v>1090</v>
      </c>
      <c r="O213">
        <f>IFERROR(VLOOKUP(HEVARIM[[#This Row],[קוד תקציב]],[2]תקציבים!A:L,6,0),0)</f>
        <v>0</v>
      </c>
      <c r="P213" s="5" t="s">
        <v>1095</v>
      </c>
      <c r="Q213" t="s">
        <v>12</v>
      </c>
      <c r="R213" s="4">
        <v>45658</v>
      </c>
      <c r="S213" s="4" t="s">
        <v>74</v>
      </c>
      <c r="T213" s="96" t="s">
        <v>1092</v>
      </c>
      <c r="U213" t="str">
        <f>VLOOKUP(HEVARIM[[#This Row],[גיל]],GIL,2,1)</f>
        <v>--</v>
      </c>
      <c r="V213" t="str">
        <f>IF(HEVARIM[[#This Row],[קוד מעמד]]="4     ",IF(HEVARIM[[#This Row],[גיל]]=1,1,IF(HEVARIM[[#This Row],[גיל]]&lt;=5,5,18)),"")</f>
        <v/>
      </c>
      <c r="W213">
        <f t="shared" si="12"/>
        <v>0</v>
      </c>
      <c r="X2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3">
        <f>IF(HEVARIM[[#This Row],[מצב משפחתי2]]="אלמן",'[2]ריכוז נתונים'!$AC$2,0)</f>
        <v>0</v>
      </c>
      <c r="Z213" s="3">
        <f>VLOOKUP(VALUE(HEVARIM[[#This Row],[קוד מעמד]]),הנחות!$I$2:$K$21,3,0)</f>
        <v>0</v>
      </c>
      <c r="AA213" t="b">
        <f>ISERROR(VLOOKUP(HEVARIM[[#This Row],[קוד תקציב]],'[2]ריכוז נתונים'!A:A,1,0))</f>
        <v>1</v>
      </c>
      <c r="AB213" s="1">
        <f t="shared" si="13"/>
        <v>0</v>
      </c>
      <c r="AC213" s="2">
        <f ca="1">IF(HEVARIM[[#This Row],[בר מצוה]]&gt;0,YEAR(TODAY())+'תקציבים מיוחדים'!$F$5-HEVARIM[[#This Row],[גיל]],0)</f>
        <v>0</v>
      </c>
      <c r="AD213" s="1">
        <f t="shared" si="14"/>
        <v>0</v>
      </c>
      <c r="AE213" s="2">
        <f ca="1">IF(HEVARIM[[#This Row],[בת מצוה]]&gt;0,YEAR(TODAY())+'תקציבים מיוחדים'!$F$5-HEVARIM[[#This Row],[גיל]],0)</f>
        <v>0</v>
      </c>
      <c r="AF213" s="1">
        <f>IF(AND($S213&gt;="רווק",$Z213=1),AF$4*IF(HEVARIM[[#This Row],[גיל]]&gt;$AF$3,1,(($G213-AF$2)/(AF$3-AF$2))),0)</f>
        <v>0</v>
      </c>
      <c r="AG21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13" s="1">
        <f t="shared" si="15"/>
        <v>0</v>
      </c>
      <c r="AI213" s="2">
        <f ca="1">IF(AH213&gt;0,YEAR(TODAY())+'תקציבים מיוחדים'!$F$7-HEVARIM[[#This Row],[גיל]],0)</f>
        <v>0</v>
      </c>
      <c r="AJ213" s="9">
        <f>IF(AND(ISERROR(VLOOKUP(H213,'[2]ריכוז נתונים'!A:L,1,0)),P213="1     "),1,0)</f>
        <v>0</v>
      </c>
      <c r="AK21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3" s="1">
        <f>IF(AND(VALUE(HEVARIM[[#This Row],[קוד מעמד]])=1,HEVARIM[[#This Row],[ותק מחברה 40]]&lt;25),HEVARIM[[#This Row],[ותק מחברה 40]]/25*הנחות!$C$4,0)</f>
        <v>0</v>
      </c>
      <c r="AM213" s="9" t="str">
        <f ca="1">IF(HEVARIM[[#This Row],[דמי עזיבה 25 שנות ותק]]&gt;0,YEAR(TODAY())+25-ROUNDDOWN(HEVARIM[[#This Row],[ותק מחברה 40]],0),"")</f>
        <v/>
      </c>
      <c r="AN2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3" s="9" t="str">
        <f ca="1">IF(HEVARIM[[#This Row],[דמי עזיבה לגיל 65]]&gt;0,YEAR(TODAY())+64-ROUNDDOWN(HEVARIM[[#This Row],[גיל]],0),"")</f>
        <v/>
      </c>
      <c r="AP213" s="1">
        <f>SUMIF(HEVARIM[קוד תקציב],HEVARIM[[#This Row],[קוד תקציב משפחה מקורי]],HEVARIM[ותק מחברה 40])</f>
        <v>0</v>
      </c>
      <c r="AQ2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3" s="9">
        <f>IF(HEVARIM[[#This Row],[קוד מעמד]]="1     ",IFERROR(VLOOKUP(HEVARIM[[#This Row],[קוד תקציב]],'תקציב צביעה - לקראת השינוי'!A:F,4,0),0),0)</f>
        <v>0</v>
      </c>
      <c r="AT213" s="1"/>
    </row>
    <row r="214" spans="1:46">
      <c r="A214" t="s">
        <v>1100</v>
      </c>
      <c r="B214" t="s">
        <v>1101</v>
      </c>
      <c r="C214" t="s">
        <v>1028</v>
      </c>
      <c r="D214" t="s">
        <v>1102</v>
      </c>
      <c r="E214" t="s">
        <v>67</v>
      </c>
      <c r="F214" s="4">
        <v>45385</v>
      </c>
      <c r="G214">
        <v>1</v>
      </c>
      <c r="H214" t="s">
        <v>1092</v>
      </c>
      <c r="I214" t="s">
        <v>1093</v>
      </c>
      <c r="J214" s="4" t="s">
        <v>70</v>
      </c>
      <c r="K214" s="4" t="s">
        <v>81</v>
      </c>
      <c r="L214" t="s">
        <v>1103</v>
      </c>
      <c r="M214" t="s">
        <v>1089</v>
      </c>
      <c r="N214" t="s">
        <v>1090</v>
      </c>
      <c r="O214">
        <f>IFERROR(VLOOKUP(HEVARIM[[#This Row],[קוד תקציב]],[2]תקציבים!A:L,6,0),0)</f>
        <v>0</v>
      </c>
      <c r="P214" s="5" t="s">
        <v>227</v>
      </c>
      <c r="Q214" t="s">
        <v>14</v>
      </c>
      <c r="R214" s="4">
        <v>45474</v>
      </c>
      <c r="S214" s="4" t="s">
        <v>90</v>
      </c>
      <c r="T214" s="96" t="s">
        <v>1092</v>
      </c>
      <c r="U214" t="str">
        <f>VLOOKUP(HEVARIM[[#This Row],[גיל]],GIL,2,1)</f>
        <v>פעוט</v>
      </c>
      <c r="V214">
        <f>IF(HEVARIM[[#This Row],[קוד מעמד]]="4     ",IF(HEVARIM[[#This Row],[גיל]]=1,1,IF(HEVARIM[[#This Row],[גיל]]&lt;=5,5,18)),"")</f>
        <v>1</v>
      </c>
      <c r="W214">
        <f t="shared" si="12"/>
        <v>0</v>
      </c>
      <c r="X21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4">
        <f>IF(HEVARIM[[#This Row],[מצב משפחתי2]]="אלמן",'[2]ריכוז נתונים'!$AC$2,0)</f>
        <v>0</v>
      </c>
      <c r="Z214" s="3">
        <f>VLOOKUP(VALUE(HEVARIM[[#This Row],[קוד מעמד]]),הנחות!$I$2:$K$21,3,0)</f>
        <v>1</v>
      </c>
      <c r="AA214" t="b">
        <f>ISERROR(VLOOKUP(HEVARIM[[#This Row],[קוד תקציב]],'[2]ריכוז נתונים'!A:A,1,0))</f>
        <v>1</v>
      </c>
      <c r="AB214" s="1">
        <f t="shared" si="13"/>
        <v>551.15384615384619</v>
      </c>
      <c r="AC214" s="2">
        <f ca="1">IF(HEVARIM[[#This Row],[בר מצוה]]&gt;0,YEAR(TODAY())+'תקציבים מיוחדים'!$F$5-HEVARIM[[#This Row],[גיל]],0)</f>
        <v>2038</v>
      </c>
      <c r="AD214" s="1">
        <f t="shared" si="14"/>
        <v>0</v>
      </c>
      <c r="AE214" s="2">
        <f ca="1">IF(HEVARIM[[#This Row],[בת מצוה]]&gt;0,YEAR(TODAY())+'תקציבים מיוחדים'!$F$5-HEVARIM[[#This Row],[גיל]],0)</f>
        <v>0</v>
      </c>
      <c r="AF214" s="1">
        <f>IF(AND($S214&gt;="רווק",$Z214=1),AF$4*IF(HEVARIM[[#This Row],[גיל]]&gt;$AF$3,1,(($G214-AF$2)/(AF$3-AF$2))),0)</f>
        <v>2881.5476190476188</v>
      </c>
      <c r="AG214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214" s="1">
        <f t="shared" si="15"/>
        <v>5028.0238095238092</v>
      </c>
      <c r="AI214" s="2">
        <f ca="1">IF(AH214&gt;0,YEAR(TODAY())+'תקציבים מיוחדים'!$F$7-HEVARIM[[#This Row],[גיל]],0)</f>
        <v>2046</v>
      </c>
      <c r="AJ214" s="9">
        <f>IF(AND(ISERROR(VLOOKUP(H214,'[2]ריכוז נתונים'!A:L,1,0)),P214="1     "),1,0)</f>
        <v>0</v>
      </c>
      <c r="AK21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4" s="1">
        <f>IF(AND(VALUE(HEVARIM[[#This Row],[קוד מעמד]])=1,HEVARIM[[#This Row],[ותק מחברה 40]]&lt;25),HEVARIM[[#This Row],[ותק מחברה 40]]/25*הנחות!$C$4,0)</f>
        <v>0</v>
      </c>
      <c r="AM214" s="9" t="str">
        <f ca="1">IF(HEVARIM[[#This Row],[דמי עזיבה 25 שנות ותק]]&gt;0,YEAR(TODAY())+25-ROUNDDOWN(HEVARIM[[#This Row],[ותק מחברה 40]],0),"")</f>
        <v/>
      </c>
      <c r="AN2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4" s="9" t="str">
        <f ca="1">IF(HEVARIM[[#This Row],[דמי עזיבה לגיל 65]]&gt;0,YEAR(TODAY())+64-ROUNDDOWN(HEVARIM[[#This Row],[גיל]],0),"")</f>
        <v/>
      </c>
      <c r="AP214" s="1">
        <f>SUMIF(HEVARIM[קוד תקציב],HEVARIM[[#This Row],[קוד תקציב משפחה מקורי]],HEVARIM[ותק מחברה 40])</f>
        <v>0</v>
      </c>
      <c r="AQ2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2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4" s="9">
        <f>IF(HEVARIM[[#This Row],[קוד מעמד]]="1     ",IFERROR(VLOOKUP(HEVARIM[[#This Row],[קוד תקציב]],'תקציב צביעה - לקראת השינוי'!A:F,4,0),0),0)</f>
        <v>0</v>
      </c>
      <c r="AT214" s="1"/>
    </row>
    <row r="215" spans="1:46">
      <c r="A215" t="s">
        <v>1113</v>
      </c>
      <c r="B215" t="s">
        <v>1114</v>
      </c>
      <c r="C215" t="s">
        <v>1115</v>
      </c>
      <c r="D215" t="s">
        <v>1116</v>
      </c>
      <c r="E215" t="s">
        <v>67</v>
      </c>
      <c r="F215" s="4">
        <v>31186</v>
      </c>
      <c r="G215">
        <v>40</v>
      </c>
      <c r="H215" t="s">
        <v>1117</v>
      </c>
      <c r="I215" t="s">
        <v>1118</v>
      </c>
      <c r="J215" s="4" t="s">
        <v>70</v>
      </c>
      <c r="K215" s="4" t="s">
        <v>71</v>
      </c>
      <c r="L215" t="s">
        <v>1119</v>
      </c>
      <c r="M215" t="s">
        <v>1113</v>
      </c>
      <c r="N215" t="s">
        <v>1114</v>
      </c>
      <c r="O215">
        <f>IFERROR(VLOOKUP(HEVARIM[[#This Row],[קוד תקציב]],[2]תקציבים!A:L,6,0),0)</f>
        <v>2</v>
      </c>
      <c r="P215" s="5" t="s">
        <v>104</v>
      </c>
      <c r="Q215" t="s">
        <v>11</v>
      </c>
      <c r="R215" s="4">
        <v>45536</v>
      </c>
      <c r="S215" s="4" t="s">
        <v>74</v>
      </c>
      <c r="T215" s="96" t="s">
        <v>1117</v>
      </c>
      <c r="U215" t="str">
        <f>VLOOKUP(HEVARIM[[#This Row],[גיל]],GIL,2,1)</f>
        <v>--</v>
      </c>
      <c r="V215" t="str">
        <f>IF(HEVARIM[[#This Row],[קוד מעמד]]="4     ",IF(HEVARIM[[#This Row],[גיל]]=1,1,IF(HEVARIM[[#This Row],[גיל]]&lt;=5,5,18)),"")</f>
        <v/>
      </c>
      <c r="W215">
        <f t="shared" si="12"/>
        <v>0</v>
      </c>
      <c r="X21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5">
        <f>IF(HEVARIM[[#This Row],[מצב משפחתי2]]="אלמן",'[2]ריכוז נתונים'!$AC$2,0)</f>
        <v>0</v>
      </c>
      <c r="Z215" s="3">
        <f>VLOOKUP(VALUE(HEVARIM[[#This Row],[קוד מעמד]]),הנחות!$I$2:$K$21,3,0)</f>
        <v>0</v>
      </c>
      <c r="AA215" t="b">
        <f>ISERROR(VLOOKUP(HEVARIM[[#This Row],[קוד תקציב]],'[2]ריכוז נתונים'!A:A,1,0))</f>
        <v>0</v>
      </c>
      <c r="AB215" s="1">
        <f t="shared" si="13"/>
        <v>0</v>
      </c>
      <c r="AC215" s="2">
        <f ca="1">IF(HEVARIM[[#This Row],[בר מצוה]]&gt;0,YEAR(TODAY())+'תקציבים מיוחדים'!$F$5-HEVARIM[[#This Row],[גיל]],0)</f>
        <v>0</v>
      </c>
      <c r="AD215" s="1">
        <f t="shared" si="14"/>
        <v>0</v>
      </c>
      <c r="AE215" s="2">
        <f ca="1">IF(HEVARIM[[#This Row],[בת מצוה]]&gt;0,YEAR(TODAY())+'תקציבים מיוחדים'!$F$5-HEVARIM[[#This Row],[גיל]],0)</f>
        <v>0</v>
      </c>
      <c r="AF215" s="1">
        <f>IF(AND($S215&gt;="רווק",$Z215=1),AF$4*IF(HEVARIM[[#This Row],[גיל]]&gt;$AF$3,1,(($G215-AF$2)/(AF$3-AF$2))),0)</f>
        <v>0</v>
      </c>
      <c r="AG21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15" s="1">
        <f t="shared" si="15"/>
        <v>0</v>
      </c>
      <c r="AI215" s="2">
        <f ca="1">IF(AH215&gt;0,YEAR(TODAY())+'תקציבים מיוחדים'!$F$7-HEVARIM[[#This Row],[גיל]],0)</f>
        <v>0</v>
      </c>
      <c r="AJ215" s="9">
        <f>IF(AND(ISERROR(VLOOKUP(H215,'[2]ריכוז נתונים'!A:L,1,0)),P215="1     "),1,0)</f>
        <v>0</v>
      </c>
      <c r="AK215" s="1">
        <f>IF(VALUE(HEVARIM[[#This Row],[קוד מעמד]])=1,VLOOKUP((IF(LEFT(HEVARIM[[#This Row],[קוד חבר]],1)="0",HEVARIM[[#This Row],[קוד חבר]],VALUE(HEVARIM[[#This Row],[קוד חבר]]))),'ותק חברה 40'!AQ:AW,7,0),"")</f>
        <v>5.6</v>
      </c>
      <c r="AL215" s="1">
        <f>IF(AND(VALUE(HEVARIM[[#This Row],[קוד מעמד]])=1,HEVARIM[[#This Row],[ותק מחברה 40]]&lt;25),HEVARIM[[#This Row],[ותק מחברה 40]]/25*הנחות!$C$4,0)</f>
        <v>8407.7531999999974</v>
      </c>
      <c r="AM215" s="9">
        <f ca="1">IF(HEVARIM[[#This Row],[דמי עזיבה 25 שנות ותק]]&gt;0,YEAR(TODAY())+25-ROUNDDOWN(HEVARIM[[#This Row],[ותק מחברה 40]],0),"")</f>
        <v>2046</v>
      </c>
      <c r="AN21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5" s="9" t="str">
        <f ca="1">IF(HEVARIM[[#This Row],[דמי עזיבה לגיל 65]]&gt;0,YEAR(TODAY())+64-ROUNDDOWN(HEVARIM[[#This Row],[גיל]],0),"")</f>
        <v/>
      </c>
      <c r="AP215" s="1">
        <f>SUMIF(HEVARIM[קוד תקציב],HEVARIM[[#This Row],[קוד תקציב משפחה מקורי]],HEVARIM[ותק מחברה 40])</f>
        <v>11.2</v>
      </c>
      <c r="AQ2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5" s="9">
        <f>IF(HEVARIM[[#This Row],[קוד מעמד]]="1     ",IFERROR(VLOOKUP(HEVARIM[[#This Row],[קוד תקציב]],'תקציב צביעה - לקראת השינוי'!A:F,4,0),0),0)</f>
        <v>0</v>
      </c>
      <c r="AT215" s="1"/>
    </row>
    <row r="216" spans="1:46">
      <c r="A216" t="s">
        <v>1120</v>
      </c>
      <c r="B216" t="s">
        <v>1121</v>
      </c>
      <c r="C216" t="s">
        <v>1115</v>
      </c>
      <c r="D216" t="s">
        <v>1083</v>
      </c>
      <c r="E216" t="s">
        <v>79</v>
      </c>
      <c r="F216" s="4">
        <v>31330</v>
      </c>
      <c r="G216">
        <v>40</v>
      </c>
      <c r="H216" t="s">
        <v>1117</v>
      </c>
      <c r="I216" t="s">
        <v>1118</v>
      </c>
      <c r="J216" s="4" t="s">
        <v>70</v>
      </c>
      <c r="K216" s="4" t="s">
        <v>71</v>
      </c>
      <c r="L216" t="s">
        <v>1122</v>
      </c>
      <c r="M216" t="s">
        <v>1113</v>
      </c>
      <c r="N216" t="s">
        <v>1114</v>
      </c>
      <c r="O216">
        <f>IFERROR(VLOOKUP(HEVARIM[[#This Row],[קוד תקציב]],[2]תקציבים!A:L,6,0),0)</f>
        <v>2</v>
      </c>
      <c r="P216" s="5" t="s">
        <v>104</v>
      </c>
      <c r="Q216" t="s">
        <v>11</v>
      </c>
      <c r="R216" s="4">
        <v>45536</v>
      </c>
      <c r="S216" s="4" t="s">
        <v>74</v>
      </c>
      <c r="T216" s="96" t="s">
        <v>1117</v>
      </c>
      <c r="U216" t="str">
        <f>VLOOKUP(HEVARIM[[#This Row],[גיל]],GIL,2,1)</f>
        <v>--</v>
      </c>
      <c r="V216" t="str">
        <f>IF(HEVARIM[[#This Row],[קוד מעמד]]="4     ",IF(HEVARIM[[#This Row],[גיל]]=1,1,IF(HEVARIM[[#This Row],[גיל]]&lt;=5,5,18)),"")</f>
        <v/>
      </c>
      <c r="W216">
        <f t="shared" si="12"/>
        <v>0</v>
      </c>
      <c r="X2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6">
        <f>IF(HEVARIM[[#This Row],[מצב משפחתי2]]="אלמן",'[2]ריכוז נתונים'!$AC$2,0)</f>
        <v>0</v>
      </c>
      <c r="Z216" s="3">
        <f>VLOOKUP(VALUE(HEVARIM[[#This Row],[קוד מעמד]]),הנחות!$I$2:$K$21,3,0)</f>
        <v>0</v>
      </c>
      <c r="AA216" t="b">
        <f>ISERROR(VLOOKUP(HEVARIM[[#This Row],[קוד תקציב]],'[2]ריכוז נתונים'!A:A,1,0))</f>
        <v>0</v>
      </c>
      <c r="AB216" s="1">
        <f t="shared" si="13"/>
        <v>0</v>
      </c>
      <c r="AC216" s="2">
        <f ca="1">IF(HEVARIM[[#This Row],[בר מצוה]]&gt;0,YEAR(TODAY())+'תקציבים מיוחדים'!$F$5-HEVARIM[[#This Row],[גיל]],0)</f>
        <v>0</v>
      </c>
      <c r="AD216" s="1">
        <f t="shared" si="14"/>
        <v>0</v>
      </c>
      <c r="AE216" s="2">
        <f ca="1">IF(HEVARIM[[#This Row],[בת מצוה]]&gt;0,YEAR(TODAY())+'תקציבים מיוחדים'!$F$5-HEVARIM[[#This Row],[גיל]],0)</f>
        <v>0</v>
      </c>
      <c r="AF216" s="1">
        <f>IF(AND($S216&gt;="רווק",$Z216=1),AF$4*IF(HEVARIM[[#This Row],[גיל]]&gt;$AF$3,1,(($G216-AF$2)/(AF$3-AF$2))),0)</f>
        <v>0</v>
      </c>
      <c r="AG21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16" s="1">
        <f t="shared" si="15"/>
        <v>0</v>
      </c>
      <c r="AI216" s="2">
        <f ca="1">IF(AH216&gt;0,YEAR(TODAY())+'תקציבים מיוחדים'!$F$7-HEVARIM[[#This Row],[גיל]],0)</f>
        <v>0</v>
      </c>
      <c r="AJ216" s="9">
        <f>IF(AND(ISERROR(VLOOKUP(H216,'[2]ריכוז נתונים'!A:L,1,0)),P216="1     "),1,0)</f>
        <v>0</v>
      </c>
      <c r="AK216" s="1">
        <f>IF(VALUE(HEVARIM[[#This Row],[קוד מעמד]])=1,VLOOKUP((IF(LEFT(HEVARIM[[#This Row],[קוד חבר]],1)="0",HEVARIM[[#This Row],[קוד חבר]],VALUE(HEVARIM[[#This Row],[קוד חבר]]))),'ותק חברה 40'!AQ:AW,7,0),"")</f>
        <v>5.6</v>
      </c>
      <c r="AL216" s="1">
        <f>IF(AND(VALUE(HEVARIM[[#This Row],[קוד מעמד]])=1,HEVARIM[[#This Row],[ותק מחברה 40]]&lt;25),HEVARIM[[#This Row],[ותק מחברה 40]]/25*הנחות!$C$4,0)</f>
        <v>8407.7531999999974</v>
      </c>
      <c r="AM216" s="9">
        <f ca="1">IF(HEVARIM[[#This Row],[דמי עזיבה 25 שנות ותק]]&gt;0,YEAR(TODAY())+25-ROUNDDOWN(HEVARIM[[#This Row],[ותק מחברה 40]],0),"")</f>
        <v>2046</v>
      </c>
      <c r="AN2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6" s="9" t="str">
        <f ca="1">IF(HEVARIM[[#This Row],[דמי עזיבה לגיל 65]]&gt;0,YEAR(TODAY())+64-ROUNDDOWN(HEVARIM[[#This Row],[גיל]],0),"")</f>
        <v/>
      </c>
      <c r="AP216" s="1">
        <f>SUMIF(HEVARIM[קוד תקציב],HEVARIM[[#This Row],[קוד תקציב משפחה מקורי]],HEVARIM[ותק מחברה 40])</f>
        <v>11.2</v>
      </c>
      <c r="AQ2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6" s="9">
        <f>IF(HEVARIM[[#This Row],[קוד מעמד]]="1     ",IFERROR(VLOOKUP(HEVARIM[[#This Row],[קוד תקציב]],'תקציב צביעה - לקראת השינוי'!A:F,4,0),0),0)</f>
        <v>0</v>
      </c>
      <c r="AT216" s="1"/>
    </row>
    <row r="217" spans="1:46">
      <c r="A217" t="s">
        <v>1123</v>
      </c>
      <c r="B217" t="s">
        <v>1124</v>
      </c>
      <c r="C217" t="s">
        <v>1115</v>
      </c>
      <c r="D217" t="s">
        <v>1125</v>
      </c>
      <c r="E217" t="s">
        <v>79</v>
      </c>
      <c r="F217" s="4">
        <v>41633</v>
      </c>
      <c r="G217">
        <v>12</v>
      </c>
      <c r="H217" t="s">
        <v>1117</v>
      </c>
      <c r="I217" t="s">
        <v>1118</v>
      </c>
      <c r="J217" s="4" t="s">
        <v>70</v>
      </c>
      <c r="K217" s="4" t="s">
        <v>71</v>
      </c>
      <c r="L217" t="s">
        <v>1126</v>
      </c>
      <c r="M217" t="s">
        <v>1113</v>
      </c>
      <c r="N217" t="s">
        <v>1114</v>
      </c>
      <c r="O217">
        <f>IFERROR(VLOOKUP(HEVARIM[[#This Row],[קוד תקציב]],[2]תקציבים!A:L,6,0),0)</f>
        <v>2</v>
      </c>
      <c r="P217" s="5" t="s">
        <v>227</v>
      </c>
      <c r="Q217" t="s">
        <v>14</v>
      </c>
      <c r="R217" s="4">
        <v>45536</v>
      </c>
      <c r="S217" s="4" t="s">
        <v>90</v>
      </c>
      <c r="T217" s="96" t="s">
        <v>1117</v>
      </c>
      <c r="U217" t="str">
        <f>VLOOKUP(HEVARIM[[#This Row],[גיל]],GIL,2,1)</f>
        <v>יסודי</v>
      </c>
      <c r="V217">
        <f>IF(HEVARIM[[#This Row],[קוד מעמד]]="4     ",IF(HEVARIM[[#This Row],[גיל]]=1,1,IF(HEVARIM[[#This Row],[גיל]]&lt;=5,5,18)),"")</f>
        <v>18</v>
      </c>
      <c r="W217">
        <f t="shared" si="12"/>
        <v>0</v>
      </c>
      <c r="X21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7">
        <f>IF(HEVARIM[[#This Row],[מצב משפחתי2]]="אלמן",'[2]ריכוז נתונים'!$AC$2,0)</f>
        <v>0</v>
      </c>
      <c r="Z217" s="3">
        <f>VLOOKUP(VALUE(HEVARIM[[#This Row],[קוד מעמד]]),הנחות!$I$2:$K$21,3,0)</f>
        <v>1</v>
      </c>
      <c r="AA217" t="b">
        <f>ISERROR(VLOOKUP(HEVARIM[[#This Row],[קוד תקציב]],'[2]ריכוז נתונים'!A:A,1,0))</f>
        <v>0</v>
      </c>
      <c r="AB217" s="1">
        <f t="shared" si="13"/>
        <v>0</v>
      </c>
      <c r="AC217" s="2">
        <f ca="1">IF(HEVARIM[[#This Row],[בר מצוה]]&gt;0,YEAR(TODAY())+'תקציבים מיוחדים'!$F$5-HEVARIM[[#This Row],[גיל]],0)</f>
        <v>0</v>
      </c>
      <c r="AD217" s="1">
        <f t="shared" si="14"/>
        <v>6613.8461538461543</v>
      </c>
      <c r="AE217" s="2">
        <f ca="1">IF(HEVARIM[[#This Row],[בת מצוה]]&gt;0,YEAR(TODAY())+'תקציבים מיוחדים'!$F$5-HEVARIM[[#This Row],[גיל]],0)</f>
        <v>2027</v>
      </c>
      <c r="AF217" s="1">
        <f>IF(AND($S217&gt;="רווק",$Z217=1),AF$4*IF(HEVARIM[[#This Row],[גיל]]&gt;$AF$3,1,(($G217-AF$2)/(AF$3-AF$2))),0)</f>
        <v>34578.571428571428</v>
      </c>
      <c r="AG217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217" s="1">
        <f t="shared" si="15"/>
        <v>60336.28571428571</v>
      </c>
      <c r="AI217" s="2">
        <f ca="1">IF(AH217&gt;0,YEAR(TODAY())+'תקציבים מיוחדים'!$F$7-HEVARIM[[#This Row],[גיל]],0)</f>
        <v>2035</v>
      </c>
      <c r="AJ217" s="9">
        <f>IF(AND(ISERROR(VLOOKUP(H217,'[2]ריכוז נתונים'!A:L,1,0)),P217="1     "),1,0)</f>
        <v>0</v>
      </c>
      <c r="AK21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7" s="1">
        <f>IF(AND(VALUE(HEVARIM[[#This Row],[קוד מעמד]])=1,HEVARIM[[#This Row],[ותק מחברה 40]]&lt;25),HEVARIM[[#This Row],[ותק מחברה 40]]/25*הנחות!$C$4,0)</f>
        <v>0</v>
      </c>
      <c r="AM217" s="9" t="str">
        <f ca="1">IF(HEVARIM[[#This Row],[דמי עזיבה 25 שנות ותק]]&gt;0,YEAR(TODAY())+25-ROUNDDOWN(HEVARIM[[#This Row],[ותק מחברה 40]],0),"")</f>
        <v/>
      </c>
      <c r="AN2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7" s="9" t="str">
        <f ca="1">IF(HEVARIM[[#This Row],[דמי עזיבה לגיל 65]]&gt;0,YEAR(TODAY())+64-ROUNDDOWN(HEVARIM[[#This Row],[גיל]],0),"")</f>
        <v/>
      </c>
      <c r="AP217" s="1">
        <f>SUMIF(HEVARIM[קוד תקציב],HEVARIM[[#This Row],[קוד תקציב משפחה מקורי]],HEVARIM[ותק מחברה 40])</f>
        <v>11.2</v>
      </c>
      <c r="AQ2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2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7" s="9">
        <f>IF(HEVARIM[[#This Row],[קוד מעמד]]="1     ",IFERROR(VLOOKUP(HEVARIM[[#This Row],[קוד תקציב]],'תקציב צביעה - לקראת השינוי'!A:F,4,0),0),0)</f>
        <v>0</v>
      </c>
      <c r="AT217" s="1"/>
    </row>
    <row r="218" spans="1:46">
      <c r="A218" t="s">
        <v>1127</v>
      </c>
      <c r="B218" t="s">
        <v>1128</v>
      </c>
      <c r="C218" t="s">
        <v>1115</v>
      </c>
      <c r="D218" t="s">
        <v>1129</v>
      </c>
      <c r="E218" t="s">
        <v>67</v>
      </c>
      <c r="F218" s="4">
        <v>42585</v>
      </c>
      <c r="G218">
        <v>9</v>
      </c>
      <c r="H218" t="s">
        <v>1117</v>
      </c>
      <c r="I218" t="s">
        <v>1118</v>
      </c>
      <c r="J218" s="4" t="s">
        <v>70</v>
      </c>
      <c r="K218" s="4" t="s">
        <v>71</v>
      </c>
      <c r="L218" t="s">
        <v>1130</v>
      </c>
      <c r="M218" t="s">
        <v>1113</v>
      </c>
      <c r="N218" t="s">
        <v>1114</v>
      </c>
      <c r="O218">
        <f>IFERROR(VLOOKUP(HEVARIM[[#This Row],[קוד תקציב]],[2]תקציבים!A:L,6,0),0)</f>
        <v>2</v>
      </c>
      <c r="P218" s="5" t="s">
        <v>227</v>
      </c>
      <c r="Q218" t="s">
        <v>14</v>
      </c>
      <c r="R218" s="4">
        <v>45536</v>
      </c>
      <c r="S218" s="4" t="s">
        <v>90</v>
      </c>
      <c r="T218" s="96" t="s">
        <v>1117</v>
      </c>
      <c r="U218" t="str">
        <f>VLOOKUP(HEVARIM[[#This Row],[גיל]],GIL,2,1)</f>
        <v>יסודי</v>
      </c>
      <c r="V218">
        <f>IF(HEVARIM[[#This Row],[קוד מעמד]]="4     ",IF(HEVARIM[[#This Row],[גיל]]=1,1,IF(HEVARIM[[#This Row],[גיל]]&lt;=5,5,18)),"")</f>
        <v>18</v>
      </c>
      <c r="W218">
        <f t="shared" si="12"/>
        <v>0</v>
      </c>
      <c r="X21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8">
        <f>IF(HEVARIM[[#This Row],[מצב משפחתי2]]="אלמן",'[2]ריכוז נתונים'!$AC$2,0)</f>
        <v>0</v>
      </c>
      <c r="Z218" s="3">
        <f>VLOOKUP(VALUE(HEVARIM[[#This Row],[קוד מעמד]]),הנחות!$I$2:$K$21,3,0)</f>
        <v>1</v>
      </c>
      <c r="AA218" t="b">
        <f>ISERROR(VLOOKUP(HEVARIM[[#This Row],[קוד תקציב]],'[2]ריכוז נתונים'!A:A,1,0))</f>
        <v>0</v>
      </c>
      <c r="AB218" s="1">
        <f t="shared" si="13"/>
        <v>4960.3846153846152</v>
      </c>
      <c r="AC218" s="2">
        <f ca="1">IF(HEVARIM[[#This Row],[בר מצוה]]&gt;0,YEAR(TODAY())+'תקציבים מיוחדים'!$F$5-HEVARIM[[#This Row],[גיל]],0)</f>
        <v>2030</v>
      </c>
      <c r="AD218" s="1">
        <f t="shared" si="14"/>
        <v>0</v>
      </c>
      <c r="AE218" s="2">
        <f ca="1">IF(HEVARIM[[#This Row],[בת מצוה]]&gt;0,YEAR(TODAY())+'תקציבים מיוחדים'!$F$5-HEVARIM[[#This Row],[גיל]],0)</f>
        <v>0</v>
      </c>
      <c r="AF218" s="1">
        <f>IF(AND($S218&gt;="רווק",$Z218=1),AF$4*IF(HEVARIM[[#This Row],[גיל]]&gt;$AF$3,1,(($G218-AF$2)/(AF$3-AF$2))),0)</f>
        <v>25933.928571428569</v>
      </c>
      <c r="AG218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218" s="1">
        <f t="shared" si="15"/>
        <v>45252.214285714283</v>
      </c>
      <c r="AI218" s="2">
        <f ca="1">IF(AH218&gt;0,YEAR(TODAY())+'תקציבים מיוחדים'!$F$7-HEVARIM[[#This Row],[גיל]],0)</f>
        <v>2038</v>
      </c>
      <c r="AJ218" s="9">
        <f>IF(AND(ISERROR(VLOOKUP(H218,'[2]ריכוז נתונים'!A:L,1,0)),P218="1     "),1,0)</f>
        <v>0</v>
      </c>
      <c r="AK21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8" s="1">
        <f>IF(AND(VALUE(HEVARIM[[#This Row],[קוד מעמד]])=1,HEVARIM[[#This Row],[ותק מחברה 40]]&lt;25),HEVARIM[[#This Row],[ותק מחברה 40]]/25*הנחות!$C$4,0)</f>
        <v>0</v>
      </c>
      <c r="AM218" s="9" t="str">
        <f ca="1">IF(HEVARIM[[#This Row],[דמי עזיבה 25 שנות ותק]]&gt;0,YEAR(TODAY())+25-ROUNDDOWN(HEVARIM[[#This Row],[ותק מחברה 40]],0),"")</f>
        <v/>
      </c>
      <c r="AN2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8" s="9" t="str">
        <f ca="1">IF(HEVARIM[[#This Row],[דמי עזיבה לגיל 65]]&gt;0,YEAR(TODAY())+64-ROUNDDOWN(HEVARIM[[#This Row],[גיל]],0),"")</f>
        <v/>
      </c>
      <c r="AP218" s="1">
        <f>SUMIF(HEVARIM[קוד תקציב],HEVARIM[[#This Row],[קוד תקציב משפחה מקורי]],HEVARIM[ותק מחברה 40])</f>
        <v>11.2</v>
      </c>
      <c r="AQ2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8" s="9">
        <f>IF(HEVARIM[[#This Row],[קוד מעמד]]="1     ",IFERROR(VLOOKUP(HEVARIM[[#This Row],[קוד תקציב]],'תקציב צביעה - לקראת השינוי'!A:F,4,0),0),0)</f>
        <v>0</v>
      </c>
      <c r="AT218" s="1"/>
    </row>
    <row r="219" spans="1:46">
      <c r="A219" t="s">
        <v>1131</v>
      </c>
      <c r="B219" t="s">
        <v>1132</v>
      </c>
      <c r="C219" t="s">
        <v>1115</v>
      </c>
      <c r="D219" t="s">
        <v>1133</v>
      </c>
      <c r="E219" t="s">
        <v>79</v>
      </c>
      <c r="F219" s="4">
        <v>43333</v>
      </c>
      <c r="G219">
        <v>7</v>
      </c>
      <c r="H219" t="s">
        <v>1117</v>
      </c>
      <c r="I219" t="s">
        <v>1118</v>
      </c>
      <c r="J219" s="4" t="s">
        <v>70</v>
      </c>
      <c r="K219" s="4" t="s">
        <v>71</v>
      </c>
      <c r="L219" t="s">
        <v>1134</v>
      </c>
      <c r="M219" t="s">
        <v>1113</v>
      </c>
      <c r="N219" t="s">
        <v>1114</v>
      </c>
      <c r="O219">
        <f>IFERROR(VLOOKUP(HEVARIM[[#This Row],[קוד תקציב]],[2]תקציבים!A:L,6,0),0)</f>
        <v>2</v>
      </c>
      <c r="P219" s="5" t="s">
        <v>227</v>
      </c>
      <c r="Q219" t="s">
        <v>14</v>
      </c>
      <c r="R219" s="4">
        <v>45536</v>
      </c>
      <c r="S219" s="4" t="s">
        <v>90</v>
      </c>
      <c r="T219" s="96" t="s">
        <v>1117</v>
      </c>
      <c r="U219" t="str">
        <f>VLOOKUP(HEVARIM[[#This Row],[גיל]],GIL,2,1)</f>
        <v>יסודי</v>
      </c>
      <c r="V219">
        <f>IF(HEVARIM[[#This Row],[קוד מעמד]]="4     ",IF(HEVARIM[[#This Row],[גיל]]=1,1,IF(HEVARIM[[#This Row],[גיל]]&lt;=5,5,18)),"")</f>
        <v>18</v>
      </c>
      <c r="W219">
        <f t="shared" si="12"/>
        <v>0</v>
      </c>
      <c r="X21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19">
        <f>IF(HEVARIM[[#This Row],[מצב משפחתי2]]="אלמן",'[2]ריכוז נתונים'!$AC$2,0)</f>
        <v>0</v>
      </c>
      <c r="Z219" s="3">
        <f>VLOOKUP(VALUE(HEVARIM[[#This Row],[קוד מעמד]]),הנחות!$I$2:$K$21,3,0)</f>
        <v>1</v>
      </c>
      <c r="AA219" t="b">
        <f>ISERROR(VLOOKUP(HEVARIM[[#This Row],[קוד תקציב]],'[2]ריכוז נתונים'!A:A,1,0))</f>
        <v>0</v>
      </c>
      <c r="AB219" s="1">
        <f t="shared" si="13"/>
        <v>0</v>
      </c>
      <c r="AC219" s="2">
        <f ca="1">IF(HEVARIM[[#This Row],[בר מצוה]]&gt;0,YEAR(TODAY())+'תקציבים מיוחדים'!$F$5-HEVARIM[[#This Row],[גיל]],0)</f>
        <v>0</v>
      </c>
      <c r="AD219" s="1">
        <f t="shared" si="14"/>
        <v>3858.0769230769229</v>
      </c>
      <c r="AE219" s="2">
        <f ca="1">IF(HEVARIM[[#This Row],[בת מצוה]]&gt;0,YEAR(TODAY())+'תקציבים מיוחדים'!$F$5-HEVARIM[[#This Row],[גיל]],0)</f>
        <v>2032</v>
      </c>
      <c r="AF219" s="1">
        <f>IF(AND($S219&gt;="רווק",$Z219=1),AF$4*IF(HEVARIM[[#This Row],[גיל]]&gt;$AF$3,1,(($G219-AF$2)/(AF$3-AF$2))),0)</f>
        <v>20170.833333333332</v>
      </c>
      <c r="AG219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219" s="1">
        <f t="shared" si="15"/>
        <v>35196.166666666664</v>
      </c>
      <c r="AI219" s="2">
        <f ca="1">IF(AH219&gt;0,YEAR(TODAY())+'תקציבים מיוחדים'!$F$7-HEVARIM[[#This Row],[גיל]],0)</f>
        <v>2040</v>
      </c>
      <c r="AJ219" s="9">
        <f>IF(AND(ISERROR(VLOOKUP(H219,'[2]ריכוז נתונים'!A:L,1,0)),P219="1     "),1,0)</f>
        <v>0</v>
      </c>
      <c r="AK21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19" s="1">
        <f>IF(AND(VALUE(HEVARIM[[#This Row],[קוד מעמד]])=1,HEVARIM[[#This Row],[ותק מחברה 40]]&lt;25),HEVARIM[[#This Row],[ותק מחברה 40]]/25*הנחות!$C$4,0)</f>
        <v>0</v>
      </c>
      <c r="AM219" s="9" t="str">
        <f ca="1">IF(HEVARIM[[#This Row],[דמי עזיבה 25 שנות ותק]]&gt;0,YEAR(TODAY())+25-ROUNDDOWN(HEVARIM[[#This Row],[ותק מחברה 40]],0),"")</f>
        <v/>
      </c>
      <c r="AN2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19" s="9" t="str">
        <f ca="1">IF(HEVARIM[[#This Row],[דמי עזיבה לגיל 65]]&gt;0,YEAR(TODAY())+64-ROUNDDOWN(HEVARIM[[#This Row],[גיל]],0),"")</f>
        <v/>
      </c>
      <c r="AP219" s="1">
        <f>SUMIF(HEVARIM[קוד תקציב],HEVARIM[[#This Row],[קוד תקציב משפחה מקורי]],HEVARIM[ותק מחברה 40])</f>
        <v>11.2</v>
      </c>
      <c r="AQ2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19" s="9">
        <f>IF(HEVARIM[[#This Row],[קוד מעמד]]="1     ",IFERROR(VLOOKUP(HEVARIM[[#This Row],[קוד תקציב]],'תקציב צביעה - לקראת השינוי'!A:F,4,0),0),0)</f>
        <v>0</v>
      </c>
      <c r="AT219" s="1"/>
    </row>
    <row r="220" spans="1:46">
      <c r="A220" t="s">
        <v>1135</v>
      </c>
      <c r="B220" t="s">
        <v>1136</v>
      </c>
      <c r="C220" t="s">
        <v>1115</v>
      </c>
      <c r="D220" t="s">
        <v>1137</v>
      </c>
      <c r="E220" t="s">
        <v>79</v>
      </c>
      <c r="F220" s="4">
        <v>44685</v>
      </c>
      <c r="G220">
        <v>3</v>
      </c>
      <c r="H220" t="s">
        <v>1117</v>
      </c>
      <c r="I220" t="s">
        <v>1118</v>
      </c>
      <c r="J220" s="4" t="s">
        <v>70</v>
      </c>
      <c r="K220" s="4" t="s">
        <v>71</v>
      </c>
      <c r="L220" t="s">
        <v>1138</v>
      </c>
      <c r="M220" t="s">
        <v>1113</v>
      </c>
      <c r="N220" t="s">
        <v>1114</v>
      </c>
      <c r="O220">
        <f>IFERROR(VLOOKUP(HEVARIM[[#This Row],[קוד תקציב]],[2]תקציבים!A:L,6,0),0)</f>
        <v>2</v>
      </c>
      <c r="P220" s="5" t="s">
        <v>227</v>
      </c>
      <c r="Q220" t="s">
        <v>14</v>
      </c>
      <c r="R220" s="4">
        <v>45536</v>
      </c>
      <c r="S220" s="4" t="s">
        <v>90</v>
      </c>
      <c r="T220" s="96" t="s">
        <v>1117</v>
      </c>
      <c r="U220" t="str">
        <f>VLOOKUP(HEVARIM[[#This Row],[גיל]],GIL,2,1)</f>
        <v>גנים</v>
      </c>
      <c r="V220">
        <f>IF(HEVARIM[[#This Row],[קוד מעמד]]="4     ",IF(HEVARIM[[#This Row],[גיל]]=1,1,IF(HEVARIM[[#This Row],[גיל]]&lt;=5,5,18)),"")</f>
        <v>5</v>
      </c>
      <c r="W220">
        <f t="shared" si="12"/>
        <v>0</v>
      </c>
      <c r="X22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20">
        <f>IF(HEVARIM[[#This Row],[מצב משפחתי2]]="אלמן",'[2]ריכוז נתונים'!$AC$2,0)</f>
        <v>0</v>
      </c>
      <c r="Z220" s="3">
        <f>VLOOKUP(VALUE(HEVARIM[[#This Row],[קוד מעמד]]),הנחות!$I$2:$K$21,3,0)</f>
        <v>1</v>
      </c>
      <c r="AA220" t="b">
        <f>ISERROR(VLOOKUP(HEVARIM[[#This Row],[קוד תקציב]],'[2]ריכוז נתונים'!A:A,1,0))</f>
        <v>0</v>
      </c>
      <c r="AB220" s="1">
        <f t="shared" si="13"/>
        <v>0</v>
      </c>
      <c r="AC220" s="2">
        <f ca="1">IF(HEVARIM[[#This Row],[בר מצוה]]&gt;0,YEAR(TODAY())+'תקציבים מיוחדים'!$F$5-HEVARIM[[#This Row],[גיל]],0)</f>
        <v>0</v>
      </c>
      <c r="AD220" s="1">
        <f t="shared" si="14"/>
        <v>1653.4615384615386</v>
      </c>
      <c r="AE220" s="2">
        <f ca="1">IF(HEVARIM[[#This Row],[בת מצוה]]&gt;0,YEAR(TODAY())+'תקציבים מיוחדים'!$F$5-HEVARIM[[#This Row],[גיל]],0)</f>
        <v>2036</v>
      </c>
      <c r="AF220" s="1">
        <f>IF(AND($S220&gt;="רווק",$Z220=1),AF$4*IF(HEVARIM[[#This Row],[גיל]]&gt;$AF$3,1,(($G220-AF$2)/(AF$3-AF$2))),0)</f>
        <v>8644.6428571428569</v>
      </c>
      <c r="AG220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220" s="1">
        <f t="shared" si="15"/>
        <v>15084.071428571428</v>
      </c>
      <c r="AI220" s="2">
        <f ca="1">IF(AH220&gt;0,YEAR(TODAY())+'תקציבים מיוחדים'!$F$7-HEVARIM[[#This Row],[גיל]],0)</f>
        <v>2044</v>
      </c>
      <c r="AJ220" s="9">
        <f>IF(AND(ISERROR(VLOOKUP(H220,'[2]ריכוז נתונים'!A:L,1,0)),P220="1     "),1,0)</f>
        <v>0</v>
      </c>
      <c r="AK22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20" s="1">
        <f>IF(AND(VALUE(HEVARIM[[#This Row],[קוד מעמד]])=1,HEVARIM[[#This Row],[ותק מחברה 40]]&lt;25),HEVARIM[[#This Row],[ותק מחברה 40]]/25*הנחות!$C$4,0)</f>
        <v>0</v>
      </c>
      <c r="AM220" s="9" t="str">
        <f ca="1">IF(HEVARIM[[#This Row],[דמי עזיבה 25 שנות ותק]]&gt;0,YEAR(TODAY())+25-ROUNDDOWN(HEVARIM[[#This Row],[ותק מחברה 40]],0),"")</f>
        <v/>
      </c>
      <c r="AN22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0" s="9" t="str">
        <f ca="1">IF(HEVARIM[[#This Row],[דמי עזיבה לגיל 65]]&gt;0,YEAR(TODAY())+64-ROUNDDOWN(HEVARIM[[#This Row],[גיל]],0),"")</f>
        <v/>
      </c>
      <c r="AP220" s="1">
        <f>SUMIF(HEVARIM[קוד תקציב],HEVARIM[[#This Row],[קוד תקציב משפחה מקורי]],HEVARIM[ותק מחברה 40])</f>
        <v>11.2</v>
      </c>
      <c r="AQ2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20" s="9">
        <f>IF(HEVARIM[[#This Row],[קוד מעמד]]="1     ",IFERROR(VLOOKUP(HEVARIM[[#This Row],[קוד תקציב]],'תקציב צביעה - לקראת השינוי'!A:F,4,0),0),0)</f>
        <v>0</v>
      </c>
      <c r="AT220" s="1"/>
    </row>
    <row r="221" spans="1:46">
      <c r="A221" t="s">
        <v>1139</v>
      </c>
      <c r="B221" t="s">
        <v>1140</v>
      </c>
      <c r="C221" t="s">
        <v>1141</v>
      </c>
      <c r="D221" t="s">
        <v>341</v>
      </c>
      <c r="E221" t="s">
        <v>67</v>
      </c>
      <c r="F221" s="4">
        <v>34417</v>
      </c>
      <c r="G221">
        <v>31</v>
      </c>
      <c r="H221" t="s">
        <v>1142</v>
      </c>
      <c r="I221" t="s">
        <v>1143</v>
      </c>
      <c r="J221" s="4" t="s">
        <v>70</v>
      </c>
      <c r="K221" s="4" t="s">
        <v>81</v>
      </c>
      <c r="L221" t="s">
        <v>1144</v>
      </c>
      <c r="M221" t="s">
        <v>1139</v>
      </c>
      <c r="N221" t="s">
        <v>1140</v>
      </c>
      <c r="O221">
        <f>IFERROR(VLOOKUP(HEVARIM[[#This Row],[קוד תקציב]],[2]תקציבים!A:L,6,0),0)</f>
        <v>0</v>
      </c>
      <c r="P221" s="5" t="s">
        <v>83</v>
      </c>
      <c r="Q221" t="s">
        <v>15</v>
      </c>
      <c r="R221" s="4">
        <v>44833</v>
      </c>
      <c r="S221" s="4" t="s">
        <v>74</v>
      </c>
      <c r="T221" s="96" t="s">
        <v>1142</v>
      </c>
      <c r="U221" t="str">
        <f>VLOOKUP(HEVARIM[[#This Row],[גיל]],GIL,2,1)</f>
        <v>--</v>
      </c>
      <c r="V221" t="str">
        <f>IF(HEVARIM[[#This Row],[קוד מעמד]]="4     ",IF(HEVARIM[[#This Row],[גיל]]=1,1,IF(HEVARIM[[#This Row],[גיל]]&lt;=5,5,18)),"")</f>
        <v/>
      </c>
      <c r="W221">
        <f t="shared" si="12"/>
        <v>0</v>
      </c>
      <c r="X22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21">
        <f>IF(HEVARIM[[#This Row],[מצב משפחתי2]]="אלמן",'[2]ריכוז נתונים'!$AC$2,0)</f>
        <v>0</v>
      </c>
      <c r="Z221" s="3">
        <f>VLOOKUP(VALUE(HEVARIM[[#This Row],[קוד מעמד]]),הנחות!$I$2:$K$21,3,0)</f>
        <v>0</v>
      </c>
      <c r="AA221" t="b">
        <f>ISERROR(VLOOKUP(HEVARIM[[#This Row],[קוד תקציב]],'[2]ריכוז נתונים'!A:A,1,0))</f>
        <v>1</v>
      </c>
      <c r="AB221" s="1">
        <f t="shared" si="13"/>
        <v>0</v>
      </c>
      <c r="AC221" s="2">
        <f ca="1">IF(HEVARIM[[#This Row],[בר מצוה]]&gt;0,YEAR(TODAY())+'תקציבים מיוחדים'!$F$5-HEVARIM[[#This Row],[גיל]],0)</f>
        <v>0</v>
      </c>
      <c r="AD221" s="1">
        <f t="shared" si="14"/>
        <v>0</v>
      </c>
      <c r="AE221" s="2">
        <f ca="1">IF(HEVARIM[[#This Row],[בת מצוה]]&gt;0,YEAR(TODAY())+'תקציבים מיוחדים'!$F$5-HEVARIM[[#This Row],[גיל]],0)</f>
        <v>0</v>
      </c>
      <c r="AF221" s="1">
        <f>IF(AND($S221&gt;="רווק",$Z221=1),AF$4*IF(HEVARIM[[#This Row],[גיל]]&gt;$AF$3,1,(($G221-AF$2)/(AF$3-AF$2))),0)</f>
        <v>0</v>
      </c>
      <c r="AG22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1" s="1">
        <f t="shared" si="15"/>
        <v>0</v>
      </c>
      <c r="AI221" s="2">
        <f ca="1">IF(AH221&gt;0,YEAR(TODAY())+'תקציבים מיוחדים'!$F$7-HEVARIM[[#This Row],[גיל]],0)</f>
        <v>0</v>
      </c>
      <c r="AJ221" s="9">
        <f>IF(AND(ISERROR(VLOOKUP(H221,'[2]ריכוז נתונים'!A:L,1,0)),P221="1     "),1,0)</f>
        <v>0</v>
      </c>
      <c r="AK22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21" s="1">
        <f>IF(AND(VALUE(HEVARIM[[#This Row],[קוד מעמד]])=1,HEVARIM[[#This Row],[ותק מחברה 40]]&lt;25),HEVARIM[[#This Row],[ותק מחברה 40]]/25*הנחות!$C$4,0)</f>
        <v>0</v>
      </c>
      <c r="AM221" s="9" t="str">
        <f ca="1">IF(HEVARIM[[#This Row],[דמי עזיבה 25 שנות ותק]]&gt;0,YEAR(TODAY())+25-ROUNDDOWN(HEVARIM[[#This Row],[ותק מחברה 40]],0),"")</f>
        <v/>
      </c>
      <c r="AN22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1" s="9" t="str">
        <f ca="1">IF(HEVARIM[[#This Row],[דמי עזיבה לגיל 65]]&gt;0,YEAR(TODAY())+64-ROUNDDOWN(HEVARIM[[#This Row],[גיל]],0),"")</f>
        <v/>
      </c>
      <c r="AP221" s="1">
        <f>SUMIF(HEVARIM[קוד תקציב],HEVARIM[[#This Row],[קוד תקציב משפחה מקורי]],HEVARIM[ותק מחברה 40])</f>
        <v>0</v>
      </c>
      <c r="AQ2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21" s="9">
        <f>IF(HEVARIM[[#This Row],[קוד מעמד]]="1     ",IFERROR(VLOOKUP(HEVARIM[[#This Row],[קוד תקציב]],'תקציב צביעה - לקראת השינוי'!A:F,4,0),0),0)</f>
        <v>0</v>
      </c>
      <c r="AT221" s="1"/>
    </row>
    <row r="222" spans="1:46">
      <c r="A222" t="s">
        <v>1149</v>
      </c>
      <c r="B222" t="s">
        <v>1150</v>
      </c>
      <c r="C222" t="s">
        <v>1141</v>
      </c>
      <c r="D222" t="s">
        <v>1151</v>
      </c>
      <c r="E222" t="s">
        <v>79</v>
      </c>
      <c r="F222" s="4">
        <v>45426</v>
      </c>
      <c r="G222">
        <v>1</v>
      </c>
      <c r="H222" t="s">
        <v>1142</v>
      </c>
      <c r="I222" t="s">
        <v>1143</v>
      </c>
      <c r="J222" s="4" t="s">
        <v>70</v>
      </c>
      <c r="K222" s="4" t="s">
        <v>81</v>
      </c>
      <c r="L222" t="s">
        <v>1152</v>
      </c>
      <c r="M222" t="s">
        <v>1139</v>
      </c>
      <c r="N222" t="s">
        <v>1140</v>
      </c>
      <c r="O222">
        <f>IFERROR(VLOOKUP(HEVARIM[[#This Row],[קוד תקציב]],[2]תקציבים!A:L,6,0),0)</f>
        <v>0</v>
      </c>
      <c r="P222" s="5" t="s">
        <v>89</v>
      </c>
      <c r="Q222" t="s">
        <v>19</v>
      </c>
      <c r="R222" s="4">
        <v>45426</v>
      </c>
      <c r="S222" s="4" t="s">
        <v>90</v>
      </c>
      <c r="T222" s="96" t="s">
        <v>1142</v>
      </c>
      <c r="U222" t="str">
        <f>VLOOKUP(HEVARIM[[#This Row],[גיל]],GIL,2,1)</f>
        <v>פעוט</v>
      </c>
      <c r="V222" t="str">
        <f>IF(HEVARIM[[#This Row],[קוד מעמד]]="4     ",IF(HEVARIM[[#This Row],[גיל]]=1,1,IF(HEVARIM[[#This Row],[גיל]]&lt;=5,5,18)),"")</f>
        <v/>
      </c>
      <c r="W222">
        <f t="shared" si="12"/>
        <v>0</v>
      </c>
      <c r="X2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22">
        <f>IF(HEVARIM[[#This Row],[מצב משפחתי2]]="אלמן",'[2]ריכוז נתונים'!$AC$2,0)</f>
        <v>0</v>
      </c>
      <c r="Z222" s="3">
        <f>VLOOKUP(VALUE(HEVARIM[[#This Row],[קוד מעמד]]),הנחות!$I$2:$K$21,3,0)</f>
        <v>0</v>
      </c>
      <c r="AA222" t="b">
        <f>ISERROR(VLOOKUP(HEVARIM[[#This Row],[קוד תקציב]],'[2]ריכוז נתונים'!A:A,1,0))</f>
        <v>1</v>
      </c>
      <c r="AB222" s="1">
        <f t="shared" si="13"/>
        <v>0</v>
      </c>
      <c r="AC222" s="2">
        <f ca="1">IF(HEVARIM[[#This Row],[בר מצוה]]&gt;0,YEAR(TODAY())+'תקציבים מיוחדים'!$F$5-HEVARIM[[#This Row],[גיל]],0)</f>
        <v>0</v>
      </c>
      <c r="AD222" s="1">
        <f t="shared" si="14"/>
        <v>0</v>
      </c>
      <c r="AE222" s="2">
        <f ca="1">IF(HEVARIM[[#This Row],[בת מצוה]]&gt;0,YEAR(TODAY())+'תקציבים מיוחדים'!$F$5-HEVARIM[[#This Row],[גיל]],0)</f>
        <v>0</v>
      </c>
      <c r="AF222" s="1">
        <f>IF(AND($S222&gt;="רווק",$Z222=1),AF$4*IF(HEVARIM[[#This Row],[גיל]]&gt;$AF$3,1,(($G222-AF$2)/(AF$3-AF$2))),0)</f>
        <v>0</v>
      </c>
      <c r="AG22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2" s="1">
        <f t="shared" si="15"/>
        <v>0</v>
      </c>
      <c r="AI222" s="2">
        <f ca="1">IF(AH222&gt;0,YEAR(TODAY())+'תקציבים מיוחדים'!$F$7-HEVARIM[[#This Row],[גיל]],0)</f>
        <v>0</v>
      </c>
      <c r="AJ222" s="9">
        <f>IF(AND(ISERROR(VLOOKUP(H222,'[2]ריכוז נתונים'!A:L,1,0)),P222="1     "),1,0)</f>
        <v>0</v>
      </c>
      <c r="AK22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22" s="1">
        <f>IF(AND(VALUE(HEVARIM[[#This Row],[קוד מעמד]])=1,HEVARIM[[#This Row],[ותק מחברה 40]]&lt;25),HEVARIM[[#This Row],[ותק מחברה 40]]/25*הנחות!$C$4,0)</f>
        <v>0</v>
      </c>
      <c r="AM222" s="9" t="str">
        <f ca="1">IF(HEVARIM[[#This Row],[דמי עזיבה 25 שנות ותק]]&gt;0,YEAR(TODAY())+25-ROUNDDOWN(HEVARIM[[#This Row],[ותק מחברה 40]],0),"")</f>
        <v/>
      </c>
      <c r="AN22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2" s="9" t="str">
        <f ca="1">IF(HEVARIM[[#This Row],[דמי עזיבה לגיל 65]]&gt;0,YEAR(TODAY())+64-ROUNDDOWN(HEVARIM[[#This Row],[גיל]],0),"")</f>
        <v/>
      </c>
      <c r="AP222" s="1">
        <f>SUMIF(HEVARIM[קוד תקציב],HEVARIM[[#This Row],[קוד תקציב משפחה מקורי]],HEVARIM[ותק מחברה 40])</f>
        <v>0</v>
      </c>
      <c r="AQ2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22" s="9">
        <f>IF(HEVARIM[[#This Row],[קוד מעמד]]="1     ",IFERROR(VLOOKUP(HEVARIM[[#This Row],[קוד תקציב]],'תקציב צביעה - לקראת השינוי'!A:F,4,0),0),0)</f>
        <v>0</v>
      </c>
      <c r="AT222" s="1"/>
    </row>
    <row r="223" spans="1:46">
      <c r="A223" t="s">
        <v>1153</v>
      </c>
      <c r="B223" t="s">
        <v>1154</v>
      </c>
      <c r="C223" t="s">
        <v>1155</v>
      </c>
      <c r="D223" t="s">
        <v>1156</v>
      </c>
      <c r="E223" t="s">
        <v>79</v>
      </c>
      <c r="F223" s="4">
        <v>12995</v>
      </c>
      <c r="G223">
        <v>90</v>
      </c>
      <c r="H223" t="s">
        <v>1157</v>
      </c>
      <c r="I223" t="s">
        <v>1158</v>
      </c>
      <c r="J223" s="4" t="s">
        <v>70</v>
      </c>
      <c r="K223" s="4" t="s">
        <v>71</v>
      </c>
      <c r="L223" t="s">
        <v>1159</v>
      </c>
      <c r="M223" t="s">
        <v>1160</v>
      </c>
      <c r="N223" t="s">
        <v>1161</v>
      </c>
      <c r="O223">
        <f>IFERROR(VLOOKUP(HEVARIM[[#This Row],[קוד תקציב]],[2]תקציבים!A:L,6,0),0)</f>
        <v>1</v>
      </c>
      <c r="P223" s="5" t="s">
        <v>104</v>
      </c>
      <c r="Q223" t="s">
        <v>11</v>
      </c>
      <c r="R223" s="4">
        <v>23011</v>
      </c>
      <c r="S223" s="4" t="s">
        <v>449</v>
      </c>
      <c r="T223" s="96" t="s">
        <v>1157</v>
      </c>
      <c r="U223" t="str">
        <f>VLOOKUP(HEVARIM[[#This Row],[גיל]],GIL,2,1)</f>
        <v>--</v>
      </c>
      <c r="V223" t="str">
        <f>IF(HEVARIM[[#This Row],[קוד מעמד]]="4     ",IF(HEVARIM[[#This Row],[גיל]]=1,1,IF(HEVARIM[[#This Row],[גיל]]&lt;=5,5,18)),"")</f>
        <v/>
      </c>
      <c r="W223">
        <f t="shared" si="12"/>
        <v>1665</v>
      </c>
      <c r="X22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23">
        <f>IF(HEVARIM[[#This Row],[מצב משפחתי2]]="אלמן",'[2]ריכוז נתונים'!$AC$2,0)</f>
        <v>4900</v>
      </c>
      <c r="Z223" s="3">
        <f>VLOOKUP(VALUE(HEVARIM[[#This Row],[קוד מעמד]]),הנחות!$I$2:$K$21,3,0)</f>
        <v>0</v>
      </c>
      <c r="AA223" t="b">
        <f>ISERROR(VLOOKUP(HEVARIM[[#This Row],[קוד תקציב]],'[2]ריכוז נתונים'!A:A,1,0))</f>
        <v>0</v>
      </c>
      <c r="AB223" s="1">
        <f t="shared" si="13"/>
        <v>0</v>
      </c>
      <c r="AC223" s="2">
        <f ca="1">IF(HEVARIM[[#This Row],[בר מצוה]]&gt;0,YEAR(TODAY())+'תקציבים מיוחדים'!$F$5-HEVARIM[[#This Row],[גיל]],0)</f>
        <v>0</v>
      </c>
      <c r="AD223" s="1">
        <f t="shared" si="14"/>
        <v>0</v>
      </c>
      <c r="AE223" s="2">
        <f ca="1">IF(HEVARIM[[#This Row],[בת מצוה]]&gt;0,YEAR(TODAY())+'תקציבים מיוחדים'!$F$5-HEVARIM[[#This Row],[גיל]],0)</f>
        <v>0</v>
      </c>
      <c r="AF223" s="1">
        <f>IF(AND($S223&gt;="רווק",$Z223=1),AF$4*IF(HEVARIM[[#This Row],[גיל]]&gt;$AF$3,1,(($G223-AF$2)/(AF$3-AF$2))),0)</f>
        <v>0</v>
      </c>
      <c r="AG22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3" s="1">
        <f t="shared" si="15"/>
        <v>0</v>
      </c>
      <c r="AI223" s="2">
        <f ca="1">IF(AH223&gt;0,YEAR(TODAY())+'תקציבים מיוחדים'!$F$7-HEVARIM[[#This Row],[גיל]],0)</f>
        <v>0</v>
      </c>
      <c r="AJ223" s="9">
        <f>IF(AND(ISERROR(VLOOKUP(H223,'[2]ריכוז נתונים'!A:L,1,0)),P223="1     "),1,0)</f>
        <v>0</v>
      </c>
      <c r="AK223" s="1">
        <f>IF(VALUE(HEVARIM[[#This Row],[קוד מעמד]])=1,VLOOKUP((IF(LEFT(HEVARIM[[#This Row],[קוד חבר]],1)="0",HEVARIM[[#This Row],[קוד חבר]],VALUE(HEVARIM[[#This Row],[קוד חבר]]))),'ותק חברה 40'!AQ:AW,7,0),"")</f>
        <v>43.19</v>
      </c>
      <c r="AL223" s="1">
        <f>IF(AND(VALUE(HEVARIM[[#This Row],[קוד מעמד]])=1,HEVARIM[[#This Row],[ותק מחברה 40]]&lt;25),HEVARIM[[#This Row],[ותק מחברה 40]]/25*הנחות!$C$4,0)</f>
        <v>0</v>
      </c>
      <c r="AM223" s="9" t="str">
        <f ca="1">IF(HEVARIM[[#This Row],[דמי עזיבה 25 שנות ותק]]&gt;0,YEAR(TODAY())+25-ROUNDDOWN(HEVARIM[[#This Row],[ותק מחברה 40]],0),"")</f>
        <v/>
      </c>
      <c r="AN22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3" s="9" t="str">
        <f ca="1">IF(HEVARIM[[#This Row],[דמי עזיבה לגיל 65]]&gt;0,YEAR(TODAY())+64-ROUNDDOWN(HEVARIM[[#This Row],[גיל]],0),"")</f>
        <v/>
      </c>
      <c r="AP223" s="1">
        <f>SUMIF(HEVARIM[קוד תקציב],HEVARIM[[#This Row],[קוד תקציב משפחה מקורי]],HEVARIM[ותק מחברה 40])</f>
        <v>43.19</v>
      </c>
      <c r="AQ2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5625</v>
      </c>
      <c r="AS223" s="9">
        <f>IF(HEVARIM[[#This Row],[קוד מעמד]]="1     ",IFERROR(VLOOKUP(HEVARIM[[#This Row],[קוד תקציב]],'תקציב צביעה - לקראת השינוי'!A:F,4,0),0),0)</f>
        <v>2029</v>
      </c>
      <c r="AT223" s="1"/>
    </row>
    <row r="224" spans="1:46">
      <c r="A224" t="s">
        <v>952</v>
      </c>
      <c r="B224" t="s">
        <v>953</v>
      </c>
      <c r="C224" t="s">
        <v>948</v>
      </c>
      <c r="D224" t="s">
        <v>503</v>
      </c>
      <c r="E224" t="s">
        <v>79</v>
      </c>
      <c r="F224" s="4">
        <v>21886</v>
      </c>
      <c r="G224">
        <v>66</v>
      </c>
      <c r="H224" t="s">
        <v>949</v>
      </c>
      <c r="I224" t="s">
        <v>950</v>
      </c>
      <c r="J224" s="4" t="s">
        <v>70</v>
      </c>
      <c r="K224" s="4" t="s">
        <v>71</v>
      </c>
      <c r="L224" t="s">
        <v>954</v>
      </c>
      <c r="M224" t="s">
        <v>946</v>
      </c>
      <c r="N224" t="s">
        <v>947</v>
      </c>
      <c r="O224">
        <f>IFERROR(VLOOKUP(HEVARIM[[#This Row],[קוד תקציב]],[2]תקציבים!A:L,6,0),0)</f>
        <v>2</v>
      </c>
      <c r="P224" s="5" t="s">
        <v>104</v>
      </c>
      <c r="Q224" t="s">
        <v>11</v>
      </c>
      <c r="R224" s="4">
        <v>33786</v>
      </c>
      <c r="S224" s="4" t="s">
        <v>74</v>
      </c>
      <c r="T224" s="96" t="s">
        <v>1157</v>
      </c>
      <c r="U224" t="str">
        <f>VLOOKUP(HEVARIM[[#This Row],[גיל]],GIL,2,1)</f>
        <v>--</v>
      </c>
      <c r="V224" t="str">
        <f>IF(HEVARIM[[#This Row],[קוד מעמד]]="4     ",IF(HEVARIM[[#This Row],[גיל]]=1,1,IF(HEVARIM[[#This Row],[גיל]]&lt;=5,5,18)),"")</f>
        <v/>
      </c>
      <c r="W224">
        <f t="shared" si="12"/>
        <v>0</v>
      </c>
      <c r="X22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24">
        <f>IF(HEVARIM[[#This Row],[מצב משפחתי2]]="אלמן",'[2]ריכוז נתונים'!$AC$2,0)</f>
        <v>0</v>
      </c>
      <c r="Z224" s="3">
        <f>VLOOKUP(VALUE(HEVARIM[[#This Row],[קוד מעמד]]),הנחות!$I$2:$K$21,3,0)</f>
        <v>0</v>
      </c>
      <c r="AA224" t="b">
        <f>ISERROR(VLOOKUP(HEVARIM[[#This Row],[קוד תקציב]],'[2]ריכוז נתונים'!A:A,1,0))</f>
        <v>0</v>
      </c>
      <c r="AB224" s="1">
        <f t="shared" si="13"/>
        <v>0</v>
      </c>
      <c r="AC224" s="2">
        <f ca="1">IF(HEVARIM[[#This Row],[בר מצוה]]&gt;0,YEAR(TODAY())+'תקציבים מיוחדים'!$F$5-HEVARIM[[#This Row],[גיל]],0)</f>
        <v>0</v>
      </c>
      <c r="AD224" s="1">
        <f t="shared" si="14"/>
        <v>0</v>
      </c>
      <c r="AE224" s="2">
        <f ca="1">IF(HEVARIM[[#This Row],[בת מצוה]]&gt;0,YEAR(TODAY())+'תקציבים מיוחדים'!$F$5-HEVARIM[[#This Row],[גיל]],0)</f>
        <v>0</v>
      </c>
      <c r="AF224" s="1">
        <f>IF(AND($S224&gt;="רווק",$Z224=1),AF$4*IF(HEVARIM[[#This Row],[גיל]]&gt;$AF$3,1,(($G224-AF$2)/(AF$3-AF$2))),0)</f>
        <v>0</v>
      </c>
      <c r="AG22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4" s="1">
        <f t="shared" si="15"/>
        <v>0</v>
      </c>
      <c r="AI224" s="2">
        <f ca="1">IF(AH224&gt;0,YEAR(TODAY())+'תקציבים מיוחדים'!$F$7-HEVARIM[[#This Row],[גיל]],0)</f>
        <v>0</v>
      </c>
      <c r="AJ224" s="9">
        <f>IF(AND(ISERROR(VLOOKUP(H224,'[2]ריכוז נתונים'!A:L,1,0)),P224="1     "),1,0)</f>
        <v>0</v>
      </c>
      <c r="AK224" s="1">
        <f>IF(VALUE(HEVARIM[[#This Row],[קוד מעמד]])=1,VLOOKUP((IF(LEFT(HEVARIM[[#This Row],[קוד חבר]],1)="0",HEVARIM[[#This Row],[קוד חבר]],VALUE(HEVARIM[[#This Row],[קוד חבר]]))),'ותק חברה 40'!AQ:AW,7,0),"")</f>
        <v>46.28</v>
      </c>
      <c r="AL224" s="1">
        <f>IF(AND(VALUE(HEVARIM[[#This Row],[קוד מעמד]])=1,HEVARIM[[#This Row],[ותק מחברה 40]]&lt;25),HEVARIM[[#This Row],[ותק מחברה 40]]/25*הנחות!$C$4,0)</f>
        <v>0</v>
      </c>
      <c r="AM224" s="9" t="str">
        <f ca="1">IF(HEVARIM[[#This Row],[דמי עזיבה 25 שנות ותק]]&gt;0,YEAR(TODAY())+25-ROUNDDOWN(HEVARIM[[#This Row],[ותק מחברה 40]],0),"")</f>
        <v/>
      </c>
      <c r="AN2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4" s="9" t="str">
        <f ca="1">IF(HEVARIM[[#This Row],[דמי עזיבה לגיל 65]]&gt;0,YEAR(TODAY())+64-ROUNDDOWN(HEVARIM[[#This Row],[גיל]],0),"")</f>
        <v/>
      </c>
      <c r="AP224" s="1">
        <f>SUMIF(HEVARIM[קוד תקציב],HEVARIM[[#This Row],[קוד תקציב משפחה מקורי]],HEVARIM[ותק מחברה 40])</f>
        <v>43.19</v>
      </c>
      <c r="AQ2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24" s="9">
        <f>IF(HEVARIM[[#This Row],[קוד מעמד]]="1     ",IFERROR(VLOOKUP(HEVARIM[[#This Row],[קוד תקציב]],'תקציב צביעה - לקראת השינוי'!A:F,4,0),0),0)</f>
        <v>2033</v>
      </c>
      <c r="AT224" s="1"/>
    </row>
    <row r="225" spans="1:46">
      <c r="A225" t="s">
        <v>2619</v>
      </c>
      <c r="B225" t="s">
        <v>2620</v>
      </c>
      <c r="C225" t="s">
        <v>2621</v>
      </c>
      <c r="D225" t="s">
        <v>160</v>
      </c>
      <c r="E225" t="s">
        <v>67</v>
      </c>
      <c r="F225" s="4">
        <v>24491</v>
      </c>
      <c r="G225">
        <v>58</v>
      </c>
      <c r="H225" t="s">
        <v>2622</v>
      </c>
      <c r="I225" t="s">
        <v>2623</v>
      </c>
      <c r="J225" s="4" t="s">
        <v>70</v>
      </c>
      <c r="K225" s="4" t="s">
        <v>71</v>
      </c>
      <c r="L225" t="s">
        <v>2624</v>
      </c>
      <c r="M225" t="s">
        <v>2619</v>
      </c>
      <c r="N225" t="s">
        <v>2620</v>
      </c>
      <c r="O225">
        <f>IFERROR(VLOOKUP(HEVARIM[[#This Row],[קוד תקציב]],[2]תקציבים!A:L,6,0),0)</f>
        <v>2</v>
      </c>
      <c r="P225" s="5" t="s">
        <v>104</v>
      </c>
      <c r="Q225" t="s">
        <v>11</v>
      </c>
      <c r="R225" s="4">
        <v>36404</v>
      </c>
      <c r="S225" s="4" t="s">
        <v>74</v>
      </c>
      <c r="T225" s="96" t="s">
        <v>1157</v>
      </c>
      <c r="U225" t="str">
        <f>VLOOKUP(HEVARIM[[#This Row],[גיל]],GIL,2,1)</f>
        <v>--</v>
      </c>
      <c r="V225" t="str">
        <f>IF(HEVARIM[[#This Row],[קוד מעמד]]="4     ",IF(HEVARIM[[#This Row],[גיל]]=1,1,IF(HEVARIM[[#This Row],[גיל]]&lt;=5,5,18)),"")</f>
        <v/>
      </c>
      <c r="W225">
        <f t="shared" si="12"/>
        <v>0</v>
      </c>
      <c r="X22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25">
        <f>IF(HEVARIM[[#This Row],[מצב משפחתי2]]="אלמן",'[2]ריכוז נתונים'!$AC$2,0)</f>
        <v>0</v>
      </c>
      <c r="Z225" s="3">
        <f>VLOOKUP(VALUE(HEVARIM[[#This Row],[קוד מעמד]]),הנחות!$I$2:$K$21,3,0)</f>
        <v>0</v>
      </c>
      <c r="AA225" t="b">
        <f>ISERROR(VLOOKUP(HEVARIM[[#This Row],[קוד תקציב]],'[2]ריכוז נתונים'!A:A,1,0))</f>
        <v>0</v>
      </c>
      <c r="AB225" s="1">
        <f t="shared" si="13"/>
        <v>0</v>
      </c>
      <c r="AC225" s="2">
        <f ca="1">IF(HEVARIM[[#This Row],[בר מצוה]]&gt;0,YEAR(TODAY())+'תקציבים מיוחדים'!$F$5-HEVARIM[[#This Row],[גיל]],0)</f>
        <v>0</v>
      </c>
      <c r="AD225" s="1">
        <f t="shared" si="14"/>
        <v>0</v>
      </c>
      <c r="AE225" s="2">
        <f ca="1">IF(HEVARIM[[#This Row],[בת מצוה]]&gt;0,YEAR(TODAY())+'תקציבים מיוחדים'!$F$5-HEVARIM[[#This Row],[גיל]],0)</f>
        <v>0</v>
      </c>
      <c r="AF225" s="1">
        <f>IF(AND($S225&gt;="רווק",$Z225=1),AF$4*IF(HEVARIM[[#This Row],[גיל]]&gt;$AF$3,1,(($G225-AF$2)/(AF$3-AF$2))),0)</f>
        <v>0</v>
      </c>
      <c r="AG22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5" s="1">
        <f t="shared" si="15"/>
        <v>0</v>
      </c>
      <c r="AI225" s="2">
        <f ca="1">IF(AH225&gt;0,YEAR(TODAY())+'תקציבים מיוחדים'!$F$7-HEVARIM[[#This Row],[גיל]],0)</f>
        <v>0</v>
      </c>
      <c r="AJ225" s="9">
        <f>IF(AND(ISERROR(VLOOKUP(H225,'[2]ריכוז נתונים'!A:L,1,0)),P225="1     "),1,0)</f>
        <v>0</v>
      </c>
      <c r="AK225" s="1">
        <f>IF(VALUE(HEVARIM[[#This Row],[קוד מעמד]])=1,VLOOKUP((IF(LEFT(HEVARIM[[#This Row],[קוד חבר]],1)="0",HEVARIM[[#This Row],[קוד חבר]],VALUE(HEVARIM[[#This Row],[קוד חבר]]))),'ותק חברה 40'!AQ:AW,7,0),"")</f>
        <v>30.05</v>
      </c>
      <c r="AL225" s="1">
        <f>IF(AND(VALUE(HEVARIM[[#This Row],[קוד מעמד]])=1,HEVARIM[[#This Row],[ותק מחברה 40]]&lt;25),HEVARIM[[#This Row],[ותק מחברה 40]]/25*הנחות!$C$4,0)</f>
        <v>0</v>
      </c>
      <c r="AM225" s="9" t="str">
        <f ca="1">IF(HEVARIM[[#This Row],[דמי עזיבה 25 שנות ותק]]&gt;0,YEAR(TODAY())+25-ROUNDDOWN(HEVARIM[[#This Row],[ותק מחברה 40]],0),"")</f>
        <v/>
      </c>
      <c r="AN225" s="1">
        <f>IF(AND(VALUE(HEVARIM[[#This Row],[קוד מעמד]])=1,HEVARIM[[#This Row],[ותק מחברה 40]]&gt;25,HEVARIM[[#This Row],[גיל]]&lt;65),הנחות!$C$14+(HEVARIM[[#This Row],[ותק מחברה 40]]-25)*הנחות!$C$10*0.25,0)</f>
        <v>40349.708437499998</v>
      </c>
      <c r="AO225" s="9">
        <f ca="1">IF(HEVARIM[[#This Row],[דמי עזיבה לגיל 65]]&gt;0,YEAR(TODAY())+64-ROUNDDOWN(HEVARIM[[#This Row],[גיל]],0),"")</f>
        <v>2032</v>
      </c>
      <c r="AP225" s="1">
        <f>SUMIF(HEVARIM[קוד תקציב],HEVARIM[[#This Row],[קוד תקציב משפחה מקורי]],HEVARIM[ותק מחברה 40])</f>
        <v>43.19</v>
      </c>
      <c r="AQ2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225" s="9">
        <f>IF(HEVARIM[[#This Row],[קוד מעמד]]="1     ",IFERROR(VLOOKUP(HEVARIM[[#This Row],[קוד תקציב]],'תקציב צביעה - לקראת השינוי'!A:F,4,0),0),0)</f>
        <v>2031</v>
      </c>
      <c r="AT225" s="1"/>
    </row>
    <row r="226" spans="1:46">
      <c r="A226" t="s">
        <v>1168</v>
      </c>
      <c r="B226" t="s">
        <v>1169</v>
      </c>
      <c r="C226" t="s">
        <v>1170</v>
      </c>
      <c r="D226" t="s">
        <v>1171</v>
      </c>
      <c r="E226" t="s">
        <v>67</v>
      </c>
      <c r="F226" s="4">
        <v>19087</v>
      </c>
      <c r="G226">
        <v>73</v>
      </c>
      <c r="H226" t="s">
        <v>1172</v>
      </c>
      <c r="I226" t="s">
        <v>1173</v>
      </c>
      <c r="J226" s="4" t="s">
        <v>70</v>
      </c>
      <c r="K226" s="4" t="s">
        <v>71</v>
      </c>
      <c r="L226" t="s">
        <v>1174</v>
      </c>
      <c r="M226" t="s">
        <v>1168</v>
      </c>
      <c r="N226" t="s">
        <v>1169</v>
      </c>
      <c r="O226">
        <f>IFERROR(VLOOKUP(HEVARIM[[#This Row],[קוד תקציב]],[2]תקציבים!A:L,6,0),0)</f>
        <v>2</v>
      </c>
      <c r="P226" s="5" t="s">
        <v>104</v>
      </c>
      <c r="Q226" t="s">
        <v>11</v>
      </c>
      <c r="R226" s="4">
        <v>27394</v>
      </c>
      <c r="S226" s="4" t="s">
        <v>74</v>
      </c>
      <c r="T226" s="96" t="s">
        <v>1172</v>
      </c>
      <c r="U226" t="str">
        <f>VLOOKUP(HEVARIM[[#This Row],[גיל]],GIL,2,1)</f>
        <v>--</v>
      </c>
      <c r="V226" t="str">
        <f>IF(HEVARIM[[#This Row],[קוד מעמד]]="4     ",IF(HEVARIM[[#This Row],[גיל]]=1,1,IF(HEVARIM[[#This Row],[גיל]]&lt;=5,5,18)),"")</f>
        <v/>
      </c>
      <c r="W226">
        <f t="shared" si="12"/>
        <v>2365</v>
      </c>
      <c r="X22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26">
        <f>IF(HEVARIM[[#This Row],[מצב משפחתי2]]="אלמן",'[2]ריכוז נתונים'!$AC$2,0)</f>
        <v>0</v>
      </c>
      <c r="Z226" s="3">
        <f>VLOOKUP(VALUE(HEVARIM[[#This Row],[קוד מעמד]]),הנחות!$I$2:$K$21,3,0)</f>
        <v>0</v>
      </c>
      <c r="AA226" t="b">
        <f>ISERROR(VLOOKUP(HEVARIM[[#This Row],[קוד תקציב]],'[2]ריכוז נתונים'!A:A,1,0))</f>
        <v>0</v>
      </c>
      <c r="AB226" s="1">
        <f t="shared" si="13"/>
        <v>0</v>
      </c>
      <c r="AC226" s="2">
        <f ca="1">IF(HEVARIM[[#This Row],[בר מצוה]]&gt;0,YEAR(TODAY())+'תקציבים מיוחדים'!$F$5-HEVARIM[[#This Row],[גיל]],0)</f>
        <v>0</v>
      </c>
      <c r="AD226" s="1">
        <f t="shared" si="14"/>
        <v>0</v>
      </c>
      <c r="AE226" s="2">
        <f ca="1">IF(HEVARIM[[#This Row],[בת מצוה]]&gt;0,YEAR(TODAY())+'תקציבים מיוחדים'!$F$5-HEVARIM[[#This Row],[גיל]],0)</f>
        <v>0</v>
      </c>
      <c r="AF226" s="1">
        <f>IF(AND($S226&gt;="רווק",$Z226=1),AF$4*IF(HEVARIM[[#This Row],[גיל]]&gt;$AF$3,1,(($G226-AF$2)/(AF$3-AF$2))),0)</f>
        <v>0</v>
      </c>
      <c r="AG22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6" s="1">
        <f t="shared" si="15"/>
        <v>0</v>
      </c>
      <c r="AI226" s="2">
        <f ca="1">IF(AH226&gt;0,YEAR(TODAY())+'תקציבים מיוחדים'!$F$7-HEVARIM[[#This Row],[גיל]],0)</f>
        <v>0</v>
      </c>
      <c r="AJ226" s="9">
        <f>IF(AND(ISERROR(VLOOKUP(H226,'[2]ריכוז נתונים'!A:L,1,0)),P226="1     "),1,0)</f>
        <v>0</v>
      </c>
      <c r="AK226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26" s="1">
        <f>IF(AND(VALUE(HEVARIM[[#This Row],[קוד מעמד]])=1,HEVARIM[[#This Row],[ותק מחברה 40]]&lt;25),HEVARIM[[#This Row],[ותק מחברה 40]]/25*הנחות!$C$4,0)</f>
        <v>0</v>
      </c>
      <c r="AM226" s="9" t="str">
        <f ca="1">IF(HEVARIM[[#This Row],[דמי עזיבה 25 שנות ותק]]&gt;0,YEAR(TODAY())+25-ROUNDDOWN(HEVARIM[[#This Row],[ותק מחברה 40]],0),"")</f>
        <v/>
      </c>
      <c r="AN22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6" s="9" t="str">
        <f ca="1">IF(HEVARIM[[#This Row],[דמי עזיבה לגיל 65]]&gt;0,YEAR(TODAY())+64-ROUNDDOWN(HEVARIM[[#This Row],[גיל]],0),"")</f>
        <v/>
      </c>
      <c r="AP226" s="1">
        <f>SUMIF(HEVARIM[קוד תקציב],HEVARIM[[#This Row],[קוד תקציב משפחה מקורי]],HEVARIM[ותק מחברה 40])</f>
        <v>48</v>
      </c>
      <c r="AQ2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26" s="9">
        <f>IF(HEVARIM[[#This Row],[קוד מעמד]]="1     ",IFERROR(VLOOKUP(HEVARIM[[#This Row],[קוד תקציב]],'תקציב צביעה - לקראת השינוי'!A:F,4,0),0),0)</f>
        <v>2034</v>
      </c>
      <c r="AT226" s="1"/>
    </row>
    <row r="227" spans="1:46">
      <c r="A227" t="s">
        <v>1145</v>
      </c>
      <c r="B227" t="s">
        <v>1146</v>
      </c>
      <c r="C227" t="s">
        <v>1141</v>
      </c>
      <c r="D227" t="s">
        <v>1147</v>
      </c>
      <c r="E227" t="s">
        <v>79</v>
      </c>
      <c r="F227" s="4">
        <v>34915</v>
      </c>
      <c r="G227">
        <v>30</v>
      </c>
      <c r="H227" t="s">
        <v>1142</v>
      </c>
      <c r="I227" t="s">
        <v>1143</v>
      </c>
      <c r="J227" s="4" t="s">
        <v>70</v>
      </c>
      <c r="K227" s="4" t="s">
        <v>81</v>
      </c>
      <c r="L227" t="s">
        <v>1148</v>
      </c>
      <c r="M227" t="s">
        <v>1139</v>
      </c>
      <c r="N227" t="s">
        <v>1140</v>
      </c>
      <c r="O227">
        <f>IFERROR(VLOOKUP(HEVARIM[[#This Row],[קוד תקציב]],[2]תקציבים!A:L,6,0),0)</f>
        <v>0</v>
      </c>
      <c r="P227" s="5" t="s">
        <v>129</v>
      </c>
      <c r="Q227" t="s">
        <v>26</v>
      </c>
      <c r="R227" s="4">
        <v>44562</v>
      </c>
      <c r="S227" s="4" t="s">
        <v>74</v>
      </c>
      <c r="T227" s="96" t="s">
        <v>1172</v>
      </c>
      <c r="U227" t="str">
        <f>VLOOKUP(HEVARIM[[#This Row],[גיל]],GIL,2,1)</f>
        <v>--</v>
      </c>
      <c r="V227" t="str">
        <f>IF(HEVARIM[[#This Row],[קוד מעמד]]="4     ",IF(HEVARIM[[#This Row],[גיל]]=1,1,IF(HEVARIM[[#This Row],[גיל]]&lt;=5,5,18)),"")</f>
        <v/>
      </c>
      <c r="W227">
        <f t="shared" si="12"/>
        <v>0</v>
      </c>
      <c r="X22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27">
        <f>IF(HEVARIM[[#This Row],[מצב משפחתי2]]="אלמן",'[2]ריכוז נתונים'!$AC$2,0)</f>
        <v>0</v>
      </c>
      <c r="Z227" s="3">
        <f>VLOOKUP(VALUE(HEVARIM[[#This Row],[קוד מעמד]]),הנחות!$I$2:$K$21,3,0)</f>
        <v>1</v>
      </c>
      <c r="AA227" t="b">
        <f>ISERROR(VLOOKUP(HEVARIM[[#This Row],[קוד תקציב]],'[2]ריכוז נתונים'!A:A,1,0))</f>
        <v>1</v>
      </c>
      <c r="AB227" s="1">
        <f t="shared" si="13"/>
        <v>0</v>
      </c>
      <c r="AC227" s="2">
        <f ca="1">IF(HEVARIM[[#This Row],[בר מצוה]]&gt;0,YEAR(TODAY())+'תקציבים מיוחדים'!$F$5-HEVARIM[[#This Row],[גיל]],0)</f>
        <v>0</v>
      </c>
      <c r="AD227" s="1">
        <f t="shared" si="14"/>
        <v>0</v>
      </c>
      <c r="AE227" s="2">
        <f ca="1">IF(HEVARIM[[#This Row],[בת מצוה]]&gt;0,YEAR(TODAY())+'תקציבים מיוחדים'!$F$5-HEVARIM[[#This Row],[גיל]],0)</f>
        <v>0</v>
      </c>
      <c r="AF227" s="1">
        <f>IF(AND($S227&gt;="רווק",$Z227=1),AF$4*IF(HEVARIM[[#This Row],[גיל]]&gt;$AF$3,1,(($G227-AF$2)/(AF$3-AF$2))),0)</f>
        <v>0</v>
      </c>
      <c r="AG22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7" s="1">
        <f t="shared" si="15"/>
        <v>0</v>
      </c>
      <c r="AI227" s="2">
        <f ca="1">IF(AH227&gt;0,YEAR(TODAY())+'תקציבים מיוחדים'!$F$7-HEVARIM[[#This Row],[גיל]],0)</f>
        <v>0</v>
      </c>
      <c r="AJ227" s="9">
        <f>IF(AND(ISERROR(VLOOKUP(H227,'[2]ריכוז נתונים'!A:L,1,0)),P227="1     "),1,0)</f>
        <v>0</v>
      </c>
      <c r="AK22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27" s="1">
        <f>IF(AND(VALUE(HEVARIM[[#This Row],[קוד מעמד]])=1,HEVARIM[[#This Row],[ותק מחברה 40]]&lt;25),HEVARIM[[#This Row],[ותק מחברה 40]]/25*הנחות!$C$4,0)</f>
        <v>0</v>
      </c>
      <c r="AM227" s="9" t="str">
        <f ca="1">IF(HEVARIM[[#This Row],[דמי עזיבה 25 שנות ותק]]&gt;0,YEAR(TODAY())+25-ROUNDDOWN(HEVARIM[[#This Row],[ותק מחברה 40]],0),"")</f>
        <v/>
      </c>
      <c r="AN2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7" s="9" t="str">
        <f ca="1">IF(HEVARIM[[#This Row],[דמי עזיבה לגיל 65]]&gt;0,YEAR(TODAY())+64-ROUNDDOWN(HEVARIM[[#This Row],[גיל]],0),"")</f>
        <v/>
      </c>
      <c r="AP227" s="1">
        <f>SUMIF(HEVARIM[קוד תקציב],HEVARIM[[#This Row],[קוד תקציב משפחה מקורי]],HEVARIM[ותק מחברה 40])</f>
        <v>48</v>
      </c>
      <c r="AQ2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27" s="9">
        <f>IF(HEVARIM[[#This Row],[קוד מעמד]]="1     ",IFERROR(VLOOKUP(HEVARIM[[#This Row],[קוד תקציב]],'תקציב צביעה - לקראת השינוי'!A:F,4,0),0),0)</f>
        <v>0</v>
      </c>
      <c r="AT227" s="1"/>
    </row>
    <row r="228" spans="1:46">
      <c r="A228" t="s">
        <v>1177</v>
      </c>
      <c r="B228" t="s">
        <v>1178</v>
      </c>
      <c r="C228" t="s">
        <v>1164</v>
      </c>
      <c r="D228" t="s">
        <v>1179</v>
      </c>
      <c r="E228" t="s">
        <v>67</v>
      </c>
      <c r="F228" s="4">
        <v>18849</v>
      </c>
      <c r="G228">
        <v>74</v>
      </c>
      <c r="H228" t="s">
        <v>1180</v>
      </c>
      <c r="I228" t="s">
        <v>1181</v>
      </c>
      <c r="J228" s="4" t="s">
        <v>70</v>
      </c>
      <c r="K228" s="4" t="s">
        <v>71</v>
      </c>
      <c r="L228" t="s">
        <v>1182</v>
      </c>
      <c r="M228" t="s">
        <v>1177</v>
      </c>
      <c r="N228" t="s">
        <v>1178</v>
      </c>
      <c r="O228">
        <f>IFERROR(VLOOKUP(HEVARIM[[#This Row],[קוד תקציב]],[2]תקציבים!A:L,6,0),0)</f>
        <v>1</v>
      </c>
      <c r="P228" s="5" t="s">
        <v>104</v>
      </c>
      <c r="Q228" t="s">
        <v>11</v>
      </c>
      <c r="R228" s="4">
        <v>25568</v>
      </c>
      <c r="S228" s="4" t="s">
        <v>74</v>
      </c>
      <c r="T228" s="96" t="s">
        <v>1180</v>
      </c>
      <c r="U228" t="str">
        <f>VLOOKUP(HEVARIM[[#This Row],[גיל]],GIL,2,1)</f>
        <v>--</v>
      </c>
      <c r="V228" t="str">
        <f>IF(HEVARIM[[#This Row],[קוד מעמד]]="4     ",IF(HEVARIM[[#This Row],[גיל]]=1,1,IF(HEVARIM[[#This Row],[גיל]]&lt;=5,5,18)),"")</f>
        <v/>
      </c>
      <c r="W228">
        <f t="shared" si="12"/>
        <v>1564</v>
      </c>
      <c r="X22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28">
        <f>IF(HEVARIM[[#This Row],[מצב משפחתי2]]="אלמן",'[2]ריכוז נתונים'!$AC$2,0)</f>
        <v>0</v>
      </c>
      <c r="Z228" s="3">
        <f>VLOOKUP(VALUE(HEVARIM[[#This Row],[קוד מעמד]]),הנחות!$I$2:$K$21,3,0)</f>
        <v>0</v>
      </c>
      <c r="AA228" t="b">
        <f>ISERROR(VLOOKUP(HEVARIM[[#This Row],[קוד תקציב]],'[2]ריכוז נתונים'!A:A,1,0))</f>
        <v>0</v>
      </c>
      <c r="AB228" s="1">
        <f t="shared" si="13"/>
        <v>0</v>
      </c>
      <c r="AC228" s="2">
        <f ca="1">IF(HEVARIM[[#This Row],[בר מצוה]]&gt;0,YEAR(TODAY())+'תקציבים מיוחדים'!$F$5-HEVARIM[[#This Row],[גיל]],0)</f>
        <v>0</v>
      </c>
      <c r="AD228" s="1">
        <f t="shared" si="14"/>
        <v>0</v>
      </c>
      <c r="AE228" s="2">
        <f ca="1">IF(HEVARIM[[#This Row],[בת מצוה]]&gt;0,YEAR(TODAY())+'תקציבים מיוחדים'!$F$5-HEVARIM[[#This Row],[גיל]],0)</f>
        <v>0</v>
      </c>
      <c r="AF228" s="1">
        <f>IF(AND($S228&gt;="רווק",$Z228=1),AF$4*IF(HEVARIM[[#This Row],[גיל]]&gt;$AF$3,1,(($G228-AF$2)/(AF$3-AF$2))),0)</f>
        <v>0</v>
      </c>
      <c r="AG22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8" s="1">
        <f t="shared" si="15"/>
        <v>0</v>
      </c>
      <c r="AI228" s="2">
        <f ca="1">IF(AH228&gt;0,YEAR(TODAY())+'תקציבים מיוחדים'!$F$7-HEVARIM[[#This Row],[גיל]],0)</f>
        <v>0</v>
      </c>
      <c r="AJ228" s="9">
        <f>IF(AND(ISERROR(VLOOKUP(H228,'[2]ריכוז נתונים'!A:L,1,0)),P228="1     "),1,0)</f>
        <v>0</v>
      </c>
      <c r="AK228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28" s="1">
        <f>IF(AND(VALUE(HEVARIM[[#This Row],[קוד מעמד]])=1,HEVARIM[[#This Row],[ותק מחברה 40]]&lt;25),HEVARIM[[#This Row],[ותק מחברה 40]]/25*הנחות!$C$4,0)</f>
        <v>0</v>
      </c>
      <c r="AM228" s="9" t="str">
        <f ca="1">IF(HEVARIM[[#This Row],[דמי עזיבה 25 שנות ותק]]&gt;0,YEAR(TODAY())+25-ROUNDDOWN(HEVARIM[[#This Row],[ותק מחברה 40]],0),"")</f>
        <v/>
      </c>
      <c r="AN2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8" s="9" t="str">
        <f ca="1">IF(HEVARIM[[#This Row],[דמי עזיבה לגיל 65]]&gt;0,YEAR(TODAY())+64-ROUNDDOWN(HEVARIM[[#This Row],[גיל]],0),"")</f>
        <v/>
      </c>
      <c r="AP228" s="1">
        <f>SUMIF(HEVARIM[קוד תקציב],HEVARIM[[#This Row],[קוד תקציב משפחה מקורי]],HEVARIM[ותק מחברה 40])</f>
        <v>48</v>
      </c>
      <c r="AQ2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228" s="9">
        <f>IF(HEVARIM[[#This Row],[קוד מעמד]]="1     ",IFERROR(VLOOKUP(HEVARIM[[#This Row],[קוד תקציב]],'תקציב צביעה - לקראת השינוי'!A:F,4,0),0),0)</f>
        <v>2027</v>
      </c>
      <c r="AT228" s="1"/>
    </row>
    <row r="229" spans="1:46">
      <c r="A229" t="s">
        <v>1183</v>
      </c>
      <c r="B229" t="s">
        <v>1184</v>
      </c>
      <c r="C229" t="s">
        <v>1164</v>
      </c>
      <c r="D229" t="s">
        <v>1185</v>
      </c>
      <c r="E229" t="s">
        <v>79</v>
      </c>
      <c r="F229" s="4">
        <v>20501</v>
      </c>
      <c r="G229">
        <v>69</v>
      </c>
      <c r="H229" t="s">
        <v>1180</v>
      </c>
      <c r="I229" t="s">
        <v>1181</v>
      </c>
      <c r="J229" s="4" t="s">
        <v>70</v>
      </c>
      <c r="K229" s="4" t="s">
        <v>71</v>
      </c>
      <c r="L229" t="s">
        <v>1186</v>
      </c>
      <c r="M229" t="s">
        <v>1177</v>
      </c>
      <c r="N229" t="s">
        <v>1178</v>
      </c>
      <c r="O229">
        <f>IFERROR(VLOOKUP(HEVARIM[[#This Row],[קוד תקציב]],[2]תקציבים!A:L,6,0),0)</f>
        <v>1</v>
      </c>
      <c r="P229" s="5" t="s">
        <v>83</v>
      </c>
      <c r="Q229" t="s">
        <v>15</v>
      </c>
      <c r="R229" s="4">
        <v>36441</v>
      </c>
      <c r="S229" s="4" t="s">
        <v>74</v>
      </c>
      <c r="T229" s="96" t="s">
        <v>1180</v>
      </c>
      <c r="U229" t="str">
        <f>VLOOKUP(HEVARIM[[#This Row],[גיל]],GIL,2,1)</f>
        <v>--</v>
      </c>
      <c r="V229" t="str">
        <f>IF(HEVARIM[[#This Row],[קוד מעמד]]="4     ",IF(HEVARIM[[#This Row],[גיל]]=1,1,IF(HEVARIM[[#This Row],[גיל]]&lt;=5,5,18)),"")</f>
        <v/>
      </c>
      <c r="W229">
        <f t="shared" si="12"/>
        <v>1564</v>
      </c>
      <c r="X22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29">
        <f>IF(HEVARIM[[#This Row],[מצב משפחתי2]]="אלמן",'[2]ריכוז נתונים'!$AC$2,0)</f>
        <v>0</v>
      </c>
      <c r="Z229" s="3">
        <f>VLOOKUP(VALUE(HEVARIM[[#This Row],[קוד מעמד]]),הנחות!$I$2:$K$21,3,0)</f>
        <v>0</v>
      </c>
      <c r="AA229" t="b">
        <f>ISERROR(VLOOKUP(HEVARIM[[#This Row],[קוד תקציב]],'[2]ריכוז נתונים'!A:A,1,0))</f>
        <v>0</v>
      </c>
      <c r="AB229" s="1">
        <f t="shared" si="13"/>
        <v>0</v>
      </c>
      <c r="AC229" s="2">
        <f ca="1">IF(HEVARIM[[#This Row],[בר מצוה]]&gt;0,YEAR(TODAY())+'תקציבים מיוחדים'!$F$5-HEVARIM[[#This Row],[גיל]],0)</f>
        <v>0</v>
      </c>
      <c r="AD229" s="1">
        <f t="shared" si="14"/>
        <v>0</v>
      </c>
      <c r="AE229" s="2">
        <f ca="1">IF(HEVARIM[[#This Row],[בת מצוה]]&gt;0,YEAR(TODAY())+'תקציבים מיוחדים'!$F$5-HEVARIM[[#This Row],[גיל]],0)</f>
        <v>0</v>
      </c>
      <c r="AF229" s="1">
        <f>IF(AND($S229&gt;="רווק",$Z229=1),AF$4*IF(HEVARIM[[#This Row],[גיל]]&gt;$AF$3,1,(($G229-AF$2)/(AF$3-AF$2))),0)</f>
        <v>0</v>
      </c>
      <c r="AG22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29" s="1">
        <f t="shared" si="15"/>
        <v>0</v>
      </c>
      <c r="AI229" s="2">
        <f ca="1">IF(AH229&gt;0,YEAR(TODAY())+'תקציבים מיוחדים'!$F$7-HEVARIM[[#This Row],[גיל]],0)</f>
        <v>0</v>
      </c>
      <c r="AJ229" s="9">
        <f>IF(AND(ISERROR(VLOOKUP(H229,'[2]ריכוז נתונים'!A:L,1,0)),P229="1     "),1,0)</f>
        <v>0</v>
      </c>
      <c r="AK22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29" s="1">
        <f>IF(AND(VALUE(HEVARIM[[#This Row],[קוד מעמד]])=1,HEVARIM[[#This Row],[ותק מחברה 40]]&lt;25),HEVARIM[[#This Row],[ותק מחברה 40]]/25*הנחות!$C$4,0)</f>
        <v>0</v>
      </c>
      <c r="AM229" s="9" t="str">
        <f ca="1">IF(HEVARIM[[#This Row],[דמי עזיבה 25 שנות ותק]]&gt;0,YEAR(TODAY())+25-ROUNDDOWN(HEVARIM[[#This Row],[ותק מחברה 40]],0),"")</f>
        <v/>
      </c>
      <c r="AN22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29" s="9" t="str">
        <f ca="1">IF(HEVARIM[[#This Row],[דמי עזיבה לגיל 65]]&gt;0,YEAR(TODAY())+64-ROUNDDOWN(HEVARIM[[#This Row],[גיל]],0),"")</f>
        <v/>
      </c>
      <c r="AP229" s="1">
        <f>SUMIF(HEVARIM[קוד תקציב],HEVARIM[[#This Row],[קוד תקציב משפחה מקורי]],HEVARIM[ותק מחברה 40])</f>
        <v>48</v>
      </c>
      <c r="AQ2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29" s="9">
        <f>IF(HEVARIM[[#This Row],[קוד מעמד]]="1     ",IFERROR(VLOOKUP(HEVARIM[[#This Row],[קוד תקציב]],'תקציב צביעה - לקראת השינוי'!A:F,4,0),0),0)</f>
        <v>0</v>
      </c>
      <c r="AT229" s="1"/>
    </row>
    <row r="230" spans="1:46">
      <c r="A230" t="s">
        <v>1162</v>
      </c>
      <c r="B230" t="s">
        <v>1163</v>
      </c>
      <c r="C230" t="s">
        <v>1164</v>
      </c>
      <c r="D230" t="s">
        <v>1165</v>
      </c>
      <c r="E230" t="s">
        <v>67</v>
      </c>
      <c r="F230" s="4">
        <v>28574</v>
      </c>
      <c r="G230">
        <v>47</v>
      </c>
      <c r="H230" t="s">
        <v>1166</v>
      </c>
      <c r="I230" t="s">
        <v>1163</v>
      </c>
      <c r="J230" s="4" t="s">
        <v>70</v>
      </c>
      <c r="K230" s="4" t="s">
        <v>71</v>
      </c>
      <c r="L230" t="s">
        <v>1167</v>
      </c>
      <c r="M230" t="s">
        <v>1162</v>
      </c>
      <c r="N230" t="s">
        <v>1163</v>
      </c>
      <c r="O230">
        <f>IFERROR(VLOOKUP(HEVARIM[[#This Row],[קוד תקציב]],[2]תקציבים!A:L,6,0),0)</f>
        <v>0</v>
      </c>
      <c r="P230" s="5" t="s">
        <v>83</v>
      </c>
      <c r="Q230" t="s">
        <v>15</v>
      </c>
      <c r="R230" s="4">
        <v>43831</v>
      </c>
      <c r="S230" s="4" t="s">
        <v>90</v>
      </c>
      <c r="T230" s="96" t="s">
        <v>1180</v>
      </c>
      <c r="U230" t="str">
        <f>VLOOKUP(HEVARIM[[#This Row],[גיל]],GIL,2,1)</f>
        <v>--</v>
      </c>
      <c r="V230" t="str">
        <f>IF(HEVARIM[[#This Row],[קוד מעמד]]="4     ",IF(HEVARIM[[#This Row],[גיל]]=1,1,IF(HEVARIM[[#This Row],[גיל]]&lt;=5,5,18)),"")</f>
        <v/>
      </c>
      <c r="W230">
        <f t="shared" si="12"/>
        <v>0</v>
      </c>
      <c r="X23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0">
        <f>IF(HEVARIM[[#This Row],[מצב משפחתי2]]="אלמן",'[2]ריכוז נתונים'!$AC$2,0)</f>
        <v>0</v>
      </c>
      <c r="Z230" s="3">
        <f>VLOOKUP(VALUE(HEVARIM[[#This Row],[קוד מעמד]]),הנחות!$I$2:$K$21,3,0)</f>
        <v>0</v>
      </c>
      <c r="AA230" t="b">
        <f>ISERROR(VLOOKUP(HEVARIM[[#This Row],[קוד תקציב]],'[2]ריכוז נתונים'!A:A,1,0))</f>
        <v>1</v>
      </c>
      <c r="AB230" s="1">
        <f t="shared" si="13"/>
        <v>0</v>
      </c>
      <c r="AC230" s="2">
        <f ca="1">IF(HEVARIM[[#This Row],[בר מצוה]]&gt;0,YEAR(TODAY())+'תקציבים מיוחדים'!$F$5-HEVARIM[[#This Row],[גיל]],0)</f>
        <v>0</v>
      </c>
      <c r="AD230" s="1">
        <f t="shared" si="14"/>
        <v>0</v>
      </c>
      <c r="AE230" s="2">
        <f ca="1">IF(HEVARIM[[#This Row],[בת מצוה]]&gt;0,YEAR(TODAY())+'תקציבים מיוחדים'!$F$5-HEVARIM[[#This Row],[גיל]],0)</f>
        <v>0</v>
      </c>
      <c r="AF230" s="1">
        <f>IF(AND($S230&gt;="רווק",$Z230=1),AF$4*IF(HEVARIM[[#This Row],[גיל]]&gt;$AF$3,1,(($G230-AF$2)/(AF$3-AF$2))),0)</f>
        <v>0</v>
      </c>
      <c r="AG23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0" s="1">
        <f t="shared" si="15"/>
        <v>0</v>
      </c>
      <c r="AI230" s="2">
        <f ca="1">IF(AH230&gt;0,YEAR(TODAY())+'תקציבים מיוחדים'!$F$7-HEVARIM[[#This Row],[גיל]],0)</f>
        <v>0</v>
      </c>
      <c r="AJ230" s="9">
        <f>IF(AND(ISERROR(VLOOKUP(H230,'[2]ריכוז נתונים'!A:L,1,0)),P230="1     "),1,0)</f>
        <v>0</v>
      </c>
      <c r="AK23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30" s="1">
        <f>IF(AND(VALUE(HEVARIM[[#This Row],[קוד מעמד]])=1,HEVARIM[[#This Row],[ותק מחברה 40]]&lt;25),HEVARIM[[#This Row],[ותק מחברה 40]]/25*הנחות!$C$4,0)</f>
        <v>0</v>
      </c>
      <c r="AM230" s="9" t="str">
        <f ca="1">IF(HEVARIM[[#This Row],[דמי עזיבה 25 שנות ותק]]&gt;0,YEAR(TODAY())+25-ROUNDDOWN(HEVARIM[[#This Row],[ותק מחברה 40]],0),"")</f>
        <v/>
      </c>
      <c r="AN2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0" s="9" t="str">
        <f ca="1">IF(HEVARIM[[#This Row],[דמי עזיבה לגיל 65]]&gt;0,YEAR(TODAY())+64-ROUNDDOWN(HEVARIM[[#This Row],[גיל]],0),"")</f>
        <v/>
      </c>
      <c r="AP230" s="1">
        <f>SUMIF(HEVARIM[קוד תקציב],HEVARIM[[#This Row],[קוד תקציב משפחה מקורי]],HEVARIM[ותק מחברה 40])</f>
        <v>48</v>
      </c>
      <c r="AQ2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0" s="9">
        <f>IF(HEVARIM[[#This Row],[קוד מעמד]]="1     ",IFERROR(VLOOKUP(HEVARIM[[#This Row],[קוד תקציב]],'תקציב צביעה - לקראת השינוי'!A:F,4,0),0),0)</f>
        <v>0</v>
      </c>
      <c r="AT230" s="1"/>
    </row>
    <row r="231" spans="1:46">
      <c r="A231" t="s">
        <v>1197</v>
      </c>
      <c r="B231" t="s">
        <v>1198</v>
      </c>
      <c r="C231" t="s">
        <v>1164</v>
      </c>
      <c r="D231" t="s">
        <v>42</v>
      </c>
      <c r="E231" t="s">
        <v>67</v>
      </c>
      <c r="F231" s="4">
        <v>30218</v>
      </c>
      <c r="G231">
        <v>43</v>
      </c>
      <c r="H231" t="s">
        <v>1199</v>
      </c>
      <c r="I231" t="s">
        <v>1198</v>
      </c>
      <c r="J231" s="4" t="s">
        <v>70</v>
      </c>
      <c r="K231" s="4" t="s">
        <v>71</v>
      </c>
      <c r="L231" t="s">
        <v>1200</v>
      </c>
      <c r="M231" t="s">
        <v>1197</v>
      </c>
      <c r="N231" t="s">
        <v>1198</v>
      </c>
      <c r="O231">
        <f>IFERROR(VLOOKUP(HEVARIM[[#This Row],[קוד תקציב]],[2]תקציבים!A:L,6,0),0)</f>
        <v>0</v>
      </c>
      <c r="P231" s="5" t="s">
        <v>83</v>
      </c>
      <c r="Q231" t="s">
        <v>15</v>
      </c>
      <c r="R231" s="4">
        <v>43831</v>
      </c>
      <c r="S231" s="4" t="s">
        <v>90</v>
      </c>
      <c r="T231" s="96" t="s">
        <v>1180</v>
      </c>
      <c r="U231" t="str">
        <f>VLOOKUP(HEVARIM[[#This Row],[גיל]],GIL,2,1)</f>
        <v>--</v>
      </c>
      <c r="V231" t="str">
        <f>IF(HEVARIM[[#This Row],[קוד מעמד]]="4     ",IF(HEVARIM[[#This Row],[גיל]]=1,1,IF(HEVARIM[[#This Row],[גיל]]&lt;=5,5,18)),"")</f>
        <v/>
      </c>
      <c r="W231">
        <f t="shared" si="12"/>
        <v>0</v>
      </c>
      <c r="X23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1">
        <f>IF(HEVARIM[[#This Row],[מצב משפחתי2]]="אלמן",'[2]ריכוז נתונים'!$AC$2,0)</f>
        <v>0</v>
      </c>
      <c r="Z231" s="3">
        <f>VLOOKUP(VALUE(HEVARIM[[#This Row],[קוד מעמד]]),הנחות!$I$2:$K$21,3,0)</f>
        <v>0</v>
      </c>
      <c r="AA231" t="b">
        <f>ISERROR(VLOOKUP(HEVARIM[[#This Row],[קוד תקציב]],'[2]ריכוז נתונים'!A:A,1,0))</f>
        <v>1</v>
      </c>
      <c r="AB231" s="1">
        <f t="shared" si="13"/>
        <v>0</v>
      </c>
      <c r="AC231" s="2">
        <f ca="1">IF(HEVARIM[[#This Row],[בר מצוה]]&gt;0,YEAR(TODAY())+'תקציבים מיוחדים'!$F$5-HEVARIM[[#This Row],[גיל]],0)</f>
        <v>0</v>
      </c>
      <c r="AD231" s="1">
        <f t="shared" si="14"/>
        <v>0</v>
      </c>
      <c r="AE231" s="2">
        <f ca="1">IF(HEVARIM[[#This Row],[בת מצוה]]&gt;0,YEAR(TODAY())+'תקציבים מיוחדים'!$F$5-HEVARIM[[#This Row],[גיל]],0)</f>
        <v>0</v>
      </c>
      <c r="AF231" s="1">
        <f>IF(AND($S231&gt;="רווק",$Z231=1),AF$4*IF(HEVARIM[[#This Row],[גיל]]&gt;$AF$3,1,(($G231-AF$2)/(AF$3-AF$2))),0)</f>
        <v>0</v>
      </c>
      <c r="AG23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1" s="1">
        <f t="shared" si="15"/>
        <v>0</v>
      </c>
      <c r="AI231" s="2">
        <f ca="1">IF(AH231&gt;0,YEAR(TODAY())+'תקציבים מיוחדים'!$F$7-HEVARIM[[#This Row],[גיל]],0)</f>
        <v>0</v>
      </c>
      <c r="AJ231" s="9">
        <f>IF(AND(ISERROR(VLOOKUP(H231,'[2]ריכוז נתונים'!A:L,1,0)),P231="1     "),1,0)</f>
        <v>0</v>
      </c>
      <c r="AK23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31" s="1">
        <f>IF(AND(VALUE(HEVARIM[[#This Row],[קוד מעמד]])=1,HEVARIM[[#This Row],[ותק מחברה 40]]&lt;25),HEVARIM[[#This Row],[ותק מחברה 40]]/25*הנחות!$C$4,0)</f>
        <v>0</v>
      </c>
      <c r="AM231" s="9" t="str">
        <f ca="1">IF(HEVARIM[[#This Row],[דמי עזיבה 25 שנות ותק]]&gt;0,YEAR(TODAY())+25-ROUNDDOWN(HEVARIM[[#This Row],[ותק מחברה 40]],0),"")</f>
        <v/>
      </c>
      <c r="AN23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1" s="9" t="str">
        <f ca="1">IF(HEVARIM[[#This Row],[דמי עזיבה לגיל 65]]&gt;0,YEAR(TODAY())+64-ROUNDDOWN(HEVARIM[[#This Row],[גיל]],0),"")</f>
        <v/>
      </c>
      <c r="AP231" s="1">
        <f>SUMIF(HEVARIM[קוד תקציב],HEVARIM[[#This Row],[קוד תקציב משפחה מקורי]],HEVARIM[ותק מחברה 40])</f>
        <v>48</v>
      </c>
      <c r="AQ2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1" s="9">
        <f>IF(HEVARIM[[#This Row],[קוד מעמד]]="1     ",IFERROR(VLOOKUP(HEVARIM[[#This Row],[קוד תקציב]],'תקציב צביעה - לקראת השינוי'!A:F,4,0),0),0)</f>
        <v>0</v>
      </c>
      <c r="AT231" s="1"/>
    </row>
    <row r="232" spans="1:46">
      <c r="A232" t="s">
        <v>1253</v>
      </c>
      <c r="B232" t="s">
        <v>1254</v>
      </c>
      <c r="C232" t="s">
        <v>1164</v>
      </c>
      <c r="D232" t="s">
        <v>1255</v>
      </c>
      <c r="E232" t="s">
        <v>67</v>
      </c>
      <c r="F232" s="4">
        <v>37411</v>
      </c>
      <c r="G232">
        <v>23</v>
      </c>
      <c r="H232" t="s">
        <v>3751</v>
      </c>
      <c r="I232" t="s">
        <v>1254</v>
      </c>
      <c r="J232" s="4" t="s">
        <v>70</v>
      </c>
      <c r="K232" s="4" t="s">
        <v>81</v>
      </c>
      <c r="L232" t="s">
        <v>1256</v>
      </c>
      <c r="M232" t="s">
        <v>1253</v>
      </c>
      <c r="N232" t="s">
        <v>1254</v>
      </c>
      <c r="O232">
        <f>IFERROR(VLOOKUP(HEVARIM[[#This Row],[קוד תקציב]],[2]תקציבים!A:L,6,0),0)</f>
        <v>0</v>
      </c>
      <c r="P232" s="5" t="s">
        <v>73</v>
      </c>
      <c r="Q232" t="s">
        <v>27</v>
      </c>
      <c r="R232" s="4">
        <v>45658</v>
      </c>
      <c r="S232" s="4" t="s">
        <v>90</v>
      </c>
      <c r="T232" s="96" t="s">
        <v>1180</v>
      </c>
      <c r="U232" t="str">
        <f>VLOOKUP(HEVARIM[[#This Row],[גיל]],GIL,2,1)</f>
        <v>--</v>
      </c>
      <c r="V232" t="str">
        <f>IF(HEVARIM[[#This Row],[קוד מעמד]]="4     ",IF(HEVARIM[[#This Row],[גיל]]=1,1,IF(HEVARIM[[#This Row],[גיל]]&lt;=5,5,18)),"")</f>
        <v/>
      </c>
      <c r="W232">
        <f t="shared" si="12"/>
        <v>0</v>
      </c>
      <c r="X23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2">
        <f>IF(HEVARIM[[#This Row],[מצב משפחתי2]]="אלמן",'[2]ריכוז נתונים'!$AC$2,0)</f>
        <v>0</v>
      </c>
      <c r="Z232" s="3">
        <f>VLOOKUP(VALUE(HEVARIM[[#This Row],[קוד מעמד]]),הנחות!$I$2:$K$21,3,0)</f>
        <v>1</v>
      </c>
      <c r="AA232" t="b">
        <f>ISERROR(VLOOKUP(HEVARIM[[#This Row],[קוד תקציב]],'[2]ריכוז נתונים'!A:A,1,0))</f>
        <v>1</v>
      </c>
      <c r="AB232" s="1">
        <f t="shared" si="13"/>
        <v>0</v>
      </c>
      <c r="AC232" s="2">
        <f ca="1">IF(HEVARIM[[#This Row],[בר מצוה]]&gt;0,YEAR(TODAY())+'תקציבים מיוחדים'!$F$5-HEVARIM[[#This Row],[גיל]],0)</f>
        <v>0</v>
      </c>
      <c r="AD232" s="1">
        <f t="shared" si="14"/>
        <v>0</v>
      </c>
      <c r="AE232" s="2">
        <f ca="1">IF(HEVARIM[[#This Row],[בת מצוה]]&gt;0,YEAR(TODAY())+'תקציבים מיוחדים'!$F$5-HEVARIM[[#This Row],[גיל]],0)</f>
        <v>0</v>
      </c>
      <c r="AF232" s="1">
        <f>IF(AND($S232&gt;="רווק",$Z232=1),AF$4*IF(HEVARIM[[#This Row],[גיל]]&gt;$AF$3,1,(($G232-AF$2)/(AF$3-AF$2))),0)</f>
        <v>60512.5</v>
      </c>
      <c r="AG232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232" s="1">
        <f t="shared" si="15"/>
        <v>0</v>
      </c>
      <c r="AI232" s="2">
        <f ca="1">IF(AH232&gt;0,YEAR(TODAY())+'תקציבים מיוחדים'!$F$7-HEVARIM[[#This Row],[גיל]],0)</f>
        <v>0</v>
      </c>
      <c r="AJ232" s="9">
        <f>IF(AND(ISERROR(VLOOKUP(H232,'[2]ריכוז נתונים'!A:L,1,0)),P232="1     "),1,0)</f>
        <v>0</v>
      </c>
      <c r="AK23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32" s="1">
        <f>IF(AND(VALUE(HEVARIM[[#This Row],[קוד מעמד]])=1,HEVARIM[[#This Row],[ותק מחברה 40]]&lt;25),HEVARIM[[#This Row],[ותק מחברה 40]]/25*הנחות!$C$4,0)</f>
        <v>0</v>
      </c>
      <c r="AM232" s="9" t="str">
        <f ca="1">IF(HEVARIM[[#This Row],[דמי עזיבה 25 שנות ותק]]&gt;0,YEAR(TODAY())+25-ROUNDDOWN(HEVARIM[[#This Row],[ותק מחברה 40]],0),"")</f>
        <v/>
      </c>
      <c r="AN23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2" s="9" t="str">
        <f ca="1">IF(HEVARIM[[#This Row],[דמי עזיבה לגיל 65]]&gt;0,YEAR(TODAY())+64-ROUNDDOWN(HEVARIM[[#This Row],[גיל]],0),"")</f>
        <v/>
      </c>
      <c r="AP232" s="1">
        <f>SUMIF(HEVARIM[קוד תקציב],HEVARIM[[#This Row],[קוד תקציב משפחה מקורי]],HEVARIM[ותק מחברה 40])</f>
        <v>48</v>
      </c>
      <c r="AQ2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2" s="9">
        <f>IF(HEVARIM[[#This Row],[קוד מעמד]]="1     ",IFERROR(VLOOKUP(HEVARIM[[#This Row],[קוד תקציב]],'תקציב צביעה - לקראת השינוי'!A:F,4,0),0),0)</f>
        <v>0</v>
      </c>
      <c r="AT232" s="1"/>
    </row>
    <row r="233" spans="1:46">
      <c r="A233" t="s">
        <v>1233</v>
      </c>
      <c r="B233" t="s">
        <v>1234</v>
      </c>
      <c r="C233" t="s">
        <v>1189</v>
      </c>
      <c r="D233" t="s">
        <v>886</v>
      </c>
      <c r="E233" t="s">
        <v>67</v>
      </c>
      <c r="F233" s="4">
        <v>32717</v>
      </c>
      <c r="G233">
        <v>36</v>
      </c>
      <c r="H233" t="s">
        <v>1235</v>
      </c>
      <c r="I233" t="s">
        <v>1236</v>
      </c>
      <c r="J233" s="4" t="s">
        <v>70</v>
      </c>
      <c r="K233" s="4" t="s">
        <v>71</v>
      </c>
      <c r="L233" t="s">
        <v>1237</v>
      </c>
      <c r="M233" t="s">
        <v>1233</v>
      </c>
      <c r="N233" t="s">
        <v>1234</v>
      </c>
      <c r="O233">
        <f>IFERROR(VLOOKUP(HEVARIM[[#This Row],[קוד תקציב]],[2]תקציבים!A:L,6,0),0)</f>
        <v>2</v>
      </c>
      <c r="P233" s="5" t="s">
        <v>104</v>
      </c>
      <c r="Q233" t="s">
        <v>11</v>
      </c>
      <c r="R233" s="4">
        <v>44545</v>
      </c>
      <c r="S233" s="4" t="s">
        <v>74</v>
      </c>
      <c r="T233" s="96" t="s">
        <v>1191</v>
      </c>
      <c r="U233" t="str">
        <f>VLOOKUP(HEVARIM[[#This Row],[גיל]],GIL,2,1)</f>
        <v>--</v>
      </c>
      <c r="V233" t="str">
        <f>IF(HEVARIM[[#This Row],[קוד מעמד]]="4     ",IF(HEVARIM[[#This Row],[גיל]]=1,1,IF(HEVARIM[[#This Row],[גיל]]&lt;=5,5,18)),"")</f>
        <v/>
      </c>
      <c r="W233">
        <f t="shared" si="12"/>
        <v>0</v>
      </c>
      <c r="X2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3">
        <f>IF(HEVARIM[[#This Row],[מצב משפחתי2]]="אלמן",'[2]ריכוז נתונים'!$AC$2,0)</f>
        <v>0</v>
      </c>
      <c r="Z233" s="3">
        <f>VLOOKUP(VALUE(HEVARIM[[#This Row],[קוד מעמד]]),הנחות!$I$2:$K$21,3,0)</f>
        <v>0</v>
      </c>
      <c r="AA233" t="b">
        <f>ISERROR(VLOOKUP(HEVARIM[[#This Row],[קוד תקציב]],'[2]ריכוז נתונים'!A:A,1,0))</f>
        <v>0</v>
      </c>
      <c r="AB233" s="1">
        <f t="shared" si="13"/>
        <v>0</v>
      </c>
      <c r="AC233" s="2">
        <f ca="1">IF(HEVARIM[[#This Row],[בר מצוה]]&gt;0,YEAR(TODAY())+'תקציבים מיוחדים'!$F$5-HEVARIM[[#This Row],[גיל]],0)</f>
        <v>0</v>
      </c>
      <c r="AD233" s="1">
        <f t="shared" si="14"/>
        <v>0</v>
      </c>
      <c r="AE233" s="2">
        <f ca="1">IF(HEVARIM[[#This Row],[בת מצוה]]&gt;0,YEAR(TODAY())+'תקציבים מיוחדים'!$F$5-HEVARIM[[#This Row],[גיל]],0)</f>
        <v>0</v>
      </c>
      <c r="AF233" s="1">
        <f>IF(AND($S233&gt;="רווק",$Z233=1),AF$4*IF(HEVARIM[[#This Row],[גיל]]&gt;$AF$3,1,(($G233-AF$2)/(AF$3-AF$2))),0)</f>
        <v>0</v>
      </c>
      <c r="AG23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3" s="1">
        <f t="shared" si="15"/>
        <v>0</v>
      </c>
      <c r="AI233" s="2">
        <f ca="1">IF(AH233&gt;0,YEAR(TODAY())+'תקציבים מיוחדים'!$F$7-HEVARIM[[#This Row],[גיל]],0)</f>
        <v>0</v>
      </c>
      <c r="AJ233" s="9">
        <f>IF(AND(ISERROR(VLOOKUP(H233,'[2]ריכוז נתונים'!A:L,1,0)),P233="1     "),1,0)</f>
        <v>0</v>
      </c>
      <c r="AK233" s="1">
        <f>IF(VALUE(HEVARIM[[#This Row],[קוד מעמד]])=1,VLOOKUP((IF(LEFT(HEVARIM[[#This Row],[קוד חבר]],1)="0",HEVARIM[[#This Row],[קוד חבר]],VALUE(HEVARIM[[#This Row],[קוד חבר]]))),'ותק חברה 40'!AQ:AW,7,0),"")</f>
        <v>5.75</v>
      </c>
      <c r="AL233" s="1">
        <f>IF(AND(VALUE(HEVARIM[[#This Row],[קוד מעמד]])=1,HEVARIM[[#This Row],[ותק מחברה 40]]&lt;25),HEVARIM[[#This Row],[ותק מחברה 40]]/25*הנחות!$C$4,0)</f>
        <v>8632.9608749999989</v>
      </c>
      <c r="AM233" s="9">
        <f ca="1">IF(HEVARIM[[#This Row],[דמי עזיבה 25 שנות ותק]]&gt;0,YEAR(TODAY())+25-ROUNDDOWN(HEVARIM[[#This Row],[ותק מחברה 40]],0),"")</f>
        <v>2046</v>
      </c>
      <c r="AN23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3" s="9" t="str">
        <f ca="1">IF(HEVARIM[[#This Row],[דמי עזיבה לגיל 65]]&gt;0,YEAR(TODAY())+64-ROUNDDOWN(HEVARIM[[#This Row],[גיל]],0),"")</f>
        <v/>
      </c>
      <c r="AP233" s="1">
        <f>SUMIF(HEVARIM[קוד תקציב],HEVARIM[[#This Row],[קוד תקציב משפחה מקורי]],HEVARIM[ותק מחברה 40])</f>
        <v>86.88</v>
      </c>
      <c r="AQ2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3" s="9">
        <f>IF(HEVARIM[[#This Row],[קוד מעמד]]="1     ",IFERROR(VLOOKUP(HEVARIM[[#This Row],[קוד תקציב]],'תקציב צביעה - לקראת השינוי'!A:F,4,0),0),0)</f>
        <v>0</v>
      </c>
      <c r="AT233" s="1"/>
    </row>
    <row r="234" spans="1:46">
      <c r="A234" t="s">
        <v>1187</v>
      </c>
      <c r="B234" t="s">
        <v>1188</v>
      </c>
      <c r="C234" t="s">
        <v>1189</v>
      </c>
      <c r="D234" t="s">
        <v>1190</v>
      </c>
      <c r="E234" t="s">
        <v>67</v>
      </c>
      <c r="F234" s="4">
        <v>21818</v>
      </c>
      <c r="G234">
        <v>66</v>
      </c>
      <c r="H234" t="s">
        <v>1191</v>
      </c>
      <c r="I234" t="s">
        <v>1192</v>
      </c>
      <c r="J234" s="4" t="s">
        <v>70</v>
      </c>
      <c r="K234" s="4" t="s">
        <v>71</v>
      </c>
      <c r="L234" t="s">
        <v>1193</v>
      </c>
      <c r="M234" t="s">
        <v>1187</v>
      </c>
      <c r="N234" t="s">
        <v>1188</v>
      </c>
      <c r="O234">
        <f>IFERROR(VLOOKUP(HEVARIM[[#This Row],[קוד תקציב]],[2]תקציבים!A:L,6,0),0)</f>
        <v>2</v>
      </c>
      <c r="P234" s="5" t="s">
        <v>104</v>
      </c>
      <c r="Q234" t="s">
        <v>11</v>
      </c>
      <c r="R234" s="4">
        <v>44228</v>
      </c>
      <c r="S234" s="4" t="s">
        <v>74</v>
      </c>
      <c r="T234" s="96" t="s">
        <v>1191</v>
      </c>
      <c r="U234" t="str">
        <f>VLOOKUP(HEVARIM[[#This Row],[גיל]],GIL,2,1)</f>
        <v>--</v>
      </c>
      <c r="V234" t="str">
        <f>IF(HEVARIM[[#This Row],[קוד מעמד]]="4     ",IF(HEVARIM[[#This Row],[גיל]]=1,1,IF(HEVARIM[[#This Row],[גיל]]&lt;=5,5,18)),"")</f>
        <v/>
      </c>
      <c r="W234">
        <f t="shared" si="12"/>
        <v>0</v>
      </c>
      <c r="X23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4">
        <f>IF(HEVARIM[[#This Row],[מצב משפחתי2]]="אלמן",'[2]ריכוז נתונים'!$AC$2,0)</f>
        <v>0</v>
      </c>
      <c r="Z234" s="3">
        <f>VLOOKUP(VALUE(HEVARIM[[#This Row],[קוד מעמד]]),הנחות!$I$2:$K$21,3,0)</f>
        <v>0</v>
      </c>
      <c r="AA234" t="b">
        <f>ISERROR(VLOOKUP(HEVARIM[[#This Row],[קוד תקציב]],'[2]ריכוז נתונים'!A:A,1,0))</f>
        <v>0</v>
      </c>
      <c r="AB234" s="1">
        <f t="shared" si="13"/>
        <v>0</v>
      </c>
      <c r="AC234" s="2">
        <f ca="1">IF(HEVARIM[[#This Row],[בר מצוה]]&gt;0,YEAR(TODAY())+'תקציבים מיוחדים'!$F$5-HEVARIM[[#This Row],[גיל]],0)</f>
        <v>0</v>
      </c>
      <c r="AD234" s="1">
        <f t="shared" si="14"/>
        <v>0</v>
      </c>
      <c r="AE234" s="2">
        <f ca="1">IF(HEVARIM[[#This Row],[בת מצוה]]&gt;0,YEAR(TODAY())+'תקציבים מיוחדים'!$F$5-HEVARIM[[#This Row],[גיל]],0)</f>
        <v>0</v>
      </c>
      <c r="AF234" s="1">
        <f>IF(AND($S234&gt;="רווק",$Z234=1),AF$4*IF(HEVARIM[[#This Row],[גיל]]&gt;$AF$3,1,(($G234-AF$2)/(AF$3-AF$2))),0)</f>
        <v>0</v>
      </c>
      <c r="AG23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4" s="1">
        <f t="shared" si="15"/>
        <v>0</v>
      </c>
      <c r="AI234" s="2">
        <f ca="1">IF(AH234&gt;0,YEAR(TODAY())+'תקציבים מיוחדים'!$F$7-HEVARIM[[#This Row],[גיל]],0)</f>
        <v>0</v>
      </c>
      <c r="AJ234" s="9">
        <f>IF(AND(ISERROR(VLOOKUP(H234,'[2]ריכוז נתונים'!A:L,1,0)),P234="1     "),1,0)</f>
        <v>0</v>
      </c>
      <c r="AK234" s="1">
        <f>IF(VALUE(HEVARIM[[#This Row],[קוד מעמד]])=1,VLOOKUP((IF(LEFT(HEVARIM[[#This Row],[קוד חבר]],1)="0",HEVARIM[[#This Row],[קוד חבר]],VALUE(HEVARIM[[#This Row],[קוד חבר]]))),'ותק חברה 40'!AQ:AW,7,0),"")</f>
        <v>40.770000000000003</v>
      </c>
      <c r="AL234" s="1">
        <f>IF(AND(VALUE(HEVARIM[[#This Row],[קוד מעמד]])=1,HEVARIM[[#This Row],[ותק מחברה 40]]&lt;25),HEVARIM[[#This Row],[ותק מחברה 40]]/25*הנחות!$C$4,0)</f>
        <v>0</v>
      </c>
      <c r="AM234" s="9" t="str">
        <f ca="1">IF(HEVARIM[[#This Row],[דמי עזיבה 25 שנות ותק]]&gt;0,YEAR(TODAY())+25-ROUNDDOWN(HEVARIM[[#This Row],[ותק מחברה 40]],0),"")</f>
        <v/>
      </c>
      <c r="AN23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4" s="9" t="str">
        <f ca="1">IF(HEVARIM[[#This Row],[דמי עזיבה לגיל 65]]&gt;0,YEAR(TODAY())+64-ROUNDDOWN(HEVARIM[[#This Row],[גיל]],0),"")</f>
        <v/>
      </c>
      <c r="AP234" s="1">
        <f>SUMIF(HEVARIM[קוד תקציב],HEVARIM[[#This Row],[קוד תקציב משפחה מקורי]],HEVARIM[ותק מחברה 40])</f>
        <v>86.88</v>
      </c>
      <c r="AQ2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34" s="9">
        <f>IF(HEVARIM[[#This Row],[קוד מעמד]]="1     ",IFERROR(VLOOKUP(HEVARIM[[#This Row],[קוד תקציב]],'תקציב צביעה - לקראת השינוי'!A:F,4,0),0),0)</f>
        <v>2033</v>
      </c>
      <c r="AT234" s="1"/>
    </row>
    <row r="235" spans="1:46">
      <c r="A235" t="s">
        <v>1194</v>
      </c>
      <c r="B235" t="s">
        <v>1195</v>
      </c>
      <c r="C235" t="s">
        <v>1189</v>
      </c>
      <c r="D235" t="s">
        <v>944</v>
      </c>
      <c r="E235" t="s">
        <v>79</v>
      </c>
      <c r="F235" s="4">
        <v>22236</v>
      </c>
      <c r="G235">
        <v>65</v>
      </c>
      <c r="H235" t="s">
        <v>1191</v>
      </c>
      <c r="I235" t="s">
        <v>1192</v>
      </c>
      <c r="J235" s="4" t="s">
        <v>70</v>
      </c>
      <c r="K235" s="4" t="s">
        <v>71</v>
      </c>
      <c r="L235" t="s">
        <v>1196</v>
      </c>
      <c r="M235" t="s">
        <v>1187</v>
      </c>
      <c r="N235" t="s">
        <v>1188</v>
      </c>
      <c r="O235">
        <f>IFERROR(VLOOKUP(HEVARIM[[#This Row],[קוד תקציב]],[2]תקציבים!A:L,6,0),0)</f>
        <v>2</v>
      </c>
      <c r="P235" s="5" t="s">
        <v>104</v>
      </c>
      <c r="Q235" t="s">
        <v>11</v>
      </c>
      <c r="R235" s="4">
        <v>44228</v>
      </c>
      <c r="S235" s="4" t="s">
        <v>74</v>
      </c>
      <c r="T235" s="96" t="s">
        <v>1191</v>
      </c>
      <c r="U235" t="str">
        <f>VLOOKUP(HEVARIM[[#This Row],[גיל]],GIL,2,1)</f>
        <v>--</v>
      </c>
      <c r="V235" t="str">
        <f>IF(HEVARIM[[#This Row],[קוד מעמד]]="4     ",IF(HEVARIM[[#This Row],[גיל]]=1,1,IF(HEVARIM[[#This Row],[גיל]]&lt;=5,5,18)),"")</f>
        <v/>
      </c>
      <c r="W235">
        <f t="shared" si="12"/>
        <v>0</v>
      </c>
      <c r="X23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35">
        <f>IF(HEVARIM[[#This Row],[מצב משפחתי2]]="אלמן",'[2]ריכוז נתונים'!$AC$2,0)</f>
        <v>0</v>
      </c>
      <c r="Z235" s="3">
        <f>VLOOKUP(VALUE(HEVARIM[[#This Row],[קוד מעמד]]),הנחות!$I$2:$K$21,3,0)</f>
        <v>0</v>
      </c>
      <c r="AA235" t="b">
        <f>ISERROR(VLOOKUP(HEVARIM[[#This Row],[קוד תקציב]],'[2]ריכוז נתונים'!A:A,1,0))</f>
        <v>0</v>
      </c>
      <c r="AB235" s="1">
        <f t="shared" si="13"/>
        <v>0</v>
      </c>
      <c r="AC235" s="2">
        <f ca="1">IF(HEVARIM[[#This Row],[בר מצוה]]&gt;0,YEAR(TODAY())+'תקציבים מיוחדים'!$F$5-HEVARIM[[#This Row],[גיל]],0)</f>
        <v>0</v>
      </c>
      <c r="AD235" s="1">
        <f t="shared" si="14"/>
        <v>0</v>
      </c>
      <c r="AE235" s="2">
        <f ca="1">IF(HEVARIM[[#This Row],[בת מצוה]]&gt;0,YEAR(TODAY())+'תקציבים מיוחדים'!$F$5-HEVARIM[[#This Row],[גיל]],0)</f>
        <v>0</v>
      </c>
      <c r="AF235" s="1">
        <f>IF(AND($S235&gt;="רווק",$Z235=1),AF$4*IF(HEVARIM[[#This Row],[גיל]]&gt;$AF$3,1,(($G235-AF$2)/(AF$3-AF$2))),0)</f>
        <v>0</v>
      </c>
      <c r="AG23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5" s="1">
        <f t="shared" si="15"/>
        <v>0</v>
      </c>
      <c r="AI235" s="2">
        <f ca="1">IF(AH235&gt;0,YEAR(TODAY())+'תקציבים מיוחדים'!$F$7-HEVARIM[[#This Row],[גיל]],0)</f>
        <v>0</v>
      </c>
      <c r="AJ235" s="9">
        <f>IF(AND(ISERROR(VLOOKUP(H235,'[2]ריכוז נתונים'!A:L,1,0)),P235="1     "),1,0)</f>
        <v>0</v>
      </c>
      <c r="AK235" s="1">
        <f>IF(VALUE(HEVARIM[[#This Row],[קוד מעמד]])=1,VLOOKUP((IF(LEFT(HEVARIM[[#This Row],[קוד חבר]],1)="0",HEVARIM[[#This Row],[קוד חבר]],VALUE(HEVARIM[[#This Row],[קוד חבר]]))),'ותק חברה 40'!AQ:AW,7,0),"")</f>
        <v>46.11</v>
      </c>
      <c r="AL235" s="1">
        <f>IF(AND(VALUE(HEVARIM[[#This Row],[קוד מעמד]])=1,HEVARIM[[#This Row],[ותק מחברה 40]]&lt;25),HEVARIM[[#This Row],[ותק מחברה 40]]/25*הנחות!$C$4,0)</f>
        <v>0</v>
      </c>
      <c r="AM235" s="9" t="str">
        <f ca="1">IF(HEVARIM[[#This Row],[דמי עזיבה 25 שנות ותק]]&gt;0,YEAR(TODAY())+25-ROUNDDOWN(HEVARIM[[#This Row],[ותק מחברה 40]],0),"")</f>
        <v/>
      </c>
      <c r="AN2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5" s="9" t="str">
        <f ca="1">IF(HEVARIM[[#This Row],[דמי עזיבה לגיל 65]]&gt;0,YEAR(TODAY())+64-ROUNDDOWN(HEVARIM[[#This Row],[גיל]],0),"")</f>
        <v/>
      </c>
      <c r="AP235" s="1">
        <f>SUMIF(HEVARIM[קוד תקציב],HEVARIM[[#This Row],[קוד תקציב משפחה מקורי]],HEVARIM[ותק מחברה 40])</f>
        <v>86.88</v>
      </c>
      <c r="AQ2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35" s="9">
        <f>IF(HEVARIM[[#This Row],[קוד מעמד]]="1     ",IFERROR(VLOOKUP(HEVARIM[[#This Row],[קוד תקציב]],'תקציב צביעה - לקראת השינוי'!A:F,4,0),0),0)</f>
        <v>2033</v>
      </c>
      <c r="AT235" s="1"/>
    </row>
    <row r="236" spans="1:46">
      <c r="A236" t="s">
        <v>1201</v>
      </c>
      <c r="B236" t="s">
        <v>1202</v>
      </c>
      <c r="C236" t="s">
        <v>1203</v>
      </c>
      <c r="D236" t="s">
        <v>699</v>
      </c>
      <c r="E236" t="s">
        <v>67</v>
      </c>
      <c r="F236" s="4">
        <v>29541</v>
      </c>
      <c r="G236">
        <v>45</v>
      </c>
      <c r="H236" t="s">
        <v>1204</v>
      </c>
      <c r="I236" t="s">
        <v>1205</v>
      </c>
      <c r="J236" s="4" t="s">
        <v>70</v>
      </c>
      <c r="K236" s="4" t="s">
        <v>71</v>
      </c>
      <c r="L236" t="s">
        <v>1206</v>
      </c>
      <c r="M236" t="s">
        <v>1201</v>
      </c>
      <c r="N236" t="s">
        <v>1202</v>
      </c>
      <c r="O236">
        <f>IFERROR(VLOOKUP(HEVARIM[[#This Row],[קוד תקציב]],[2]תקציבים!A:L,6,0),0)</f>
        <v>2</v>
      </c>
      <c r="P236" s="5" t="s">
        <v>104</v>
      </c>
      <c r="Q236" t="s">
        <v>11</v>
      </c>
      <c r="R236" s="4">
        <v>40725</v>
      </c>
      <c r="S236" s="4" t="s">
        <v>74</v>
      </c>
      <c r="T236" s="96" t="s">
        <v>1204</v>
      </c>
      <c r="U236" t="str">
        <f>VLOOKUP(HEVARIM[[#This Row],[גיל]],GIL,2,1)</f>
        <v>--</v>
      </c>
      <c r="V236" t="str">
        <f>IF(HEVARIM[[#This Row],[קוד מעמד]]="4     ",IF(HEVARIM[[#This Row],[גיל]]=1,1,IF(HEVARIM[[#This Row],[גיל]]&lt;=5,5,18)),"")</f>
        <v/>
      </c>
      <c r="W236">
        <f t="shared" si="12"/>
        <v>0</v>
      </c>
      <c r="X23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6">
        <f>IF(HEVARIM[[#This Row],[מצב משפחתי2]]="אלמן",'[2]ריכוז נתונים'!$AC$2,0)</f>
        <v>0</v>
      </c>
      <c r="Z236" s="3">
        <f>VLOOKUP(VALUE(HEVARIM[[#This Row],[קוד מעמד]]),הנחות!$I$2:$K$21,3,0)</f>
        <v>0</v>
      </c>
      <c r="AA236" t="b">
        <f>ISERROR(VLOOKUP(HEVARIM[[#This Row],[קוד תקציב]],'[2]ריכוז נתונים'!A:A,1,0))</f>
        <v>0</v>
      </c>
      <c r="AB236" s="1">
        <f t="shared" si="13"/>
        <v>0</v>
      </c>
      <c r="AC236" s="2">
        <f ca="1">IF(HEVARIM[[#This Row],[בר מצוה]]&gt;0,YEAR(TODAY())+'תקציבים מיוחדים'!$F$5-HEVARIM[[#This Row],[גיל]],0)</f>
        <v>0</v>
      </c>
      <c r="AD236" s="1">
        <f t="shared" si="14"/>
        <v>0</v>
      </c>
      <c r="AE236" s="2">
        <f ca="1">IF(HEVARIM[[#This Row],[בת מצוה]]&gt;0,YEAR(TODAY())+'תקציבים מיוחדים'!$F$5-HEVARIM[[#This Row],[גיל]],0)</f>
        <v>0</v>
      </c>
      <c r="AF236" s="1">
        <f>IF(AND($S236&gt;="רווק",$Z236=1),AF$4*IF(HEVARIM[[#This Row],[גיל]]&gt;$AF$3,1,(($G236-AF$2)/(AF$3-AF$2))),0)</f>
        <v>0</v>
      </c>
      <c r="AG23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36" s="1">
        <f t="shared" si="15"/>
        <v>0</v>
      </c>
      <c r="AI236" s="2">
        <f ca="1">IF(AH236&gt;0,YEAR(TODAY())+'תקציבים מיוחדים'!$F$7-HEVARIM[[#This Row],[גיל]],0)</f>
        <v>0</v>
      </c>
      <c r="AJ236" s="9">
        <f>IF(AND(ISERROR(VLOOKUP(H236,'[2]ריכוז נתונים'!A:L,1,0)),P236="1     "),1,0)</f>
        <v>0</v>
      </c>
      <c r="AK236" s="1">
        <f>IF(VALUE(HEVARIM[[#This Row],[קוד מעמד]])=1,VLOOKUP((IF(LEFT(HEVARIM[[#This Row],[קוד חבר]],1)="0",HEVARIM[[#This Row],[קוד חבר]],VALUE(HEVARIM[[#This Row],[קוד חבר]]))),'ותק חברה 40'!AQ:AW,7,0),"")</f>
        <v>14.18</v>
      </c>
      <c r="AL236" s="1">
        <f>IF(AND(VALUE(HEVARIM[[#This Row],[קוד מעמד]])=1,HEVARIM[[#This Row],[ותק מחברה 40]]&lt;25),HEVARIM[[#This Row],[ותק מחברה 40]]/25*הנחות!$C$4,0)</f>
        <v>21289.63221</v>
      </c>
      <c r="AM236" s="9">
        <f ca="1">IF(HEVARIM[[#This Row],[דמי עזיבה 25 שנות ותק]]&gt;0,YEAR(TODAY())+25-ROUNDDOWN(HEVARIM[[#This Row],[ותק מחברה 40]],0),"")</f>
        <v>2037</v>
      </c>
      <c r="AN23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6" s="9" t="str">
        <f ca="1">IF(HEVARIM[[#This Row],[דמי עזיבה לגיל 65]]&gt;0,YEAR(TODAY())+64-ROUNDDOWN(HEVARIM[[#This Row],[גיל]],0),"")</f>
        <v/>
      </c>
      <c r="AP236" s="1">
        <f>SUMIF(HEVARIM[קוד תקציב],HEVARIM[[#This Row],[קוד תקציב משפחה מקורי]],HEVARIM[ותק מחברה 40])</f>
        <v>34.239999999999995</v>
      </c>
      <c r="AQ2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236" s="9">
        <f>IF(HEVARIM[[#This Row],[קוד מעמד]]="1     ",IFERROR(VLOOKUP(HEVARIM[[#This Row],[קוד תקציב]],'תקציב צביעה - לקראת השינוי'!A:F,4,0),0),0)</f>
        <v>2032</v>
      </c>
      <c r="AT236" s="1"/>
    </row>
    <row r="237" spans="1:46">
      <c r="A237" t="s">
        <v>1211</v>
      </c>
      <c r="B237" t="s">
        <v>1212</v>
      </c>
      <c r="C237" t="s">
        <v>1203</v>
      </c>
      <c r="D237" t="s">
        <v>114</v>
      </c>
      <c r="E237" t="s">
        <v>67</v>
      </c>
      <c r="F237" s="4">
        <v>39424</v>
      </c>
      <c r="G237">
        <v>18</v>
      </c>
      <c r="H237" t="s">
        <v>1204</v>
      </c>
      <c r="I237" t="s">
        <v>1205</v>
      </c>
      <c r="J237" s="4" t="s">
        <v>70</v>
      </c>
      <c r="K237" s="4" t="s">
        <v>71</v>
      </c>
      <c r="L237" t="s">
        <v>1213</v>
      </c>
      <c r="M237" t="s">
        <v>1201</v>
      </c>
      <c r="N237" t="s">
        <v>1202</v>
      </c>
      <c r="O237">
        <f>IFERROR(VLOOKUP(HEVARIM[[#This Row],[קוד תקציב]],[2]תקציבים!A:L,6,0),0)</f>
        <v>2</v>
      </c>
      <c r="P237" s="5" t="s">
        <v>227</v>
      </c>
      <c r="Q237" t="s">
        <v>14</v>
      </c>
      <c r="R237" s="4">
        <v>39424</v>
      </c>
      <c r="S237" s="4" t="s">
        <v>90</v>
      </c>
      <c r="T237" s="96" t="s">
        <v>1204</v>
      </c>
      <c r="U237" t="str">
        <f>VLOOKUP(HEVARIM[[#This Row],[גיל]],GIL,2,1)</f>
        <v>--</v>
      </c>
      <c r="V237">
        <f>IF(HEVARIM[[#This Row],[קוד מעמד]]="4     ",IF(HEVARIM[[#This Row],[גיל]]=1,1,IF(HEVARIM[[#This Row],[גיל]]&lt;=5,5,18)),"")</f>
        <v>18</v>
      </c>
      <c r="W237">
        <f t="shared" si="12"/>
        <v>0</v>
      </c>
      <c r="X23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7">
        <f>IF(HEVARIM[[#This Row],[מצב משפחתי2]]="אלמן",'[2]ריכוז נתונים'!$AC$2,0)</f>
        <v>0</v>
      </c>
      <c r="Z237" s="3">
        <f>VLOOKUP(VALUE(HEVARIM[[#This Row],[קוד מעמד]]),הנחות!$I$2:$K$21,3,0)</f>
        <v>1</v>
      </c>
      <c r="AA237" t="b">
        <f>ISERROR(VLOOKUP(HEVARIM[[#This Row],[קוד תקציב]],'[2]ריכוז נתונים'!A:A,1,0))</f>
        <v>0</v>
      </c>
      <c r="AB237" s="1">
        <f t="shared" si="13"/>
        <v>0</v>
      </c>
      <c r="AC237" s="2">
        <f ca="1">IF(HEVARIM[[#This Row],[בר מצוה]]&gt;0,YEAR(TODAY())+'תקציבים מיוחדים'!$F$5-HEVARIM[[#This Row],[גיל]],0)</f>
        <v>0</v>
      </c>
      <c r="AD237" s="1">
        <f t="shared" si="14"/>
        <v>0</v>
      </c>
      <c r="AE237" s="2">
        <f ca="1">IF(HEVARIM[[#This Row],[בת מצוה]]&gt;0,YEAR(TODAY())+'תקציבים מיוחדים'!$F$5-HEVARIM[[#This Row],[גיל]],0)</f>
        <v>0</v>
      </c>
      <c r="AF237" s="1">
        <f>IF(AND($S237&gt;="רווק",$Z237=1),AF$4*IF(HEVARIM[[#This Row],[גיל]]&gt;$AF$3,1,(($G237-AF$2)/(AF$3-AF$2))),0)</f>
        <v>51867.857142857138</v>
      </c>
      <c r="AG237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237" s="1">
        <f t="shared" si="15"/>
        <v>90504.428571428565</v>
      </c>
      <c r="AI237" s="2">
        <f ca="1">IF(AH237&gt;0,YEAR(TODAY())+'תקציבים מיוחדים'!$F$7-HEVARIM[[#This Row],[גיל]],0)</f>
        <v>2029</v>
      </c>
      <c r="AJ237" s="9">
        <f>IF(AND(ISERROR(VLOOKUP(H237,'[2]ריכוז נתונים'!A:L,1,0)),P237="1     "),1,0)</f>
        <v>0</v>
      </c>
      <c r="AK23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37" s="1">
        <f>IF(AND(VALUE(HEVARIM[[#This Row],[קוד מעמד]])=1,HEVARIM[[#This Row],[ותק מחברה 40]]&lt;25),HEVARIM[[#This Row],[ותק מחברה 40]]/25*הנחות!$C$4,0)</f>
        <v>0</v>
      </c>
      <c r="AM237" s="9" t="str">
        <f ca="1">IF(HEVARIM[[#This Row],[דמי עזיבה 25 שנות ותק]]&gt;0,YEAR(TODAY())+25-ROUNDDOWN(HEVARIM[[#This Row],[ותק מחברה 40]],0),"")</f>
        <v/>
      </c>
      <c r="AN2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7" s="9" t="str">
        <f ca="1">IF(HEVARIM[[#This Row],[דמי עזיבה לגיל 65]]&gt;0,YEAR(TODAY())+64-ROUNDDOWN(HEVARIM[[#This Row],[גיל]],0),"")</f>
        <v/>
      </c>
      <c r="AP237" s="1">
        <f>SUMIF(HEVARIM[קוד תקציב],HEVARIM[[#This Row],[קוד תקציב משפחה מקורי]],HEVARIM[ותק מחברה 40])</f>
        <v>34.239999999999995</v>
      </c>
      <c r="AQ2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7" s="9">
        <f>IF(HEVARIM[[#This Row],[קוד מעמד]]="1     ",IFERROR(VLOOKUP(HEVARIM[[#This Row],[קוד תקציב]],'תקציב צביעה - לקראת השינוי'!A:F,4,0),0),0)</f>
        <v>0</v>
      </c>
      <c r="AT237" s="1"/>
    </row>
    <row r="238" spans="1:46">
      <c r="A238" t="s">
        <v>1214</v>
      </c>
      <c r="B238" t="s">
        <v>1215</v>
      </c>
      <c r="C238" t="s">
        <v>1203</v>
      </c>
      <c r="D238" t="s">
        <v>1216</v>
      </c>
      <c r="E238" t="s">
        <v>79</v>
      </c>
      <c r="F238" s="4">
        <v>40098</v>
      </c>
      <c r="G238">
        <v>16</v>
      </c>
      <c r="H238" t="s">
        <v>1204</v>
      </c>
      <c r="I238" t="s">
        <v>1205</v>
      </c>
      <c r="J238" s="4" t="s">
        <v>70</v>
      </c>
      <c r="K238" s="4" t="s">
        <v>71</v>
      </c>
      <c r="L238" t="s">
        <v>1217</v>
      </c>
      <c r="M238" t="s">
        <v>1201</v>
      </c>
      <c r="N238" t="s">
        <v>1202</v>
      </c>
      <c r="O238">
        <f>IFERROR(VLOOKUP(HEVARIM[[#This Row],[קוד תקציב]],[2]תקציבים!A:L,6,0),0)</f>
        <v>2</v>
      </c>
      <c r="P238" s="5" t="s">
        <v>227</v>
      </c>
      <c r="Q238" t="s">
        <v>14</v>
      </c>
      <c r="R238" s="4">
        <v>40098</v>
      </c>
      <c r="S238" s="4" t="s">
        <v>90</v>
      </c>
      <c r="T238" s="96" t="s">
        <v>1204</v>
      </c>
      <c r="U238" t="str">
        <f>VLOOKUP(HEVARIM[[#This Row],[גיל]],GIL,2,1)</f>
        <v>תיכון</v>
      </c>
      <c r="V238">
        <f>IF(HEVARIM[[#This Row],[קוד מעמד]]="4     ",IF(HEVARIM[[#This Row],[גיל]]=1,1,IF(HEVARIM[[#This Row],[גיל]]&lt;=5,5,18)),"")</f>
        <v>18</v>
      </c>
      <c r="W238">
        <f t="shared" si="12"/>
        <v>0</v>
      </c>
      <c r="X2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8">
        <f>IF(HEVARIM[[#This Row],[מצב משפחתי2]]="אלמן",'[2]ריכוז נתונים'!$AC$2,0)</f>
        <v>0</v>
      </c>
      <c r="Z238" s="3">
        <f>VLOOKUP(VALUE(HEVARIM[[#This Row],[קוד מעמד]]),הנחות!$I$2:$K$21,3,0)</f>
        <v>1</v>
      </c>
      <c r="AA238" t="b">
        <f>ISERROR(VLOOKUP(HEVARIM[[#This Row],[קוד תקציב]],'[2]ריכוז נתונים'!A:A,1,0))</f>
        <v>0</v>
      </c>
      <c r="AB238" s="1">
        <f t="shared" si="13"/>
        <v>0</v>
      </c>
      <c r="AC238" s="2">
        <f ca="1">IF(HEVARIM[[#This Row],[בר מצוה]]&gt;0,YEAR(TODAY())+'תקציבים מיוחדים'!$F$5-HEVARIM[[#This Row],[גיל]],0)</f>
        <v>0</v>
      </c>
      <c r="AD238" s="1">
        <f t="shared" si="14"/>
        <v>0</v>
      </c>
      <c r="AE238" s="2">
        <f ca="1">IF(HEVARIM[[#This Row],[בת מצוה]]&gt;0,YEAR(TODAY())+'תקציבים מיוחדים'!$F$5-HEVARIM[[#This Row],[גיל]],0)</f>
        <v>0</v>
      </c>
      <c r="AF238" s="1">
        <f>IF(AND($S238&gt;="רווק",$Z238=1),AF$4*IF(HEVARIM[[#This Row],[גיל]]&gt;$AF$3,1,(($G238-AF$2)/(AF$3-AF$2))),0)</f>
        <v>46104.761904761901</v>
      </c>
      <c r="AG238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238" s="1">
        <f t="shared" si="15"/>
        <v>80448.380952380947</v>
      </c>
      <c r="AI238" s="2">
        <f ca="1">IF(AH238&gt;0,YEAR(TODAY())+'תקציבים מיוחדים'!$F$7-HEVARIM[[#This Row],[גיל]],0)</f>
        <v>2031</v>
      </c>
      <c r="AJ238" s="9">
        <f>IF(AND(ISERROR(VLOOKUP(H238,'[2]ריכוז נתונים'!A:L,1,0)),P238="1     "),1,0)</f>
        <v>0</v>
      </c>
      <c r="AK23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38" s="1">
        <f>IF(AND(VALUE(HEVARIM[[#This Row],[קוד מעמד]])=1,HEVARIM[[#This Row],[ותק מחברה 40]]&lt;25),HEVARIM[[#This Row],[ותק מחברה 40]]/25*הנחות!$C$4,0)</f>
        <v>0</v>
      </c>
      <c r="AM238" s="9" t="str">
        <f ca="1">IF(HEVARIM[[#This Row],[דמי עזיבה 25 שנות ותק]]&gt;0,YEAR(TODAY())+25-ROUNDDOWN(HEVARIM[[#This Row],[ותק מחברה 40]],0),"")</f>
        <v/>
      </c>
      <c r="AN2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8" s="9" t="str">
        <f ca="1">IF(HEVARIM[[#This Row],[דמי עזיבה לגיל 65]]&gt;0,YEAR(TODAY())+64-ROUNDDOWN(HEVARIM[[#This Row],[גיל]],0),"")</f>
        <v/>
      </c>
      <c r="AP238" s="1">
        <f>SUMIF(HEVARIM[קוד תקציב],HEVARIM[[#This Row],[קוד תקציב משפחה מקורי]],HEVARIM[ותק מחברה 40])</f>
        <v>34.239999999999995</v>
      </c>
      <c r="AQ2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8" s="9">
        <f>IF(HEVARIM[[#This Row],[קוד מעמד]]="1     ",IFERROR(VLOOKUP(HEVARIM[[#This Row],[קוד תקציב]],'תקציב צביעה - לקראת השינוי'!A:F,4,0),0),0)</f>
        <v>0</v>
      </c>
      <c r="AT238" s="1"/>
    </row>
    <row r="239" spans="1:46">
      <c r="A239" t="s">
        <v>1218</v>
      </c>
      <c r="B239" t="s">
        <v>1219</v>
      </c>
      <c r="C239" t="s">
        <v>1203</v>
      </c>
      <c r="D239" t="s">
        <v>1220</v>
      </c>
      <c r="E239" t="s">
        <v>79</v>
      </c>
      <c r="F239" s="4">
        <v>40901</v>
      </c>
      <c r="G239">
        <v>14</v>
      </c>
      <c r="H239" t="s">
        <v>1204</v>
      </c>
      <c r="I239" t="s">
        <v>1205</v>
      </c>
      <c r="J239" s="4" t="s">
        <v>70</v>
      </c>
      <c r="K239" s="4" t="s">
        <v>71</v>
      </c>
      <c r="L239" t="s">
        <v>1221</v>
      </c>
      <c r="M239" t="s">
        <v>1201</v>
      </c>
      <c r="N239" t="s">
        <v>1202</v>
      </c>
      <c r="O239">
        <f>IFERROR(VLOOKUP(HEVARIM[[#This Row],[קוד תקציב]],[2]תקציבים!A:L,6,0),0)</f>
        <v>2</v>
      </c>
      <c r="P239" s="5" t="s">
        <v>227</v>
      </c>
      <c r="Q239" t="s">
        <v>14</v>
      </c>
      <c r="R239" s="4">
        <v>40901</v>
      </c>
      <c r="S239" s="4" t="s">
        <v>90</v>
      </c>
      <c r="T239" s="96" t="s">
        <v>1204</v>
      </c>
      <c r="U239" t="str">
        <f>VLOOKUP(HEVARIM[[#This Row],[גיל]],GIL,2,1)</f>
        <v>חטיבה</v>
      </c>
      <c r="V239">
        <f>IF(HEVARIM[[#This Row],[קוד מעמד]]="4     ",IF(HEVARIM[[#This Row],[גיל]]=1,1,IF(HEVARIM[[#This Row],[גיל]]&lt;=5,5,18)),"")</f>
        <v>18</v>
      </c>
      <c r="W239">
        <f t="shared" si="12"/>
        <v>0</v>
      </c>
      <c r="X2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39">
        <f>IF(HEVARIM[[#This Row],[מצב משפחתי2]]="אלמן",'[2]ריכוז נתונים'!$AC$2,0)</f>
        <v>0</v>
      </c>
      <c r="Z239" s="3">
        <f>VLOOKUP(VALUE(HEVARIM[[#This Row],[קוד מעמד]]),הנחות!$I$2:$K$21,3,0)</f>
        <v>1</v>
      </c>
      <c r="AA239" t="b">
        <f>ISERROR(VLOOKUP(HEVARIM[[#This Row],[קוד תקציב]],'[2]ריכוז נתונים'!A:A,1,0))</f>
        <v>0</v>
      </c>
      <c r="AB239" s="1">
        <f t="shared" si="13"/>
        <v>0</v>
      </c>
      <c r="AC239" s="2">
        <f ca="1">IF(HEVARIM[[#This Row],[בר מצוה]]&gt;0,YEAR(TODAY())+'תקציבים מיוחדים'!$F$5-HEVARIM[[#This Row],[גיל]],0)</f>
        <v>0</v>
      </c>
      <c r="AD239" s="1">
        <f t="shared" si="14"/>
        <v>0</v>
      </c>
      <c r="AE239" s="2">
        <f ca="1">IF(HEVARIM[[#This Row],[בת מצוה]]&gt;0,YEAR(TODAY())+'תקציבים מיוחדים'!$F$5-HEVARIM[[#This Row],[גיל]],0)</f>
        <v>0</v>
      </c>
      <c r="AF239" s="1">
        <f>IF(AND($S239&gt;="רווק",$Z239=1),AF$4*IF(HEVARIM[[#This Row],[גיל]]&gt;$AF$3,1,(($G239-AF$2)/(AF$3-AF$2))),0)</f>
        <v>40341.666666666664</v>
      </c>
      <c r="AG239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239" s="1">
        <f t="shared" si="15"/>
        <v>70392.333333333328</v>
      </c>
      <c r="AI239" s="2">
        <f ca="1">IF(AH239&gt;0,YEAR(TODAY())+'תקציבים מיוחדים'!$F$7-HEVARIM[[#This Row],[גיל]],0)</f>
        <v>2033</v>
      </c>
      <c r="AJ239" s="9">
        <f>IF(AND(ISERROR(VLOOKUP(H239,'[2]ריכוז נתונים'!A:L,1,0)),P239="1     "),1,0)</f>
        <v>0</v>
      </c>
      <c r="AK23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39" s="1">
        <f>IF(AND(VALUE(HEVARIM[[#This Row],[קוד מעמד]])=1,HEVARIM[[#This Row],[ותק מחברה 40]]&lt;25),HEVARIM[[#This Row],[ותק מחברה 40]]/25*הנחות!$C$4,0)</f>
        <v>0</v>
      </c>
      <c r="AM239" s="9" t="str">
        <f ca="1">IF(HEVARIM[[#This Row],[דמי עזיבה 25 שנות ותק]]&gt;0,YEAR(TODAY())+25-ROUNDDOWN(HEVARIM[[#This Row],[ותק מחברה 40]],0),"")</f>
        <v/>
      </c>
      <c r="AN2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39" s="9" t="str">
        <f ca="1">IF(HEVARIM[[#This Row],[דמי עזיבה לגיל 65]]&gt;0,YEAR(TODAY())+64-ROUNDDOWN(HEVARIM[[#This Row],[גיל]],0),"")</f>
        <v/>
      </c>
      <c r="AP239" s="1">
        <f>SUMIF(HEVARIM[קוד תקציב],HEVARIM[[#This Row],[קוד תקציב משפחה מקורי]],HEVARIM[ותק מחברה 40])</f>
        <v>34.239999999999995</v>
      </c>
      <c r="AQ2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39" s="9">
        <f>IF(HEVARIM[[#This Row],[קוד מעמד]]="1     ",IFERROR(VLOOKUP(HEVARIM[[#This Row],[קוד תקציב]],'תקציב צביעה - לקראת השינוי'!A:F,4,0),0),0)</f>
        <v>0</v>
      </c>
      <c r="AT239" s="1"/>
    </row>
    <row r="240" spans="1:46">
      <c r="A240" t="s">
        <v>1222</v>
      </c>
      <c r="B240" t="s">
        <v>1223</v>
      </c>
      <c r="C240" t="s">
        <v>1203</v>
      </c>
      <c r="D240" t="s">
        <v>1224</v>
      </c>
      <c r="E240" t="s">
        <v>79</v>
      </c>
      <c r="F240" s="4">
        <v>41488</v>
      </c>
      <c r="G240">
        <v>12</v>
      </c>
      <c r="H240" t="s">
        <v>1204</v>
      </c>
      <c r="I240" t="s">
        <v>1205</v>
      </c>
      <c r="J240" s="4" t="s">
        <v>70</v>
      </c>
      <c r="K240" s="4" t="s">
        <v>71</v>
      </c>
      <c r="L240" t="s">
        <v>1225</v>
      </c>
      <c r="M240" t="s">
        <v>1201</v>
      </c>
      <c r="N240" t="s">
        <v>1202</v>
      </c>
      <c r="O240">
        <f>IFERROR(VLOOKUP(HEVARIM[[#This Row],[קוד תקציב]],[2]תקציבים!A:L,6,0),0)</f>
        <v>2</v>
      </c>
      <c r="P240" s="5" t="s">
        <v>227</v>
      </c>
      <c r="Q240" t="s">
        <v>14</v>
      </c>
      <c r="R240" s="4">
        <v>41488</v>
      </c>
      <c r="S240" s="4" t="s">
        <v>90</v>
      </c>
      <c r="T240" s="96" t="s">
        <v>1204</v>
      </c>
      <c r="U240" t="str">
        <f>VLOOKUP(HEVARIM[[#This Row],[גיל]],GIL,2,1)</f>
        <v>יסודי</v>
      </c>
      <c r="V240">
        <f>IF(HEVARIM[[#This Row],[קוד מעמד]]="4     ",IF(HEVARIM[[#This Row],[גיל]]=1,1,IF(HEVARIM[[#This Row],[גיל]]&lt;=5,5,18)),"")</f>
        <v>18</v>
      </c>
      <c r="W240">
        <f t="shared" si="12"/>
        <v>0</v>
      </c>
      <c r="X2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0">
        <f>IF(HEVARIM[[#This Row],[מצב משפחתי2]]="אלמן",'[2]ריכוז נתונים'!$AC$2,0)</f>
        <v>0</v>
      </c>
      <c r="Z240" s="3">
        <f>VLOOKUP(VALUE(HEVARIM[[#This Row],[קוד מעמד]]),הנחות!$I$2:$K$21,3,0)</f>
        <v>1</v>
      </c>
      <c r="AA240" t="b">
        <f>ISERROR(VLOOKUP(HEVARIM[[#This Row],[קוד תקציב]],'[2]ריכוז נתונים'!A:A,1,0))</f>
        <v>0</v>
      </c>
      <c r="AB240" s="1">
        <f t="shared" si="13"/>
        <v>0</v>
      </c>
      <c r="AC240" s="2">
        <f ca="1">IF(HEVARIM[[#This Row],[בר מצוה]]&gt;0,YEAR(TODAY())+'תקציבים מיוחדים'!$F$5-HEVARIM[[#This Row],[גיל]],0)</f>
        <v>0</v>
      </c>
      <c r="AD240" s="1">
        <f t="shared" si="14"/>
        <v>6613.8461538461543</v>
      </c>
      <c r="AE240" s="2">
        <f ca="1">IF(HEVARIM[[#This Row],[בת מצוה]]&gt;0,YEAR(TODAY())+'תקציבים מיוחדים'!$F$5-HEVARIM[[#This Row],[גיל]],0)</f>
        <v>2027</v>
      </c>
      <c r="AF240" s="1">
        <f>IF(AND($S240&gt;="רווק",$Z240=1),AF$4*IF(HEVARIM[[#This Row],[גיל]]&gt;$AF$3,1,(($G240-AF$2)/(AF$3-AF$2))),0)</f>
        <v>34578.571428571428</v>
      </c>
      <c r="AG240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240" s="1">
        <f t="shared" si="15"/>
        <v>60336.28571428571</v>
      </c>
      <c r="AI240" s="2">
        <f ca="1">IF(AH240&gt;0,YEAR(TODAY())+'תקציבים מיוחדים'!$F$7-HEVARIM[[#This Row],[גיל]],0)</f>
        <v>2035</v>
      </c>
      <c r="AJ240" s="9">
        <f>IF(AND(ISERROR(VLOOKUP(H240,'[2]ריכוז נתונים'!A:L,1,0)),P240="1     "),1,0)</f>
        <v>0</v>
      </c>
      <c r="AK24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0" s="1">
        <f>IF(AND(VALUE(HEVARIM[[#This Row],[קוד מעמד]])=1,HEVARIM[[#This Row],[ותק מחברה 40]]&lt;25),HEVARIM[[#This Row],[ותק מחברה 40]]/25*הנחות!$C$4,0)</f>
        <v>0</v>
      </c>
      <c r="AM240" s="9" t="str">
        <f ca="1">IF(HEVARIM[[#This Row],[דמי עזיבה 25 שנות ותק]]&gt;0,YEAR(TODAY())+25-ROUNDDOWN(HEVARIM[[#This Row],[ותק מחברה 40]],0),"")</f>
        <v/>
      </c>
      <c r="AN2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0" s="9" t="str">
        <f ca="1">IF(HEVARIM[[#This Row],[דמי עזיבה לגיל 65]]&gt;0,YEAR(TODAY())+64-ROUNDDOWN(HEVARIM[[#This Row],[גיל]],0),"")</f>
        <v/>
      </c>
      <c r="AP240" s="1">
        <f>SUMIF(HEVARIM[קוד תקציב],HEVARIM[[#This Row],[קוד תקציב משפחה מקורי]],HEVARIM[ותק מחברה 40])</f>
        <v>34.239999999999995</v>
      </c>
      <c r="AQ2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0" s="9">
        <f>IF(HEVARIM[[#This Row],[קוד מעמד]]="1     ",IFERROR(VLOOKUP(HEVARIM[[#This Row],[קוד תקציב]],'תקציב צביעה - לקראת השינוי'!A:F,4,0),0),0)</f>
        <v>0</v>
      </c>
      <c r="AT240" s="1"/>
    </row>
    <row r="241" spans="1:46">
      <c r="A241" t="s">
        <v>1226</v>
      </c>
      <c r="B241" t="s">
        <v>1227</v>
      </c>
      <c r="C241" t="s">
        <v>1203</v>
      </c>
      <c r="D241" t="s">
        <v>1228</v>
      </c>
      <c r="E241" t="s">
        <v>67</v>
      </c>
      <c r="F241" s="4">
        <v>42262</v>
      </c>
      <c r="G241">
        <v>10</v>
      </c>
      <c r="H241" t="s">
        <v>1204</v>
      </c>
      <c r="I241" t="s">
        <v>1205</v>
      </c>
      <c r="J241" s="4" t="s">
        <v>70</v>
      </c>
      <c r="K241" s="4" t="s">
        <v>71</v>
      </c>
      <c r="L241" t="s">
        <v>1229</v>
      </c>
      <c r="M241" t="s">
        <v>1201</v>
      </c>
      <c r="N241" t="s">
        <v>1202</v>
      </c>
      <c r="O241">
        <f>IFERROR(VLOOKUP(HEVARIM[[#This Row],[קוד תקציב]],[2]תקציבים!A:L,6,0),0)</f>
        <v>2</v>
      </c>
      <c r="P241" s="5" t="s">
        <v>227</v>
      </c>
      <c r="Q241" t="s">
        <v>14</v>
      </c>
      <c r="R241" s="4">
        <v>42262</v>
      </c>
      <c r="S241" s="4" t="s">
        <v>90</v>
      </c>
      <c r="T241" s="96" t="s">
        <v>1204</v>
      </c>
      <c r="U241" t="str">
        <f>VLOOKUP(HEVARIM[[#This Row],[גיל]],GIL,2,1)</f>
        <v>יסודי</v>
      </c>
      <c r="V241">
        <f>IF(HEVARIM[[#This Row],[קוד מעמד]]="4     ",IF(HEVARIM[[#This Row],[גיל]]=1,1,IF(HEVARIM[[#This Row],[גיל]]&lt;=5,5,18)),"")</f>
        <v>18</v>
      </c>
      <c r="W241">
        <f t="shared" si="12"/>
        <v>0</v>
      </c>
      <c r="X24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1">
        <f>IF(HEVARIM[[#This Row],[מצב משפחתי2]]="אלמן",'[2]ריכוז נתונים'!$AC$2,0)</f>
        <v>0</v>
      </c>
      <c r="Z241" s="3">
        <f>VLOOKUP(VALUE(HEVARIM[[#This Row],[קוד מעמד]]),הנחות!$I$2:$K$21,3,0)</f>
        <v>1</v>
      </c>
      <c r="AA241" t="b">
        <f>ISERROR(VLOOKUP(HEVARIM[[#This Row],[קוד תקציב]],'[2]ריכוז נתונים'!A:A,1,0))</f>
        <v>0</v>
      </c>
      <c r="AB241" s="1">
        <f t="shared" si="13"/>
        <v>5511.5384615384619</v>
      </c>
      <c r="AC241" s="2">
        <f ca="1">IF(HEVARIM[[#This Row],[בר מצוה]]&gt;0,YEAR(TODAY())+'תקציבים מיוחדים'!$F$5-HEVARIM[[#This Row],[גיל]],0)</f>
        <v>2029</v>
      </c>
      <c r="AD241" s="1">
        <f t="shared" si="14"/>
        <v>0</v>
      </c>
      <c r="AE241" s="2">
        <f ca="1">IF(HEVARIM[[#This Row],[בת מצוה]]&gt;0,YEAR(TODAY())+'תקציבים מיוחדים'!$F$5-HEVARIM[[#This Row],[גיל]],0)</f>
        <v>0</v>
      </c>
      <c r="AF241" s="1">
        <f>IF(AND($S241&gt;="רווק",$Z241=1),AF$4*IF(HEVARIM[[#This Row],[גיל]]&gt;$AF$3,1,(($G241-AF$2)/(AF$3-AF$2))),0)</f>
        <v>28815.476190476187</v>
      </c>
      <c r="AG241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241" s="1">
        <f t="shared" si="15"/>
        <v>50280.238095238092</v>
      </c>
      <c r="AI241" s="2">
        <f ca="1">IF(AH241&gt;0,YEAR(TODAY())+'תקציבים מיוחדים'!$F$7-HEVARIM[[#This Row],[גיל]],0)</f>
        <v>2037</v>
      </c>
      <c r="AJ241" s="9">
        <f>IF(AND(ISERROR(VLOOKUP(H241,'[2]ריכוז נתונים'!A:L,1,0)),P241="1     "),1,0)</f>
        <v>0</v>
      </c>
      <c r="AK24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1" s="1">
        <f>IF(AND(VALUE(HEVARIM[[#This Row],[קוד מעמד]])=1,HEVARIM[[#This Row],[ותק מחברה 40]]&lt;25),HEVARIM[[#This Row],[ותק מחברה 40]]/25*הנחות!$C$4,0)</f>
        <v>0</v>
      </c>
      <c r="AM241" s="9" t="str">
        <f ca="1">IF(HEVARIM[[#This Row],[דמי עזיבה 25 שנות ותק]]&gt;0,YEAR(TODAY())+25-ROUNDDOWN(HEVARIM[[#This Row],[ותק מחברה 40]],0),"")</f>
        <v/>
      </c>
      <c r="AN2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1" s="9" t="str">
        <f ca="1">IF(HEVARIM[[#This Row],[דמי עזיבה לגיל 65]]&gt;0,YEAR(TODAY())+64-ROUNDDOWN(HEVARIM[[#This Row],[גיל]],0),"")</f>
        <v/>
      </c>
      <c r="AP241" s="1">
        <f>SUMIF(HEVARIM[קוד תקציב],HEVARIM[[#This Row],[קוד תקציב משפחה מקורי]],HEVARIM[ותק מחברה 40])</f>
        <v>34.239999999999995</v>
      </c>
      <c r="AQ2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1" s="9">
        <f>IF(HEVARIM[[#This Row],[קוד מעמד]]="1     ",IFERROR(VLOOKUP(HEVARIM[[#This Row],[קוד תקציב]],'תקציב צביעה - לקראת השינוי'!A:F,4,0),0),0)</f>
        <v>0</v>
      </c>
      <c r="AT241" s="1"/>
    </row>
    <row r="242" spans="1:46">
      <c r="A242" t="s">
        <v>1230</v>
      </c>
      <c r="B242" t="s">
        <v>1231</v>
      </c>
      <c r="C242" t="s">
        <v>1203</v>
      </c>
      <c r="D242" t="s">
        <v>299</v>
      </c>
      <c r="E242" t="s">
        <v>67</v>
      </c>
      <c r="F242" s="4">
        <v>43558</v>
      </c>
      <c r="G242">
        <v>6</v>
      </c>
      <c r="H242" t="s">
        <v>1204</v>
      </c>
      <c r="I242" t="s">
        <v>1205</v>
      </c>
      <c r="J242" s="4" t="s">
        <v>70</v>
      </c>
      <c r="K242" s="4" t="s">
        <v>71</v>
      </c>
      <c r="L242" t="s">
        <v>1232</v>
      </c>
      <c r="M242" t="s">
        <v>1201</v>
      </c>
      <c r="N242" t="s">
        <v>1202</v>
      </c>
      <c r="O242">
        <f>IFERROR(VLOOKUP(HEVARIM[[#This Row],[קוד תקציב]],[2]תקציבים!A:L,6,0),0)</f>
        <v>2</v>
      </c>
      <c r="P242" s="5" t="s">
        <v>227</v>
      </c>
      <c r="Q242" t="s">
        <v>14</v>
      </c>
      <c r="R242" s="4">
        <v>43558</v>
      </c>
      <c r="S242" s="4" t="s">
        <v>90</v>
      </c>
      <c r="T242" s="96" t="s">
        <v>1204</v>
      </c>
      <c r="U242" t="str">
        <f>VLOOKUP(HEVARIM[[#This Row],[גיל]],GIL,2,1)</f>
        <v>יסודי</v>
      </c>
      <c r="V242">
        <f>IF(HEVARIM[[#This Row],[קוד מעמד]]="4     ",IF(HEVARIM[[#This Row],[גיל]]=1,1,IF(HEVARIM[[#This Row],[גיל]]&lt;=5,5,18)),"")</f>
        <v>18</v>
      </c>
      <c r="W242">
        <f t="shared" si="12"/>
        <v>0</v>
      </c>
      <c r="X24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2">
        <f>IF(HEVARIM[[#This Row],[מצב משפחתי2]]="אלמן",'[2]ריכוז נתונים'!$AC$2,0)</f>
        <v>0</v>
      </c>
      <c r="Z242" s="3">
        <f>VLOOKUP(VALUE(HEVARIM[[#This Row],[קוד מעמד]]),הנחות!$I$2:$K$21,3,0)</f>
        <v>1</v>
      </c>
      <c r="AA242" t="b">
        <f>ISERROR(VLOOKUP(HEVARIM[[#This Row],[קוד תקציב]],'[2]ריכוז נתונים'!A:A,1,0))</f>
        <v>0</v>
      </c>
      <c r="AB242" s="1">
        <f t="shared" si="13"/>
        <v>3306.9230769230771</v>
      </c>
      <c r="AC242" s="2">
        <f ca="1">IF(HEVARIM[[#This Row],[בר מצוה]]&gt;0,YEAR(TODAY())+'תקציבים מיוחדים'!$F$5-HEVARIM[[#This Row],[גיל]],0)</f>
        <v>2033</v>
      </c>
      <c r="AD242" s="1">
        <f t="shared" si="14"/>
        <v>0</v>
      </c>
      <c r="AE242" s="2">
        <f ca="1">IF(HEVARIM[[#This Row],[בת מצוה]]&gt;0,YEAR(TODAY())+'תקציבים מיוחדים'!$F$5-HEVARIM[[#This Row],[גיל]],0)</f>
        <v>0</v>
      </c>
      <c r="AF242" s="1">
        <f>IF(AND($S242&gt;="רווק",$Z242=1),AF$4*IF(HEVARIM[[#This Row],[גיל]]&gt;$AF$3,1,(($G242-AF$2)/(AF$3-AF$2))),0)</f>
        <v>17289.285714285714</v>
      </c>
      <c r="AG242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242" s="1">
        <f t="shared" si="15"/>
        <v>30168.142857142855</v>
      </c>
      <c r="AI242" s="2">
        <f ca="1">IF(AH242&gt;0,YEAR(TODAY())+'תקציבים מיוחדים'!$F$7-HEVARIM[[#This Row],[גיל]],0)</f>
        <v>2041</v>
      </c>
      <c r="AJ242" s="9">
        <f>IF(AND(ISERROR(VLOOKUP(H242,'[2]ריכוז נתונים'!A:L,1,0)),P242="1     "),1,0)</f>
        <v>0</v>
      </c>
      <c r="AK24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2" s="1">
        <f>IF(AND(VALUE(HEVARIM[[#This Row],[קוד מעמד]])=1,HEVARIM[[#This Row],[ותק מחברה 40]]&lt;25),HEVARIM[[#This Row],[ותק מחברה 40]]/25*הנחות!$C$4,0)</f>
        <v>0</v>
      </c>
      <c r="AM242" s="9" t="str">
        <f ca="1">IF(HEVARIM[[#This Row],[דמי עזיבה 25 שנות ותק]]&gt;0,YEAR(TODAY())+25-ROUNDDOWN(HEVARIM[[#This Row],[ותק מחברה 40]],0),"")</f>
        <v/>
      </c>
      <c r="AN2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2" s="9" t="str">
        <f ca="1">IF(HEVARIM[[#This Row],[דמי עזיבה לגיל 65]]&gt;0,YEAR(TODAY())+64-ROUNDDOWN(HEVARIM[[#This Row],[גיל]],0),"")</f>
        <v/>
      </c>
      <c r="AP242" s="1">
        <f>SUMIF(HEVARIM[קוד תקציב],HEVARIM[[#This Row],[קוד תקציב משפחה מקורי]],HEVARIM[ותק מחברה 40])</f>
        <v>34.239999999999995</v>
      </c>
      <c r="AQ2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2" s="9">
        <f>IF(HEVARIM[[#This Row],[קוד מעמד]]="1     ",IFERROR(VLOOKUP(HEVARIM[[#This Row],[קוד תקציב]],'תקציב צביעה - לקראת השינוי'!A:F,4,0),0),0)</f>
        <v>0</v>
      </c>
      <c r="AT242" s="1"/>
    </row>
    <row r="243" spans="1:46">
      <c r="A243" t="s">
        <v>1238</v>
      </c>
      <c r="B243" t="s">
        <v>1239</v>
      </c>
      <c r="C243" t="s">
        <v>1189</v>
      </c>
      <c r="D243" t="s">
        <v>1240</v>
      </c>
      <c r="E243" t="s">
        <v>79</v>
      </c>
      <c r="F243" s="4">
        <v>33193</v>
      </c>
      <c r="G243">
        <v>35</v>
      </c>
      <c r="H243" t="s">
        <v>1235</v>
      </c>
      <c r="I243" t="s">
        <v>1236</v>
      </c>
      <c r="J243" s="4" t="s">
        <v>70</v>
      </c>
      <c r="K243" s="4" t="s">
        <v>71</v>
      </c>
      <c r="L243" t="s">
        <v>1241</v>
      </c>
      <c r="M243" t="s">
        <v>1233</v>
      </c>
      <c r="N243" t="s">
        <v>1234</v>
      </c>
      <c r="O243">
        <f>IFERROR(VLOOKUP(HEVARIM[[#This Row],[קוד תקציב]],[2]תקציבים!A:L,6,0),0)</f>
        <v>2</v>
      </c>
      <c r="P243" s="5" t="s">
        <v>104</v>
      </c>
      <c r="Q243" t="s">
        <v>11</v>
      </c>
      <c r="R243" s="4">
        <v>44545</v>
      </c>
      <c r="S243" s="4" t="s">
        <v>74</v>
      </c>
      <c r="T243" s="96" t="s">
        <v>1235</v>
      </c>
      <c r="U243" t="str">
        <f>VLOOKUP(HEVARIM[[#This Row],[גיל]],GIL,2,1)</f>
        <v>--</v>
      </c>
      <c r="V243" t="str">
        <f>IF(HEVARIM[[#This Row],[קוד מעמד]]="4     ",IF(HEVARIM[[#This Row],[גיל]]=1,1,IF(HEVARIM[[#This Row],[גיל]]&lt;=5,5,18)),"")</f>
        <v/>
      </c>
      <c r="W243">
        <f t="shared" si="12"/>
        <v>0</v>
      </c>
      <c r="X24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3">
        <f>IF(HEVARIM[[#This Row],[מצב משפחתי2]]="אלמן",'[2]ריכוז נתונים'!$AC$2,0)</f>
        <v>0</v>
      </c>
      <c r="Z243" s="3">
        <f>VLOOKUP(VALUE(HEVARIM[[#This Row],[קוד מעמד]]),הנחות!$I$2:$K$21,3,0)</f>
        <v>0</v>
      </c>
      <c r="AA243" t="b">
        <f>ISERROR(VLOOKUP(HEVARIM[[#This Row],[קוד תקציב]],'[2]ריכוז נתונים'!A:A,1,0))</f>
        <v>0</v>
      </c>
      <c r="AB243" s="1">
        <f t="shared" si="13"/>
        <v>0</v>
      </c>
      <c r="AC243" s="2">
        <f ca="1">IF(HEVARIM[[#This Row],[בר מצוה]]&gt;0,YEAR(TODAY())+'תקציבים מיוחדים'!$F$5-HEVARIM[[#This Row],[גיל]],0)</f>
        <v>0</v>
      </c>
      <c r="AD243" s="1">
        <f t="shared" si="14"/>
        <v>0</v>
      </c>
      <c r="AE243" s="2">
        <f ca="1">IF(HEVARIM[[#This Row],[בת מצוה]]&gt;0,YEAR(TODAY())+'תקציבים מיוחדים'!$F$5-HEVARIM[[#This Row],[גיל]],0)</f>
        <v>0</v>
      </c>
      <c r="AF243" s="1">
        <f>IF(AND($S243&gt;="רווק",$Z243=1),AF$4*IF(HEVARIM[[#This Row],[גיל]]&gt;$AF$3,1,(($G243-AF$2)/(AF$3-AF$2))),0)</f>
        <v>0</v>
      </c>
      <c r="AG24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43" s="1">
        <f t="shared" si="15"/>
        <v>0</v>
      </c>
      <c r="AI243" s="2">
        <f ca="1">IF(AH243&gt;0,YEAR(TODAY())+'תקציבים מיוחדים'!$F$7-HEVARIM[[#This Row],[גיל]],0)</f>
        <v>0</v>
      </c>
      <c r="AJ243" s="9">
        <f>IF(AND(ISERROR(VLOOKUP(H243,'[2]ריכוז נתונים'!A:L,1,0)),P243="1     "),1,0)</f>
        <v>0</v>
      </c>
      <c r="AK243" s="1">
        <f>IF(VALUE(HEVARIM[[#This Row],[קוד מעמד]])=1,VLOOKUP((IF(LEFT(HEVARIM[[#This Row],[קוד חבר]],1)="0",HEVARIM[[#This Row],[קוד חבר]],VALUE(HEVARIM[[#This Row],[קוד חבר]]))),'ותק חברה 40'!AQ:AW,7,0),"")</f>
        <v>5.75</v>
      </c>
      <c r="AL243" s="1">
        <f>IF(AND(VALUE(HEVARIM[[#This Row],[קוד מעמד]])=1,HEVARIM[[#This Row],[ותק מחברה 40]]&lt;25),HEVARIM[[#This Row],[ותק מחברה 40]]/25*הנחות!$C$4,0)</f>
        <v>8632.9608749999989</v>
      </c>
      <c r="AM243" s="9">
        <f ca="1">IF(HEVARIM[[#This Row],[דמי עזיבה 25 שנות ותק]]&gt;0,YEAR(TODAY())+25-ROUNDDOWN(HEVARIM[[#This Row],[ותק מחברה 40]],0),"")</f>
        <v>2046</v>
      </c>
      <c r="AN24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3" s="9" t="str">
        <f ca="1">IF(HEVARIM[[#This Row],[דמי עזיבה לגיל 65]]&gt;0,YEAR(TODAY())+64-ROUNDDOWN(HEVARIM[[#This Row],[גיל]],0),"")</f>
        <v/>
      </c>
      <c r="AP243" s="1">
        <f>SUMIF(HEVARIM[קוד תקציב],HEVARIM[[#This Row],[קוד תקציב משפחה מקורי]],HEVARIM[ותק מחברה 40])</f>
        <v>11.5</v>
      </c>
      <c r="AQ2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3" s="9">
        <f>IF(HEVARIM[[#This Row],[קוד מעמד]]="1     ",IFERROR(VLOOKUP(HEVARIM[[#This Row],[קוד תקציב]],'תקציב צביעה - לקראת השינוי'!A:F,4,0),0),0)</f>
        <v>0</v>
      </c>
      <c r="AT243" s="1"/>
    </row>
    <row r="244" spans="1:46">
      <c r="A244" t="s">
        <v>1242</v>
      </c>
      <c r="B244" t="s">
        <v>1243</v>
      </c>
      <c r="C244" t="s">
        <v>1189</v>
      </c>
      <c r="D244" t="s">
        <v>1244</v>
      </c>
      <c r="E244" t="s">
        <v>67</v>
      </c>
      <c r="F244" s="4">
        <v>43072</v>
      </c>
      <c r="G244">
        <v>8</v>
      </c>
      <c r="H244" t="s">
        <v>1235</v>
      </c>
      <c r="I244" t="s">
        <v>1236</v>
      </c>
      <c r="J244" s="4" t="s">
        <v>70</v>
      </c>
      <c r="K244" s="4" t="s">
        <v>71</v>
      </c>
      <c r="L244" t="s">
        <v>1245</v>
      </c>
      <c r="M244" t="s">
        <v>1233</v>
      </c>
      <c r="N244" t="s">
        <v>1234</v>
      </c>
      <c r="O244">
        <f>IFERROR(VLOOKUP(HEVARIM[[#This Row],[קוד תקציב]],[2]תקציבים!A:L,6,0),0)</f>
        <v>2</v>
      </c>
      <c r="P244" s="5" t="s">
        <v>227</v>
      </c>
      <c r="Q244" t="s">
        <v>14</v>
      </c>
      <c r="R244" s="4">
        <v>43800</v>
      </c>
      <c r="S244" s="4" t="s">
        <v>90</v>
      </c>
      <c r="T244" s="96" t="s">
        <v>1235</v>
      </c>
      <c r="U244" t="str">
        <f>VLOOKUP(HEVARIM[[#This Row],[גיל]],GIL,2,1)</f>
        <v>יסודי</v>
      </c>
      <c r="V244">
        <f>IF(HEVARIM[[#This Row],[קוד מעמד]]="4     ",IF(HEVARIM[[#This Row],[גיל]]=1,1,IF(HEVARIM[[#This Row],[גיל]]&lt;=5,5,18)),"")</f>
        <v>18</v>
      </c>
      <c r="W244">
        <f t="shared" si="12"/>
        <v>0</v>
      </c>
      <c r="X24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4">
        <f>IF(HEVARIM[[#This Row],[מצב משפחתי2]]="אלמן",'[2]ריכוז נתונים'!$AC$2,0)</f>
        <v>0</v>
      </c>
      <c r="Z244" s="3">
        <f>VLOOKUP(VALUE(HEVARIM[[#This Row],[קוד מעמד]]),הנחות!$I$2:$K$21,3,0)</f>
        <v>1</v>
      </c>
      <c r="AA244" t="b">
        <f>ISERROR(VLOOKUP(HEVARIM[[#This Row],[קוד תקציב]],'[2]ריכוז נתונים'!A:A,1,0))</f>
        <v>0</v>
      </c>
      <c r="AB244" s="1">
        <f t="shared" si="13"/>
        <v>4409.2307692307695</v>
      </c>
      <c r="AC244" s="2">
        <f ca="1">IF(HEVARIM[[#This Row],[בר מצוה]]&gt;0,YEAR(TODAY())+'תקציבים מיוחדים'!$F$5-HEVARIM[[#This Row],[גיל]],0)</f>
        <v>2031</v>
      </c>
      <c r="AD244" s="1">
        <f t="shared" si="14"/>
        <v>0</v>
      </c>
      <c r="AE244" s="2">
        <f ca="1">IF(HEVARIM[[#This Row],[בת מצוה]]&gt;0,YEAR(TODAY())+'תקציבים מיוחדים'!$F$5-HEVARIM[[#This Row],[גיל]],0)</f>
        <v>0</v>
      </c>
      <c r="AF244" s="1">
        <f>IF(AND($S244&gt;="רווק",$Z244=1),AF$4*IF(HEVARIM[[#This Row],[גיל]]&gt;$AF$3,1,(($G244-AF$2)/(AF$3-AF$2))),0)</f>
        <v>23052.38095238095</v>
      </c>
      <c r="AG244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244" s="1">
        <f t="shared" si="15"/>
        <v>40224.190476190473</v>
      </c>
      <c r="AI244" s="2">
        <f ca="1">IF(AH244&gt;0,YEAR(TODAY())+'תקציבים מיוחדים'!$F$7-HEVARIM[[#This Row],[גיל]],0)</f>
        <v>2039</v>
      </c>
      <c r="AJ244" s="9">
        <f>IF(AND(ISERROR(VLOOKUP(H244,'[2]ריכוז נתונים'!A:L,1,0)),P244="1     "),1,0)</f>
        <v>0</v>
      </c>
      <c r="AK24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4" s="1">
        <f>IF(AND(VALUE(HEVARIM[[#This Row],[קוד מעמד]])=1,HEVARIM[[#This Row],[ותק מחברה 40]]&lt;25),HEVARIM[[#This Row],[ותק מחברה 40]]/25*הנחות!$C$4,0)</f>
        <v>0</v>
      </c>
      <c r="AM244" s="9" t="str">
        <f ca="1">IF(HEVARIM[[#This Row],[דמי עזיבה 25 שנות ותק]]&gt;0,YEAR(TODAY())+25-ROUNDDOWN(HEVARIM[[#This Row],[ותק מחברה 40]],0),"")</f>
        <v/>
      </c>
      <c r="AN24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4" s="9" t="str">
        <f ca="1">IF(HEVARIM[[#This Row],[דמי עזיבה לגיל 65]]&gt;0,YEAR(TODAY())+64-ROUNDDOWN(HEVARIM[[#This Row],[גיל]],0),"")</f>
        <v/>
      </c>
      <c r="AP244" s="1">
        <f>SUMIF(HEVARIM[קוד תקציב],HEVARIM[[#This Row],[קוד תקציב משפחה מקורי]],HEVARIM[ותק מחברה 40])</f>
        <v>11.5</v>
      </c>
      <c r="AQ2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4" s="9">
        <f>IF(HEVARIM[[#This Row],[קוד מעמד]]="1     ",IFERROR(VLOOKUP(HEVARIM[[#This Row],[קוד תקציב]],'תקציב צביעה - לקראת השינוי'!A:F,4,0),0),0)</f>
        <v>0</v>
      </c>
      <c r="AT244" s="1"/>
    </row>
    <row r="245" spans="1:46">
      <c r="A245" t="s">
        <v>1246</v>
      </c>
      <c r="B245" t="s">
        <v>1247</v>
      </c>
      <c r="C245" t="s">
        <v>1189</v>
      </c>
      <c r="D245" t="s">
        <v>636</v>
      </c>
      <c r="E245" t="s">
        <v>67</v>
      </c>
      <c r="F245" s="4">
        <v>44372</v>
      </c>
      <c r="G245">
        <v>4</v>
      </c>
      <c r="H245" t="s">
        <v>1235</v>
      </c>
      <c r="I245" t="s">
        <v>1236</v>
      </c>
      <c r="J245" s="4" t="s">
        <v>70</v>
      </c>
      <c r="K245" s="4" t="s">
        <v>71</v>
      </c>
      <c r="L245" t="s">
        <v>1248</v>
      </c>
      <c r="M245" t="s">
        <v>1233</v>
      </c>
      <c r="N245" t="s">
        <v>1234</v>
      </c>
      <c r="O245">
        <f>IFERROR(VLOOKUP(HEVARIM[[#This Row],[קוד תקציב]],[2]תקציבים!A:L,6,0),0)</f>
        <v>2</v>
      </c>
      <c r="P245" s="5" t="s">
        <v>227</v>
      </c>
      <c r="Q245" t="s">
        <v>14</v>
      </c>
      <c r="R245" s="4">
        <v>44372</v>
      </c>
      <c r="S245" s="4" t="s">
        <v>90</v>
      </c>
      <c r="T245" s="96" t="s">
        <v>1235</v>
      </c>
      <c r="U245" t="str">
        <f>VLOOKUP(HEVARIM[[#This Row],[גיל]],GIL,2,1)</f>
        <v>גנים</v>
      </c>
      <c r="V245">
        <f>IF(HEVARIM[[#This Row],[קוד מעמד]]="4     ",IF(HEVARIM[[#This Row],[גיל]]=1,1,IF(HEVARIM[[#This Row],[גיל]]&lt;=5,5,18)),"")</f>
        <v>5</v>
      </c>
      <c r="W245">
        <f t="shared" si="12"/>
        <v>0</v>
      </c>
      <c r="X24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5">
        <f>IF(HEVARIM[[#This Row],[מצב משפחתי2]]="אלמן",'[2]ריכוז נתונים'!$AC$2,0)</f>
        <v>0</v>
      </c>
      <c r="Z245" s="3">
        <f>VLOOKUP(VALUE(HEVARIM[[#This Row],[קוד מעמד]]),הנחות!$I$2:$K$21,3,0)</f>
        <v>1</v>
      </c>
      <c r="AA245" t="b">
        <f>ISERROR(VLOOKUP(HEVARIM[[#This Row],[קוד תקציב]],'[2]ריכוז נתונים'!A:A,1,0))</f>
        <v>0</v>
      </c>
      <c r="AB245" s="1">
        <f t="shared" si="13"/>
        <v>2204.6153846153848</v>
      </c>
      <c r="AC245" s="2">
        <f ca="1">IF(HEVARIM[[#This Row],[בר מצוה]]&gt;0,YEAR(TODAY())+'תקציבים מיוחדים'!$F$5-HEVARIM[[#This Row],[גיל]],0)</f>
        <v>2035</v>
      </c>
      <c r="AD245" s="1">
        <f t="shared" si="14"/>
        <v>0</v>
      </c>
      <c r="AE245" s="2">
        <f ca="1">IF(HEVARIM[[#This Row],[בת מצוה]]&gt;0,YEAR(TODAY())+'תקציבים מיוחדים'!$F$5-HEVARIM[[#This Row],[גיל]],0)</f>
        <v>0</v>
      </c>
      <c r="AF245" s="1">
        <f>IF(AND($S245&gt;="רווק",$Z245=1),AF$4*IF(HEVARIM[[#This Row],[גיל]]&gt;$AF$3,1,(($G245-AF$2)/(AF$3-AF$2))),0)</f>
        <v>11526.190476190475</v>
      </c>
      <c r="AG245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245" s="1">
        <f t="shared" si="15"/>
        <v>20112.095238095237</v>
      </c>
      <c r="AI245" s="2">
        <f ca="1">IF(AH245&gt;0,YEAR(TODAY())+'תקציבים מיוחדים'!$F$7-HEVARIM[[#This Row],[גיל]],0)</f>
        <v>2043</v>
      </c>
      <c r="AJ245" s="9">
        <f>IF(AND(ISERROR(VLOOKUP(H245,'[2]ריכוז נתונים'!A:L,1,0)),P245="1     "),1,0)</f>
        <v>0</v>
      </c>
      <c r="AK24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5" s="1">
        <f>IF(AND(VALUE(HEVARIM[[#This Row],[קוד מעמד]])=1,HEVARIM[[#This Row],[ותק מחברה 40]]&lt;25),HEVARIM[[#This Row],[ותק מחברה 40]]/25*הנחות!$C$4,0)</f>
        <v>0</v>
      </c>
      <c r="AM245" s="9" t="str">
        <f ca="1">IF(HEVARIM[[#This Row],[דמי עזיבה 25 שנות ותק]]&gt;0,YEAR(TODAY())+25-ROUNDDOWN(HEVARIM[[#This Row],[ותק מחברה 40]],0),"")</f>
        <v/>
      </c>
      <c r="AN2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5" s="9" t="str">
        <f ca="1">IF(HEVARIM[[#This Row],[דמי עזיבה לגיל 65]]&gt;0,YEAR(TODAY())+64-ROUNDDOWN(HEVARIM[[#This Row],[גיל]],0),"")</f>
        <v/>
      </c>
      <c r="AP245" s="1">
        <f>SUMIF(HEVARIM[קוד תקציב],HEVARIM[[#This Row],[קוד תקציב משפחה מקורי]],HEVARIM[ותק מחברה 40])</f>
        <v>11.5</v>
      </c>
      <c r="AQ2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5" s="9">
        <f>IF(HEVARIM[[#This Row],[קוד מעמד]]="1     ",IFERROR(VLOOKUP(HEVARIM[[#This Row],[קוד תקציב]],'תקציב צביעה - לקראת השינוי'!A:F,4,0),0),0)</f>
        <v>0</v>
      </c>
      <c r="AT245" s="1"/>
    </row>
    <row r="246" spans="1:46">
      <c r="A246" t="s">
        <v>1249</v>
      </c>
      <c r="B246" t="s">
        <v>1250</v>
      </c>
      <c r="C246" t="s">
        <v>1189</v>
      </c>
      <c r="D246" t="s">
        <v>1251</v>
      </c>
      <c r="E246" t="s">
        <v>79</v>
      </c>
      <c r="F246" s="4">
        <v>45049</v>
      </c>
      <c r="G246">
        <v>2</v>
      </c>
      <c r="H246" t="s">
        <v>1235</v>
      </c>
      <c r="I246" t="s">
        <v>1236</v>
      </c>
      <c r="J246" s="4" t="s">
        <v>70</v>
      </c>
      <c r="K246" s="4" t="s">
        <v>71</v>
      </c>
      <c r="L246" t="s">
        <v>1252</v>
      </c>
      <c r="M246" t="s">
        <v>1233</v>
      </c>
      <c r="N246" t="s">
        <v>1234</v>
      </c>
      <c r="O246">
        <f>IFERROR(VLOOKUP(HEVARIM[[#This Row],[קוד תקציב]],[2]תקציבים!A:L,6,0),0)</f>
        <v>2</v>
      </c>
      <c r="P246" s="5" t="s">
        <v>227</v>
      </c>
      <c r="Q246" t="s">
        <v>14</v>
      </c>
      <c r="R246" s="4">
        <v>45049</v>
      </c>
      <c r="S246" s="4" t="s">
        <v>90</v>
      </c>
      <c r="T246" s="96" t="s">
        <v>1235</v>
      </c>
      <c r="U246" t="str">
        <f>VLOOKUP(HEVARIM[[#This Row],[גיל]],GIL,2,1)</f>
        <v>פעוט</v>
      </c>
      <c r="V246">
        <f>IF(HEVARIM[[#This Row],[קוד מעמד]]="4     ",IF(HEVARIM[[#This Row],[גיל]]=1,1,IF(HEVARIM[[#This Row],[גיל]]&lt;=5,5,18)),"")</f>
        <v>5</v>
      </c>
      <c r="W246">
        <f t="shared" si="12"/>
        <v>0</v>
      </c>
      <c r="X2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6">
        <f>IF(HEVARIM[[#This Row],[מצב משפחתי2]]="אלמן",'[2]ריכוז נתונים'!$AC$2,0)</f>
        <v>0</v>
      </c>
      <c r="Z246" s="3">
        <f>VLOOKUP(VALUE(HEVARIM[[#This Row],[קוד מעמד]]),הנחות!$I$2:$K$21,3,0)</f>
        <v>1</v>
      </c>
      <c r="AA246" t="b">
        <f>ISERROR(VLOOKUP(HEVARIM[[#This Row],[קוד תקציב]],'[2]ריכוז נתונים'!A:A,1,0))</f>
        <v>0</v>
      </c>
      <c r="AB246" s="1">
        <f t="shared" si="13"/>
        <v>0</v>
      </c>
      <c r="AC246" s="2">
        <f ca="1">IF(HEVARIM[[#This Row],[בר מצוה]]&gt;0,YEAR(TODAY())+'תקציבים מיוחדים'!$F$5-HEVARIM[[#This Row],[גיל]],0)</f>
        <v>0</v>
      </c>
      <c r="AD246" s="1">
        <f t="shared" si="14"/>
        <v>1102.3076923076924</v>
      </c>
      <c r="AE246" s="2">
        <f ca="1">IF(HEVARIM[[#This Row],[בת מצוה]]&gt;0,YEAR(TODAY())+'תקציבים מיוחדים'!$F$5-HEVARIM[[#This Row],[גיל]],0)</f>
        <v>2037</v>
      </c>
      <c r="AF246" s="1">
        <f>IF(AND($S246&gt;="רווק",$Z246=1),AF$4*IF(HEVARIM[[#This Row],[גיל]]&gt;$AF$3,1,(($G246-AF$2)/(AF$3-AF$2))),0)</f>
        <v>5763.0952380952376</v>
      </c>
      <c r="AG246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246" s="1">
        <f t="shared" si="15"/>
        <v>10056.047619047618</v>
      </c>
      <c r="AI246" s="2">
        <f ca="1">IF(AH246&gt;0,YEAR(TODAY())+'תקציבים מיוחדים'!$F$7-HEVARIM[[#This Row],[גיל]],0)</f>
        <v>2045</v>
      </c>
      <c r="AJ246" s="9">
        <f>IF(AND(ISERROR(VLOOKUP(H246,'[2]ריכוז נתונים'!A:L,1,0)),P246="1     "),1,0)</f>
        <v>0</v>
      </c>
      <c r="AK24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6" s="1">
        <f>IF(AND(VALUE(HEVARIM[[#This Row],[קוד מעמד]])=1,HEVARIM[[#This Row],[ותק מחברה 40]]&lt;25),HEVARIM[[#This Row],[ותק מחברה 40]]/25*הנחות!$C$4,0)</f>
        <v>0</v>
      </c>
      <c r="AM246" s="9" t="str">
        <f ca="1">IF(HEVARIM[[#This Row],[דמי עזיבה 25 שנות ותק]]&gt;0,YEAR(TODAY())+25-ROUNDDOWN(HEVARIM[[#This Row],[ותק מחברה 40]],0),"")</f>
        <v/>
      </c>
      <c r="AN2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6" s="9" t="str">
        <f ca="1">IF(HEVARIM[[#This Row],[דמי עזיבה לגיל 65]]&gt;0,YEAR(TODAY())+64-ROUNDDOWN(HEVARIM[[#This Row],[גיל]],0),"")</f>
        <v/>
      </c>
      <c r="AP246" s="1">
        <f>SUMIF(HEVARIM[קוד תקציב],HEVARIM[[#This Row],[קוד תקציב משפחה מקורי]],HEVARIM[ותק מחברה 40])</f>
        <v>11.5</v>
      </c>
      <c r="AQ2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6" s="9">
        <f>IF(HEVARIM[[#This Row],[קוד מעמד]]="1     ",IFERROR(VLOOKUP(HEVARIM[[#This Row],[קוד תקציב]],'תקציב צביעה - לקראת השינוי'!A:F,4,0),0),0)</f>
        <v>0</v>
      </c>
      <c r="AT246" s="1"/>
    </row>
    <row r="247" spans="1:46">
      <c r="A247" t="s">
        <v>1257</v>
      </c>
      <c r="B247" t="s">
        <v>1258</v>
      </c>
      <c r="C247" t="s">
        <v>1259</v>
      </c>
      <c r="D247" t="s">
        <v>1260</v>
      </c>
      <c r="E247" t="s">
        <v>67</v>
      </c>
      <c r="F247" s="4">
        <v>24857</v>
      </c>
      <c r="G247">
        <v>57</v>
      </c>
      <c r="H247" t="s">
        <v>1261</v>
      </c>
      <c r="I247" t="s">
        <v>1262</v>
      </c>
      <c r="J247" s="4" t="s">
        <v>70</v>
      </c>
      <c r="K247" s="4" t="s">
        <v>71</v>
      </c>
      <c r="L247" t="s">
        <v>1263</v>
      </c>
      <c r="M247" t="s">
        <v>1257</v>
      </c>
      <c r="N247" t="s">
        <v>1258</v>
      </c>
      <c r="O247">
        <f>IFERROR(VLOOKUP(HEVARIM[[#This Row],[קוד תקציב]],[2]תקציבים!A:L,6,0),0)</f>
        <v>2</v>
      </c>
      <c r="P247" s="5" t="s">
        <v>104</v>
      </c>
      <c r="Q247" t="s">
        <v>11</v>
      </c>
      <c r="R247" s="4">
        <v>38523</v>
      </c>
      <c r="S247" s="4" t="s">
        <v>74</v>
      </c>
      <c r="T247" s="96" t="s">
        <v>1261</v>
      </c>
      <c r="U247" t="str">
        <f>VLOOKUP(HEVARIM[[#This Row],[גיל]],GIL,2,1)</f>
        <v>--</v>
      </c>
      <c r="V247" t="str">
        <f>IF(HEVARIM[[#This Row],[קוד מעמד]]="4     ",IF(HEVARIM[[#This Row],[גיל]]=1,1,IF(HEVARIM[[#This Row],[גיל]]&lt;=5,5,18)),"")</f>
        <v/>
      </c>
      <c r="W247">
        <f t="shared" si="12"/>
        <v>0</v>
      </c>
      <c r="X2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7">
        <f>IF(HEVARIM[[#This Row],[מצב משפחתי2]]="אלמן",'[2]ריכוז נתונים'!$AC$2,0)</f>
        <v>0</v>
      </c>
      <c r="Z247" s="3">
        <f>VLOOKUP(VALUE(HEVARIM[[#This Row],[קוד מעמד]]),הנחות!$I$2:$K$21,3,0)</f>
        <v>0</v>
      </c>
      <c r="AA247" t="b">
        <f>ISERROR(VLOOKUP(HEVARIM[[#This Row],[קוד תקציב]],'[2]ריכוז נתונים'!A:A,1,0))</f>
        <v>0</v>
      </c>
      <c r="AB247" s="1">
        <f t="shared" si="13"/>
        <v>0</v>
      </c>
      <c r="AC247" s="2">
        <f ca="1">IF(HEVARIM[[#This Row],[בר מצוה]]&gt;0,YEAR(TODAY())+'תקציבים מיוחדים'!$F$5-HEVARIM[[#This Row],[גיל]],0)</f>
        <v>0</v>
      </c>
      <c r="AD247" s="1">
        <f t="shared" si="14"/>
        <v>0</v>
      </c>
      <c r="AE247" s="2">
        <f ca="1">IF(HEVARIM[[#This Row],[בת מצוה]]&gt;0,YEAR(TODAY())+'תקציבים מיוחדים'!$F$5-HEVARIM[[#This Row],[גיל]],0)</f>
        <v>0</v>
      </c>
      <c r="AF247" s="1">
        <f>IF(AND($S247&gt;="רווק",$Z247=1),AF$4*IF(HEVARIM[[#This Row],[גיל]]&gt;$AF$3,1,(($G247-AF$2)/(AF$3-AF$2))),0)</f>
        <v>0</v>
      </c>
      <c r="AG24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47" s="1">
        <f t="shared" si="15"/>
        <v>0</v>
      </c>
      <c r="AI247" s="2">
        <f ca="1">IF(AH247&gt;0,YEAR(TODAY())+'תקציבים מיוחדים'!$F$7-HEVARIM[[#This Row],[גיל]],0)</f>
        <v>0</v>
      </c>
      <c r="AJ247" s="9">
        <f>IF(AND(ISERROR(VLOOKUP(H247,'[2]ריכוז נתונים'!A:L,1,0)),P247="1     "),1,0)</f>
        <v>0</v>
      </c>
      <c r="AK247" s="1">
        <f>IF(VALUE(HEVARIM[[#This Row],[קוד מעמד]])=1,VLOOKUP((IF(LEFT(HEVARIM[[#This Row],[קוד חבר]],1)="0",HEVARIM[[#This Row],[קוד חבר]],VALUE(HEVARIM[[#This Row],[קוד חבר]]))),'ותק חברה 40'!AQ:AW,7,0),"")</f>
        <v>30.36</v>
      </c>
      <c r="AL247" s="1">
        <f>IF(AND(VALUE(HEVARIM[[#This Row],[קוד מעמד]])=1,HEVARIM[[#This Row],[ותק מחברה 40]]&lt;25),HEVARIM[[#This Row],[ותק מחברה 40]]/25*הנחות!$C$4,0)</f>
        <v>0</v>
      </c>
      <c r="AM247" s="9" t="str">
        <f ca="1">IF(HEVARIM[[#This Row],[דמי עזיבה 25 שנות ותק]]&gt;0,YEAR(TODAY())+25-ROUNDDOWN(HEVARIM[[#This Row],[ותק מחברה 40]],0),"")</f>
        <v/>
      </c>
      <c r="AN247" s="1">
        <f>IF(AND(VALUE(HEVARIM[[#This Row],[קוד מעמד]])=1,HEVARIM[[#This Row],[ותק מחברה 40]]&gt;25,HEVARIM[[#This Row],[גיל]]&lt;65),הנחות!$C$14+(HEVARIM[[#This Row],[ותק מחברה 40]]-25)*הנחות!$C$10*0.25,0)</f>
        <v>41180.831999999995</v>
      </c>
      <c r="AO247" s="9">
        <f ca="1">IF(HEVARIM[[#This Row],[דמי עזיבה לגיל 65]]&gt;0,YEAR(TODAY())+64-ROUNDDOWN(HEVARIM[[#This Row],[גיל]],0),"")</f>
        <v>2033</v>
      </c>
      <c r="AP247" s="1">
        <f>SUMIF(HEVARIM[קוד תקציב],HEVARIM[[#This Row],[קוד תקציב משפחה מקורי]],HEVARIM[ותק מחברה 40])</f>
        <v>67.3</v>
      </c>
      <c r="AQ2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247" s="9">
        <f>IF(HEVARIM[[#This Row],[קוד מעמד]]="1     ",IFERROR(VLOOKUP(HEVARIM[[#This Row],[קוד תקציב]],'תקציב צביעה - לקראת השינוי'!A:F,4,0),0),0)</f>
        <v>2030</v>
      </c>
      <c r="AT247" s="1"/>
    </row>
    <row r="248" spans="1:46">
      <c r="A248" t="s">
        <v>1264</v>
      </c>
      <c r="B248" t="s">
        <v>1265</v>
      </c>
      <c r="C248" t="s">
        <v>1259</v>
      </c>
      <c r="D248" t="s">
        <v>356</v>
      </c>
      <c r="E248" t="s">
        <v>67</v>
      </c>
      <c r="F248" s="4">
        <v>41309</v>
      </c>
      <c r="G248">
        <v>12</v>
      </c>
      <c r="H248" t="s">
        <v>1261</v>
      </c>
      <c r="I248" t="s">
        <v>1262</v>
      </c>
      <c r="J248" s="4" t="s">
        <v>70</v>
      </c>
      <c r="K248" s="4" t="s">
        <v>71</v>
      </c>
      <c r="L248" t="s">
        <v>1266</v>
      </c>
      <c r="M248" t="s">
        <v>1257</v>
      </c>
      <c r="N248" t="s">
        <v>1258</v>
      </c>
      <c r="O248">
        <f>IFERROR(VLOOKUP(HEVARIM[[#This Row],[קוד תקציב]],[2]תקציבים!A:L,6,0),0)</f>
        <v>2</v>
      </c>
      <c r="P248" s="5" t="s">
        <v>227</v>
      </c>
      <c r="Q248" t="s">
        <v>14</v>
      </c>
      <c r="R248" s="4">
        <v>41309</v>
      </c>
      <c r="S248" s="4" t="s">
        <v>90</v>
      </c>
      <c r="T248" s="96" t="s">
        <v>1261</v>
      </c>
      <c r="U248" t="str">
        <f>VLOOKUP(HEVARIM[[#This Row],[גיל]],GIL,2,1)</f>
        <v>יסודי</v>
      </c>
      <c r="V248">
        <f>IF(HEVARIM[[#This Row],[קוד מעמד]]="4     ",IF(HEVARIM[[#This Row],[גיל]]=1,1,IF(HEVARIM[[#This Row],[גיל]]&lt;=5,5,18)),"")</f>
        <v>18</v>
      </c>
      <c r="W248">
        <f t="shared" si="12"/>
        <v>0</v>
      </c>
      <c r="X24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8">
        <f>IF(HEVARIM[[#This Row],[מצב משפחתי2]]="אלמן",'[2]ריכוז נתונים'!$AC$2,0)</f>
        <v>0</v>
      </c>
      <c r="Z248" s="3">
        <f>VLOOKUP(VALUE(HEVARIM[[#This Row],[קוד מעמד]]),הנחות!$I$2:$K$21,3,0)</f>
        <v>1</v>
      </c>
      <c r="AA248" t="b">
        <f>ISERROR(VLOOKUP(HEVARIM[[#This Row],[קוד תקציב]],'[2]ריכוז נתונים'!A:A,1,0))</f>
        <v>0</v>
      </c>
      <c r="AB248" s="1">
        <f t="shared" si="13"/>
        <v>6613.8461538461543</v>
      </c>
      <c r="AC248" s="2">
        <f ca="1">IF(HEVARIM[[#This Row],[בר מצוה]]&gt;0,YEAR(TODAY())+'תקציבים מיוחדים'!$F$5-HEVARIM[[#This Row],[גיל]],0)</f>
        <v>2027</v>
      </c>
      <c r="AD248" s="1">
        <f t="shared" si="14"/>
        <v>0</v>
      </c>
      <c r="AE248" s="2">
        <f ca="1">IF(HEVARIM[[#This Row],[בת מצוה]]&gt;0,YEAR(TODAY())+'תקציבים מיוחדים'!$F$5-HEVARIM[[#This Row],[גיל]],0)</f>
        <v>0</v>
      </c>
      <c r="AF248" s="1">
        <f>IF(AND($S248&gt;="רווק",$Z248=1),AF$4*IF(HEVARIM[[#This Row],[גיל]]&gt;$AF$3,1,(($G248-AF$2)/(AF$3-AF$2))),0)</f>
        <v>34578.571428571428</v>
      </c>
      <c r="AG248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248" s="1">
        <f t="shared" si="15"/>
        <v>60336.28571428571</v>
      </c>
      <c r="AI248" s="2">
        <f ca="1">IF(AH248&gt;0,YEAR(TODAY())+'תקציבים מיוחדים'!$F$7-HEVARIM[[#This Row],[גיל]],0)</f>
        <v>2035</v>
      </c>
      <c r="AJ248" s="9">
        <f>IF(AND(ISERROR(VLOOKUP(H248,'[2]ריכוז נתונים'!A:L,1,0)),P248="1     "),1,0)</f>
        <v>0</v>
      </c>
      <c r="AK24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8" s="1">
        <f>IF(AND(VALUE(HEVARIM[[#This Row],[קוד מעמד]])=1,HEVARIM[[#This Row],[ותק מחברה 40]]&lt;25),HEVARIM[[#This Row],[ותק מחברה 40]]/25*הנחות!$C$4,0)</f>
        <v>0</v>
      </c>
      <c r="AM248" s="9" t="str">
        <f ca="1">IF(HEVARIM[[#This Row],[דמי עזיבה 25 שנות ותק]]&gt;0,YEAR(TODAY())+25-ROUNDDOWN(HEVARIM[[#This Row],[ותק מחברה 40]],0),"")</f>
        <v/>
      </c>
      <c r="AN24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8" s="9" t="str">
        <f ca="1">IF(HEVARIM[[#This Row],[דמי עזיבה לגיל 65]]&gt;0,YEAR(TODAY())+64-ROUNDDOWN(HEVARIM[[#This Row],[גיל]],0),"")</f>
        <v/>
      </c>
      <c r="AP248" s="1">
        <f>SUMIF(HEVARIM[קוד תקציב],HEVARIM[[#This Row],[קוד תקציב משפחה מקורי]],HEVARIM[ותק מחברה 40])</f>
        <v>67.3</v>
      </c>
      <c r="AQ2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8" s="9">
        <f>IF(HEVARIM[[#This Row],[קוד מעמד]]="1     ",IFERROR(VLOOKUP(HEVARIM[[#This Row],[קוד תקציב]],'תקציב צביעה - לקראת השינוי'!A:F,4,0),0),0)</f>
        <v>0</v>
      </c>
      <c r="AT248" s="1"/>
    </row>
    <row r="249" spans="1:46">
      <c r="A249" t="s">
        <v>1284</v>
      </c>
      <c r="B249" t="s">
        <v>1285</v>
      </c>
      <c r="C249" t="s">
        <v>1286</v>
      </c>
      <c r="D249" t="s">
        <v>1287</v>
      </c>
      <c r="E249" t="s">
        <v>79</v>
      </c>
      <c r="F249" s="4">
        <v>35795</v>
      </c>
      <c r="G249">
        <v>28</v>
      </c>
      <c r="H249" t="s">
        <v>1288</v>
      </c>
      <c r="I249" t="s">
        <v>3753</v>
      </c>
      <c r="J249" s="4" t="s">
        <v>70</v>
      </c>
      <c r="K249" s="4" t="s">
        <v>81</v>
      </c>
      <c r="L249" t="s">
        <v>1289</v>
      </c>
      <c r="M249" t="s">
        <v>1290</v>
      </c>
      <c r="N249" t="s">
        <v>1291</v>
      </c>
      <c r="O249">
        <f>IFERROR(VLOOKUP(HEVARIM[[#This Row],[קוד תקציב]],[2]תקציבים!A:L,6,0),0)</f>
        <v>0</v>
      </c>
      <c r="P249" s="5" t="s">
        <v>129</v>
      </c>
      <c r="Q249" t="s">
        <v>26</v>
      </c>
      <c r="R249" s="4">
        <v>45170</v>
      </c>
      <c r="S249" s="4" t="s">
        <v>74</v>
      </c>
      <c r="T249" s="96" t="s">
        <v>1261</v>
      </c>
      <c r="U249" t="str">
        <f>VLOOKUP(HEVARIM[[#This Row],[גיל]],GIL,2,1)</f>
        <v>--</v>
      </c>
      <c r="V249" t="str">
        <f>IF(HEVARIM[[#This Row],[קוד מעמד]]="4     ",IF(HEVARIM[[#This Row],[גיל]]=1,1,IF(HEVARIM[[#This Row],[גיל]]&lt;=5,5,18)),"")</f>
        <v/>
      </c>
      <c r="W249">
        <f t="shared" si="12"/>
        <v>0</v>
      </c>
      <c r="X24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49">
        <f>IF(HEVARIM[[#This Row],[מצב משפחתי2]]="אלמן",'[2]ריכוז נתונים'!$AC$2,0)</f>
        <v>0</v>
      </c>
      <c r="Z249" s="3">
        <f>VLOOKUP(VALUE(HEVARIM[[#This Row],[קוד מעמד]]),הנחות!$I$2:$K$21,3,0)</f>
        <v>1</v>
      </c>
      <c r="AA249" t="b">
        <f>ISERROR(VLOOKUP(HEVARIM[[#This Row],[קוד תקציב]],'[2]ריכוז נתונים'!A:A,1,0))</f>
        <v>1</v>
      </c>
      <c r="AB249" s="1">
        <f t="shared" si="13"/>
        <v>0</v>
      </c>
      <c r="AC249" s="2">
        <f ca="1">IF(HEVARIM[[#This Row],[בר מצוה]]&gt;0,YEAR(TODAY())+'תקציבים מיוחדים'!$F$5-HEVARIM[[#This Row],[גיל]],0)</f>
        <v>0</v>
      </c>
      <c r="AD249" s="1">
        <f t="shared" si="14"/>
        <v>0</v>
      </c>
      <c r="AE249" s="2">
        <f ca="1">IF(HEVARIM[[#This Row],[בת מצוה]]&gt;0,YEAR(TODAY())+'תקציבים מיוחדים'!$F$5-HEVARIM[[#This Row],[גיל]],0)</f>
        <v>0</v>
      </c>
      <c r="AF249" s="1">
        <f>IF(AND($S249&gt;="רווק",$Z249=1),AF$4*IF(HEVARIM[[#This Row],[גיל]]&gt;$AF$3,1,(($G249-AF$2)/(AF$3-AF$2))),0)</f>
        <v>0</v>
      </c>
      <c r="AG24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49" s="1">
        <f t="shared" si="15"/>
        <v>0</v>
      </c>
      <c r="AI249" s="2">
        <f ca="1">IF(AH249&gt;0,YEAR(TODAY())+'תקציבים מיוחדים'!$F$7-HEVARIM[[#This Row],[גיל]],0)</f>
        <v>0</v>
      </c>
      <c r="AJ249" s="9">
        <f>IF(AND(ISERROR(VLOOKUP(H249,'[2]ריכוז נתונים'!A:L,1,0)),P249="1     "),1,0)</f>
        <v>0</v>
      </c>
      <c r="AK24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49" s="1">
        <f>IF(AND(VALUE(HEVARIM[[#This Row],[קוד מעמד]])=1,HEVARIM[[#This Row],[ותק מחברה 40]]&lt;25),HEVARIM[[#This Row],[ותק מחברה 40]]/25*הנחות!$C$4,0)</f>
        <v>0</v>
      </c>
      <c r="AM249" s="9" t="str">
        <f ca="1">IF(HEVARIM[[#This Row],[דמי עזיבה 25 שנות ותק]]&gt;0,YEAR(TODAY())+25-ROUNDDOWN(HEVARIM[[#This Row],[ותק מחברה 40]],0),"")</f>
        <v/>
      </c>
      <c r="AN24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49" s="9" t="str">
        <f ca="1">IF(HEVARIM[[#This Row],[דמי עזיבה לגיל 65]]&gt;0,YEAR(TODAY())+64-ROUNDDOWN(HEVARIM[[#This Row],[גיל]],0),"")</f>
        <v/>
      </c>
      <c r="AP249" s="1">
        <f>SUMIF(HEVARIM[קוד תקציב],HEVARIM[[#This Row],[קוד תקציב משפחה מקורי]],HEVARIM[ותק מחברה 40])</f>
        <v>67.3</v>
      </c>
      <c r="AQ2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49" s="9">
        <f>IF(HEVARIM[[#This Row],[קוד מעמד]]="1     ",IFERROR(VLOOKUP(HEVARIM[[#This Row],[קוד תקציב]],'תקציב צביעה - לקראת השינוי'!A:F,4,0),0),0)</f>
        <v>0</v>
      </c>
      <c r="AT249" s="1"/>
    </row>
    <row r="250" spans="1:46">
      <c r="A250" t="s">
        <v>1271</v>
      </c>
      <c r="B250" t="s">
        <v>1272</v>
      </c>
      <c r="C250" t="s">
        <v>1259</v>
      </c>
      <c r="D250" t="s">
        <v>1273</v>
      </c>
      <c r="E250" t="s">
        <v>67</v>
      </c>
      <c r="F250" s="4">
        <v>40135</v>
      </c>
      <c r="G250">
        <v>16</v>
      </c>
      <c r="H250" t="s">
        <v>1261</v>
      </c>
      <c r="I250" t="s">
        <v>1262</v>
      </c>
      <c r="J250" s="4" t="s">
        <v>70</v>
      </c>
      <c r="K250" s="4" t="s">
        <v>71</v>
      </c>
      <c r="L250" t="s">
        <v>1274</v>
      </c>
      <c r="M250" t="s">
        <v>1257</v>
      </c>
      <c r="N250" t="s">
        <v>1258</v>
      </c>
      <c r="O250">
        <f>IFERROR(VLOOKUP(HEVARIM[[#This Row],[קוד תקציב]],[2]תקציבים!A:L,6,0),0)</f>
        <v>2</v>
      </c>
      <c r="P250" s="5" t="s">
        <v>227</v>
      </c>
      <c r="Q250" t="s">
        <v>14</v>
      </c>
      <c r="R250" s="4">
        <v>40135</v>
      </c>
      <c r="S250" s="4" t="s">
        <v>90</v>
      </c>
      <c r="T250" s="96" t="s">
        <v>1261</v>
      </c>
      <c r="U250" t="str">
        <f>VLOOKUP(HEVARIM[[#This Row],[גיל]],GIL,2,1)</f>
        <v>תיכון</v>
      </c>
      <c r="V250">
        <f>IF(HEVARIM[[#This Row],[קוד מעמד]]="4     ",IF(HEVARIM[[#This Row],[גיל]]=1,1,IF(HEVARIM[[#This Row],[גיל]]&lt;=5,5,18)),"")</f>
        <v>18</v>
      </c>
      <c r="W250">
        <f t="shared" si="12"/>
        <v>0</v>
      </c>
      <c r="X2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0">
        <f>IF(HEVARIM[[#This Row],[מצב משפחתי2]]="אלמן",'[2]ריכוז נתונים'!$AC$2,0)</f>
        <v>0</v>
      </c>
      <c r="Z250" s="3">
        <f>VLOOKUP(VALUE(HEVARIM[[#This Row],[קוד מעמד]]),הנחות!$I$2:$K$21,3,0)</f>
        <v>1</v>
      </c>
      <c r="AA250" t="b">
        <f>ISERROR(VLOOKUP(HEVARIM[[#This Row],[קוד תקציב]],'[2]ריכוז נתונים'!A:A,1,0))</f>
        <v>0</v>
      </c>
      <c r="AB250" s="1">
        <f t="shared" si="13"/>
        <v>0</v>
      </c>
      <c r="AC250" s="2">
        <f ca="1">IF(HEVARIM[[#This Row],[בר מצוה]]&gt;0,YEAR(TODAY())+'תקציבים מיוחדים'!$F$5-HEVARIM[[#This Row],[גיל]],0)</f>
        <v>0</v>
      </c>
      <c r="AD250" s="1">
        <f t="shared" si="14"/>
        <v>0</v>
      </c>
      <c r="AE250" s="2">
        <f ca="1">IF(HEVARIM[[#This Row],[בת מצוה]]&gt;0,YEAR(TODAY())+'תקציבים מיוחדים'!$F$5-HEVARIM[[#This Row],[גיל]],0)</f>
        <v>0</v>
      </c>
      <c r="AF250" s="1">
        <f>IF(AND($S250&gt;="רווק",$Z250=1),AF$4*IF(HEVARIM[[#This Row],[גיל]]&gt;$AF$3,1,(($G250-AF$2)/(AF$3-AF$2))),0)</f>
        <v>46104.761904761901</v>
      </c>
      <c r="AG250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250" s="1">
        <f t="shared" si="15"/>
        <v>80448.380952380947</v>
      </c>
      <c r="AI250" s="2">
        <f ca="1">IF(AH250&gt;0,YEAR(TODAY())+'תקציבים מיוחדים'!$F$7-HEVARIM[[#This Row],[גיל]],0)</f>
        <v>2031</v>
      </c>
      <c r="AJ250" s="9">
        <f>IF(AND(ISERROR(VLOOKUP(H250,'[2]ריכוז נתונים'!A:L,1,0)),P250="1     "),1,0)</f>
        <v>0</v>
      </c>
      <c r="AK25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0" s="1">
        <f>IF(AND(VALUE(HEVARIM[[#This Row],[קוד מעמד]])=1,HEVARIM[[#This Row],[ותק מחברה 40]]&lt;25),HEVARIM[[#This Row],[ותק מחברה 40]]/25*הנחות!$C$4,0)</f>
        <v>0</v>
      </c>
      <c r="AM250" s="9" t="str">
        <f ca="1">IF(HEVARIM[[#This Row],[דמי עזיבה 25 שנות ותק]]&gt;0,YEAR(TODAY())+25-ROUNDDOWN(HEVARIM[[#This Row],[ותק מחברה 40]],0),"")</f>
        <v/>
      </c>
      <c r="AN25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0" s="9" t="str">
        <f ca="1">IF(HEVARIM[[#This Row],[דמי עזיבה לגיל 65]]&gt;0,YEAR(TODAY())+64-ROUNDDOWN(HEVARIM[[#This Row],[גיל]],0),"")</f>
        <v/>
      </c>
      <c r="AP250" s="1">
        <f>SUMIF(HEVARIM[קוד תקציב],HEVARIM[[#This Row],[קוד תקציב משפחה מקורי]],HEVARIM[ותק מחברה 40])</f>
        <v>67.3</v>
      </c>
      <c r="AQ2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0" s="9">
        <f>IF(HEVARIM[[#This Row],[קוד מעמד]]="1     ",IFERROR(VLOOKUP(HEVARIM[[#This Row],[קוד תקציב]],'תקציב צביעה - לקראת השינוי'!A:F,4,0),0),0)</f>
        <v>0</v>
      </c>
      <c r="AT250" s="1"/>
    </row>
    <row r="251" spans="1:46">
      <c r="A251" t="s">
        <v>1275</v>
      </c>
      <c r="B251" t="s">
        <v>1276</v>
      </c>
      <c r="C251" t="s">
        <v>1259</v>
      </c>
      <c r="D251" t="s">
        <v>1277</v>
      </c>
      <c r="E251" t="s">
        <v>79</v>
      </c>
      <c r="F251" s="4">
        <v>40457</v>
      </c>
      <c r="G251">
        <v>15</v>
      </c>
      <c r="H251" t="s">
        <v>1261</v>
      </c>
      <c r="I251" t="s">
        <v>1262</v>
      </c>
      <c r="J251" s="4" t="s">
        <v>70</v>
      </c>
      <c r="K251" s="4" t="s">
        <v>71</v>
      </c>
      <c r="L251" t="s">
        <v>1278</v>
      </c>
      <c r="M251" t="s">
        <v>1257</v>
      </c>
      <c r="N251" t="s">
        <v>1258</v>
      </c>
      <c r="O251">
        <f>IFERROR(VLOOKUP(HEVARIM[[#This Row],[קוד תקציב]],[2]תקציבים!A:L,6,0),0)</f>
        <v>2</v>
      </c>
      <c r="P251" s="5" t="s">
        <v>227</v>
      </c>
      <c r="Q251" t="s">
        <v>14</v>
      </c>
      <c r="R251" s="4">
        <v>40457</v>
      </c>
      <c r="S251" s="4" t="s">
        <v>90</v>
      </c>
      <c r="T251" s="96" t="s">
        <v>1261</v>
      </c>
      <c r="U251" t="str">
        <f>VLOOKUP(HEVARIM[[#This Row],[גיל]],GIL,2,1)</f>
        <v>תיכון</v>
      </c>
      <c r="V251">
        <f>IF(HEVARIM[[#This Row],[קוד מעמד]]="4     ",IF(HEVARIM[[#This Row],[גיל]]=1,1,IF(HEVARIM[[#This Row],[גיל]]&lt;=5,5,18)),"")</f>
        <v>18</v>
      </c>
      <c r="W251">
        <f t="shared" si="12"/>
        <v>0</v>
      </c>
      <c r="X25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1">
        <f>IF(HEVARIM[[#This Row],[מצב משפחתי2]]="אלמן",'[2]ריכוז נתונים'!$AC$2,0)</f>
        <v>0</v>
      </c>
      <c r="Z251" s="3">
        <f>VLOOKUP(VALUE(HEVARIM[[#This Row],[קוד מעמד]]),הנחות!$I$2:$K$21,3,0)</f>
        <v>1</v>
      </c>
      <c r="AA251" t="b">
        <f>ISERROR(VLOOKUP(HEVARIM[[#This Row],[קוד תקציב]],'[2]ריכוז נתונים'!A:A,1,0))</f>
        <v>0</v>
      </c>
      <c r="AB251" s="1">
        <f t="shared" si="13"/>
        <v>0</v>
      </c>
      <c r="AC251" s="2">
        <f ca="1">IF(HEVARIM[[#This Row],[בר מצוה]]&gt;0,YEAR(TODAY())+'תקציבים מיוחדים'!$F$5-HEVARIM[[#This Row],[גיל]],0)</f>
        <v>0</v>
      </c>
      <c r="AD251" s="1">
        <f t="shared" si="14"/>
        <v>0</v>
      </c>
      <c r="AE251" s="2">
        <f ca="1">IF(HEVARIM[[#This Row],[בת מצוה]]&gt;0,YEAR(TODAY())+'תקציבים מיוחדים'!$F$5-HEVARIM[[#This Row],[גיל]],0)</f>
        <v>0</v>
      </c>
      <c r="AF251" s="1">
        <f>IF(AND($S251&gt;="רווק",$Z251=1),AF$4*IF(HEVARIM[[#This Row],[גיל]]&gt;$AF$3,1,(($G251-AF$2)/(AF$3-AF$2))),0)</f>
        <v>43223.21428571429</v>
      </c>
      <c r="AG251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251" s="1">
        <f t="shared" si="15"/>
        <v>75420.357142857145</v>
      </c>
      <c r="AI251" s="2">
        <f ca="1">IF(AH251&gt;0,YEAR(TODAY())+'תקציבים מיוחדים'!$F$7-HEVARIM[[#This Row],[גיל]],0)</f>
        <v>2032</v>
      </c>
      <c r="AJ251" s="9">
        <f>IF(AND(ISERROR(VLOOKUP(H251,'[2]ריכוז נתונים'!A:L,1,0)),P251="1     "),1,0)</f>
        <v>0</v>
      </c>
      <c r="AK25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1" s="1">
        <f>IF(AND(VALUE(HEVARIM[[#This Row],[קוד מעמד]])=1,HEVARIM[[#This Row],[ותק מחברה 40]]&lt;25),HEVARIM[[#This Row],[ותק מחברה 40]]/25*הנחות!$C$4,0)</f>
        <v>0</v>
      </c>
      <c r="AM251" s="9" t="str">
        <f ca="1">IF(HEVARIM[[#This Row],[דמי עזיבה 25 שנות ותק]]&gt;0,YEAR(TODAY())+25-ROUNDDOWN(HEVARIM[[#This Row],[ותק מחברה 40]],0),"")</f>
        <v/>
      </c>
      <c r="AN2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1" s="9" t="str">
        <f ca="1">IF(HEVARIM[[#This Row],[דמי עזיבה לגיל 65]]&gt;0,YEAR(TODAY())+64-ROUNDDOWN(HEVARIM[[#This Row],[גיל]],0),"")</f>
        <v/>
      </c>
      <c r="AP251" s="1">
        <f>SUMIF(HEVARIM[קוד תקציב],HEVARIM[[#This Row],[קוד תקציב משפחה מקורי]],HEVARIM[ותק מחברה 40])</f>
        <v>67.3</v>
      </c>
      <c r="AQ2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1" s="9">
        <f>IF(HEVARIM[[#This Row],[קוד מעמד]]="1     ",IFERROR(VLOOKUP(HEVARIM[[#This Row],[קוד תקציב]],'תקציב צביעה - לקראת השינוי'!A:F,4,0),0),0)</f>
        <v>0</v>
      </c>
      <c r="AT251" s="1"/>
    </row>
    <row r="252" spans="1:46">
      <c r="A252" t="s">
        <v>1279</v>
      </c>
      <c r="B252" t="s">
        <v>1280</v>
      </c>
      <c r="C252" t="s">
        <v>1259</v>
      </c>
      <c r="D252" t="s">
        <v>1281</v>
      </c>
      <c r="E252" t="s">
        <v>67</v>
      </c>
      <c r="F252" s="4">
        <v>35265</v>
      </c>
      <c r="G252">
        <v>29</v>
      </c>
      <c r="H252" t="s">
        <v>1282</v>
      </c>
      <c r="I252" t="s">
        <v>1280</v>
      </c>
      <c r="J252" s="4" t="s">
        <v>70</v>
      </c>
      <c r="K252" s="4" t="s">
        <v>81</v>
      </c>
      <c r="L252" t="s">
        <v>1283</v>
      </c>
      <c r="M252" t="s">
        <v>1279</v>
      </c>
      <c r="N252" t="s">
        <v>1280</v>
      </c>
      <c r="O252">
        <f>IFERROR(VLOOKUP(HEVARIM[[#This Row],[קוד תקציב]],[2]תקציבים!A:L,6,0),0)</f>
        <v>0</v>
      </c>
      <c r="P252" s="5" t="s">
        <v>129</v>
      </c>
      <c r="Q252" t="s">
        <v>26</v>
      </c>
      <c r="R252" s="4">
        <v>44866</v>
      </c>
      <c r="S252" s="4" t="s">
        <v>90</v>
      </c>
      <c r="T252" s="96" t="s">
        <v>1261</v>
      </c>
      <c r="U252" t="str">
        <f>VLOOKUP(HEVARIM[[#This Row],[גיל]],GIL,2,1)</f>
        <v>--</v>
      </c>
      <c r="V252" t="str">
        <f>IF(HEVARIM[[#This Row],[קוד מעמד]]="4     ",IF(HEVARIM[[#This Row],[גיל]]=1,1,IF(HEVARIM[[#This Row],[גיל]]&lt;=5,5,18)),"")</f>
        <v/>
      </c>
      <c r="W252">
        <f t="shared" si="12"/>
        <v>0</v>
      </c>
      <c r="X2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2">
        <f>IF(HEVARIM[[#This Row],[מצב משפחתי2]]="אלמן",'[2]ריכוז נתונים'!$AC$2,0)</f>
        <v>0</v>
      </c>
      <c r="Z252" s="3">
        <f>VLOOKUP(VALUE(HEVARIM[[#This Row],[קוד מעמד]]),הנחות!$I$2:$K$21,3,0)</f>
        <v>1</v>
      </c>
      <c r="AA252" t="b">
        <f>ISERROR(VLOOKUP(HEVARIM[[#This Row],[קוד תקציב]],'[2]ריכוז נתונים'!A:A,1,0))</f>
        <v>1</v>
      </c>
      <c r="AB252" s="1">
        <f t="shared" si="13"/>
        <v>0</v>
      </c>
      <c r="AC252" s="2">
        <f ca="1">IF(HEVARIM[[#This Row],[בר מצוה]]&gt;0,YEAR(TODAY())+'תקציבים מיוחדים'!$F$5-HEVARIM[[#This Row],[גיל]],0)</f>
        <v>0</v>
      </c>
      <c r="AD252" s="1">
        <f t="shared" si="14"/>
        <v>0</v>
      </c>
      <c r="AE252" s="2">
        <f ca="1">IF(HEVARIM[[#This Row],[בת מצוה]]&gt;0,YEAR(TODAY())+'תקציבים מיוחדים'!$F$5-HEVARIM[[#This Row],[גיל]],0)</f>
        <v>0</v>
      </c>
      <c r="AF252" s="1">
        <f>IF(AND($S252&gt;="רווק",$Z252=1),AF$4*IF(HEVARIM[[#This Row],[גיל]]&gt;$AF$3,1,(($G252-AF$2)/(AF$3-AF$2))),0)</f>
        <v>60512.5</v>
      </c>
      <c r="AG252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252" s="1">
        <f t="shared" si="15"/>
        <v>0</v>
      </c>
      <c r="AI252" s="2">
        <f ca="1">IF(AH252&gt;0,YEAR(TODAY())+'תקציבים מיוחדים'!$F$7-HEVARIM[[#This Row],[גיל]],0)</f>
        <v>0</v>
      </c>
      <c r="AJ252" s="9">
        <f>IF(AND(ISERROR(VLOOKUP(H252,'[2]ריכוז נתונים'!A:L,1,0)),P252="1     "),1,0)</f>
        <v>0</v>
      </c>
      <c r="AK25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2" s="1">
        <f>IF(AND(VALUE(HEVARIM[[#This Row],[קוד מעמד]])=1,HEVARIM[[#This Row],[ותק מחברה 40]]&lt;25),HEVARIM[[#This Row],[ותק מחברה 40]]/25*הנחות!$C$4,0)</f>
        <v>0</v>
      </c>
      <c r="AM252" s="9" t="str">
        <f ca="1">IF(HEVARIM[[#This Row],[דמי עזיבה 25 שנות ותק]]&gt;0,YEAR(TODAY())+25-ROUNDDOWN(HEVARIM[[#This Row],[ותק מחברה 40]],0),"")</f>
        <v/>
      </c>
      <c r="AN25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2" s="9" t="str">
        <f ca="1">IF(HEVARIM[[#This Row],[דמי עזיבה לגיל 65]]&gt;0,YEAR(TODAY())+64-ROUNDDOWN(HEVARIM[[#This Row],[גיל]],0),"")</f>
        <v/>
      </c>
      <c r="AP252" s="1">
        <f>SUMIF(HEVARIM[קוד תקציב],HEVARIM[[#This Row],[קוד תקציב משפחה מקורי]],HEVARIM[ותק מחברה 40])</f>
        <v>67.3</v>
      </c>
      <c r="AQ2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2" s="9">
        <f>IF(HEVARIM[[#This Row],[קוד מעמד]]="1     ",IFERROR(VLOOKUP(HEVARIM[[#This Row],[קוד תקציב]],'תקציב צביעה - לקראת השינוי'!A:F,4,0),0),0)</f>
        <v>0</v>
      </c>
      <c r="AT252" s="1"/>
    </row>
    <row r="253" spans="1:46">
      <c r="A253" t="s">
        <v>1326</v>
      </c>
      <c r="B253" t="s">
        <v>1327</v>
      </c>
      <c r="C253" t="s">
        <v>1259</v>
      </c>
      <c r="D253" t="s">
        <v>1328</v>
      </c>
      <c r="E253" t="s">
        <v>79</v>
      </c>
      <c r="F253" s="4">
        <v>37596</v>
      </c>
      <c r="G253">
        <v>23</v>
      </c>
      <c r="H253" t="s">
        <v>1329</v>
      </c>
      <c r="I253" t="s">
        <v>1330</v>
      </c>
      <c r="J253" s="4" t="s">
        <v>70</v>
      </c>
      <c r="K253" s="4" t="s">
        <v>81</v>
      </c>
      <c r="L253" t="s">
        <v>1331</v>
      </c>
      <c r="M253" t="s">
        <v>1326</v>
      </c>
      <c r="N253" t="s">
        <v>1327</v>
      </c>
      <c r="O253">
        <f>IFERROR(VLOOKUP(HEVARIM[[#This Row],[קוד תקציב]],[2]תקציבים!A:L,6,0),0)</f>
        <v>0</v>
      </c>
      <c r="P253" s="5" t="s">
        <v>73</v>
      </c>
      <c r="Q253" t="s">
        <v>27</v>
      </c>
      <c r="R253" s="4">
        <v>45505</v>
      </c>
      <c r="S253" s="4" t="s">
        <v>74</v>
      </c>
      <c r="T253" s="96" t="s">
        <v>1261</v>
      </c>
      <c r="U253" t="str">
        <f>VLOOKUP(HEVARIM[[#This Row],[גיל]],GIL,2,1)</f>
        <v>--</v>
      </c>
      <c r="V253" t="str">
        <f>IF(HEVARIM[[#This Row],[קוד מעמד]]="4     ",IF(HEVARIM[[#This Row],[גיל]]=1,1,IF(HEVARIM[[#This Row],[גיל]]&lt;=5,5,18)),"")</f>
        <v/>
      </c>
      <c r="W253">
        <f t="shared" si="12"/>
        <v>0</v>
      </c>
      <c r="X2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3">
        <f>IF(HEVARIM[[#This Row],[מצב משפחתי2]]="אלמן",'[2]ריכוז נתונים'!$AC$2,0)</f>
        <v>0</v>
      </c>
      <c r="Z253" s="3">
        <f>VLOOKUP(VALUE(HEVARIM[[#This Row],[קוד מעמד]]),הנחות!$I$2:$K$21,3,0)</f>
        <v>1</v>
      </c>
      <c r="AA253" t="b">
        <f>ISERROR(VLOOKUP(HEVARIM[[#This Row],[קוד תקציב]],'[2]ריכוז נתונים'!A:A,1,0))</f>
        <v>1</v>
      </c>
      <c r="AB253" s="1">
        <f t="shared" si="13"/>
        <v>0</v>
      </c>
      <c r="AC253" s="2">
        <f ca="1">IF(HEVARIM[[#This Row],[בר מצוה]]&gt;0,YEAR(TODAY())+'תקציבים מיוחדים'!$F$5-HEVARIM[[#This Row],[גיל]],0)</f>
        <v>0</v>
      </c>
      <c r="AD253" s="1">
        <f t="shared" si="14"/>
        <v>0</v>
      </c>
      <c r="AE253" s="2">
        <f ca="1">IF(HEVARIM[[#This Row],[בת מצוה]]&gt;0,YEAR(TODAY())+'תקציבים מיוחדים'!$F$5-HEVARIM[[#This Row],[גיל]],0)</f>
        <v>0</v>
      </c>
      <c r="AF253" s="1">
        <f>IF(AND($S253&gt;="רווק",$Z253=1),AF$4*IF(HEVARIM[[#This Row],[גיל]]&gt;$AF$3,1,(($G253-AF$2)/(AF$3-AF$2))),0)</f>
        <v>0</v>
      </c>
      <c r="AG25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3" s="1">
        <f t="shared" si="15"/>
        <v>0</v>
      </c>
      <c r="AI253" s="2">
        <f ca="1">IF(AH253&gt;0,YEAR(TODAY())+'תקציבים מיוחדים'!$F$7-HEVARIM[[#This Row],[גיל]],0)</f>
        <v>0</v>
      </c>
      <c r="AJ253" s="9">
        <f>IF(AND(ISERROR(VLOOKUP(H253,'[2]ריכוז נתונים'!A:L,1,0)),P253="1     "),1,0)</f>
        <v>0</v>
      </c>
      <c r="AK25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3" s="1">
        <f>IF(AND(VALUE(HEVARIM[[#This Row],[קוד מעמד]])=1,HEVARIM[[#This Row],[ותק מחברה 40]]&lt;25),HEVARIM[[#This Row],[ותק מחברה 40]]/25*הנחות!$C$4,0)</f>
        <v>0</v>
      </c>
      <c r="AM253" s="9" t="str">
        <f ca="1">IF(HEVARIM[[#This Row],[דמי עזיבה 25 שנות ותק]]&gt;0,YEAR(TODAY())+25-ROUNDDOWN(HEVARIM[[#This Row],[ותק מחברה 40]],0),"")</f>
        <v/>
      </c>
      <c r="AN2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3" s="9" t="str">
        <f ca="1">IF(HEVARIM[[#This Row],[דמי עזיבה לגיל 65]]&gt;0,YEAR(TODAY())+64-ROUNDDOWN(HEVARIM[[#This Row],[גיל]],0),"")</f>
        <v/>
      </c>
      <c r="AP253" s="1">
        <f>SUMIF(HEVARIM[קוד תקציב],HEVARIM[[#This Row],[קוד תקציב משפחה מקורי]],HEVARIM[ותק מחברה 40])</f>
        <v>67.3</v>
      </c>
      <c r="AQ2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3" s="9">
        <f>IF(HEVARIM[[#This Row],[קוד מעמד]]="1     ",IFERROR(VLOOKUP(HEVARIM[[#This Row],[קוד תקציב]],'תקציב צביעה - לקראת השינוי'!A:F,4,0),0),0)</f>
        <v>0</v>
      </c>
      <c r="AT253" s="1"/>
    </row>
    <row r="254" spans="1:46">
      <c r="A254" t="s">
        <v>1339</v>
      </c>
      <c r="B254" t="s">
        <v>1340</v>
      </c>
      <c r="C254" t="s">
        <v>1334</v>
      </c>
      <c r="D254" t="s">
        <v>1341</v>
      </c>
      <c r="E254" t="s">
        <v>79</v>
      </c>
      <c r="F254" s="4">
        <v>38148</v>
      </c>
      <c r="G254">
        <v>21</v>
      </c>
      <c r="H254" t="s">
        <v>1336</v>
      </c>
      <c r="I254" t="s">
        <v>1337</v>
      </c>
      <c r="J254" s="4" t="s">
        <v>70</v>
      </c>
      <c r="K254" s="4" t="s">
        <v>81</v>
      </c>
      <c r="L254" t="s">
        <v>1342</v>
      </c>
      <c r="M254" t="s">
        <v>1332</v>
      </c>
      <c r="N254" t="s">
        <v>1333</v>
      </c>
      <c r="O254">
        <f>IFERROR(VLOOKUP(HEVARIM[[#This Row],[קוד תקציב]],[2]תקציבים!A:L,6,0),0)</f>
        <v>0</v>
      </c>
      <c r="P254" s="5" t="s">
        <v>73</v>
      </c>
      <c r="Q254" t="s">
        <v>27</v>
      </c>
      <c r="R254" s="4">
        <v>45631</v>
      </c>
      <c r="S254" s="4" t="s">
        <v>74</v>
      </c>
      <c r="T254" s="96" t="s">
        <v>1261</v>
      </c>
      <c r="U254" t="str">
        <f>VLOOKUP(HEVARIM[[#This Row],[גיל]],GIL,2,1)</f>
        <v>--</v>
      </c>
      <c r="V254" t="str">
        <f>IF(HEVARIM[[#This Row],[קוד מעמד]]="4     ",IF(HEVARIM[[#This Row],[גיל]]=1,1,IF(HEVARIM[[#This Row],[גיל]]&lt;=5,5,18)),"")</f>
        <v/>
      </c>
      <c r="W254">
        <f t="shared" si="12"/>
        <v>0</v>
      </c>
      <c r="X2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4">
        <f>IF(HEVARIM[[#This Row],[מצב משפחתי2]]="אלמן",'[2]ריכוז נתונים'!$AC$2,0)</f>
        <v>0</v>
      </c>
      <c r="Z254" s="3">
        <f>VLOOKUP(VALUE(HEVARIM[[#This Row],[קוד מעמד]]),הנחות!$I$2:$K$21,3,0)</f>
        <v>1</v>
      </c>
      <c r="AA254" t="b">
        <f>ISERROR(VLOOKUP(HEVARIM[[#This Row],[קוד תקציב]],'[2]ריכוז נתונים'!A:A,1,0))</f>
        <v>1</v>
      </c>
      <c r="AB254" s="1">
        <f t="shared" si="13"/>
        <v>0</v>
      </c>
      <c r="AC254" s="2">
        <f ca="1">IF(HEVARIM[[#This Row],[בר מצוה]]&gt;0,YEAR(TODAY())+'תקציבים מיוחדים'!$F$5-HEVARIM[[#This Row],[גיל]],0)</f>
        <v>0</v>
      </c>
      <c r="AD254" s="1">
        <f t="shared" si="14"/>
        <v>0</v>
      </c>
      <c r="AE254" s="2">
        <f ca="1">IF(HEVARIM[[#This Row],[בת מצוה]]&gt;0,YEAR(TODAY())+'תקציבים מיוחדים'!$F$5-HEVARIM[[#This Row],[גיל]],0)</f>
        <v>0</v>
      </c>
      <c r="AF254" s="1">
        <f>IF(AND($S254&gt;="רווק",$Z254=1),AF$4*IF(HEVARIM[[#This Row],[גיל]]&gt;$AF$3,1,(($G254-AF$2)/(AF$3-AF$2))),0)</f>
        <v>0</v>
      </c>
      <c r="AG25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4" s="1">
        <f t="shared" si="15"/>
        <v>105588.5</v>
      </c>
      <c r="AI254" s="2">
        <f ca="1">IF(AH254&gt;0,YEAR(TODAY())+'תקציבים מיוחדים'!$F$7-HEVARIM[[#This Row],[גיל]],0)</f>
        <v>2026</v>
      </c>
      <c r="AJ254" s="9">
        <f>IF(AND(ISERROR(VLOOKUP(H254,'[2]ריכוז נתונים'!A:L,1,0)),P254="1     "),1,0)</f>
        <v>0</v>
      </c>
      <c r="AK25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4" s="1">
        <f>IF(AND(VALUE(HEVARIM[[#This Row],[קוד מעמד]])=1,HEVARIM[[#This Row],[ותק מחברה 40]]&lt;25),HEVARIM[[#This Row],[ותק מחברה 40]]/25*הנחות!$C$4,0)</f>
        <v>0</v>
      </c>
      <c r="AM254" s="9" t="str">
        <f ca="1">IF(HEVARIM[[#This Row],[דמי עזיבה 25 שנות ותק]]&gt;0,YEAR(TODAY())+25-ROUNDDOWN(HEVARIM[[#This Row],[ותק מחברה 40]],0),"")</f>
        <v/>
      </c>
      <c r="AN2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4" s="9" t="str">
        <f ca="1">IF(HEVARIM[[#This Row],[דמי עזיבה לגיל 65]]&gt;0,YEAR(TODAY())+64-ROUNDDOWN(HEVARIM[[#This Row],[גיל]],0),"")</f>
        <v/>
      </c>
      <c r="AP254" s="1">
        <f>SUMIF(HEVARIM[קוד תקציב],HEVARIM[[#This Row],[קוד תקציב משפחה מקורי]],HEVARIM[ותק מחברה 40])</f>
        <v>67.3</v>
      </c>
      <c r="AQ2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4" s="9">
        <f>IF(HEVARIM[[#This Row],[קוד מעמד]]="1     ",IFERROR(VLOOKUP(HEVARIM[[#This Row],[קוד תקציב]],'תקציב צביעה - לקראת השינוי'!A:F,4,0),0),0)</f>
        <v>0</v>
      </c>
      <c r="AT254" s="1"/>
    </row>
    <row r="255" spans="1:46">
      <c r="A255" t="s">
        <v>1290</v>
      </c>
      <c r="B255" t="s">
        <v>1291</v>
      </c>
      <c r="C255" t="s">
        <v>1286</v>
      </c>
      <c r="D255" t="s">
        <v>3752</v>
      </c>
      <c r="E255" t="s">
        <v>67</v>
      </c>
      <c r="F255" s="4">
        <v>35773</v>
      </c>
      <c r="G255">
        <v>28</v>
      </c>
      <c r="H255" t="s">
        <v>1288</v>
      </c>
      <c r="I255" t="s">
        <v>3753</v>
      </c>
      <c r="J255" s="4" t="s">
        <v>70</v>
      </c>
      <c r="K255" s="4" t="s">
        <v>81</v>
      </c>
      <c r="L255" t="s">
        <v>3754</v>
      </c>
      <c r="M255" t="s">
        <v>1290</v>
      </c>
      <c r="N255" t="s">
        <v>1291</v>
      </c>
      <c r="O255">
        <f>IFERROR(VLOOKUP(HEVARIM[[#This Row],[קוד תקציב]],[2]תקציבים!A:L,6,0),0)</f>
        <v>0</v>
      </c>
      <c r="P255" s="5" t="s">
        <v>83</v>
      </c>
      <c r="Q255" t="s">
        <v>15</v>
      </c>
      <c r="R255" s="4">
        <v>45901</v>
      </c>
      <c r="S255" s="4" t="s">
        <v>74</v>
      </c>
      <c r="T255" s="96" t="s">
        <v>1288</v>
      </c>
      <c r="U255" t="str">
        <f>VLOOKUP(HEVARIM[[#This Row],[גיל]],GIL,2,1)</f>
        <v>--</v>
      </c>
      <c r="V255" t="str">
        <f>IF(HEVARIM[[#This Row],[קוד מעמד]]="4     ",IF(HEVARIM[[#This Row],[גיל]]=1,1,IF(HEVARIM[[#This Row],[גיל]]&lt;=5,5,18)),"")</f>
        <v/>
      </c>
      <c r="W255">
        <f t="shared" si="12"/>
        <v>0</v>
      </c>
      <c r="X2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5">
        <f>IF(HEVARIM[[#This Row],[מצב משפחתי2]]="אלמן",'[2]ריכוז נתונים'!$AC$2,0)</f>
        <v>0</v>
      </c>
      <c r="Z255" s="3">
        <f>VLOOKUP(VALUE(HEVARIM[[#This Row],[קוד מעמד]]),הנחות!$I$2:$K$21,3,0)</f>
        <v>0</v>
      </c>
      <c r="AA255" t="b">
        <f>ISERROR(VLOOKUP(HEVARIM[[#This Row],[קוד תקציב]],'[2]ריכוז נתונים'!A:A,1,0))</f>
        <v>1</v>
      </c>
      <c r="AB255" s="1">
        <f t="shared" si="13"/>
        <v>0</v>
      </c>
      <c r="AC255" s="2">
        <f ca="1">IF(HEVARIM[[#This Row],[בר מצוה]]&gt;0,YEAR(TODAY())+'תקציבים מיוחדים'!$F$5-HEVARIM[[#This Row],[גיל]],0)</f>
        <v>0</v>
      </c>
      <c r="AD255" s="1">
        <f t="shared" si="14"/>
        <v>0</v>
      </c>
      <c r="AE255" s="2">
        <f ca="1">IF(HEVARIM[[#This Row],[בת מצוה]]&gt;0,YEAR(TODAY())+'תקציבים מיוחדים'!$F$5-HEVARIM[[#This Row],[גיל]],0)</f>
        <v>0</v>
      </c>
      <c r="AF255" s="1">
        <f>IF(AND($S255&gt;="רווק",$Z255=1),AF$4*IF(HEVARIM[[#This Row],[גיל]]&gt;$AF$3,1,(($G255-AF$2)/(AF$3-AF$2))),0)</f>
        <v>0</v>
      </c>
      <c r="AG25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5" s="1">
        <f t="shared" si="15"/>
        <v>0</v>
      </c>
      <c r="AI255" s="2">
        <f ca="1">IF(AH255&gt;0,YEAR(TODAY())+'תקציבים מיוחדים'!$F$7-HEVARIM[[#This Row],[גיל]],0)</f>
        <v>0</v>
      </c>
      <c r="AJ255" s="9">
        <f>IF(AND(ISERROR(VLOOKUP(H255,'[2]ריכוז נתונים'!A:L,1,0)),P255="1     "),1,0)</f>
        <v>0</v>
      </c>
      <c r="AK25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5" s="1">
        <f>IF(AND(VALUE(HEVARIM[[#This Row],[קוד מעמד]])=1,HEVARIM[[#This Row],[ותק מחברה 40]]&lt;25),HEVARIM[[#This Row],[ותק מחברה 40]]/25*הנחות!$C$4,0)</f>
        <v>0</v>
      </c>
      <c r="AM255" s="9" t="str">
        <f ca="1">IF(HEVARIM[[#This Row],[דמי עזיבה 25 שנות ותק]]&gt;0,YEAR(TODAY())+25-ROUNDDOWN(HEVARIM[[#This Row],[ותק מחברה 40]],0),"")</f>
        <v/>
      </c>
      <c r="AN2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5" s="9" t="str">
        <f ca="1">IF(HEVARIM[[#This Row],[דמי עזיבה לגיל 65]]&gt;0,YEAR(TODAY())+64-ROUNDDOWN(HEVARIM[[#This Row],[גיל]],0),"")</f>
        <v/>
      </c>
      <c r="AP255" s="1">
        <f>SUMIF(HEVARIM[קוד תקציב],HEVARIM[[#This Row],[קוד תקציב משפחה מקורי]],HEVARIM[ותק מחברה 40])</f>
        <v>0</v>
      </c>
      <c r="AQ2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5" s="9">
        <f>IF(HEVARIM[[#This Row],[קוד מעמד]]="1     ",IFERROR(VLOOKUP(HEVARIM[[#This Row],[קוד תקציב]],'תקציב צביעה - לקראת השינוי'!A:F,4,0),0),0)</f>
        <v>0</v>
      </c>
      <c r="AT255" s="1"/>
    </row>
    <row r="256" spans="1:46">
      <c r="A256" t="s">
        <v>3755</v>
      </c>
      <c r="B256" t="s">
        <v>3756</v>
      </c>
      <c r="C256" t="s">
        <v>1286</v>
      </c>
      <c r="D256" t="s">
        <v>3757</v>
      </c>
      <c r="E256" t="s">
        <v>79</v>
      </c>
      <c r="F256" s="4">
        <v>44675</v>
      </c>
      <c r="G256">
        <v>3</v>
      </c>
      <c r="H256" t="s">
        <v>1288</v>
      </c>
      <c r="I256" t="s">
        <v>3753</v>
      </c>
      <c r="J256" s="4" t="s">
        <v>70</v>
      </c>
      <c r="K256" s="4" t="s">
        <v>81</v>
      </c>
      <c r="L256" t="s">
        <v>3758</v>
      </c>
      <c r="M256" t="s">
        <v>1290</v>
      </c>
      <c r="N256" t="s">
        <v>1291</v>
      </c>
      <c r="O256">
        <f>IFERROR(VLOOKUP(HEVARIM[[#This Row],[קוד תקציב]],[2]תקציבים!A:L,6,0),0)</f>
        <v>0</v>
      </c>
      <c r="P256" s="5" t="s">
        <v>89</v>
      </c>
      <c r="Q256" t="s">
        <v>19</v>
      </c>
      <c r="R256" s="4">
        <v>45901</v>
      </c>
      <c r="S256" s="4" t="s">
        <v>90</v>
      </c>
      <c r="T256" s="96" t="s">
        <v>1288</v>
      </c>
      <c r="U256" t="str">
        <f>VLOOKUP(HEVARIM[[#This Row],[גיל]],GIL,2,1)</f>
        <v>גנים</v>
      </c>
      <c r="V256" t="str">
        <f>IF(HEVARIM[[#This Row],[קוד מעמד]]="4     ",IF(HEVARIM[[#This Row],[גיל]]=1,1,IF(HEVARIM[[#This Row],[גיל]]&lt;=5,5,18)),"")</f>
        <v/>
      </c>
      <c r="W256">
        <f t="shared" si="12"/>
        <v>0</v>
      </c>
      <c r="X2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6">
        <f>IF(HEVARIM[[#This Row],[מצב משפחתי2]]="אלמן",'[2]ריכוז נתונים'!$AC$2,0)</f>
        <v>0</v>
      </c>
      <c r="Z256" s="3">
        <f>VLOOKUP(VALUE(HEVARIM[[#This Row],[קוד מעמד]]),הנחות!$I$2:$K$21,3,0)</f>
        <v>0</v>
      </c>
      <c r="AA256" t="b">
        <f>ISERROR(VLOOKUP(HEVARIM[[#This Row],[קוד תקציב]],'[2]ריכוז נתונים'!A:A,1,0))</f>
        <v>1</v>
      </c>
      <c r="AB256" s="1">
        <f t="shared" si="13"/>
        <v>0</v>
      </c>
      <c r="AC256" s="2">
        <f ca="1">IF(HEVARIM[[#This Row],[בר מצוה]]&gt;0,YEAR(TODAY())+'תקציבים מיוחדים'!$F$5-HEVARIM[[#This Row],[גיל]],0)</f>
        <v>0</v>
      </c>
      <c r="AD256" s="1">
        <f t="shared" si="14"/>
        <v>0</v>
      </c>
      <c r="AE256" s="2">
        <f ca="1">IF(HEVARIM[[#This Row],[בת מצוה]]&gt;0,YEAR(TODAY())+'תקציבים מיוחדים'!$F$5-HEVARIM[[#This Row],[גיל]],0)</f>
        <v>0</v>
      </c>
      <c r="AF256" s="1">
        <f>IF(AND($S256&gt;="רווק",$Z256=1),AF$4*IF(HEVARIM[[#This Row],[גיל]]&gt;$AF$3,1,(($G256-AF$2)/(AF$3-AF$2))),0)</f>
        <v>0</v>
      </c>
      <c r="AG25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6" s="1">
        <f t="shared" si="15"/>
        <v>0</v>
      </c>
      <c r="AI256" s="2">
        <f ca="1">IF(AH256&gt;0,YEAR(TODAY())+'תקציבים מיוחדים'!$F$7-HEVARIM[[#This Row],[גיל]],0)</f>
        <v>0</v>
      </c>
      <c r="AJ256" s="9">
        <f>IF(AND(ISERROR(VLOOKUP(H256,'[2]ריכוז נתונים'!A:L,1,0)),P256="1     "),1,0)</f>
        <v>0</v>
      </c>
      <c r="AK2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6" s="1">
        <f>IF(AND(VALUE(HEVARIM[[#This Row],[קוד מעמד]])=1,HEVARIM[[#This Row],[ותק מחברה 40]]&lt;25),HEVARIM[[#This Row],[ותק מחברה 40]]/25*הנחות!$C$4,0)</f>
        <v>0</v>
      </c>
      <c r="AM256" s="9" t="str">
        <f ca="1">IF(HEVARIM[[#This Row],[דמי עזיבה 25 שנות ותק]]&gt;0,YEAR(TODAY())+25-ROUNDDOWN(HEVARIM[[#This Row],[ותק מחברה 40]],0),"")</f>
        <v/>
      </c>
      <c r="AN2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6" s="9" t="str">
        <f ca="1">IF(HEVARIM[[#This Row],[דמי עזיבה לגיל 65]]&gt;0,YEAR(TODAY())+64-ROUNDDOWN(HEVARIM[[#This Row],[גיל]],0),"")</f>
        <v/>
      </c>
      <c r="AP256" s="1">
        <f>SUMIF(HEVARIM[קוד תקציב],HEVARIM[[#This Row],[קוד תקציב משפחה מקורי]],HEVARIM[ותק מחברה 40])</f>
        <v>0</v>
      </c>
      <c r="AQ2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6" s="9">
        <f>IF(HEVARIM[[#This Row],[קוד מעמד]]="1     ",IFERROR(VLOOKUP(HEVARIM[[#This Row],[קוד תקציב]],'תקציב צביעה - לקראת השינוי'!A:F,4,0),0),0)</f>
        <v>0</v>
      </c>
      <c r="AT256" s="1"/>
    </row>
    <row r="257" spans="1:46">
      <c r="A257" t="s">
        <v>3759</v>
      </c>
      <c r="B257" t="s">
        <v>3760</v>
      </c>
      <c r="C257" t="s">
        <v>1286</v>
      </c>
      <c r="D257" t="s">
        <v>307</v>
      </c>
      <c r="E257" t="s">
        <v>79</v>
      </c>
      <c r="F257" s="4">
        <v>45787</v>
      </c>
      <c r="G257">
        <v>0</v>
      </c>
      <c r="H257" t="s">
        <v>1288</v>
      </c>
      <c r="I257" t="s">
        <v>3753</v>
      </c>
      <c r="J257" s="4" t="s">
        <v>70</v>
      </c>
      <c r="K257" s="4" t="s">
        <v>81</v>
      </c>
      <c r="L257" t="s">
        <v>3761</v>
      </c>
      <c r="M257" t="s">
        <v>1290</v>
      </c>
      <c r="N257" t="s">
        <v>1291</v>
      </c>
      <c r="O257">
        <f>IFERROR(VLOOKUP(HEVARIM[[#This Row],[קוד תקציב]],[2]תקציבים!A:L,6,0),0)</f>
        <v>0</v>
      </c>
      <c r="P257" s="5" t="s">
        <v>89</v>
      </c>
      <c r="Q257" t="s">
        <v>19</v>
      </c>
      <c r="R257" s="4">
        <v>45901</v>
      </c>
      <c r="S257" s="4" t="s">
        <v>90</v>
      </c>
      <c r="T257" s="96" t="s">
        <v>1288</v>
      </c>
      <c r="U257" t="str">
        <f>VLOOKUP(HEVARIM[[#This Row],[גיל]],GIL,2,1)</f>
        <v>פעוט</v>
      </c>
      <c r="V257" t="str">
        <f>IF(HEVARIM[[#This Row],[קוד מעמד]]="4     ",IF(HEVARIM[[#This Row],[גיל]]=1,1,IF(HEVARIM[[#This Row],[גיל]]&lt;=5,5,18)),"")</f>
        <v/>
      </c>
      <c r="W257">
        <f t="shared" si="12"/>
        <v>0</v>
      </c>
      <c r="X2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7">
        <f>IF(HEVARIM[[#This Row],[מצב משפחתי2]]="אלמן",'[2]ריכוז נתונים'!$AC$2,0)</f>
        <v>0</v>
      </c>
      <c r="Z257" s="3">
        <f>VLOOKUP(VALUE(HEVARIM[[#This Row],[קוד מעמד]]),הנחות!$I$2:$K$21,3,0)</f>
        <v>0</v>
      </c>
      <c r="AA257" t="b">
        <f>ISERROR(VLOOKUP(HEVARIM[[#This Row],[קוד תקציב]],'[2]ריכוז נתונים'!A:A,1,0))</f>
        <v>1</v>
      </c>
      <c r="AB257" s="1">
        <f t="shared" si="13"/>
        <v>0</v>
      </c>
      <c r="AC257" s="2">
        <f ca="1">IF(HEVARIM[[#This Row],[בר מצוה]]&gt;0,YEAR(TODAY())+'תקציבים מיוחדים'!$F$5-HEVARIM[[#This Row],[גיל]],0)</f>
        <v>0</v>
      </c>
      <c r="AD257" s="1">
        <f t="shared" si="14"/>
        <v>0</v>
      </c>
      <c r="AE257" s="2">
        <f ca="1">IF(HEVARIM[[#This Row],[בת מצוה]]&gt;0,YEAR(TODAY())+'תקציבים מיוחדים'!$F$5-HEVARIM[[#This Row],[גיל]],0)</f>
        <v>0</v>
      </c>
      <c r="AF257" s="1">
        <f>IF(AND($S257&gt;="רווק",$Z257=1),AF$4*IF(HEVARIM[[#This Row],[גיל]]&gt;$AF$3,1,(($G257-AF$2)/(AF$3-AF$2))),0)</f>
        <v>0</v>
      </c>
      <c r="AG25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7" s="1">
        <f t="shared" si="15"/>
        <v>0</v>
      </c>
      <c r="AI257" s="2">
        <f ca="1">IF(AH257&gt;0,YEAR(TODAY())+'תקציבים מיוחדים'!$F$7-HEVARIM[[#This Row],[גיל]],0)</f>
        <v>0</v>
      </c>
      <c r="AJ257" s="9">
        <f>IF(AND(ISERROR(VLOOKUP(H257,'[2]ריכוז נתונים'!A:L,1,0)),P257="1     "),1,0)</f>
        <v>0</v>
      </c>
      <c r="AK25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57" s="1">
        <f>IF(AND(VALUE(HEVARIM[[#This Row],[קוד מעמד]])=1,HEVARIM[[#This Row],[ותק מחברה 40]]&lt;25),HEVARIM[[#This Row],[ותק מחברה 40]]/25*הנחות!$C$4,0)</f>
        <v>0</v>
      </c>
      <c r="AM257" s="9" t="str">
        <f ca="1">IF(HEVARIM[[#This Row],[דמי עזיבה 25 שנות ותק]]&gt;0,YEAR(TODAY())+25-ROUNDDOWN(HEVARIM[[#This Row],[ותק מחברה 40]],0),"")</f>
        <v/>
      </c>
      <c r="AN2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7" s="9" t="str">
        <f ca="1">IF(HEVARIM[[#This Row],[דמי עזיבה לגיל 65]]&gt;0,YEAR(TODAY())+64-ROUNDDOWN(HEVARIM[[#This Row],[גיל]],0),"")</f>
        <v/>
      </c>
      <c r="AP257" s="1">
        <f>SUMIF(HEVARIM[קוד תקציב],HEVARIM[[#This Row],[קוד תקציב משפחה מקורי]],HEVARIM[ותק מחברה 40])</f>
        <v>0</v>
      </c>
      <c r="AQ2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7" s="9">
        <f>IF(HEVARIM[[#This Row],[קוד מעמד]]="1     ",IFERROR(VLOOKUP(HEVARIM[[#This Row],[קוד תקציב]],'תקציב צביעה - לקראת השינוי'!A:F,4,0),0),0)</f>
        <v>0</v>
      </c>
      <c r="AT257" s="1"/>
    </row>
    <row r="258" spans="1:46">
      <c r="A258" t="s">
        <v>1292</v>
      </c>
      <c r="B258" t="s">
        <v>1293</v>
      </c>
      <c r="C258" t="s">
        <v>1294</v>
      </c>
      <c r="D258" t="s">
        <v>1295</v>
      </c>
      <c r="E258" t="s">
        <v>67</v>
      </c>
      <c r="F258" s="4">
        <v>31967</v>
      </c>
      <c r="G258">
        <v>38</v>
      </c>
      <c r="H258" t="s">
        <v>1296</v>
      </c>
      <c r="I258" t="s">
        <v>1297</v>
      </c>
      <c r="J258" s="4" t="s">
        <v>70</v>
      </c>
      <c r="K258" s="4" t="s">
        <v>71</v>
      </c>
      <c r="L258" t="s">
        <v>1298</v>
      </c>
      <c r="M258" t="s">
        <v>1292</v>
      </c>
      <c r="N258" t="s">
        <v>1293</v>
      </c>
      <c r="O258">
        <f>IFERROR(VLOOKUP(HEVARIM[[#This Row],[קוד תקציב]],[2]תקציבים!A:L,6,0),0)</f>
        <v>2</v>
      </c>
      <c r="P258" s="5" t="s">
        <v>104</v>
      </c>
      <c r="Q258" t="s">
        <v>11</v>
      </c>
      <c r="R258" s="4">
        <v>43717</v>
      </c>
      <c r="S258" s="4" t="s">
        <v>74</v>
      </c>
      <c r="T258" s="96" t="s">
        <v>1296</v>
      </c>
      <c r="U258" t="str">
        <f>VLOOKUP(HEVARIM[[#This Row],[גיל]],GIL,2,1)</f>
        <v>--</v>
      </c>
      <c r="V258" t="str">
        <f>IF(HEVARIM[[#This Row],[קוד מעמד]]="4     ",IF(HEVARIM[[#This Row],[גיל]]=1,1,IF(HEVARIM[[#This Row],[גיל]]&lt;=5,5,18)),"")</f>
        <v/>
      </c>
      <c r="W258">
        <f t="shared" si="12"/>
        <v>0</v>
      </c>
      <c r="X2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8">
        <f>IF(HEVARIM[[#This Row],[מצב משפחתי2]]="אלמן",'[2]ריכוז נתונים'!$AC$2,0)</f>
        <v>0</v>
      </c>
      <c r="Z258" s="3">
        <f>VLOOKUP(VALUE(HEVARIM[[#This Row],[קוד מעמד]]),הנחות!$I$2:$K$21,3,0)</f>
        <v>0</v>
      </c>
      <c r="AA258" t="b">
        <f>ISERROR(VLOOKUP(HEVARIM[[#This Row],[קוד תקציב]],'[2]ריכוז נתונים'!A:A,1,0))</f>
        <v>0</v>
      </c>
      <c r="AB258" s="1">
        <f t="shared" si="13"/>
        <v>0</v>
      </c>
      <c r="AC258" s="2">
        <f ca="1">IF(HEVARIM[[#This Row],[בר מצוה]]&gt;0,YEAR(TODAY())+'תקציבים מיוחדים'!$F$5-HEVARIM[[#This Row],[גיל]],0)</f>
        <v>0</v>
      </c>
      <c r="AD258" s="1">
        <f t="shared" si="14"/>
        <v>0</v>
      </c>
      <c r="AE258" s="2">
        <f ca="1">IF(HEVARIM[[#This Row],[בת מצוה]]&gt;0,YEAR(TODAY())+'תקציבים מיוחדים'!$F$5-HEVARIM[[#This Row],[גיל]],0)</f>
        <v>0</v>
      </c>
      <c r="AF258" s="1">
        <f>IF(AND($S258&gt;="רווק",$Z258=1),AF$4*IF(HEVARIM[[#This Row],[גיל]]&gt;$AF$3,1,(($G258-AF$2)/(AF$3-AF$2))),0)</f>
        <v>0</v>
      </c>
      <c r="AG25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8" s="1">
        <f t="shared" si="15"/>
        <v>0</v>
      </c>
      <c r="AI258" s="2">
        <f ca="1">IF(AH258&gt;0,YEAR(TODAY())+'תקציבים מיוחדים'!$F$7-HEVARIM[[#This Row],[גיל]],0)</f>
        <v>0</v>
      </c>
      <c r="AJ258" s="9">
        <f>IF(AND(ISERROR(VLOOKUP(H258,'[2]ריכוז נתונים'!A:L,1,0)),P258="1     "),1,0)</f>
        <v>0</v>
      </c>
      <c r="AK258" s="1">
        <f>IF(VALUE(HEVARIM[[#This Row],[קוד מעמד]])=1,VLOOKUP((IF(LEFT(HEVARIM[[#This Row],[קוד חבר]],1)="0",HEVARIM[[#This Row],[קוד חבר]],VALUE(HEVARIM[[#This Row],[קוד חבר]]))),'ותק חברה 40'!AQ:AW,7,0),"")</f>
        <v>8</v>
      </c>
      <c r="AL258" s="1">
        <f>IF(AND(VALUE(HEVARIM[[#This Row],[קוד מעמד]])=1,HEVARIM[[#This Row],[ותק מחברה 40]]&lt;25),HEVARIM[[#This Row],[ותק מחברה 40]]/25*הנחות!$C$4,0)</f>
        <v>12011.075999999999</v>
      </c>
      <c r="AM258" s="9">
        <f ca="1">IF(HEVARIM[[#This Row],[דמי עזיבה 25 שנות ותק]]&gt;0,YEAR(TODAY())+25-ROUNDDOWN(HEVARIM[[#This Row],[ותק מחברה 40]],0),"")</f>
        <v>2043</v>
      </c>
      <c r="AN25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8" s="9" t="str">
        <f ca="1">IF(HEVARIM[[#This Row],[דמי עזיבה לגיל 65]]&gt;0,YEAR(TODAY())+64-ROUNDDOWN(HEVARIM[[#This Row],[גיל]],0),"")</f>
        <v/>
      </c>
      <c r="AP258" s="1">
        <f>SUMIF(HEVARIM[קוד תקציב],HEVARIM[[#This Row],[קוד תקציב משפחה מקורי]],HEVARIM[ותק מחברה 40])</f>
        <v>16</v>
      </c>
      <c r="AQ2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8" s="9">
        <f>IF(HEVARIM[[#This Row],[קוד מעמד]]="1     ",IFERROR(VLOOKUP(HEVARIM[[#This Row],[קוד תקציב]],'תקציב צביעה - לקראת השינוי'!A:F,4,0),0),0)</f>
        <v>0</v>
      </c>
      <c r="AT258" s="1"/>
    </row>
    <row r="259" spans="1:46">
      <c r="A259" t="s">
        <v>1299</v>
      </c>
      <c r="B259" t="s">
        <v>1300</v>
      </c>
      <c r="C259" t="s">
        <v>1294</v>
      </c>
      <c r="D259" t="s">
        <v>1301</v>
      </c>
      <c r="E259" t="s">
        <v>79</v>
      </c>
      <c r="F259" s="4">
        <v>32640</v>
      </c>
      <c r="G259">
        <v>36</v>
      </c>
      <c r="H259" t="s">
        <v>1296</v>
      </c>
      <c r="I259" t="s">
        <v>1297</v>
      </c>
      <c r="J259" s="4" t="s">
        <v>70</v>
      </c>
      <c r="K259" s="4" t="s">
        <v>71</v>
      </c>
      <c r="L259" t="s">
        <v>1302</v>
      </c>
      <c r="M259" t="s">
        <v>1292</v>
      </c>
      <c r="N259" t="s">
        <v>1293</v>
      </c>
      <c r="O259">
        <f>IFERROR(VLOOKUP(HEVARIM[[#This Row],[קוד תקציב]],[2]תקציבים!A:L,6,0),0)</f>
        <v>2</v>
      </c>
      <c r="P259" s="5" t="s">
        <v>104</v>
      </c>
      <c r="Q259" t="s">
        <v>11</v>
      </c>
      <c r="R259" s="4">
        <v>43717</v>
      </c>
      <c r="S259" s="4" t="s">
        <v>74</v>
      </c>
      <c r="T259" s="96" t="s">
        <v>1296</v>
      </c>
      <c r="U259" t="str">
        <f>VLOOKUP(HEVARIM[[#This Row],[גיל]],GIL,2,1)</f>
        <v>--</v>
      </c>
      <c r="V259" t="str">
        <f>IF(HEVARIM[[#This Row],[קוד מעמד]]="4     ",IF(HEVARIM[[#This Row],[גיל]]=1,1,IF(HEVARIM[[#This Row],[גיל]]&lt;=5,5,18)),"")</f>
        <v/>
      </c>
      <c r="W259">
        <f t="shared" si="12"/>
        <v>0</v>
      </c>
      <c r="X25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59">
        <f>IF(HEVARIM[[#This Row],[מצב משפחתי2]]="אלמן",'[2]ריכוז נתונים'!$AC$2,0)</f>
        <v>0</v>
      </c>
      <c r="Z259" s="3">
        <f>VLOOKUP(VALUE(HEVARIM[[#This Row],[קוד מעמד]]),הנחות!$I$2:$K$21,3,0)</f>
        <v>0</v>
      </c>
      <c r="AA259" t="b">
        <f>ISERROR(VLOOKUP(HEVARIM[[#This Row],[קוד תקציב]],'[2]ריכוז נתונים'!A:A,1,0))</f>
        <v>0</v>
      </c>
      <c r="AB259" s="1">
        <f t="shared" si="13"/>
        <v>0</v>
      </c>
      <c r="AC259" s="2">
        <f ca="1">IF(HEVARIM[[#This Row],[בר מצוה]]&gt;0,YEAR(TODAY())+'תקציבים מיוחדים'!$F$5-HEVARIM[[#This Row],[גיל]],0)</f>
        <v>0</v>
      </c>
      <c r="AD259" s="1">
        <f t="shared" si="14"/>
        <v>0</v>
      </c>
      <c r="AE259" s="2">
        <f ca="1">IF(HEVARIM[[#This Row],[בת מצוה]]&gt;0,YEAR(TODAY())+'תקציבים מיוחדים'!$F$5-HEVARIM[[#This Row],[גיל]],0)</f>
        <v>0</v>
      </c>
      <c r="AF259" s="1">
        <f>IF(AND($S259&gt;="רווק",$Z259=1),AF$4*IF(HEVARIM[[#This Row],[גיל]]&gt;$AF$3,1,(($G259-AF$2)/(AF$3-AF$2))),0)</f>
        <v>0</v>
      </c>
      <c r="AG25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59" s="1">
        <f t="shared" si="15"/>
        <v>0</v>
      </c>
      <c r="AI259" s="2">
        <f ca="1">IF(AH259&gt;0,YEAR(TODAY())+'תקציבים מיוחדים'!$F$7-HEVARIM[[#This Row],[גיל]],0)</f>
        <v>0</v>
      </c>
      <c r="AJ259" s="9">
        <f>IF(AND(ISERROR(VLOOKUP(H259,'[2]ריכוז נתונים'!A:L,1,0)),P259="1     "),1,0)</f>
        <v>0</v>
      </c>
      <c r="AK259" s="1">
        <f>IF(VALUE(HEVARIM[[#This Row],[קוד מעמד]])=1,VLOOKUP((IF(LEFT(HEVARIM[[#This Row],[קוד חבר]],1)="0",HEVARIM[[#This Row],[קוד חבר]],VALUE(HEVARIM[[#This Row],[קוד חבר]]))),'ותק חברה 40'!AQ:AW,7,0),"")</f>
        <v>8</v>
      </c>
      <c r="AL259" s="1">
        <f>IF(AND(VALUE(HEVARIM[[#This Row],[קוד מעמד]])=1,HEVARIM[[#This Row],[ותק מחברה 40]]&lt;25),HEVARIM[[#This Row],[ותק מחברה 40]]/25*הנחות!$C$4,0)</f>
        <v>12011.075999999999</v>
      </c>
      <c r="AM259" s="9">
        <f ca="1">IF(HEVARIM[[#This Row],[דמי עזיבה 25 שנות ותק]]&gt;0,YEAR(TODAY())+25-ROUNDDOWN(HEVARIM[[#This Row],[ותק מחברה 40]],0),"")</f>
        <v>2043</v>
      </c>
      <c r="AN2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59" s="9" t="str">
        <f ca="1">IF(HEVARIM[[#This Row],[דמי עזיבה לגיל 65]]&gt;0,YEAR(TODAY())+64-ROUNDDOWN(HEVARIM[[#This Row],[גיל]],0),"")</f>
        <v/>
      </c>
      <c r="AP259" s="1">
        <f>SUMIF(HEVARIM[קוד תקציב],HEVARIM[[#This Row],[קוד תקציב משפחה מקורי]],HEVARIM[ותק מחברה 40])</f>
        <v>16</v>
      </c>
      <c r="AQ2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59" s="9">
        <f>IF(HEVARIM[[#This Row],[קוד מעמד]]="1     ",IFERROR(VLOOKUP(HEVARIM[[#This Row],[קוד תקציב]],'תקציב צביעה - לקראת השינוי'!A:F,4,0),0),0)</f>
        <v>0</v>
      </c>
      <c r="AT259" s="1"/>
    </row>
    <row r="260" spans="1:46">
      <c r="A260" t="s">
        <v>1303</v>
      </c>
      <c r="B260" t="s">
        <v>1304</v>
      </c>
      <c r="C260" t="s">
        <v>1294</v>
      </c>
      <c r="D260" t="s">
        <v>1305</v>
      </c>
      <c r="E260" t="s">
        <v>79</v>
      </c>
      <c r="F260" s="4">
        <v>41104</v>
      </c>
      <c r="G260">
        <v>13</v>
      </c>
      <c r="H260" t="s">
        <v>1296</v>
      </c>
      <c r="I260" t="s">
        <v>1297</v>
      </c>
      <c r="J260" s="4" t="s">
        <v>70</v>
      </c>
      <c r="K260" s="4" t="s">
        <v>71</v>
      </c>
      <c r="L260" t="s">
        <v>1306</v>
      </c>
      <c r="M260" t="s">
        <v>1292</v>
      </c>
      <c r="N260" t="s">
        <v>1293</v>
      </c>
      <c r="O260">
        <f>IFERROR(VLOOKUP(HEVARIM[[#This Row],[קוד תקציב]],[2]תקציבים!A:L,6,0),0)</f>
        <v>2</v>
      </c>
      <c r="P260" s="5" t="s">
        <v>227</v>
      </c>
      <c r="Q260" t="s">
        <v>14</v>
      </c>
      <c r="R260" s="4">
        <v>42979</v>
      </c>
      <c r="S260" s="4" t="s">
        <v>90</v>
      </c>
      <c r="T260" s="96" t="s">
        <v>1296</v>
      </c>
      <c r="U260" t="str">
        <f>VLOOKUP(HEVARIM[[#This Row],[גיל]],GIL,2,1)</f>
        <v>חטיבה</v>
      </c>
      <c r="V260">
        <f>IF(HEVARIM[[#This Row],[קוד מעמד]]="4     ",IF(HEVARIM[[#This Row],[גיל]]=1,1,IF(HEVARIM[[#This Row],[גיל]]&lt;=5,5,18)),"")</f>
        <v>18</v>
      </c>
      <c r="W260">
        <f t="shared" si="12"/>
        <v>0</v>
      </c>
      <c r="X2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0">
        <f>IF(HEVARIM[[#This Row],[מצב משפחתי2]]="אלמן",'[2]ריכוז נתונים'!$AC$2,0)</f>
        <v>0</v>
      </c>
      <c r="Z260" s="3">
        <f>VLOOKUP(VALUE(HEVARIM[[#This Row],[קוד מעמד]]),הנחות!$I$2:$K$21,3,0)</f>
        <v>1</v>
      </c>
      <c r="AA260" t="b">
        <f>ISERROR(VLOOKUP(HEVARIM[[#This Row],[קוד תקציב]],'[2]ריכוז נתונים'!A:A,1,0))</f>
        <v>0</v>
      </c>
      <c r="AB260" s="1">
        <f t="shared" si="13"/>
        <v>0</v>
      </c>
      <c r="AC260" s="2">
        <f ca="1">IF(HEVARIM[[#This Row],[בר מצוה]]&gt;0,YEAR(TODAY())+'תקציבים מיוחדים'!$F$5-HEVARIM[[#This Row],[גיל]],0)</f>
        <v>0</v>
      </c>
      <c r="AD260" s="1">
        <f t="shared" si="14"/>
        <v>7165</v>
      </c>
      <c r="AE260" s="2">
        <f ca="1">IF(HEVARIM[[#This Row],[בת מצוה]]&gt;0,YEAR(TODAY())+'תקציבים מיוחדים'!$F$5-HEVARIM[[#This Row],[גיל]],0)</f>
        <v>2026</v>
      </c>
      <c r="AF260" s="1">
        <f>IF(AND($S260&gt;="רווק",$Z260=1),AF$4*IF(HEVARIM[[#This Row],[גיל]]&gt;$AF$3,1,(($G260-AF$2)/(AF$3-AF$2))),0)</f>
        <v>37460.119047619046</v>
      </c>
      <c r="AG260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260" s="1">
        <f t="shared" si="15"/>
        <v>65364.309523809527</v>
      </c>
      <c r="AI260" s="2">
        <f ca="1">IF(AH260&gt;0,YEAR(TODAY())+'תקציבים מיוחדים'!$F$7-HEVARIM[[#This Row],[גיל]],0)</f>
        <v>2034</v>
      </c>
      <c r="AJ260" s="9">
        <f>IF(AND(ISERROR(VLOOKUP(H260,'[2]ריכוז נתונים'!A:L,1,0)),P260="1     "),1,0)</f>
        <v>0</v>
      </c>
      <c r="AK2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0" s="1">
        <f>IF(AND(VALUE(HEVARIM[[#This Row],[קוד מעמד]])=1,HEVARIM[[#This Row],[ותק מחברה 40]]&lt;25),HEVARIM[[#This Row],[ותק מחברה 40]]/25*הנחות!$C$4,0)</f>
        <v>0</v>
      </c>
      <c r="AM260" s="9" t="str">
        <f ca="1">IF(HEVARIM[[#This Row],[דמי עזיבה 25 שנות ותק]]&gt;0,YEAR(TODAY())+25-ROUNDDOWN(HEVARIM[[#This Row],[ותק מחברה 40]],0),"")</f>
        <v/>
      </c>
      <c r="AN2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0" s="9" t="str">
        <f ca="1">IF(HEVARIM[[#This Row],[דמי עזיבה לגיל 65]]&gt;0,YEAR(TODAY())+64-ROUNDDOWN(HEVARIM[[#This Row],[גיל]],0),"")</f>
        <v/>
      </c>
      <c r="AP260" s="1">
        <f>SUMIF(HEVARIM[קוד תקציב],HEVARIM[[#This Row],[קוד תקציב משפחה מקורי]],HEVARIM[ותק מחברה 40])</f>
        <v>16</v>
      </c>
      <c r="AQ2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0" s="9">
        <f>IF(HEVARIM[[#This Row],[קוד מעמד]]="1     ",IFERROR(VLOOKUP(HEVARIM[[#This Row],[קוד תקציב]],'תקציב צביעה - לקראת השינוי'!A:F,4,0),0),0)</f>
        <v>0</v>
      </c>
      <c r="AT260" s="1"/>
    </row>
    <row r="261" spans="1:46">
      <c r="A261" t="s">
        <v>1307</v>
      </c>
      <c r="B261" t="s">
        <v>1308</v>
      </c>
      <c r="C261" t="s">
        <v>1294</v>
      </c>
      <c r="D261" t="s">
        <v>1309</v>
      </c>
      <c r="E261" t="s">
        <v>79</v>
      </c>
      <c r="F261" s="4">
        <v>41934</v>
      </c>
      <c r="G261">
        <v>11</v>
      </c>
      <c r="H261" t="s">
        <v>1296</v>
      </c>
      <c r="I261" t="s">
        <v>1297</v>
      </c>
      <c r="J261" s="4" t="s">
        <v>70</v>
      </c>
      <c r="K261" s="4" t="s">
        <v>71</v>
      </c>
      <c r="L261" t="s">
        <v>1310</v>
      </c>
      <c r="M261" t="s">
        <v>1292</v>
      </c>
      <c r="N261" t="s">
        <v>1293</v>
      </c>
      <c r="O261">
        <f>IFERROR(VLOOKUP(HEVARIM[[#This Row],[קוד תקציב]],[2]תקציבים!A:L,6,0),0)</f>
        <v>2</v>
      </c>
      <c r="P261" s="5" t="s">
        <v>227</v>
      </c>
      <c r="Q261" t="s">
        <v>14</v>
      </c>
      <c r="R261" s="4">
        <v>42979</v>
      </c>
      <c r="S261" s="4" t="s">
        <v>90</v>
      </c>
      <c r="T261" s="96" t="s">
        <v>1296</v>
      </c>
      <c r="U261" t="str">
        <f>VLOOKUP(HEVARIM[[#This Row],[גיל]],GIL,2,1)</f>
        <v>יסודי</v>
      </c>
      <c r="V261">
        <f>IF(HEVARIM[[#This Row],[קוד מעמד]]="4     ",IF(HEVARIM[[#This Row],[גיל]]=1,1,IF(HEVARIM[[#This Row],[גיל]]&lt;=5,5,18)),"")</f>
        <v>18</v>
      </c>
      <c r="W261">
        <f t="shared" si="12"/>
        <v>0</v>
      </c>
      <c r="X2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1">
        <f>IF(HEVARIM[[#This Row],[מצב משפחתי2]]="אלמן",'[2]ריכוז נתונים'!$AC$2,0)</f>
        <v>0</v>
      </c>
      <c r="Z261" s="3">
        <f>VLOOKUP(VALUE(HEVARIM[[#This Row],[קוד מעמד]]),הנחות!$I$2:$K$21,3,0)</f>
        <v>1</v>
      </c>
      <c r="AA261" t="b">
        <f>ISERROR(VLOOKUP(HEVARIM[[#This Row],[קוד תקציב]],'[2]ריכוז נתונים'!A:A,1,0))</f>
        <v>0</v>
      </c>
      <c r="AB261" s="1">
        <f t="shared" si="13"/>
        <v>0</v>
      </c>
      <c r="AC261" s="2">
        <f ca="1">IF(HEVARIM[[#This Row],[בר מצוה]]&gt;0,YEAR(TODAY())+'תקציבים מיוחדים'!$F$5-HEVARIM[[#This Row],[גיל]],0)</f>
        <v>0</v>
      </c>
      <c r="AD261" s="1">
        <f t="shared" si="14"/>
        <v>6062.6923076923076</v>
      </c>
      <c r="AE261" s="2">
        <f ca="1">IF(HEVARIM[[#This Row],[בת מצוה]]&gt;0,YEAR(TODAY())+'תקציבים מיוחדים'!$F$5-HEVARIM[[#This Row],[גיל]],0)</f>
        <v>2028</v>
      </c>
      <c r="AF261" s="1">
        <f>IF(AND($S261&gt;="רווק",$Z261=1),AF$4*IF(HEVARIM[[#This Row],[גיל]]&gt;$AF$3,1,(($G261-AF$2)/(AF$3-AF$2))),0)</f>
        <v>31697.023809523813</v>
      </c>
      <c r="AG261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261" s="1">
        <f t="shared" si="15"/>
        <v>55308.261904761908</v>
      </c>
      <c r="AI261" s="2">
        <f ca="1">IF(AH261&gt;0,YEAR(TODAY())+'תקציבים מיוחדים'!$F$7-HEVARIM[[#This Row],[גיל]],0)</f>
        <v>2036</v>
      </c>
      <c r="AJ261" s="9">
        <f>IF(AND(ISERROR(VLOOKUP(H261,'[2]ריכוז נתונים'!A:L,1,0)),P261="1     "),1,0)</f>
        <v>0</v>
      </c>
      <c r="AK26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1" s="1">
        <f>IF(AND(VALUE(HEVARIM[[#This Row],[קוד מעמד]])=1,HEVARIM[[#This Row],[ותק מחברה 40]]&lt;25),HEVARIM[[#This Row],[ותק מחברה 40]]/25*הנחות!$C$4,0)</f>
        <v>0</v>
      </c>
      <c r="AM261" s="9" t="str">
        <f ca="1">IF(HEVARIM[[#This Row],[דמי עזיבה 25 שנות ותק]]&gt;0,YEAR(TODAY())+25-ROUNDDOWN(HEVARIM[[#This Row],[ותק מחברה 40]],0),"")</f>
        <v/>
      </c>
      <c r="AN2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1" s="9" t="str">
        <f ca="1">IF(HEVARIM[[#This Row],[דמי עזיבה לגיל 65]]&gt;0,YEAR(TODAY())+64-ROUNDDOWN(HEVARIM[[#This Row],[גיל]],0),"")</f>
        <v/>
      </c>
      <c r="AP261" s="1">
        <f>SUMIF(HEVARIM[קוד תקציב],HEVARIM[[#This Row],[קוד תקציב משפחה מקורי]],HEVARIM[ותק מחברה 40])</f>
        <v>16</v>
      </c>
      <c r="AQ2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1" s="9">
        <f>IF(HEVARIM[[#This Row],[קוד מעמד]]="1     ",IFERROR(VLOOKUP(HEVARIM[[#This Row],[קוד תקציב]],'תקציב צביעה - לקראת השינוי'!A:F,4,0),0),0)</f>
        <v>0</v>
      </c>
      <c r="AT261" s="1"/>
    </row>
    <row r="262" spans="1:46">
      <c r="A262" t="s">
        <v>1311</v>
      </c>
      <c r="B262" t="s">
        <v>1312</v>
      </c>
      <c r="C262" t="s">
        <v>1294</v>
      </c>
      <c r="D262" t="s">
        <v>1313</v>
      </c>
      <c r="E262" t="s">
        <v>67</v>
      </c>
      <c r="F262" s="4">
        <v>42544</v>
      </c>
      <c r="G262">
        <v>9</v>
      </c>
      <c r="H262" t="s">
        <v>1296</v>
      </c>
      <c r="I262" t="s">
        <v>1297</v>
      </c>
      <c r="J262" s="4" t="s">
        <v>70</v>
      </c>
      <c r="K262" s="4" t="s">
        <v>71</v>
      </c>
      <c r="L262" t="s">
        <v>1314</v>
      </c>
      <c r="M262" t="s">
        <v>1292</v>
      </c>
      <c r="N262" t="s">
        <v>1293</v>
      </c>
      <c r="O262">
        <f>IFERROR(VLOOKUP(HEVARIM[[#This Row],[קוד תקציב]],[2]תקציבים!A:L,6,0),0)</f>
        <v>2</v>
      </c>
      <c r="P262" s="5" t="s">
        <v>227</v>
      </c>
      <c r="Q262" t="s">
        <v>14</v>
      </c>
      <c r="R262" s="4">
        <v>42979</v>
      </c>
      <c r="S262" s="4" t="s">
        <v>90</v>
      </c>
      <c r="T262" s="96" t="s">
        <v>1296</v>
      </c>
      <c r="U262" t="str">
        <f>VLOOKUP(HEVARIM[[#This Row],[גיל]],GIL,2,1)</f>
        <v>יסודי</v>
      </c>
      <c r="V262">
        <f>IF(HEVARIM[[#This Row],[קוד מעמד]]="4     ",IF(HEVARIM[[#This Row],[גיל]]=1,1,IF(HEVARIM[[#This Row],[גיל]]&lt;=5,5,18)),"")</f>
        <v>18</v>
      </c>
      <c r="W262">
        <f t="shared" ref="W262:W325" si="16">IF(G262&lt;67,0,
 IF(O262=1,
   IF(G262&gt;=80,1896-231,1795-231),
 IF(O262=2,
   IF(G262&gt;=80,2899-332,2697-332),
 0))
)</f>
        <v>0</v>
      </c>
      <c r="X2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2">
        <f>IF(HEVARIM[[#This Row],[מצב משפחתי2]]="אלמן",'[2]ריכוז נתונים'!$AC$2,0)</f>
        <v>0</v>
      </c>
      <c r="Z262" s="3">
        <f>VLOOKUP(VALUE(HEVARIM[[#This Row],[קוד מעמד]]),הנחות!$I$2:$K$21,3,0)</f>
        <v>1</v>
      </c>
      <c r="AA262" t="b">
        <f>ISERROR(VLOOKUP(HEVARIM[[#This Row],[קוד תקציב]],'[2]ריכוז נתונים'!A:A,1,0))</f>
        <v>0</v>
      </c>
      <c r="AB262" s="1">
        <f t="shared" ref="AB262:AB325" si="17">IF(AND($G262&gt;=AC$2,$G262&lt;=AC$3,$E262="ז ",$Z262=1),AC$4*(($G262-AC$2)/(AC$3-AC$2)),0)</f>
        <v>4960.3846153846152</v>
      </c>
      <c r="AC262" s="2">
        <f ca="1">IF(HEVARIM[[#This Row],[בר מצוה]]&gt;0,YEAR(TODAY())+'תקציבים מיוחדים'!$F$5-HEVARIM[[#This Row],[גיל]],0)</f>
        <v>2030</v>
      </c>
      <c r="AD262" s="1">
        <f t="shared" ref="AD262:AD325" si="18">IF(AND($G262&gt;=AE$2,$G262&lt;=AE$3,$E262="נ ",$Z262=1),AE$4*(($G262-AE$2)/(AE$3-AE$2)),0)</f>
        <v>0</v>
      </c>
      <c r="AE262" s="2">
        <f ca="1">IF(HEVARIM[[#This Row],[בת מצוה]]&gt;0,YEAR(TODAY())+'תקציבים מיוחדים'!$F$5-HEVARIM[[#This Row],[גיל]],0)</f>
        <v>0</v>
      </c>
      <c r="AF262" s="1">
        <f>IF(AND($S262&gt;="רווק",$Z262=1),AF$4*IF(HEVARIM[[#This Row],[גיל]]&gt;$AF$3,1,(($G262-AF$2)/(AF$3-AF$2))),0)</f>
        <v>25933.928571428569</v>
      </c>
      <c r="AG262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262" s="1">
        <f t="shared" ref="AH262:AH325" si="19">IF(AND($G262&gt;=AI$2,$G262&lt;=AI$3,$Z262=1),AI$4*(($G262-AI$2)/(AI$3-AI$2)),0)</f>
        <v>45252.214285714283</v>
      </c>
      <c r="AI262" s="2">
        <f ca="1">IF(AH262&gt;0,YEAR(TODAY())+'תקציבים מיוחדים'!$F$7-HEVARIM[[#This Row],[גיל]],0)</f>
        <v>2038</v>
      </c>
      <c r="AJ262" s="9">
        <f>IF(AND(ISERROR(VLOOKUP(H262,'[2]ריכוז נתונים'!A:L,1,0)),P262="1     "),1,0)</f>
        <v>0</v>
      </c>
      <c r="AK2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2" s="1">
        <f>IF(AND(VALUE(HEVARIM[[#This Row],[קוד מעמד]])=1,HEVARIM[[#This Row],[ותק מחברה 40]]&lt;25),HEVARIM[[#This Row],[ותק מחברה 40]]/25*הנחות!$C$4,0)</f>
        <v>0</v>
      </c>
      <c r="AM262" s="9" t="str">
        <f ca="1">IF(HEVARIM[[#This Row],[דמי עזיבה 25 שנות ותק]]&gt;0,YEAR(TODAY())+25-ROUNDDOWN(HEVARIM[[#This Row],[ותק מחברה 40]],0),"")</f>
        <v/>
      </c>
      <c r="AN2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2" s="9" t="str">
        <f ca="1">IF(HEVARIM[[#This Row],[דמי עזיבה לגיל 65]]&gt;0,YEAR(TODAY())+64-ROUNDDOWN(HEVARIM[[#This Row],[גיל]],0),"")</f>
        <v/>
      </c>
      <c r="AP262" s="1">
        <f>SUMIF(HEVARIM[קוד תקציב],HEVARIM[[#This Row],[קוד תקציב משפחה מקורי]],HEVARIM[ותק מחברה 40])</f>
        <v>16</v>
      </c>
      <c r="AQ2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2" s="9">
        <f>IF(HEVARIM[[#This Row],[קוד מעמד]]="1     ",IFERROR(VLOOKUP(HEVARIM[[#This Row],[קוד תקציב]],'תקציב צביעה - לקראת השינוי'!A:F,4,0),0),0)</f>
        <v>0</v>
      </c>
      <c r="AT262" s="1"/>
    </row>
    <row r="263" spans="1:46">
      <c r="A263" t="s">
        <v>1315</v>
      </c>
      <c r="B263" t="s">
        <v>1316</v>
      </c>
      <c r="C263" t="s">
        <v>1294</v>
      </c>
      <c r="D263" t="s">
        <v>279</v>
      </c>
      <c r="E263" t="s">
        <v>67</v>
      </c>
      <c r="F263" s="4">
        <v>43799</v>
      </c>
      <c r="G263">
        <v>6</v>
      </c>
      <c r="H263" t="s">
        <v>1296</v>
      </c>
      <c r="I263" t="s">
        <v>1297</v>
      </c>
      <c r="J263" s="4" t="s">
        <v>70</v>
      </c>
      <c r="K263" s="4" t="s">
        <v>71</v>
      </c>
      <c r="L263" t="s">
        <v>1317</v>
      </c>
      <c r="M263" t="s">
        <v>1292</v>
      </c>
      <c r="N263" t="s">
        <v>1293</v>
      </c>
      <c r="O263">
        <f>IFERROR(VLOOKUP(HEVARIM[[#This Row],[קוד תקציב]],[2]תקציבים!A:L,6,0),0)</f>
        <v>2</v>
      </c>
      <c r="P263" s="5" t="s">
        <v>227</v>
      </c>
      <c r="Q263" t="s">
        <v>14</v>
      </c>
      <c r="R263" s="4">
        <v>43799</v>
      </c>
      <c r="S263" s="4" t="s">
        <v>90</v>
      </c>
      <c r="T263" s="96" t="s">
        <v>1296</v>
      </c>
      <c r="U263" t="str">
        <f>VLOOKUP(HEVARIM[[#This Row],[גיל]],GIL,2,1)</f>
        <v>יסודי</v>
      </c>
      <c r="V263">
        <f>IF(HEVARIM[[#This Row],[קוד מעמד]]="4     ",IF(HEVARIM[[#This Row],[גיל]]=1,1,IF(HEVARIM[[#This Row],[גיל]]&lt;=5,5,18)),"")</f>
        <v>18</v>
      </c>
      <c r="W263">
        <f t="shared" si="16"/>
        <v>0</v>
      </c>
      <c r="X26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3">
        <f>IF(HEVARIM[[#This Row],[מצב משפחתי2]]="אלמן",'[2]ריכוז נתונים'!$AC$2,0)</f>
        <v>0</v>
      </c>
      <c r="Z263" s="3">
        <f>VLOOKUP(VALUE(HEVARIM[[#This Row],[קוד מעמד]]),הנחות!$I$2:$K$21,3,0)</f>
        <v>1</v>
      </c>
      <c r="AA263" t="b">
        <f>ISERROR(VLOOKUP(HEVARIM[[#This Row],[קוד תקציב]],'[2]ריכוז נתונים'!A:A,1,0))</f>
        <v>0</v>
      </c>
      <c r="AB263" s="1">
        <f t="shared" si="17"/>
        <v>3306.9230769230771</v>
      </c>
      <c r="AC263" s="2">
        <f ca="1">IF(HEVARIM[[#This Row],[בר מצוה]]&gt;0,YEAR(TODAY())+'תקציבים מיוחדים'!$F$5-HEVARIM[[#This Row],[גיל]],0)</f>
        <v>2033</v>
      </c>
      <c r="AD263" s="1">
        <f t="shared" si="18"/>
        <v>0</v>
      </c>
      <c r="AE263" s="2">
        <f ca="1">IF(HEVARIM[[#This Row],[בת מצוה]]&gt;0,YEAR(TODAY())+'תקציבים מיוחדים'!$F$5-HEVARIM[[#This Row],[גיל]],0)</f>
        <v>0</v>
      </c>
      <c r="AF263" s="1">
        <f>IF(AND($S263&gt;="רווק",$Z263=1),AF$4*IF(HEVARIM[[#This Row],[גיל]]&gt;$AF$3,1,(($G263-AF$2)/(AF$3-AF$2))),0)</f>
        <v>17289.285714285714</v>
      </c>
      <c r="AG263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263" s="1">
        <f t="shared" si="19"/>
        <v>30168.142857142855</v>
      </c>
      <c r="AI263" s="2">
        <f ca="1">IF(AH263&gt;0,YEAR(TODAY())+'תקציבים מיוחדים'!$F$7-HEVARIM[[#This Row],[גיל]],0)</f>
        <v>2041</v>
      </c>
      <c r="AJ263" s="9">
        <f>IF(AND(ISERROR(VLOOKUP(H263,'[2]ריכוז נתונים'!A:L,1,0)),P263="1     "),1,0)</f>
        <v>0</v>
      </c>
      <c r="AK26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3" s="1">
        <f>IF(AND(VALUE(HEVARIM[[#This Row],[קוד מעמד]])=1,HEVARIM[[#This Row],[ותק מחברה 40]]&lt;25),HEVARIM[[#This Row],[ותק מחברה 40]]/25*הנחות!$C$4,0)</f>
        <v>0</v>
      </c>
      <c r="AM263" s="9" t="str">
        <f ca="1">IF(HEVARIM[[#This Row],[דמי עזיבה 25 שנות ותק]]&gt;0,YEAR(TODAY())+25-ROUNDDOWN(HEVARIM[[#This Row],[ותק מחברה 40]],0),"")</f>
        <v/>
      </c>
      <c r="AN2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3" s="9" t="str">
        <f ca="1">IF(HEVARIM[[#This Row],[דמי עזיבה לגיל 65]]&gt;0,YEAR(TODAY())+64-ROUNDDOWN(HEVARIM[[#This Row],[גיל]],0),"")</f>
        <v/>
      </c>
      <c r="AP263" s="1">
        <f>SUMIF(HEVARIM[קוד תקציב],HEVARIM[[#This Row],[קוד תקציב משפחה מקורי]],HEVARIM[ותק מחברה 40])</f>
        <v>16</v>
      </c>
      <c r="AQ2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3" s="9">
        <f>IF(HEVARIM[[#This Row],[קוד מעמד]]="1     ",IFERROR(VLOOKUP(HEVARIM[[#This Row],[קוד תקציב]],'תקציב צביעה - לקראת השינוי'!A:F,4,0),0),0)</f>
        <v>0</v>
      </c>
      <c r="AT263" s="1"/>
    </row>
    <row r="264" spans="1:46">
      <c r="A264" t="s">
        <v>1318</v>
      </c>
      <c r="B264" t="s">
        <v>1319</v>
      </c>
      <c r="C264" t="s">
        <v>1294</v>
      </c>
      <c r="D264" t="s">
        <v>1320</v>
      </c>
      <c r="E264" t="s">
        <v>67</v>
      </c>
      <c r="F264" s="4">
        <v>44490</v>
      </c>
      <c r="G264">
        <v>4</v>
      </c>
      <c r="H264" t="s">
        <v>1296</v>
      </c>
      <c r="I264" t="s">
        <v>1297</v>
      </c>
      <c r="J264" s="4" t="s">
        <v>70</v>
      </c>
      <c r="K264" s="4" t="s">
        <v>71</v>
      </c>
      <c r="L264" t="s">
        <v>1321</v>
      </c>
      <c r="M264" t="s">
        <v>1292</v>
      </c>
      <c r="N264" t="s">
        <v>1293</v>
      </c>
      <c r="O264">
        <f>IFERROR(VLOOKUP(HEVARIM[[#This Row],[קוד תקציב]],[2]תקציבים!A:L,6,0),0)</f>
        <v>2</v>
      </c>
      <c r="P264" s="5" t="s">
        <v>227</v>
      </c>
      <c r="Q264" t="s">
        <v>14</v>
      </c>
      <c r="R264" s="4">
        <v>44490</v>
      </c>
      <c r="S264" s="4" t="s">
        <v>90</v>
      </c>
      <c r="T264" s="96" t="s">
        <v>1296</v>
      </c>
      <c r="U264" t="str">
        <f>VLOOKUP(HEVARIM[[#This Row],[גיל]],GIL,2,1)</f>
        <v>גנים</v>
      </c>
      <c r="V264">
        <f>IF(HEVARIM[[#This Row],[קוד מעמד]]="4     ",IF(HEVARIM[[#This Row],[גיל]]=1,1,IF(HEVARIM[[#This Row],[גיל]]&lt;=5,5,18)),"")</f>
        <v>5</v>
      </c>
      <c r="W264">
        <f t="shared" si="16"/>
        <v>0</v>
      </c>
      <c r="X26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4">
        <f>IF(HEVARIM[[#This Row],[מצב משפחתי2]]="אלמן",'[2]ריכוז נתונים'!$AC$2,0)</f>
        <v>0</v>
      </c>
      <c r="Z264" s="3">
        <f>VLOOKUP(VALUE(HEVARIM[[#This Row],[קוד מעמד]]),הנחות!$I$2:$K$21,3,0)</f>
        <v>1</v>
      </c>
      <c r="AA264" t="b">
        <f>ISERROR(VLOOKUP(HEVARIM[[#This Row],[קוד תקציב]],'[2]ריכוז נתונים'!A:A,1,0))</f>
        <v>0</v>
      </c>
      <c r="AB264" s="1">
        <f t="shared" si="17"/>
        <v>2204.6153846153848</v>
      </c>
      <c r="AC264" s="2">
        <f ca="1">IF(HEVARIM[[#This Row],[בר מצוה]]&gt;0,YEAR(TODAY())+'תקציבים מיוחדים'!$F$5-HEVARIM[[#This Row],[גיל]],0)</f>
        <v>2035</v>
      </c>
      <c r="AD264" s="1">
        <f t="shared" si="18"/>
        <v>0</v>
      </c>
      <c r="AE264" s="2">
        <f ca="1">IF(HEVARIM[[#This Row],[בת מצוה]]&gt;0,YEAR(TODAY())+'תקציבים מיוחדים'!$F$5-HEVARIM[[#This Row],[גיל]],0)</f>
        <v>0</v>
      </c>
      <c r="AF264" s="1">
        <f>IF(AND($S264&gt;="רווק",$Z264=1),AF$4*IF(HEVARIM[[#This Row],[גיל]]&gt;$AF$3,1,(($G264-AF$2)/(AF$3-AF$2))),0)</f>
        <v>11526.190476190475</v>
      </c>
      <c r="AG264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264" s="1">
        <f t="shared" si="19"/>
        <v>20112.095238095237</v>
      </c>
      <c r="AI264" s="2">
        <f ca="1">IF(AH264&gt;0,YEAR(TODAY())+'תקציבים מיוחדים'!$F$7-HEVARIM[[#This Row],[גיל]],0)</f>
        <v>2043</v>
      </c>
      <c r="AJ264" s="9">
        <f>IF(AND(ISERROR(VLOOKUP(H264,'[2]ריכוז נתונים'!A:L,1,0)),P264="1     "),1,0)</f>
        <v>0</v>
      </c>
      <c r="AK26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4" s="1">
        <f>IF(AND(VALUE(HEVARIM[[#This Row],[קוד מעמד]])=1,HEVARIM[[#This Row],[ותק מחברה 40]]&lt;25),HEVARIM[[#This Row],[ותק מחברה 40]]/25*הנחות!$C$4,0)</f>
        <v>0</v>
      </c>
      <c r="AM264" s="9" t="str">
        <f ca="1">IF(HEVARIM[[#This Row],[דמי עזיבה 25 שנות ותק]]&gt;0,YEAR(TODAY())+25-ROUNDDOWN(HEVARIM[[#This Row],[ותק מחברה 40]],0),"")</f>
        <v/>
      </c>
      <c r="AN2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4" s="9" t="str">
        <f ca="1">IF(HEVARIM[[#This Row],[דמי עזיבה לגיל 65]]&gt;0,YEAR(TODAY())+64-ROUNDDOWN(HEVARIM[[#This Row],[גיל]],0),"")</f>
        <v/>
      </c>
      <c r="AP264" s="1">
        <f>SUMIF(HEVARIM[קוד תקציב],HEVARIM[[#This Row],[קוד תקציב משפחה מקורי]],HEVARIM[ותק מחברה 40])</f>
        <v>16</v>
      </c>
      <c r="AQ2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4" s="9">
        <f>IF(HEVARIM[[#This Row],[קוד מעמד]]="1     ",IFERROR(VLOOKUP(HEVARIM[[#This Row],[קוד תקציב]],'תקציב צביעה - לקראת השינוי'!A:F,4,0),0),0)</f>
        <v>0</v>
      </c>
      <c r="AT264" s="1"/>
    </row>
    <row r="265" spans="1:46">
      <c r="A265" t="s">
        <v>1322</v>
      </c>
      <c r="B265" t="s">
        <v>1323</v>
      </c>
      <c r="C265" t="s">
        <v>1294</v>
      </c>
      <c r="D265" t="s">
        <v>1324</v>
      </c>
      <c r="E265" t="s">
        <v>67</v>
      </c>
      <c r="F265" s="4">
        <v>45686</v>
      </c>
      <c r="G265">
        <v>0</v>
      </c>
      <c r="H265" t="s">
        <v>1296</v>
      </c>
      <c r="I265" t="s">
        <v>1297</v>
      </c>
      <c r="J265" s="4" t="s">
        <v>70</v>
      </c>
      <c r="K265" s="4" t="s">
        <v>71</v>
      </c>
      <c r="L265" t="s">
        <v>1325</v>
      </c>
      <c r="M265" t="s">
        <v>1292</v>
      </c>
      <c r="N265" t="s">
        <v>1293</v>
      </c>
      <c r="O265">
        <f>IFERROR(VLOOKUP(HEVARIM[[#This Row],[קוד תקציב]],[2]תקציבים!A:L,6,0),0)</f>
        <v>2</v>
      </c>
      <c r="P265" s="5" t="s">
        <v>227</v>
      </c>
      <c r="Q265" t="s">
        <v>14</v>
      </c>
      <c r="R265" s="4">
        <v>45686</v>
      </c>
      <c r="S265" s="4" t="s">
        <v>90</v>
      </c>
      <c r="T265" s="96" t="s">
        <v>1296</v>
      </c>
      <c r="U265" t="str">
        <f>VLOOKUP(HEVARIM[[#This Row],[גיל]],GIL,2,1)</f>
        <v>פעוט</v>
      </c>
      <c r="V265">
        <f>IF(HEVARIM[[#This Row],[קוד מעמד]]="4     ",IF(HEVARIM[[#This Row],[גיל]]=1,1,IF(HEVARIM[[#This Row],[גיל]]&lt;=5,5,18)),"")</f>
        <v>5</v>
      </c>
      <c r="W265">
        <f t="shared" si="16"/>
        <v>0</v>
      </c>
      <c r="X26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5">
        <f>IF(HEVARIM[[#This Row],[מצב משפחתי2]]="אלמן",'[2]ריכוז נתונים'!$AC$2,0)</f>
        <v>0</v>
      </c>
      <c r="Z265" s="3">
        <f>VLOOKUP(VALUE(HEVARIM[[#This Row],[קוד מעמד]]),הנחות!$I$2:$K$21,3,0)</f>
        <v>1</v>
      </c>
      <c r="AA265" t="b">
        <f>ISERROR(VLOOKUP(HEVARIM[[#This Row],[קוד תקציב]],'[2]ריכוז נתונים'!A:A,1,0))</f>
        <v>0</v>
      </c>
      <c r="AB265" s="1">
        <f t="shared" si="17"/>
        <v>0</v>
      </c>
      <c r="AC265" s="2">
        <f ca="1">IF(HEVARIM[[#This Row],[בר מצוה]]&gt;0,YEAR(TODAY())+'תקציבים מיוחדים'!$F$5-HEVARIM[[#This Row],[גיל]],0)</f>
        <v>0</v>
      </c>
      <c r="AD265" s="1">
        <f t="shared" si="18"/>
        <v>0</v>
      </c>
      <c r="AE265" s="2">
        <f ca="1">IF(HEVARIM[[#This Row],[בת מצוה]]&gt;0,YEAR(TODAY())+'תקציבים מיוחדים'!$F$5-HEVARIM[[#This Row],[גיל]],0)</f>
        <v>0</v>
      </c>
      <c r="AF265" s="1">
        <f>IF(AND($S265&gt;="רווק",$Z265=1),AF$4*IF(HEVARIM[[#This Row],[גיל]]&gt;$AF$3,1,(($G265-AF$2)/(AF$3-AF$2))),0)</f>
        <v>0</v>
      </c>
      <c r="AG26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65" s="1">
        <f t="shared" si="19"/>
        <v>0</v>
      </c>
      <c r="AI265" s="2">
        <f ca="1">IF(AH265&gt;0,YEAR(TODAY())+'תקציבים מיוחדים'!$F$7-HEVARIM[[#This Row],[גיל]],0)</f>
        <v>0</v>
      </c>
      <c r="AJ265" s="9">
        <f>IF(AND(ISERROR(VLOOKUP(H265,'[2]ריכוז נתונים'!A:L,1,0)),P265="1     "),1,0)</f>
        <v>0</v>
      </c>
      <c r="AK26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5" s="1">
        <f>IF(AND(VALUE(HEVARIM[[#This Row],[קוד מעמד]])=1,HEVARIM[[#This Row],[ותק מחברה 40]]&lt;25),HEVARIM[[#This Row],[ותק מחברה 40]]/25*הנחות!$C$4,0)</f>
        <v>0</v>
      </c>
      <c r="AM265" s="9" t="str">
        <f ca="1">IF(HEVARIM[[#This Row],[דמי עזיבה 25 שנות ותק]]&gt;0,YEAR(TODAY())+25-ROUNDDOWN(HEVARIM[[#This Row],[ותק מחברה 40]],0),"")</f>
        <v/>
      </c>
      <c r="AN2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5" s="9" t="str">
        <f ca="1">IF(HEVARIM[[#This Row],[דמי עזיבה לגיל 65]]&gt;0,YEAR(TODAY())+64-ROUNDDOWN(HEVARIM[[#This Row],[גיל]],0),"")</f>
        <v/>
      </c>
      <c r="AP265" s="1">
        <f>SUMIF(HEVARIM[קוד תקציב],HEVARIM[[#This Row],[קוד תקציב משפחה מקורי]],HEVARIM[ותק מחברה 40])</f>
        <v>16</v>
      </c>
      <c r="AQ2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5" s="9">
        <f>IF(HEVARIM[[#This Row],[קוד מעמד]]="1     ",IFERROR(VLOOKUP(HEVARIM[[#This Row],[קוד תקציב]],'תקציב צביעה - לקראת השינוי'!A:F,4,0),0),0)</f>
        <v>0</v>
      </c>
      <c r="AT265" s="1"/>
    </row>
    <row r="266" spans="1:46">
      <c r="A266" t="s">
        <v>1332</v>
      </c>
      <c r="B266" t="s">
        <v>1333</v>
      </c>
      <c r="C266" t="s">
        <v>1334</v>
      </c>
      <c r="D266" t="s">
        <v>1335</v>
      </c>
      <c r="E266" t="s">
        <v>67</v>
      </c>
      <c r="F266" s="4">
        <v>37304</v>
      </c>
      <c r="G266">
        <v>23</v>
      </c>
      <c r="H266" t="s">
        <v>1336</v>
      </c>
      <c r="I266" t="s">
        <v>1337</v>
      </c>
      <c r="J266" s="4" t="s">
        <v>70</v>
      </c>
      <c r="K266" s="4" t="s">
        <v>81</v>
      </c>
      <c r="L266" t="s">
        <v>1338</v>
      </c>
      <c r="M266" t="s">
        <v>1332</v>
      </c>
      <c r="N266" t="s">
        <v>1333</v>
      </c>
      <c r="O266">
        <f>IFERROR(VLOOKUP(HEVARIM[[#This Row],[קוד תקציב]],[2]תקציבים!A:L,6,0),0)</f>
        <v>0</v>
      </c>
      <c r="P266" s="5" t="s">
        <v>83</v>
      </c>
      <c r="Q266" t="s">
        <v>15</v>
      </c>
      <c r="R266" s="4">
        <v>45658</v>
      </c>
      <c r="S266" s="4" t="s">
        <v>74</v>
      </c>
      <c r="T266" s="96" t="s">
        <v>1336</v>
      </c>
      <c r="U266" t="str">
        <f>VLOOKUP(HEVARIM[[#This Row],[גיל]],GIL,2,1)</f>
        <v>--</v>
      </c>
      <c r="V266" t="str">
        <f>IF(HEVARIM[[#This Row],[קוד מעמד]]="4     ",IF(HEVARIM[[#This Row],[גיל]]=1,1,IF(HEVARIM[[#This Row],[גיל]]&lt;=5,5,18)),"")</f>
        <v/>
      </c>
      <c r="W266">
        <f t="shared" si="16"/>
        <v>0</v>
      </c>
      <c r="X26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6">
        <f>IF(HEVARIM[[#This Row],[מצב משפחתי2]]="אלמן",'[2]ריכוז נתונים'!$AC$2,0)</f>
        <v>0</v>
      </c>
      <c r="Z266" s="3">
        <f>VLOOKUP(VALUE(HEVARIM[[#This Row],[קוד מעמד]]),הנחות!$I$2:$K$21,3,0)</f>
        <v>0</v>
      </c>
      <c r="AA266" t="b">
        <f>ISERROR(VLOOKUP(HEVARIM[[#This Row],[קוד תקציב]],'[2]ריכוז נתונים'!A:A,1,0))</f>
        <v>1</v>
      </c>
      <c r="AB266" s="1">
        <f t="shared" si="17"/>
        <v>0</v>
      </c>
      <c r="AC266" s="2">
        <f ca="1">IF(HEVARIM[[#This Row],[בר מצוה]]&gt;0,YEAR(TODAY())+'תקציבים מיוחדים'!$F$5-HEVARIM[[#This Row],[גיל]],0)</f>
        <v>0</v>
      </c>
      <c r="AD266" s="1">
        <f t="shared" si="18"/>
        <v>0</v>
      </c>
      <c r="AE266" s="2">
        <f ca="1">IF(HEVARIM[[#This Row],[בת מצוה]]&gt;0,YEAR(TODAY())+'תקציבים מיוחדים'!$F$5-HEVARIM[[#This Row],[גיל]],0)</f>
        <v>0</v>
      </c>
      <c r="AF266" s="1">
        <f>IF(AND($S266&gt;="רווק",$Z266=1),AF$4*IF(HEVARIM[[#This Row],[גיל]]&gt;$AF$3,1,(($G266-AF$2)/(AF$3-AF$2))),0)</f>
        <v>0</v>
      </c>
      <c r="AG26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66" s="1">
        <f t="shared" si="19"/>
        <v>0</v>
      </c>
      <c r="AI266" s="2">
        <f ca="1">IF(AH266&gt;0,YEAR(TODAY())+'תקציבים מיוחדים'!$F$7-HEVARIM[[#This Row],[גיל]],0)</f>
        <v>0</v>
      </c>
      <c r="AJ266" s="9">
        <f>IF(AND(ISERROR(VLOOKUP(H266,'[2]ריכוז נתונים'!A:L,1,0)),P266="1     "),1,0)</f>
        <v>0</v>
      </c>
      <c r="AK26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66" s="1">
        <f>IF(AND(VALUE(HEVARIM[[#This Row],[קוד מעמד]])=1,HEVARIM[[#This Row],[ותק מחברה 40]]&lt;25),HEVARIM[[#This Row],[ותק מחברה 40]]/25*הנחות!$C$4,0)</f>
        <v>0</v>
      </c>
      <c r="AM266" s="9" t="str">
        <f ca="1">IF(HEVARIM[[#This Row],[דמי עזיבה 25 שנות ותק]]&gt;0,YEAR(TODAY())+25-ROUNDDOWN(HEVARIM[[#This Row],[ותק מחברה 40]],0),"")</f>
        <v/>
      </c>
      <c r="AN26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6" s="9" t="str">
        <f ca="1">IF(HEVARIM[[#This Row],[דמי עזיבה לגיל 65]]&gt;0,YEAR(TODAY())+64-ROUNDDOWN(HEVARIM[[#This Row],[גיל]],0),"")</f>
        <v/>
      </c>
      <c r="AP266" s="1">
        <f>SUMIF(HEVARIM[קוד תקציב],HEVARIM[[#This Row],[קוד תקציב משפחה מקורי]],HEVARIM[ותק מחברה 40])</f>
        <v>0</v>
      </c>
      <c r="AQ2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6" s="9">
        <f>IF(HEVARIM[[#This Row],[קוד מעמד]]="1     ",IFERROR(VLOOKUP(HEVARIM[[#This Row],[קוד תקציב]],'תקציב צביעה - לקראת השינוי'!A:F,4,0),0),0)</f>
        <v>0</v>
      </c>
      <c r="AT266" s="1"/>
    </row>
    <row r="267" spans="1:46">
      <c r="A267" t="s">
        <v>1364</v>
      </c>
      <c r="B267" t="s">
        <v>1365</v>
      </c>
      <c r="C267" t="s">
        <v>1345</v>
      </c>
      <c r="D267" t="s">
        <v>1366</v>
      </c>
      <c r="E267" t="s">
        <v>67</v>
      </c>
      <c r="F267" s="4">
        <v>29321</v>
      </c>
      <c r="G267">
        <v>45</v>
      </c>
      <c r="H267" t="s">
        <v>1367</v>
      </c>
      <c r="I267" t="s">
        <v>1368</v>
      </c>
      <c r="J267" s="4" t="s">
        <v>70</v>
      </c>
      <c r="K267" s="4" t="s">
        <v>71</v>
      </c>
      <c r="L267" t="s">
        <v>1369</v>
      </c>
      <c r="M267" t="s">
        <v>1364</v>
      </c>
      <c r="N267" t="s">
        <v>1365</v>
      </c>
      <c r="O267">
        <f>IFERROR(VLOOKUP(HEVARIM[[#This Row],[קוד תקציב]],[2]תקציבים!A:L,6,0),0)</f>
        <v>2</v>
      </c>
      <c r="P267" s="5" t="s">
        <v>104</v>
      </c>
      <c r="Q267" t="s">
        <v>11</v>
      </c>
      <c r="R267" s="4">
        <v>39579</v>
      </c>
      <c r="S267" s="4" t="s">
        <v>74</v>
      </c>
      <c r="T267" s="96" t="s">
        <v>1347</v>
      </c>
      <c r="U267" t="str">
        <f>VLOOKUP(HEVARIM[[#This Row],[גיל]],GIL,2,1)</f>
        <v>--</v>
      </c>
      <c r="V267" t="str">
        <f>IF(HEVARIM[[#This Row],[קוד מעמד]]="4     ",IF(HEVARIM[[#This Row],[גיל]]=1,1,IF(HEVARIM[[#This Row],[גיל]]&lt;=5,5,18)),"")</f>
        <v/>
      </c>
      <c r="W267">
        <f t="shared" si="16"/>
        <v>0</v>
      </c>
      <c r="X26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7">
        <f>IF(HEVARIM[[#This Row],[מצב משפחתי2]]="אלמן",'[2]ריכוז נתונים'!$AC$2,0)</f>
        <v>0</v>
      </c>
      <c r="Z267" s="3">
        <f>VLOOKUP(VALUE(HEVARIM[[#This Row],[קוד מעמד]]),הנחות!$I$2:$K$21,3,0)</f>
        <v>0</v>
      </c>
      <c r="AA267" t="b">
        <f>ISERROR(VLOOKUP(HEVARIM[[#This Row],[קוד תקציב]],'[2]ריכוז נתונים'!A:A,1,0))</f>
        <v>0</v>
      </c>
      <c r="AB267" s="1">
        <f t="shared" si="17"/>
        <v>0</v>
      </c>
      <c r="AC267" s="2">
        <f ca="1">IF(HEVARIM[[#This Row],[בר מצוה]]&gt;0,YEAR(TODAY())+'תקציבים מיוחדים'!$F$5-HEVARIM[[#This Row],[גיל]],0)</f>
        <v>0</v>
      </c>
      <c r="AD267" s="1">
        <f t="shared" si="18"/>
        <v>0</v>
      </c>
      <c r="AE267" s="2">
        <f ca="1">IF(HEVARIM[[#This Row],[בת מצוה]]&gt;0,YEAR(TODAY())+'תקציבים מיוחדים'!$F$5-HEVARIM[[#This Row],[גיל]],0)</f>
        <v>0</v>
      </c>
      <c r="AF267" s="1">
        <f>IF(AND($S267&gt;="רווק",$Z267=1),AF$4*IF(HEVARIM[[#This Row],[גיל]]&gt;$AF$3,1,(($G267-AF$2)/(AF$3-AF$2))),0)</f>
        <v>0</v>
      </c>
      <c r="AG26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67" s="1">
        <f t="shared" si="19"/>
        <v>0</v>
      </c>
      <c r="AI267" s="2">
        <f ca="1">IF(AH267&gt;0,YEAR(TODAY())+'תקציבים מיוחדים'!$F$7-HEVARIM[[#This Row],[גיל]],0)</f>
        <v>0</v>
      </c>
      <c r="AJ267" s="9">
        <f>IF(AND(ISERROR(VLOOKUP(H267,'[2]ריכוז נתונים'!A:L,1,0)),P267="1     "),1,0)</f>
        <v>0</v>
      </c>
      <c r="AK267" s="216">
        <f>IF(VALUE(HEVARIM[[#This Row],[קוד מעמד]])=1,VLOOKUP((IF(LEFT(HEVARIM[[#This Row],[קוד חבר]],1)="0",HEVARIM[[#This Row],[קוד חבר]],VALUE(HEVARIM[[#This Row],[קוד חבר]]))),'ותק חברה 40'!AQ:AW,7,0),"")</f>
        <v>23.73</v>
      </c>
      <c r="AL267" s="1">
        <f>IF(AND(VALUE(HEVARIM[[#This Row],[קוד מעמד]])=1,HEVARIM[[#This Row],[ותק מחברה 40]]&lt;25),HEVARIM[[#This Row],[ותק מחברה 40]]/25*הנחות!$C$4,0)</f>
        <v>35627.854184999997</v>
      </c>
      <c r="AM267" s="9">
        <f ca="1">IF(HEVARIM[[#This Row],[דמי עזיבה 25 שנות ותק]]&gt;0,YEAR(TODAY())+25-ROUNDDOWN(HEVARIM[[#This Row],[ותק מחברה 40]],0),"")</f>
        <v>2028</v>
      </c>
      <c r="AN2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7" s="9" t="str">
        <f ca="1">IF(HEVARIM[[#This Row],[דמי עזיבה לגיל 65]]&gt;0,YEAR(TODAY())+64-ROUNDDOWN(HEVARIM[[#This Row],[גיל]],0),"")</f>
        <v/>
      </c>
      <c r="AP267" s="1">
        <f>SUMIF(HEVARIM[קוד תקציב],HEVARIM[[#This Row],[קוד תקציב משפחה מקורי]],HEVARIM[ותק מחברה 40])</f>
        <v>94.990000000000009</v>
      </c>
      <c r="AQ2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267" s="9">
        <f>IF(HEVARIM[[#This Row],[קוד מעמד]]="1     ",IFERROR(VLOOKUP(HEVARIM[[#This Row],[קוד תקציב]],'תקציב צביעה - לקראת השינוי'!A:F,4,0),0),0)</f>
        <v>2032</v>
      </c>
      <c r="AT267" s="1"/>
    </row>
    <row r="268" spans="1:46">
      <c r="A268" t="s">
        <v>1408</v>
      </c>
      <c r="B268" t="s">
        <v>1409</v>
      </c>
      <c r="C268" t="s">
        <v>1403</v>
      </c>
      <c r="D268" t="s">
        <v>155</v>
      </c>
      <c r="E268" t="s">
        <v>79</v>
      </c>
      <c r="F268" s="4">
        <v>33436</v>
      </c>
      <c r="G268">
        <v>34</v>
      </c>
      <c r="H268" t="s">
        <v>1405</v>
      </c>
      <c r="I268" t="s">
        <v>1406</v>
      </c>
      <c r="J268" s="4" t="s">
        <v>70</v>
      </c>
      <c r="K268" s="4" t="s">
        <v>71</v>
      </c>
      <c r="L268" t="s">
        <v>1410</v>
      </c>
      <c r="M268" t="s">
        <v>1401</v>
      </c>
      <c r="N268" t="s">
        <v>1402</v>
      </c>
      <c r="O268">
        <f>IFERROR(VLOOKUP(HEVARIM[[#This Row],[קוד תקציב]],[2]תקציבים!A:L,6,0),0)</f>
        <v>2</v>
      </c>
      <c r="P268" s="5" t="s">
        <v>104</v>
      </c>
      <c r="Q268" t="s">
        <v>11</v>
      </c>
      <c r="R268" s="4">
        <v>44874</v>
      </c>
      <c r="S268" s="4" t="s">
        <v>74</v>
      </c>
      <c r="T268" s="96" t="s">
        <v>1347</v>
      </c>
      <c r="U268" t="str">
        <f>VLOOKUP(HEVARIM[[#This Row],[גיל]],GIL,2,1)</f>
        <v>--</v>
      </c>
      <c r="V268" t="str">
        <f>IF(HEVARIM[[#This Row],[קוד מעמד]]="4     ",IF(HEVARIM[[#This Row],[גיל]]=1,1,IF(HEVARIM[[#This Row],[גיל]]&lt;=5,5,18)),"")</f>
        <v/>
      </c>
      <c r="W268">
        <f t="shared" si="16"/>
        <v>0</v>
      </c>
      <c r="X26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68">
        <f>IF(HEVARIM[[#This Row],[מצב משפחתי2]]="אלמן",'[2]ריכוז נתונים'!$AC$2,0)</f>
        <v>0</v>
      </c>
      <c r="Z268" s="3">
        <f>VLOOKUP(VALUE(HEVARIM[[#This Row],[קוד מעמד]]),הנחות!$I$2:$K$21,3,0)</f>
        <v>0</v>
      </c>
      <c r="AA268" t="b">
        <f>ISERROR(VLOOKUP(HEVARIM[[#This Row],[קוד תקציב]],'[2]ריכוז נתונים'!A:A,1,0))</f>
        <v>0</v>
      </c>
      <c r="AB268" s="1">
        <f t="shared" si="17"/>
        <v>0</v>
      </c>
      <c r="AC268" s="2">
        <f ca="1">IF(HEVARIM[[#This Row],[בר מצוה]]&gt;0,YEAR(TODAY())+'תקציבים מיוחדים'!$F$5-HEVARIM[[#This Row],[גיל]],0)</f>
        <v>0</v>
      </c>
      <c r="AD268" s="1">
        <f t="shared" si="18"/>
        <v>0</v>
      </c>
      <c r="AE268" s="2">
        <f ca="1">IF(HEVARIM[[#This Row],[בת מצוה]]&gt;0,YEAR(TODAY())+'תקציבים מיוחדים'!$F$5-HEVARIM[[#This Row],[גיל]],0)</f>
        <v>0</v>
      </c>
      <c r="AF268" s="1">
        <f>IF(AND($S268&gt;="רווק",$Z268=1),AF$4*IF(HEVARIM[[#This Row],[גיל]]&gt;$AF$3,1,(($G268-AF$2)/(AF$3-AF$2))),0)</f>
        <v>0</v>
      </c>
      <c r="AG26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68" s="1">
        <f t="shared" si="19"/>
        <v>0</v>
      </c>
      <c r="AI268" s="2">
        <f ca="1">IF(AH268&gt;0,YEAR(TODAY())+'תקציבים מיוחדים'!$F$7-HEVARIM[[#This Row],[גיל]],0)</f>
        <v>0</v>
      </c>
      <c r="AJ268" s="9">
        <f>IF(AND(ISERROR(VLOOKUP(H268,'[2]ריכוז נתונים'!A:L,1,0)),P268="1     "),1,0)</f>
        <v>0</v>
      </c>
      <c r="AK268" s="1">
        <f>IF(VALUE(HEVARIM[[#This Row],[קוד מעמד]])=1,VLOOKUP((IF(LEFT(HEVARIM[[#This Row],[קוד חבר]],1)="0",HEVARIM[[#This Row],[קוד חבר]],VALUE(HEVARIM[[#This Row],[קוד חבר]]))),'ותק חברה 40'!AQ:AW,7,0),"")</f>
        <v>4.83</v>
      </c>
      <c r="AL268" s="1">
        <f>IF(AND(VALUE(HEVARIM[[#This Row],[קוד מעמד]])=1,HEVARIM[[#This Row],[ותק מחברה 40]]&lt;25),HEVARIM[[#This Row],[ותק מחברה 40]]/25*הנחות!$C$4,0)</f>
        <v>7251.6871349999992</v>
      </c>
      <c r="AM268" s="9">
        <f ca="1">IF(HEVARIM[[#This Row],[דמי עזיבה 25 שנות ותק]]&gt;0,YEAR(TODAY())+25-ROUNDDOWN(HEVARIM[[#This Row],[ותק מחברה 40]],0),"")</f>
        <v>2047</v>
      </c>
      <c r="AN2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8" s="9" t="str">
        <f ca="1">IF(HEVARIM[[#This Row],[דמי עזיבה לגיל 65]]&gt;0,YEAR(TODAY())+64-ROUNDDOWN(HEVARIM[[#This Row],[גיל]],0),"")</f>
        <v/>
      </c>
      <c r="AP268" s="1">
        <f>SUMIF(HEVARIM[קוד תקציב],HEVARIM[[#This Row],[קוד תקציב משפחה מקורי]],HEVARIM[ותק מחברה 40])</f>
        <v>94.990000000000009</v>
      </c>
      <c r="AQ2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68" s="9">
        <f>IF(HEVARIM[[#This Row],[קוד מעמד]]="1     ",IFERROR(VLOOKUP(HEVARIM[[#This Row],[קוד תקציב]],'תקציב צביעה - לקראת השינוי'!A:F,4,0),0),0)</f>
        <v>0</v>
      </c>
      <c r="AT268" s="1"/>
    </row>
    <row r="269" spans="1:46">
      <c r="A269" t="s">
        <v>1350</v>
      </c>
      <c r="B269" t="s">
        <v>1351</v>
      </c>
      <c r="C269" t="s">
        <v>1345</v>
      </c>
      <c r="D269" t="s">
        <v>1352</v>
      </c>
      <c r="E269" t="s">
        <v>79</v>
      </c>
      <c r="F269" s="4">
        <v>20890</v>
      </c>
      <c r="G269">
        <v>68</v>
      </c>
      <c r="H269" t="s">
        <v>1347</v>
      </c>
      <c r="I269" t="s">
        <v>1348</v>
      </c>
      <c r="J269" s="4" t="s">
        <v>70</v>
      </c>
      <c r="K269" s="4" t="s">
        <v>71</v>
      </c>
      <c r="L269" t="s">
        <v>1353</v>
      </c>
      <c r="M269" t="s">
        <v>1343</v>
      </c>
      <c r="N269" t="s">
        <v>1344</v>
      </c>
      <c r="O269">
        <f>IFERROR(VLOOKUP(HEVARIM[[#This Row],[קוד תקציב]],[2]תקציבים!A:L,6,0),0)</f>
        <v>2</v>
      </c>
      <c r="P269" s="5" t="s">
        <v>104</v>
      </c>
      <c r="Q269" t="s">
        <v>11</v>
      </c>
      <c r="R269" s="4">
        <v>28855</v>
      </c>
      <c r="S269" s="4" t="s">
        <v>74</v>
      </c>
      <c r="T269" s="96" t="s">
        <v>1347</v>
      </c>
      <c r="U269" t="str">
        <f>VLOOKUP(HEVARIM[[#This Row],[גיל]],GIL,2,1)</f>
        <v>--</v>
      </c>
      <c r="V269" t="str">
        <f>IF(HEVARIM[[#This Row],[קוד מעמד]]="4     ",IF(HEVARIM[[#This Row],[גיל]]=1,1,IF(HEVARIM[[#This Row],[גיל]]&lt;=5,5,18)),"")</f>
        <v/>
      </c>
      <c r="W269">
        <f t="shared" si="16"/>
        <v>2365</v>
      </c>
      <c r="X26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69">
        <f>IF(HEVARIM[[#This Row],[מצב משפחתי2]]="אלמן",'[2]ריכוז נתונים'!$AC$2,0)</f>
        <v>0</v>
      </c>
      <c r="Z269" s="3">
        <f>VLOOKUP(VALUE(HEVARIM[[#This Row],[קוד מעמד]]),הנחות!$I$2:$K$21,3,0)</f>
        <v>0</v>
      </c>
      <c r="AA269" t="b">
        <f>ISERROR(VLOOKUP(HEVARIM[[#This Row],[קוד תקציב]],'[2]ריכוז נתונים'!A:A,1,0))</f>
        <v>0</v>
      </c>
      <c r="AB269" s="1">
        <f t="shared" si="17"/>
        <v>0</v>
      </c>
      <c r="AC269" s="2">
        <f ca="1">IF(HEVARIM[[#This Row],[בר מצוה]]&gt;0,YEAR(TODAY())+'תקציבים מיוחדים'!$F$5-HEVARIM[[#This Row],[גיל]],0)</f>
        <v>0</v>
      </c>
      <c r="AD269" s="1">
        <f t="shared" si="18"/>
        <v>0</v>
      </c>
      <c r="AE269" s="2">
        <f ca="1">IF(HEVARIM[[#This Row],[בת מצוה]]&gt;0,YEAR(TODAY())+'תקציבים מיוחדים'!$F$5-HEVARIM[[#This Row],[גיל]],0)</f>
        <v>0</v>
      </c>
      <c r="AF269" s="1">
        <f>IF(AND($S269&gt;="רווק",$Z269=1),AF$4*IF(HEVARIM[[#This Row],[גיל]]&gt;$AF$3,1,(($G269-AF$2)/(AF$3-AF$2))),0)</f>
        <v>0</v>
      </c>
      <c r="AG26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69" s="1">
        <f t="shared" si="19"/>
        <v>0</v>
      </c>
      <c r="AI269" s="2">
        <f ca="1">IF(AH269&gt;0,YEAR(TODAY())+'תקציבים מיוחדים'!$F$7-HEVARIM[[#This Row],[גיל]],0)</f>
        <v>0</v>
      </c>
      <c r="AJ269" s="9">
        <f>IF(AND(ISERROR(VLOOKUP(H269,'[2]ריכוז נתונים'!A:L,1,0)),P269="1     "),1,0)</f>
        <v>0</v>
      </c>
      <c r="AK269" s="1">
        <f>IF(VALUE(HEVARIM[[#This Row],[קוד מעמד]])=1,VLOOKUP((IF(LEFT(HEVARIM[[#This Row],[קוד חבר]],1)="0",HEVARIM[[#This Row],[קוד חבר]],VALUE(HEVARIM[[#This Row],[קוד חבר]]))),'ותק חברה 40'!AQ:AW,7,0),"")</f>
        <v>46.99</v>
      </c>
      <c r="AL269" s="1">
        <f>IF(AND(VALUE(HEVARIM[[#This Row],[קוד מעמד]])=1,HEVARIM[[#This Row],[ותק מחברה 40]]&lt;25),HEVARIM[[#This Row],[ותק מחברה 40]]/25*הנחות!$C$4,0)</f>
        <v>0</v>
      </c>
      <c r="AM269" s="9" t="str">
        <f ca="1">IF(HEVARIM[[#This Row],[דמי עזיבה 25 שנות ותק]]&gt;0,YEAR(TODAY())+25-ROUNDDOWN(HEVARIM[[#This Row],[ותק מחברה 40]],0),"")</f>
        <v/>
      </c>
      <c r="AN2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69" s="9" t="str">
        <f ca="1">IF(HEVARIM[[#This Row],[דמי עזיבה לגיל 65]]&gt;0,YEAR(TODAY())+64-ROUNDDOWN(HEVARIM[[#This Row],[גיל]],0),"")</f>
        <v/>
      </c>
      <c r="AP269" s="1">
        <f>SUMIF(HEVARIM[קוד תקציב],HEVARIM[[#This Row],[קוד תקציב משפחה מקורי]],HEVARIM[ותק מחברה 40])</f>
        <v>94.990000000000009</v>
      </c>
      <c r="AQ2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269" s="9">
        <f>IF(HEVARIM[[#This Row],[קוד מעמד]]="1     ",IFERROR(VLOOKUP(HEVARIM[[#This Row],[קוד תקציב]],'תקציב צביעה - לקראת השינוי'!A:F,4,0),0),0)</f>
        <v>2028</v>
      </c>
      <c r="AT269" s="1"/>
    </row>
    <row r="270" spans="1:46">
      <c r="A270" t="s">
        <v>1360</v>
      </c>
      <c r="B270" t="s">
        <v>1361</v>
      </c>
      <c r="C270" t="s">
        <v>1345</v>
      </c>
      <c r="D270" t="s">
        <v>1362</v>
      </c>
      <c r="E270" t="s">
        <v>79</v>
      </c>
      <c r="F270" s="4">
        <v>22429</v>
      </c>
      <c r="G270">
        <v>64</v>
      </c>
      <c r="H270" t="s">
        <v>1357</v>
      </c>
      <c r="I270" t="s">
        <v>1358</v>
      </c>
      <c r="J270" s="4" t="s">
        <v>70</v>
      </c>
      <c r="K270" s="4" t="s">
        <v>71</v>
      </c>
      <c r="L270" t="s">
        <v>1363</v>
      </c>
      <c r="M270" t="s">
        <v>1354</v>
      </c>
      <c r="N270" t="s">
        <v>1355</v>
      </c>
      <c r="O270">
        <f>IFERROR(VLOOKUP(HEVARIM[[#This Row],[קוד תקציב]],[2]תקציבים!A:L,6,0),0)</f>
        <v>2</v>
      </c>
      <c r="P270" s="5" t="s">
        <v>104</v>
      </c>
      <c r="Q270" t="s">
        <v>11</v>
      </c>
      <c r="R270" s="4">
        <v>29951</v>
      </c>
      <c r="S270" s="4" t="s">
        <v>74</v>
      </c>
      <c r="T270" s="96" t="s">
        <v>1357</v>
      </c>
      <c r="U270" t="str">
        <f>VLOOKUP(HEVARIM[[#This Row],[גיל]],GIL,2,1)</f>
        <v>--</v>
      </c>
      <c r="V270" t="str">
        <f>IF(HEVARIM[[#This Row],[קוד מעמד]]="4     ",IF(HEVARIM[[#This Row],[גיל]]=1,1,IF(HEVARIM[[#This Row],[גיל]]&lt;=5,5,18)),"")</f>
        <v/>
      </c>
      <c r="W270">
        <f t="shared" si="16"/>
        <v>0</v>
      </c>
      <c r="X27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70">
        <f>IF(HEVARIM[[#This Row],[מצב משפחתי2]]="אלמן",'[2]ריכוז נתונים'!$AC$2,0)</f>
        <v>0</v>
      </c>
      <c r="Z270" s="3">
        <f>VLOOKUP(VALUE(HEVARIM[[#This Row],[קוד מעמד]]),הנחות!$I$2:$K$21,3,0)</f>
        <v>0</v>
      </c>
      <c r="AA270" t="b">
        <f>ISERROR(VLOOKUP(HEVARIM[[#This Row],[קוד תקציב]],'[2]ריכוז נתונים'!A:A,1,0))</f>
        <v>0</v>
      </c>
      <c r="AB270" s="1">
        <f t="shared" si="17"/>
        <v>0</v>
      </c>
      <c r="AC270" s="2">
        <f ca="1">IF(HEVARIM[[#This Row],[בר מצוה]]&gt;0,YEAR(TODAY())+'תקציבים מיוחדים'!$F$5-HEVARIM[[#This Row],[גיל]],0)</f>
        <v>0</v>
      </c>
      <c r="AD270" s="1">
        <f t="shared" si="18"/>
        <v>0</v>
      </c>
      <c r="AE270" s="2">
        <f ca="1">IF(HEVARIM[[#This Row],[בת מצוה]]&gt;0,YEAR(TODAY())+'תקציבים מיוחדים'!$F$5-HEVARIM[[#This Row],[גיל]],0)</f>
        <v>0</v>
      </c>
      <c r="AF270" s="1">
        <f>IF(AND($S270&gt;="רווק",$Z270=1),AF$4*IF(HEVARIM[[#This Row],[גיל]]&gt;$AF$3,1,(($G270-AF$2)/(AF$3-AF$2))),0)</f>
        <v>0</v>
      </c>
      <c r="AG27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70" s="1">
        <f t="shared" si="19"/>
        <v>0</v>
      </c>
      <c r="AI270" s="2">
        <f ca="1">IF(AH270&gt;0,YEAR(TODAY())+'תקציבים מיוחדים'!$F$7-HEVARIM[[#This Row],[גיל]],0)</f>
        <v>0</v>
      </c>
      <c r="AJ270" s="9">
        <f>IF(AND(ISERROR(VLOOKUP(H270,'[2]ריכוז נתונים'!A:L,1,0)),P270="1     "),1,0)</f>
        <v>0</v>
      </c>
      <c r="AK270" s="1">
        <f>IF(VALUE(HEVARIM[[#This Row],[קוד מעמד]])=1,VLOOKUP((IF(LEFT(HEVARIM[[#This Row],[קוד חבר]],1)="0",HEVARIM[[#This Row],[קוד חבר]],VALUE(HEVARIM[[#This Row],[קוד חבר]]))),'ותק חברה 40'!AQ:AW,7,0),"")</f>
        <v>44.66</v>
      </c>
      <c r="AL270" s="1">
        <f>IF(AND(VALUE(HEVARIM[[#This Row],[קוד מעמד]])=1,HEVARIM[[#This Row],[ותק מחברה 40]]&lt;25),HEVARIM[[#This Row],[ותק מחברה 40]]/25*הנחות!$C$4,0)</f>
        <v>0</v>
      </c>
      <c r="AM270" s="9" t="str">
        <f ca="1">IF(HEVARIM[[#This Row],[דמי עזיבה 25 שנות ותק]]&gt;0,YEAR(TODAY())+25-ROUNDDOWN(HEVARIM[[#This Row],[ותק מחברה 40]],0),"")</f>
        <v/>
      </c>
      <c r="AN270" s="1">
        <f>IF(AND(VALUE(HEVARIM[[#This Row],[קוד מעמד]])=1,HEVARIM[[#This Row],[ותק מחברה 40]]&gt;25,HEVARIM[[#This Row],[גיל]]&lt;65),הנחות!$C$14+(HEVARIM[[#This Row],[ותק מחברה 40]]-25)*הנחות!$C$10*0.25,0)</f>
        <v>79519.757624999984</v>
      </c>
      <c r="AO270" s="9">
        <f ca="1">IF(HEVARIM[[#This Row],[דמי עזיבה לגיל 65]]&gt;0,YEAR(TODAY())+64-ROUNDDOWN(HEVARIM[[#This Row],[גיל]],0),"")</f>
        <v>2026</v>
      </c>
      <c r="AP270" s="1">
        <f>SUMIF(HEVARIM[קוד תקציב],HEVARIM[[#This Row],[קוד תקציב משפחה מקורי]],HEVARIM[ותק מחברה 40])</f>
        <v>92.66</v>
      </c>
      <c r="AQ2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70" s="9">
        <f>IF(HEVARIM[[#This Row],[קוד מעמד]]="1     ",IFERROR(VLOOKUP(HEVARIM[[#This Row],[קוד תקציב]],'תקציב צביעה - לקראת השינוי'!A:F,4,0),0),0)</f>
        <v>2033</v>
      </c>
      <c r="AT270" s="1"/>
    </row>
    <row r="271" spans="1:46">
      <c r="A271" t="s">
        <v>1370</v>
      </c>
      <c r="B271" t="s">
        <v>1371</v>
      </c>
      <c r="C271" t="s">
        <v>1345</v>
      </c>
      <c r="D271" t="s">
        <v>1372</v>
      </c>
      <c r="E271" t="s">
        <v>79</v>
      </c>
      <c r="F271" s="4">
        <v>29834</v>
      </c>
      <c r="G271">
        <v>44</v>
      </c>
      <c r="H271" t="s">
        <v>1367</v>
      </c>
      <c r="I271" t="s">
        <v>1368</v>
      </c>
      <c r="J271" s="4" t="s">
        <v>70</v>
      </c>
      <c r="K271" s="4" t="s">
        <v>71</v>
      </c>
      <c r="L271" t="s">
        <v>1373</v>
      </c>
      <c r="M271" t="s">
        <v>1364</v>
      </c>
      <c r="N271" t="s">
        <v>1365</v>
      </c>
      <c r="O271">
        <f>IFERROR(VLOOKUP(HEVARIM[[#This Row],[קוד תקציב]],[2]תקציבים!A:L,6,0),0)</f>
        <v>2</v>
      </c>
      <c r="P271" s="5" t="s">
        <v>104</v>
      </c>
      <c r="Q271" t="s">
        <v>11</v>
      </c>
      <c r="R271" s="4">
        <v>39579</v>
      </c>
      <c r="S271" s="4" t="s">
        <v>74</v>
      </c>
      <c r="T271" s="96" t="s">
        <v>1367</v>
      </c>
      <c r="U271" t="str">
        <f>VLOOKUP(HEVARIM[[#This Row],[גיל]],GIL,2,1)</f>
        <v>--</v>
      </c>
      <c r="V271" t="str">
        <f>IF(HEVARIM[[#This Row],[קוד מעמד]]="4     ",IF(HEVARIM[[#This Row],[גיל]]=1,1,IF(HEVARIM[[#This Row],[גיל]]&lt;=5,5,18)),"")</f>
        <v/>
      </c>
      <c r="W271">
        <f t="shared" si="16"/>
        <v>0</v>
      </c>
      <c r="X27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1">
        <f>IF(HEVARIM[[#This Row],[מצב משפחתי2]]="אלמן",'[2]ריכוז נתונים'!$AC$2,0)</f>
        <v>0</v>
      </c>
      <c r="Z271" s="3">
        <f>VLOOKUP(VALUE(HEVARIM[[#This Row],[קוד מעמד]]),הנחות!$I$2:$K$21,3,0)</f>
        <v>0</v>
      </c>
      <c r="AA271" t="b">
        <f>ISERROR(VLOOKUP(HEVARIM[[#This Row],[קוד תקציב]],'[2]ריכוז נתונים'!A:A,1,0))</f>
        <v>0</v>
      </c>
      <c r="AB271" s="1">
        <f t="shared" si="17"/>
        <v>0</v>
      </c>
      <c r="AC271" s="2">
        <f ca="1">IF(HEVARIM[[#This Row],[בר מצוה]]&gt;0,YEAR(TODAY())+'תקציבים מיוחדים'!$F$5-HEVARIM[[#This Row],[גיל]],0)</f>
        <v>0</v>
      </c>
      <c r="AD271" s="1">
        <f t="shared" si="18"/>
        <v>0</v>
      </c>
      <c r="AE271" s="2">
        <f ca="1">IF(HEVARIM[[#This Row],[בת מצוה]]&gt;0,YEAR(TODAY())+'תקציבים מיוחדים'!$F$5-HEVARIM[[#This Row],[גיל]],0)</f>
        <v>0</v>
      </c>
      <c r="AF271" s="1">
        <f>IF(AND($S271&gt;="רווק",$Z271=1),AF$4*IF(HEVARIM[[#This Row],[גיל]]&gt;$AF$3,1,(($G271-AF$2)/(AF$3-AF$2))),0)</f>
        <v>0</v>
      </c>
      <c r="AG27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71" s="1">
        <f t="shared" si="19"/>
        <v>0</v>
      </c>
      <c r="AI271" s="2">
        <f ca="1">IF(AH271&gt;0,YEAR(TODAY())+'תקציבים מיוחדים'!$F$7-HEVARIM[[#This Row],[גיל]],0)</f>
        <v>0</v>
      </c>
      <c r="AJ271" s="9">
        <f>IF(AND(ISERROR(VLOOKUP(H271,'[2]ריכוז נתונים'!A:L,1,0)),P271="1     "),1,0)</f>
        <v>0</v>
      </c>
      <c r="AK271" s="1">
        <f>IF(VALUE(HEVARIM[[#This Row],[קוד מעמד]])=1,VLOOKUP((IF(LEFT(HEVARIM[[#This Row],[קוד חבר]],1)="0",HEVARIM[[#This Row],[קוד חבר]],VALUE(HEVARIM[[#This Row],[קוד חבר]]))),'ותק חברה 40'!AQ:AW,7,0),"")</f>
        <v>19.23</v>
      </c>
      <c r="AL271" s="1">
        <f>IF(AND(VALUE(HEVARIM[[#This Row],[קוד מעמד]])=1,HEVARIM[[#This Row],[ותק מחברה 40]]&lt;25),HEVARIM[[#This Row],[ותק מחברה 40]]/25*הנחות!$C$4,0)</f>
        <v>28871.623934999996</v>
      </c>
      <c r="AM271" s="9">
        <f ca="1">IF(HEVARIM[[#This Row],[דמי עזיבה 25 שנות ותק]]&gt;0,YEAR(TODAY())+25-ROUNDDOWN(HEVARIM[[#This Row],[ותק מחברה 40]],0),"")</f>
        <v>2032</v>
      </c>
      <c r="AN2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1" s="9" t="str">
        <f ca="1">IF(HEVARIM[[#This Row],[דמי עזיבה לגיל 65]]&gt;0,YEAR(TODAY())+64-ROUNDDOWN(HEVARIM[[#This Row],[גיל]],0),"")</f>
        <v/>
      </c>
      <c r="AP271" s="1">
        <f>SUMIF(HEVARIM[קוד תקציב],HEVARIM[[#This Row],[קוד תקציב משפחה מקורי]],HEVARIM[ותק מחברה 40])</f>
        <v>42.96</v>
      </c>
      <c r="AQ2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271" s="9">
        <f>IF(HEVARIM[[#This Row],[קוד מעמד]]="1     ",IFERROR(VLOOKUP(HEVARIM[[#This Row],[קוד תקציב]],'תקציב צביעה - לקראת השינוי'!A:F,4,0),0),0)</f>
        <v>2032</v>
      </c>
      <c r="AT271" s="1"/>
    </row>
    <row r="272" spans="1:46">
      <c r="A272" t="s">
        <v>1374</v>
      </c>
      <c r="B272" t="s">
        <v>1375</v>
      </c>
      <c r="C272" t="s">
        <v>1345</v>
      </c>
      <c r="D272" t="s">
        <v>1376</v>
      </c>
      <c r="E272" t="s">
        <v>67</v>
      </c>
      <c r="F272" s="4">
        <v>39539</v>
      </c>
      <c r="G272">
        <v>17</v>
      </c>
      <c r="H272" t="s">
        <v>1367</v>
      </c>
      <c r="I272" t="s">
        <v>1368</v>
      </c>
      <c r="J272" s="4" t="s">
        <v>70</v>
      </c>
      <c r="K272" s="4" t="s">
        <v>71</v>
      </c>
      <c r="L272" t="s">
        <v>1377</v>
      </c>
      <c r="M272" t="s">
        <v>1364</v>
      </c>
      <c r="N272" t="s">
        <v>1365</v>
      </c>
      <c r="O272">
        <f>IFERROR(VLOOKUP(HEVARIM[[#This Row],[קוד תקציב]],[2]תקציבים!A:L,6,0),0)</f>
        <v>2</v>
      </c>
      <c r="P272" s="5" t="s">
        <v>227</v>
      </c>
      <c r="Q272" t="s">
        <v>14</v>
      </c>
      <c r="R272" s="4">
        <v>39579</v>
      </c>
      <c r="S272" s="4" t="s">
        <v>90</v>
      </c>
      <c r="T272" s="96" t="s">
        <v>1367</v>
      </c>
      <c r="U272" t="str">
        <f>VLOOKUP(HEVARIM[[#This Row],[גיל]],GIL,2,1)</f>
        <v>תיכון</v>
      </c>
      <c r="V272">
        <f>IF(HEVARIM[[#This Row],[קוד מעמד]]="4     ",IF(HEVARIM[[#This Row],[גיל]]=1,1,IF(HEVARIM[[#This Row],[גיל]]&lt;=5,5,18)),"")</f>
        <v>18</v>
      </c>
      <c r="W272">
        <f t="shared" si="16"/>
        <v>0</v>
      </c>
      <c r="X27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2">
        <f>IF(HEVARIM[[#This Row],[מצב משפחתי2]]="אלמן",'[2]ריכוז נתונים'!$AC$2,0)</f>
        <v>0</v>
      </c>
      <c r="Z272" s="3">
        <f>VLOOKUP(VALUE(HEVARIM[[#This Row],[קוד מעמד]]),הנחות!$I$2:$K$21,3,0)</f>
        <v>1</v>
      </c>
      <c r="AA272" t="b">
        <f>ISERROR(VLOOKUP(HEVARIM[[#This Row],[קוד תקציב]],'[2]ריכוז נתונים'!A:A,1,0))</f>
        <v>0</v>
      </c>
      <c r="AB272" s="1">
        <f t="shared" si="17"/>
        <v>0</v>
      </c>
      <c r="AC272" s="2">
        <f ca="1">IF(HEVARIM[[#This Row],[בר מצוה]]&gt;0,YEAR(TODAY())+'תקציבים מיוחדים'!$F$5-HEVARIM[[#This Row],[גיל]],0)</f>
        <v>0</v>
      </c>
      <c r="AD272" s="1">
        <f t="shared" si="18"/>
        <v>0</v>
      </c>
      <c r="AE272" s="2">
        <f ca="1">IF(HEVARIM[[#This Row],[בת מצוה]]&gt;0,YEAR(TODAY())+'תקציבים מיוחדים'!$F$5-HEVARIM[[#This Row],[גיל]],0)</f>
        <v>0</v>
      </c>
      <c r="AF272" s="1">
        <f>IF(AND($S272&gt;="רווק",$Z272=1),AF$4*IF(HEVARIM[[#This Row],[גיל]]&gt;$AF$3,1,(($G272-AF$2)/(AF$3-AF$2))),0)</f>
        <v>48986.309523809527</v>
      </c>
      <c r="AG272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272" s="1">
        <f t="shared" si="19"/>
        <v>85476.404761904763</v>
      </c>
      <c r="AI272" s="2">
        <f ca="1">IF(AH272&gt;0,YEAR(TODAY())+'תקציבים מיוחדים'!$F$7-HEVARIM[[#This Row],[גיל]],0)</f>
        <v>2030</v>
      </c>
      <c r="AJ272" s="9">
        <f>IF(AND(ISERROR(VLOOKUP(H272,'[2]ריכוז נתונים'!A:L,1,0)),P272="1     "),1,0)</f>
        <v>0</v>
      </c>
      <c r="AK27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2" s="1">
        <f>IF(AND(VALUE(HEVARIM[[#This Row],[קוד מעמד]])=1,HEVARIM[[#This Row],[ותק מחברה 40]]&lt;25),HEVARIM[[#This Row],[ותק מחברה 40]]/25*הנחות!$C$4,0)</f>
        <v>0</v>
      </c>
      <c r="AM272" s="9" t="str">
        <f ca="1">IF(HEVARIM[[#This Row],[דמי עזיבה 25 שנות ותק]]&gt;0,YEAR(TODAY())+25-ROUNDDOWN(HEVARIM[[#This Row],[ותק מחברה 40]],0),"")</f>
        <v/>
      </c>
      <c r="AN2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2" s="9" t="str">
        <f ca="1">IF(HEVARIM[[#This Row],[דמי עזיבה לגיל 65]]&gt;0,YEAR(TODAY())+64-ROUNDDOWN(HEVARIM[[#This Row],[גיל]],0),"")</f>
        <v/>
      </c>
      <c r="AP272" s="1">
        <f>SUMIF(HEVARIM[קוד תקציב],HEVARIM[[#This Row],[קוד תקציב משפחה מקורי]],HEVARIM[ותק מחברה 40])</f>
        <v>42.96</v>
      </c>
      <c r="AQ2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2" s="9">
        <f>IF(HEVARIM[[#This Row],[קוד מעמד]]="1     ",IFERROR(VLOOKUP(HEVARIM[[#This Row],[קוד תקציב]],'תקציב צביעה - לקראת השינוי'!A:F,4,0),0),0)</f>
        <v>0</v>
      </c>
      <c r="AT272" s="1"/>
    </row>
    <row r="273" spans="1:46">
      <c r="A273" t="s">
        <v>1378</v>
      </c>
      <c r="B273" t="s">
        <v>1379</v>
      </c>
      <c r="C273" t="s">
        <v>1345</v>
      </c>
      <c r="D273" t="s">
        <v>1380</v>
      </c>
      <c r="E273" t="s">
        <v>79</v>
      </c>
      <c r="F273" s="4">
        <v>40646</v>
      </c>
      <c r="G273">
        <v>14</v>
      </c>
      <c r="H273" t="s">
        <v>1367</v>
      </c>
      <c r="I273" t="s">
        <v>1368</v>
      </c>
      <c r="J273" s="4" t="s">
        <v>70</v>
      </c>
      <c r="K273" s="4" t="s">
        <v>71</v>
      </c>
      <c r="L273" t="s">
        <v>1381</v>
      </c>
      <c r="M273" t="s">
        <v>1364</v>
      </c>
      <c r="N273" t="s">
        <v>1365</v>
      </c>
      <c r="O273">
        <f>IFERROR(VLOOKUP(HEVARIM[[#This Row],[קוד תקציב]],[2]תקציבים!A:L,6,0),0)</f>
        <v>2</v>
      </c>
      <c r="P273" s="5" t="s">
        <v>227</v>
      </c>
      <c r="Q273" t="s">
        <v>14</v>
      </c>
      <c r="R273" s="4">
        <v>40646</v>
      </c>
      <c r="S273" s="4" t="s">
        <v>90</v>
      </c>
      <c r="T273" s="96" t="s">
        <v>1367</v>
      </c>
      <c r="U273" t="str">
        <f>VLOOKUP(HEVARIM[[#This Row],[גיל]],GIL,2,1)</f>
        <v>חטיבה</v>
      </c>
      <c r="V273">
        <f>IF(HEVARIM[[#This Row],[קוד מעמד]]="4     ",IF(HEVARIM[[#This Row],[גיל]]=1,1,IF(HEVARIM[[#This Row],[גיל]]&lt;=5,5,18)),"")</f>
        <v>18</v>
      </c>
      <c r="W273">
        <f t="shared" si="16"/>
        <v>0</v>
      </c>
      <c r="X27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3">
        <f>IF(HEVARIM[[#This Row],[מצב משפחתי2]]="אלמן",'[2]ריכוז נתונים'!$AC$2,0)</f>
        <v>0</v>
      </c>
      <c r="Z273" s="3">
        <f>VLOOKUP(VALUE(HEVARIM[[#This Row],[קוד מעמד]]),הנחות!$I$2:$K$21,3,0)</f>
        <v>1</v>
      </c>
      <c r="AA273" t="b">
        <f>ISERROR(VLOOKUP(HEVARIM[[#This Row],[קוד תקציב]],'[2]ריכוז נתונים'!A:A,1,0))</f>
        <v>0</v>
      </c>
      <c r="AB273" s="1">
        <f t="shared" si="17"/>
        <v>0</v>
      </c>
      <c r="AC273" s="2">
        <f ca="1">IF(HEVARIM[[#This Row],[בר מצוה]]&gt;0,YEAR(TODAY())+'תקציבים מיוחדים'!$F$5-HEVARIM[[#This Row],[גיל]],0)</f>
        <v>0</v>
      </c>
      <c r="AD273" s="1">
        <f t="shared" si="18"/>
        <v>0</v>
      </c>
      <c r="AE273" s="2">
        <f ca="1">IF(HEVARIM[[#This Row],[בת מצוה]]&gt;0,YEAR(TODAY())+'תקציבים מיוחדים'!$F$5-HEVARIM[[#This Row],[גיל]],0)</f>
        <v>0</v>
      </c>
      <c r="AF273" s="1">
        <f>IF(AND($S273&gt;="רווק",$Z273=1),AF$4*IF(HEVARIM[[#This Row],[גיל]]&gt;$AF$3,1,(($G273-AF$2)/(AF$3-AF$2))),0)</f>
        <v>40341.666666666664</v>
      </c>
      <c r="AG273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273" s="1">
        <f t="shared" si="19"/>
        <v>70392.333333333328</v>
      </c>
      <c r="AI273" s="2">
        <f ca="1">IF(AH273&gt;0,YEAR(TODAY())+'תקציבים מיוחדים'!$F$7-HEVARIM[[#This Row],[גיל]],0)</f>
        <v>2033</v>
      </c>
      <c r="AJ273" s="9">
        <f>IF(AND(ISERROR(VLOOKUP(H273,'[2]ריכוז נתונים'!A:L,1,0)),P273="1     "),1,0)</f>
        <v>0</v>
      </c>
      <c r="AK27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3" s="1">
        <f>IF(AND(VALUE(HEVARIM[[#This Row],[קוד מעמד]])=1,HEVARIM[[#This Row],[ותק מחברה 40]]&lt;25),HEVARIM[[#This Row],[ותק מחברה 40]]/25*הנחות!$C$4,0)</f>
        <v>0</v>
      </c>
      <c r="AM273" s="9" t="str">
        <f ca="1">IF(HEVARIM[[#This Row],[דמי עזיבה 25 שנות ותק]]&gt;0,YEAR(TODAY())+25-ROUNDDOWN(HEVARIM[[#This Row],[ותק מחברה 40]],0),"")</f>
        <v/>
      </c>
      <c r="AN2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3" s="9" t="str">
        <f ca="1">IF(HEVARIM[[#This Row],[דמי עזיבה לגיל 65]]&gt;0,YEAR(TODAY())+64-ROUNDDOWN(HEVARIM[[#This Row],[גיל]],0),"")</f>
        <v/>
      </c>
      <c r="AP273" s="1">
        <f>SUMIF(HEVARIM[קוד תקציב],HEVARIM[[#This Row],[קוד תקציב משפחה מקורי]],HEVARIM[ותק מחברה 40])</f>
        <v>42.96</v>
      </c>
      <c r="AQ2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3" s="9">
        <f>IF(HEVARIM[[#This Row],[קוד מעמד]]="1     ",IFERROR(VLOOKUP(HEVARIM[[#This Row],[קוד תקציב]],'תקציב צביעה - לקראת השינוי'!A:F,4,0),0),0)</f>
        <v>0</v>
      </c>
      <c r="AT273" s="1"/>
    </row>
    <row r="274" spans="1:46">
      <c r="A274" t="s">
        <v>1382</v>
      </c>
      <c r="B274" t="s">
        <v>1383</v>
      </c>
      <c r="C274" t="s">
        <v>1345</v>
      </c>
      <c r="D274" t="s">
        <v>1384</v>
      </c>
      <c r="E274" t="s">
        <v>67</v>
      </c>
      <c r="F274" s="4">
        <v>41403</v>
      </c>
      <c r="G274">
        <v>12</v>
      </c>
      <c r="H274" t="s">
        <v>1367</v>
      </c>
      <c r="I274" t="s">
        <v>1368</v>
      </c>
      <c r="J274" s="4" t="s">
        <v>70</v>
      </c>
      <c r="K274" s="4" t="s">
        <v>71</v>
      </c>
      <c r="L274" t="s">
        <v>1385</v>
      </c>
      <c r="M274" t="s">
        <v>1364</v>
      </c>
      <c r="N274" t="s">
        <v>1365</v>
      </c>
      <c r="O274">
        <f>IFERROR(VLOOKUP(HEVARIM[[#This Row],[קוד תקציב]],[2]תקציבים!A:L,6,0),0)</f>
        <v>2</v>
      </c>
      <c r="P274" s="5" t="s">
        <v>227</v>
      </c>
      <c r="Q274" t="s">
        <v>14</v>
      </c>
      <c r="R274" s="4">
        <v>41403</v>
      </c>
      <c r="S274" s="4" t="s">
        <v>90</v>
      </c>
      <c r="T274" s="96" t="s">
        <v>1367</v>
      </c>
      <c r="U274" t="str">
        <f>VLOOKUP(HEVARIM[[#This Row],[גיל]],GIL,2,1)</f>
        <v>יסודי</v>
      </c>
      <c r="V274">
        <f>IF(HEVARIM[[#This Row],[קוד מעמד]]="4     ",IF(HEVARIM[[#This Row],[גיל]]=1,1,IF(HEVARIM[[#This Row],[גיל]]&lt;=5,5,18)),"")</f>
        <v>18</v>
      </c>
      <c r="W274">
        <f t="shared" si="16"/>
        <v>0</v>
      </c>
      <c r="X27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4">
        <f>IF(HEVARIM[[#This Row],[מצב משפחתי2]]="אלמן",'[2]ריכוז נתונים'!$AC$2,0)</f>
        <v>0</v>
      </c>
      <c r="Z274" s="3">
        <f>VLOOKUP(VALUE(HEVARIM[[#This Row],[קוד מעמד]]),הנחות!$I$2:$K$21,3,0)</f>
        <v>1</v>
      </c>
      <c r="AA274" t="b">
        <f>ISERROR(VLOOKUP(HEVARIM[[#This Row],[קוד תקציב]],'[2]ריכוז נתונים'!A:A,1,0))</f>
        <v>0</v>
      </c>
      <c r="AB274" s="1">
        <f t="shared" si="17"/>
        <v>6613.8461538461543</v>
      </c>
      <c r="AC274" s="2">
        <f ca="1">IF(HEVARIM[[#This Row],[בר מצוה]]&gt;0,YEAR(TODAY())+'תקציבים מיוחדים'!$F$5-HEVARIM[[#This Row],[גיל]],0)</f>
        <v>2027</v>
      </c>
      <c r="AD274" s="1">
        <f t="shared" si="18"/>
        <v>0</v>
      </c>
      <c r="AE274" s="2">
        <f ca="1">IF(HEVARIM[[#This Row],[בת מצוה]]&gt;0,YEAR(TODAY())+'תקציבים מיוחדים'!$F$5-HEVARIM[[#This Row],[גיל]],0)</f>
        <v>0</v>
      </c>
      <c r="AF274" s="1">
        <f>IF(AND($S274&gt;="רווק",$Z274=1),AF$4*IF(HEVARIM[[#This Row],[גיל]]&gt;$AF$3,1,(($G274-AF$2)/(AF$3-AF$2))),0)</f>
        <v>34578.571428571428</v>
      </c>
      <c r="AG274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274" s="1">
        <f t="shared" si="19"/>
        <v>60336.28571428571</v>
      </c>
      <c r="AI274" s="2">
        <f ca="1">IF(AH274&gt;0,YEAR(TODAY())+'תקציבים מיוחדים'!$F$7-HEVARIM[[#This Row],[גיל]],0)</f>
        <v>2035</v>
      </c>
      <c r="AJ274" s="9">
        <f>IF(AND(ISERROR(VLOOKUP(H274,'[2]ריכוז נתונים'!A:L,1,0)),P274="1     "),1,0)</f>
        <v>0</v>
      </c>
      <c r="AK27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4" s="1">
        <f>IF(AND(VALUE(HEVARIM[[#This Row],[קוד מעמד]])=1,HEVARIM[[#This Row],[ותק מחברה 40]]&lt;25),HEVARIM[[#This Row],[ותק מחברה 40]]/25*הנחות!$C$4,0)</f>
        <v>0</v>
      </c>
      <c r="AM274" s="9" t="str">
        <f ca="1">IF(HEVARIM[[#This Row],[דמי עזיבה 25 שנות ותק]]&gt;0,YEAR(TODAY())+25-ROUNDDOWN(HEVARIM[[#This Row],[ותק מחברה 40]],0),"")</f>
        <v/>
      </c>
      <c r="AN27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4" s="9" t="str">
        <f ca="1">IF(HEVARIM[[#This Row],[דמי עזיבה לגיל 65]]&gt;0,YEAR(TODAY())+64-ROUNDDOWN(HEVARIM[[#This Row],[גיל]],0),"")</f>
        <v/>
      </c>
      <c r="AP274" s="1">
        <f>SUMIF(HEVARIM[קוד תקציב],HEVARIM[[#This Row],[קוד תקציב משפחה מקורי]],HEVARIM[ותק מחברה 40])</f>
        <v>42.96</v>
      </c>
      <c r="AQ2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4" s="9">
        <f>IF(HEVARIM[[#This Row],[קוד מעמד]]="1     ",IFERROR(VLOOKUP(HEVARIM[[#This Row],[קוד תקציב]],'תקציב צביעה - לקראת השינוי'!A:F,4,0),0),0)</f>
        <v>0</v>
      </c>
      <c r="AT274" s="1"/>
    </row>
    <row r="275" spans="1:46">
      <c r="A275" t="s">
        <v>1386</v>
      </c>
      <c r="B275" t="s">
        <v>1387</v>
      </c>
      <c r="C275" t="s">
        <v>1345</v>
      </c>
      <c r="D275" t="s">
        <v>1388</v>
      </c>
      <c r="E275" t="s">
        <v>79</v>
      </c>
      <c r="F275" s="4">
        <v>42357</v>
      </c>
      <c r="G275">
        <v>10</v>
      </c>
      <c r="H275" t="s">
        <v>1367</v>
      </c>
      <c r="I275" t="s">
        <v>1368</v>
      </c>
      <c r="J275" s="4" t="s">
        <v>70</v>
      </c>
      <c r="K275" s="4" t="s">
        <v>71</v>
      </c>
      <c r="L275" t="s">
        <v>1389</v>
      </c>
      <c r="M275" t="s">
        <v>1364</v>
      </c>
      <c r="N275" t="s">
        <v>1365</v>
      </c>
      <c r="O275">
        <f>IFERROR(VLOOKUP(HEVARIM[[#This Row],[קוד תקציב]],[2]תקציבים!A:L,6,0),0)</f>
        <v>2</v>
      </c>
      <c r="P275" s="5" t="s">
        <v>227</v>
      </c>
      <c r="Q275" t="s">
        <v>14</v>
      </c>
      <c r="R275" s="4">
        <v>42357</v>
      </c>
      <c r="S275" s="4" t="s">
        <v>90</v>
      </c>
      <c r="T275" s="96" t="s">
        <v>1367</v>
      </c>
      <c r="U275" t="str">
        <f>VLOOKUP(HEVARIM[[#This Row],[גיל]],GIL,2,1)</f>
        <v>יסודי</v>
      </c>
      <c r="V275">
        <f>IF(HEVARIM[[#This Row],[קוד מעמד]]="4     ",IF(HEVARIM[[#This Row],[גיל]]=1,1,IF(HEVARIM[[#This Row],[גיל]]&lt;=5,5,18)),"")</f>
        <v>18</v>
      </c>
      <c r="W275">
        <f t="shared" si="16"/>
        <v>0</v>
      </c>
      <c r="X27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5">
        <f>IF(HEVARIM[[#This Row],[מצב משפחתי2]]="אלמן",'[2]ריכוז נתונים'!$AC$2,0)</f>
        <v>0</v>
      </c>
      <c r="Z275" s="3">
        <f>VLOOKUP(VALUE(HEVARIM[[#This Row],[קוד מעמד]]),הנחות!$I$2:$K$21,3,0)</f>
        <v>1</v>
      </c>
      <c r="AA275" t="b">
        <f>ISERROR(VLOOKUP(HEVARIM[[#This Row],[קוד תקציב]],'[2]ריכוז נתונים'!A:A,1,0))</f>
        <v>0</v>
      </c>
      <c r="AB275" s="1">
        <f t="shared" si="17"/>
        <v>0</v>
      </c>
      <c r="AC275" s="2">
        <f ca="1">IF(HEVARIM[[#This Row],[בר מצוה]]&gt;0,YEAR(TODAY())+'תקציבים מיוחדים'!$F$5-HEVARIM[[#This Row],[גיל]],0)</f>
        <v>0</v>
      </c>
      <c r="AD275" s="1">
        <f t="shared" si="18"/>
        <v>5511.5384615384619</v>
      </c>
      <c r="AE275" s="2">
        <f ca="1">IF(HEVARIM[[#This Row],[בת מצוה]]&gt;0,YEAR(TODAY())+'תקציבים מיוחדים'!$F$5-HEVARIM[[#This Row],[גיל]],0)</f>
        <v>2029</v>
      </c>
      <c r="AF275" s="1">
        <f>IF(AND($S275&gt;="רווק",$Z275=1),AF$4*IF(HEVARIM[[#This Row],[גיל]]&gt;$AF$3,1,(($G275-AF$2)/(AF$3-AF$2))),0)</f>
        <v>28815.476190476187</v>
      </c>
      <c r="AG275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275" s="1">
        <f t="shared" si="19"/>
        <v>50280.238095238092</v>
      </c>
      <c r="AI275" s="2">
        <f ca="1">IF(AH275&gt;0,YEAR(TODAY())+'תקציבים מיוחדים'!$F$7-HEVARIM[[#This Row],[גיל]],0)</f>
        <v>2037</v>
      </c>
      <c r="AJ275" s="9">
        <f>IF(AND(ISERROR(VLOOKUP(H275,'[2]ריכוז נתונים'!A:L,1,0)),P275="1     "),1,0)</f>
        <v>0</v>
      </c>
      <c r="AK27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5" s="1">
        <f>IF(AND(VALUE(HEVARIM[[#This Row],[קוד מעמד]])=1,HEVARIM[[#This Row],[ותק מחברה 40]]&lt;25),HEVARIM[[#This Row],[ותק מחברה 40]]/25*הנחות!$C$4,0)</f>
        <v>0</v>
      </c>
      <c r="AM275" s="9" t="str">
        <f ca="1">IF(HEVARIM[[#This Row],[דמי עזיבה 25 שנות ותק]]&gt;0,YEAR(TODAY())+25-ROUNDDOWN(HEVARIM[[#This Row],[ותק מחברה 40]],0),"")</f>
        <v/>
      </c>
      <c r="AN27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5" s="9" t="str">
        <f ca="1">IF(HEVARIM[[#This Row],[דמי עזיבה לגיל 65]]&gt;0,YEAR(TODAY())+64-ROUNDDOWN(HEVARIM[[#This Row],[גיל]],0),"")</f>
        <v/>
      </c>
      <c r="AP275" s="1">
        <f>SUMIF(HEVARIM[קוד תקציב],HEVARIM[[#This Row],[קוד תקציב משפחה מקורי]],HEVARIM[ותק מחברה 40])</f>
        <v>42.96</v>
      </c>
      <c r="AQ2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5" s="9">
        <f>IF(HEVARIM[[#This Row],[קוד מעמד]]="1     ",IFERROR(VLOOKUP(HEVARIM[[#This Row],[קוד תקציב]],'תקציב צביעה - לקראת השינוי'!A:F,4,0),0),0)</f>
        <v>0</v>
      </c>
      <c r="AT275" s="1"/>
    </row>
    <row r="276" spans="1:46">
      <c r="A276" t="s">
        <v>1390</v>
      </c>
      <c r="B276" t="s">
        <v>1391</v>
      </c>
      <c r="C276" t="s">
        <v>1345</v>
      </c>
      <c r="D276" t="s">
        <v>1392</v>
      </c>
      <c r="E276" t="s">
        <v>79</v>
      </c>
      <c r="F276" s="4">
        <v>44015</v>
      </c>
      <c r="G276">
        <v>5</v>
      </c>
      <c r="H276" t="s">
        <v>1367</v>
      </c>
      <c r="I276" t="s">
        <v>1368</v>
      </c>
      <c r="J276" s="4" t="s">
        <v>70</v>
      </c>
      <c r="K276" s="4" t="s">
        <v>71</v>
      </c>
      <c r="L276" t="s">
        <v>1393</v>
      </c>
      <c r="M276" t="s">
        <v>1364</v>
      </c>
      <c r="N276" t="s">
        <v>1365</v>
      </c>
      <c r="O276">
        <f>IFERROR(VLOOKUP(HEVARIM[[#This Row],[קוד תקציב]],[2]תקציבים!A:L,6,0),0)</f>
        <v>2</v>
      </c>
      <c r="P276" s="5" t="s">
        <v>227</v>
      </c>
      <c r="Q276" t="s">
        <v>14</v>
      </c>
      <c r="R276" s="4">
        <v>44015</v>
      </c>
      <c r="S276" s="4" t="s">
        <v>90</v>
      </c>
      <c r="T276" s="96" t="s">
        <v>1367</v>
      </c>
      <c r="U276" t="str">
        <f>VLOOKUP(HEVARIM[[#This Row],[גיל]],GIL,2,1)</f>
        <v>גנים</v>
      </c>
      <c r="V276">
        <f>IF(HEVARIM[[#This Row],[קוד מעמד]]="4     ",IF(HEVARIM[[#This Row],[גיל]]=1,1,IF(HEVARIM[[#This Row],[גיל]]&lt;=5,5,18)),"")</f>
        <v>5</v>
      </c>
      <c r="W276">
        <f t="shared" si="16"/>
        <v>0</v>
      </c>
      <c r="X27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6">
        <f>IF(HEVARIM[[#This Row],[מצב משפחתי2]]="אלמן",'[2]ריכוז נתונים'!$AC$2,0)</f>
        <v>0</v>
      </c>
      <c r="Z276" s="3">
        <f>VLOOKUP(VALUE(HEVARIM[[#This Row],[קוד מעמד]]),הנחות!$I$2:$K$21,3,0)</f>
        <v>1</v>
      </c>
      <c r="AA276" t="b">
        <f>ISERROR(VLOOKUP(HEVARIM[[#This Row],[קוד תקציב]],'[2]ריכוז נתונים'!A:A,1,0))</f>
        <v>0</v>
      </c>
      <c r="AB276" s="1">
        <f t="shared" si="17"/>
        <v>0</v>
      </c>
      <c r="AC276" s="2">
        <f ca="1">IF(HEVARIM[[#This Row],[בר מצוה]]&gt;0,YEAR(TODAY())+'תקציבים מיוחדים'!$F$5-HEVARIM[[#This Row],[גיל]],0)</f>
        <v>0</v>
      </c>
      <c r="AD276" s="1">
        <f t="shared" si="18"/>
        <v>2755.7692307692309</v>
      </c>
      <c r="AE276" s="2">
        <f ca="1">IF(HEVARIM[[#This Row],[בת מצוה]]&gt;0,YEAR(TODAY())+'תקציבים מיוחדים'!$F$5-HEVARIM[[#This Row],[גיל]],0)</f>
        <v>2034</v>
      </c>
      <c r="AF276" s="1">
        <f>IF(AND($S276&gt;="רווק",$Z276=1),AF$4*IF(HEVARIM[[#This Row],[גיל]]&gt;$AF$3,1,(($G276-AF$2)/(AF$3-AF$2))),0)</f>
        <v>14407.738095238094</v>
      </c>
      <c r="AG276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276" s="1">
        <f t="shared" si="19"/>
        <v>25140.119047619046</v>
      </c>
      <c r="AI276" s="2">
        <f ca="1">IF(AH276&gt;0,YEAR(TODAY())+'תקציבים מיוחדים'!$F$7-HEVARIM[[#This Row],[גיל]],0)</f>
        <v>2042</v>
      </c>
      <c r="AJ276" s="9">
        <f>IF(AND(ISERROR(VLOOKUP(H276,'[2]ריכוז נתונים'!A:L,1,0)),P276="1     "),1,0)</f>
        <v>0</v>
      </c>
      <c r="AK27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6" s="1">
        <f>IF(AND(VALUE(HEVARIM[[#This Row],[קוד מעמד]])=1,HEVARIM[[#This Row],[ותק מחברה 40]]&lt;25),HEVARIM[[#This Row],[ותק מחברה 40]]/25*הנחות!$C$4,0)</f>
        <v>0</v>
      </c>
      <c r="AM276" s="9" t="str">
        <f ca="1">IF(HEVARIM[[#This Row],[דמי עזיבה 25 שנות ותק]]&gt;0,YEAR(TODAY())+25-ROUNDDOWN(HEVARIM[[#This Row],[ותק מחברה 40]],0),"")</f>
        <v/>
      </c>
      <c r="AN2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6" s="9" t="str">
        <f ca="1">IF(HEVARIM[[#This Row],[דמי עזיבה לגיל 65]]&gt;0,YEAR(TODAY())+64-ROUNDDOWN(HEVARIM[[#This Row],[גיל]],0),"")</f>
        <v/>
      </c>
      <c r="AP276" s="1">
        <f>SUMIF(HEVARIM[קוד תקציב],HEVARIM[[#This Row],[קוד תקציב משפחה מקורי]],HEVARIM[ותק מחברה 40])</f>
        <v>42.96</v>
      </c>
      <c r="AQ2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6" s="9">
        <f>IF(HEVARIM[[#This Row],[קוד מעמד]]="1     ",IFERROR(VLOOKUP(HEVARIM[[#This Row],[קוד תקציב]],'תקציב צביעה - לקראת השינוי'!A:F,4,0),0),0)</f>
        <v>0</v>
      </c>
      <c r="AT276" s="1"/>
    </row>
    <row r="277" spans="1:46">
      <c r="A277" t="s">
        <v>1394</v>
      </c>
      <c r="B277" t="s">
        <v>1395</v>
      </c>
      <c r="C277" t="s">
        <v>1345</v>
      </c>
      <c r="D277" t="s">
        <v>1396</v>
      </c>
      <c r="E277" t="s">
        <v>67</v>
      </c>
      <c r="F277" s="4">
        <v>38603</v>
      </c>
      <c r="G277">
        <v>20</v>
      </c>
      <c r="H277" t="s">
        <v>1367</v>
      </c>
      <c r="I277" t="s">
        <v>1368</v>
      </c>
      <c r="J277" s="4" t="s">
        <v>70</v>
      </c>
      <c r="K277" s="4" t="s">
        <v>71</v>
      </c>
      <c r="L277" t="s">
        <v>1397</v>
      </c>
      <c r="M277" t="s">
        <v>1364</v>
      </c>
      <c r="N277" t="s">
        <v>1365</v>
      </c>
      <c r="O277">
        <f>IFERROR(VLOOKUP(HEVARIM[[#This Row],[קוד תקציב]],[2]תקציבים!A:L,6,0),0)</f>
        <v>2</v>
      </c>
      <c r="P277" s="5" t="s">
        <v>545</v>
      </c>
      <c r="Q277" t="s">
        <v>13</v>
      </c>
      <c r="R277" s="4">
        <v>45743</v>
      </c>
      <c r="S277" s="4" t="s">
        <v>90</v>
      </c>
      <c r="T277" s="96" t="s">
        <v>1367</v>
      </c>
      <c r="U277" t="str">
        <f>VLOOKUP(HEVARIM[[#This Row],[גיל]],GIL,2,1)</f>
        <v>--</v>
      </c>
      <c r="V277" t="str">
        <f>IF(HEVARIM[[#This Row],[קוד מעמד]]="4     ",IF(HEVARIM[[#This Row],[גיל]]=1,1,IF(HEVARIM[[#This Row],[גיל]]&lt;=5,5,18)),"")</f>
        <v/>
      </c>
      <c r="W277">
        <f t="shared" si="16"/>
        <v>0</v>
      </c>
      <c r="X27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7">
        <f>IF(HEVARIM[[#This Row],[מצב משפחתי2]]="אלמן",'[2]ריכוז נתונים'!$AC$2,0)</f>
        <v>0</v>
      </c>
      <c r="Z277" s="3">
        <f>VLOOKUP(VALUE(HEVARIM[[#This Row],[קוד מעמד]]),הנחות!$I$2:$K$21,3,0)</f>
        <v>1</v>
      </c>
      <c r="AA277" t="b">
        <f>ISERROR(VLOOKUP(HEVARIM[[#This Row],[קוד תקציב]],'[2]ריכוז נתונים'!A:A,1,0))</f>
        <v>0</v>
      </c>
      <c r="AB277" s="1">
        <f t="shared" si="17"/>
        <v>0</v>
      </c>
      <c r="AC277" s="2">
        <f ca="1">IF(HEVARIM[[#This Row],[בר מצוה]]&gt;0,YEAR(TODAY())+'תקציבים מיוחדים'!$F$5-HEVARIM[[#This Row],[גיל]],0)</f>
        <v>0</v>
      </c>
      <c r="AD277" s="1">
        <f t="shared" si="18"/>
        <v>0</v>
      </c>
      <c r="AE277" s="2">
        <f ca="1">IF(HEVARIM[[#This Row],[בת מצוה]]&gt;0,YEAR(TODAY())+'תקציבים מיוחדים'!$F$5-HEVARIM[[#This Row],[גיל]],0)</f>
        <v>0</v>
      </c>
      <c r="AF277" s="1">
        <f>IF(AND($S277&gt;="רווק",$Z277=1),AF$4*IF(HEVARIM[[#This Row],[גיל]]&gt;$AF$3,1,(($G277-AF$2)/(AF$3-AF$2))),0)</f>
        <v>57630.952380952374</v>
      </c>
      <c r="AG277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277" s="1">
        <f t="shared" si="19"/>
        <v>100560.47619047618</v>
      </c>
      <c r="AI277" s="2">
        <f ca="1">IF(AH277&gt;0,YEAR(TODAY())+'תקציבים מיוחדים'!$F$7-HEVARIM[[#This Row],[גיל]],0)</f>
        <v>2027</v>
      </c>
      <c r="AJ277" s="9">
        <f>IF(AND(ISERROR(VLOOKUP(H277,'[2]ריכוז נתונים'!A:L,1,0)),P277="1     "),1,0)</f>
        <v>0</v>
      </c>
      <c r="AK27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7" s="1">
        <f>IF(AND(VALUE(HEVARIM[[#This Row],[קוד מעמד]])=1,HEVARIM[[#This Row],[ותק מחברה 40]]&lt;25),HEVARIM[[#This Row],[ותק מחברה 40]]/25*הנחות!$C$4,0)</f>
        <v>0</v>
      </c>
      <c r="AM277" s="9" t="str">
        <f ca="1">IF(HEVARIM[[#This Row],[דמי עזיבה 25 שנות ותק]]&gt;0,YEAR(TODAY())+25-ROUNDDOWN(HEVARIM[[#This Row],[ותק מחברה 40]],0),"")</f>
        <v/>
      </c>
      <c r="AN27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7" s="9" t="str">
        <f ca="1">IF(HEVARIM[[#This Row],[דמי עזיבה לגיל 65]]&gt;0,YEAR(TODAY())+64-ROUNDDOWN(HEVARIM[[#This Row],[גיל]],0),"")</f>
        <v/>
      </c>
      <c r="AP277" s="1">
        <f>SUMIF(HEVARIM[קוד תקציב],HEVARIM[[#This Row],[קוד תקציב משפחה מקורי]],HEVARIM[ותק מחברה 40])</f>
        <v>42.96</v>
      </c>
      <c r="AQ2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7" s="9">
        <f>IF(HEVARIM[[#This Row],[קוד מעמד]]="1     ",IFERROR(VLOOKUP(HEVARIM[[#This Row],[קוד תקציב]],'תקציב צביעה - לקראת השינוי'!A:F,4,0),0),0)</f>
        <v>0</v>
      </c>
      <c r="AT277" s="1"/>
    </row>
    <row r="278" spans="1:46">
      <c r="A278" t="s">
        <v>1398</v>
      </c>
      <c r="B278" t="s">
        <v>3762</v>
      </c>
      <c r="C278" t="s">
        <v>1345</v>
      </c>
      <c r="D278" t="s">
        <v>3763</v>
      </c>
      <c r="E278" t="s">
        <v>79</v>
      </c>
      <c r="F278" s="4">
        <v>38057</v>
      </c>
      <c r="G278">
        <v>21</v>
      </c>
      <c r="H278" t="s">
        <v>3830</v>
      </c>
      <c r="I278" t="s">
        <v>3762</v>
      </c>
      <c r="J278" s="4" t="s">
        <v>70</v>
      </c>
      <c r="K278" s="4" t="s">
        <v>71</v>
      </c>
      <c r="L278" t="s">
        <v>1399</v>
      </c>
      <c r="M278" t="s">
        <v>1398</v>
      </c>
      <c r="N278" t="s">
        <v>3762</v>
      </c>
      <c r="O278">
        <f>IFERROR(VLOOKUP(HEVARIM[[#This Row],[קוד תקציב]],[2]תקציבים!A:L,6,0),0)</f>
        <v>0</v>
      </c>
      <c r="P278" s="5" t="s">
        <v>73</v>
      </c>
      <c r="Q278" t="s">
        <v>27</v>
      </c>
      <c r="R278" s="4">
        <v>45901</v>
      </c>
      <c r="S278" s="4" t="s">
        <v>90</v>
      </c>
      <c r="T278" s="96" t="s">
        <v>1367</v>
      </c>
      <c r="U278" t="str">
        <f>VLOOKUP(HEVARIM[[#This Row],[גיל]],GIL,2,1)</f>
        <v>--</v>
      </c>
      <c r="V278" t="str">
        <f>IF(HEVARIM[[#This Row],[קוד מעמד]]="4     ",IF(HEVARIM[[#This Row],[גיל]]=1,1,IF(HEVARIM[[#This Row],[גיל]]&lt;=5,5,18)),"")</f>
        <v/>
      </c>
      <c r="W278">
        <f t="shared" si="16"/>
        <v>0</v>
      </c>
      <c r="X27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8">
        <f>IF(HEVARIM[[#This Row],[מצב משפחתי2]]="אלמן",'[2]ריכוז נתונים'!$AC$2,0)</f>
        <v>0</v>
      </c>
      <c r="Z278" s="3">
        <f>VLOOKUP(VALUE(HEVARIM[[#This Row],[קוד מעמד]]),הנחות!$I$2:$K$21,3,0)</f>
        <v>1</v>
      </c>
      <c r="AA278" t="b">
        <f>ISERROR(VLOOKUP(HEVARIM[[#This Row],[קוד תקציב]],'[2]ריכוז נתונים'!A:A,1,0))</f>
        <v>1</v>
      </c>
      <c r="AB278" s="1">
        <f t="shared" si="17"/>
        <v>0</v>
      </c>
      <c r="AC278" s="2">
        <f ca="1">IF(HEVARIM[[#This Row],[בר מצוה]]&gt;0,YEAR(TODAY())+'תקציבים מיוחדים'!$F$5-HEVARIM[[#This Row],[גיל]],0)</f>
        <v>0</v>
      </c>
      <c r="AD278" s="1">
        <f t="shared" si="18"/>
        <v>0</v>
      </c>
      <c r="AE278" s="2">
        <f ca="1">IF(HEVARIM[[#This Row],[בת מצוה]]&gt;0,YEAR(TODAY())+'תקציבים מיוחדים'!$F$5-HEVARIM[[#This Row],[גיל]],0)</f>
        <v>0</v>
      </c>
      <c r="AF278" s="1">
        <f>IF(AND($S278&gt;="רווק",$Z278=1),AF$4*IF(HEVARIM[[#This Row],[גיל]]&gt;$AF$3,1,(($G278-AF$2)/(AF$3-AF$2))),0)</f>
        <v>60512.5</v>
      </c>
      <c r="AG278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278" s="1">
        <f t="shared" si="19"/>
        <v>105588.5</v>
      </c>
      <c r="AI278" s="2">
        <f ca="1">IF(AH278&gt;0,YEAR(TODAY())+'תקציבים מיוחדים'!$F$7-HEVARIM[[#This Row],[גיל]],0)</f>
        <v>2026</v>
      </c>
      <c r="AJ278" s="9">
        <f>IF(AND(ISERROR(VLOOKUP(H278,'[2]ריכוז נתונים'!A:L,1,0)),P278="1     "),1,0)</f>
        <v>0</v>
      </c>
      <c r="AK27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78" s="1">
        <f>IF(AND(VALUE(HEVARIM[[#This Row],[קוד מעמד]])=1,HEVARIM[[#This Row],[ותק מחברה 40]]&lt;25),HEVARIM[[#This Row],[ותק מחברה 40]]/25*הנחות!$C$4,0)</f>
        <v>0</v>
      </c>
      <c r="AM278" s="9" t="str">
        <f ca="1">IF(HEVARIM[[#This Row],[דמי עזיבה 25 שנות ותק]]&gt;0,YEAR(TODAY())+25-ROUNDDOWN(HEVARIM[[#This Row],[ותק מחברה 40]],0),"")</f>
        <v/>
      </c>
      <c r="AN2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8" s="9" t="str">
        <f ca="1">IF(HEVARIM[[#This Row],[דמי עזיבה לגיל 65]]&gt;0,YEAR(TODAY())+64-ROUNDDOWN(HEVARIM[[#This Row],[גיל]],0),"")</f>
        <v/>
      </c>
      <c r="AP278" s="1">
        <f>SUMIF(HEVARIM[קוד תקציב],HEVARIM[[#This Row],[קוד תקציב משפחה מקורי]],HEVARIM[ותק מחברה 40])</f>
        <v>42.96</v>
      </c>
      <c r="AQ2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8" s="9">
        <f>IF(HEVARIM[[#This Row],[קוד מעמד]]="1     ",IFERROR(VLOOKUP(HEVARIM[[#This Row],[קוד תקציב]],'תקציב צביעה - לקראת השינוי'!A:F,4,0),0),0)</f>
        <v>0</v>
      </c>
      <c r="AT278" s="1"/>
    </row>
    <row r="279" spans="1:46">
      <c r="A279" t="s">
        <v>1401</v>
      </c>
      <c r="B279" t="s">
        <v>1402</v>
      </c>
      <c r="C279" t="s">
        <v>1403</v>
      </c>
      <c r="D279" t="s">
        <v>1404</v>
      </c>
      <c r="E279" t="s">
        <v>67</v>
      </c>
      <c r="F279" s="4">
        <v>32235</v>
      </c>
      <c r="G279">
        <v>37</v>
      </c>
      <c r="H279" t="s">
        <v>1405</v>
      </c>
      <c r="I279" t="s">
        <v>1406</v>
      </c>
      <c r="J279" s="4" t="s">
        <v>70</v>
      </c>
      <c r="K279" s="4" t="s">
        <v>71</v>
      </c>
      <c r="L279" t="s">
        <v>1407</v>
      </c>
      <c r="M279" t="s">
        <v>1401</v>
      </c>
      <c r="N279" t="s">
        <v>1402</v>
      </c>
      <c r="O279">
        <f>IFERROR(VLOOKUP(HEVARIM[[#This Row],[קוד תקציב]],[2]תקציבים!A:L,6,0),0)</f>
        <v>2</v>
      </c>
      <c r="P279" s="5" t="s">
        <v>104</v>
      </c>
      <c r="Q279" t="s">
        <v>11</v>
      </c>
      <c r="R279" s="4">
        <v>44874</v>
      </c>
      <c r="S279" s="4" t="s">
        <v>74</v>
      </c>
      <c r="T279" s="96" t="s">
        <v>1405</v>
      </c>
      <c r="U279" t="str">
        <f>VLOOKUP(HEVARIM[[#This Row],[גיל]],GIL,2,1)</f>
        <v>--</v>
      </c>
      <c r="V279" t="str">
        <f>IF(HEVARIM[[#This Row],[קוד מעמד]]="4     ",IF(HEVARIM[[#This Row],[גיל]]=1,1,IF(HEVARIM[[#This Row],[גיל]]&lt;=5,5,18)),"")</f>
        <v/>
      </c>
      <c r="W279">
        <f t="shared" si="16"/>
        <v>0</v>
      </c>
      <c r="X27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79">
        <f>IF(HEVARIM[[#This Row],[מצב משפחתי2]]="אלמן",'[2]ריכוז נתונים'!$AC$2,0)</f>
        <v>0</v>
      </c>
      <c r="Z279" s="3">
        <f>VLOOKUP(VALUE(HEVARIM[[#This Row],[קוד מעמד]]),הנחות!$I$2:$K$21,3,0)</f>
        <v>0</v>
      </c>
      <c r="AA279" t="b">
        <f>ISERROR(VLOOKUP(HEVARIM[[#This Row],[קוד תקציב]],'[2]ריכוז נתונים'!A:A,1,0))</f>
        <v>0</v>
      </c>
      <c r="AB279" s="1">
        <f t="shared" si="17"/>
        <v>0</v>
      </c>
      <c r="AC279" s="2">
        <f ca="1">IF(HEVARIM[[#This Row],[בר מצוה]]&gt;0,YEAR(TODAY())+'תקציבים מיוחדים'!$F$5-HEVARIM[[#This Row],[גיל]],0)</f>
        <v>0</v>
      </c>
      <c r="AD279" s="1">
        <f t="shared" si="18"/>
        <v>0</v>
      </c>
      <c r="AE279" s="2">
        <f ca="1">IF(HEVARIM[[#This Row],[בת מצוה]]&gt;0,YEAR(TODAY())+'תקציבים מיוחדים'!$F$5-HEVARIM[[#This Row],[גיל]],0)</f>
        <v>0</v>
      </c>
      <c r="AF279" s="1">
        <f>IF(AND($S279&gt;="רווק",$Z279=1),AF$4*IF(HEVARIM[[#This Row],[גיל]]&gt;$AF$3,1,(($G279-AF$2)/(AF$3-AF$2))),0)</f>
        <v>0</v>
      </c>
      <c r="AG27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79" s="1">
        <f t="shared" si="19"/>
        <v>0</v>
      </c>
      <c r="AI279" s="2">
        <f ca="1">IF(AH279&gt;0,YEAR(TODAY())+'תקציבים מיוחדים'!$F$7-HEVARIM[[#This Row],[גיל]],0)</f>
        <v>0</v>
      </c>
      <c r="AJ279" s="9">
        <f>IF(AND(ISERROR(VLOOKUP(H279,'[2]ריכוז נתונים'!A:L,1,0)),P279="1     "),1,0)</f>
        <v>0</v>
      </c>
      <c r="AK279" s="1">
        <f>IF(VALUE(HEVARIM[[#This Row],[קוד מעמד]])=1,VLOOKUP((IF(LEFT(HEVARIM[[#This Row],[קוד חבר]],1)="0",HEVARIM[[#This Row],[קוד חבר]],VALUE(HEVARIM[[#This Row],[קוד חבר]]))),'ותק חברה 40'!AQ:AW,7,0),"")</f>
        <v>4.83</v>
      </c>
      <c r="AL279" s="1">
        <f>IF(AND(VALUE(HEVARIM[[#This Row],[קוד מעמד]])=1,HEVARIM[[#This Row],[ותק מחברה 40]]&lt;25),HEVARIM[[#This Row],[ותק מחברה 40]]/25*הנחות!$C$4,0)</f>
        <v>7251.6871349999992</v>
      </c>
      <c r="AM279" s="9">
        <f ca="1">IF(HEVARIM[[#This Row],[דמי עזיבה 25 שנות ותק]]&gt;0,YEAR(TODAY())+25-ROUNDDOWN(HEVARIM[[#This Row],[ותק מחברה 40]],0),"")</f>
        <v>2047</v>
      </c>
      <c r="AN2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79" s="9" t="str">
        <f ca="1">IF(HEVARIM[[#This Row],[דמי עזיבה לגיל 65]]&gt;0,YEAR(TODAY())+64-ROUNDDOWN(HEVARIM[[#This Row],[גיל]],0),"")</f>
        <v/>
      </c>
      <c r="AP279" s="1">
        <f>SUMIF(HEVARIM[קוד תקציב],HEVARIM[[#This Row],[קוד תקציב משפחה מקורי]],HEVARIM[ותק מחברה 40])</f>
        <v>9.66</v>
      </c>
      <c r="AQ2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79" s="9">
        <f>IF(HEVARIM[[#This Row],[קוד מעמד]]="1     ",IFERROR(VLOOKUP(HEVARIM[[#This Row],[קוד תקציב]],'תקציב צביעה - לקראת השינוי'!A:F,4,0),0),0)</f>
        <v>0</v>
      </c>
      <c r="AT279" s="1"/>
    </row>
    <row r="280" spans="1:46">
      <c r="A280" t="s">
        <v>1411</v>
      </c>
      <c r="B280" t="s">
        <v>1412</v>
      </c>
      <c r="C280" t="s">
        <v>1403</v>
      </c>
      <c r="D280" t="s">
        <v>846</v>
      </c>
      <c r="E280" t="s">
        <v>79</v>
      </c>
      <c r="F280" s="4">
        <v>43535</v>
      </c>
      <c r="G280">
        <v>6</v>
      </c>
      <c r="H280" t="s">
        <v>1405</v>
      </c>
      <c r="I280" t="s">
        <v>1406</v>
      </c>
      <c r="J280" s="4" t="s">
        <v>70</v>
      </c>
      <c r="K280" s="4" t="s">
        <v>71</v>
      </c>
      <c r="L280" t="s">
        <v>1413</v>
      </c>
      <c r="M280" t="s">
        <v>1401</v>
      </c>
      <c r="N280" t="s">
        <v>1402</v>
      </c>
      <c r="O280">
        <f>IFERROR(VLOOKUP(HEVARIM[[#This Row],[קוד תקציב]],[2]תקציבים!A:L,6,0),0)</f>
        <v>2</v>
      </c>
      <c r="P280" s="5" t="s">
        <v>227</v>
      </c>
      <c r="Q280" t="s">
        <v>14</v>
      </c>
      <c r="R280" s="4">
        <v>44136</v>
      </c>
      <c r="S280" s="4" t="s">
        <v>90</v>
      </c>
      <c r="T280" s="96" t="s">
        <v>1405</v>
      </c>
      <c r="U280" t="str">
        <f>VLOOKUP(HEVARIM[[#This Row],[גיל]],GIL,2,1)</f>
        <v>יסודי</v>
      </c>
      <c r="V280">
        <f>IF(HEVARIM[[#This Row],[קוד מעמד]]="4     ",IF(HEVARIM[[#This Row],[גיל]]=1,1,IF(HEVARIM[[#This Row],[גיל]]&lt;=5,5,18)),"")</f>
        <v>18</v>
      </c>
      <c r="W280">
        <f t="shared" si="16"/>
        <v>0</v>
      </c>
      <c r="X28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0">
        <f>IF(HEVARIM[[#This Row],[מצב משפחתי2]]="אלמן",'[2]ריכוז נתונים'!$AC$2,0)</f>
        <v>0</v>
      </c>
      <c r="Z280" s="3">
        <f>VLOOKUP(VALUE(HEVARIM[[#This Row],[קוד מעמד]]),הנחות!$I$2:$K$21,3,0)</f>
        <v>1</v>
      </c>
      <c r="AA280" t="b">
        <f>ISERROR(VLOOKUP(HEVARIM[[#This Row],[קוד תקציב]],'[2]ריכוז נתונים'!A:A,1,0))</f>
        <v>0</v>
      </c>
      <c r="AB280" s="1">
        <f t="shared" si="17"/>
        <v>0</v>
      </c>
      <c r="AC280" s="2">
        <f ca="1">IF(HEVARIM[[#This Row],[בר מצוה]]&gt;0,YEAR(TODAY())+'תקציבים מיוחדים'!$F$5-HEVARIM[[#This Row],[גיל]],0)</f>
        <v>0</v>
      </c>
      <c r="AD280" s="1">
        <f t="shared" si="18"/>
        <v>3306.9230769230771</v>
      </c>
      <c r="AE280" s="2">
        <f ca="1">IF(HEVARIM[[#This Row],[בת מצוה]]&gt;0,YEAR(TODAY())+'תקציבים מיוחדים'!$F$5-HEVARIM[[#This Row],[גיל]],0)</f>
        <v>2033</v>
      </c>
      <c r="AF280" s="1">
        <f>IF(AND($S280&gt;="רווק",$Z280=1),AF$4*IF(HEVARIM[[#This Row],[גיל]]&gt;$AF$3,1,(($G280-AF$2)/(AF$3-AF$2))),0)</f>
        <v>17289.285714285714</v>
      </c>
      <c r="AG280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280" s="1">
        <f t="shared" si="19"/>
        <v>30168.142857142855</v>
      </c>
      <c r="AI280" s="2">
        <f ca="1">IF(AH280&gt;0,YEAR(TODAY())+'תקציבים מיוחדים'!$F$7-HEVARIM[[#This Row],[גיל]],0)</f>
        <v>2041</v>
      </c>
      <c r="AJ280" s="9">
        <f>IF(AND(ISERROR(VLOOKUP(H280,'[2]ריכוז נתונים'!A:L,1,0)),P280="1     "),1,0)</f>
        <v>0</v>
      </c>
      <c r="AK28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0" s="1">
        <f>IF(AND(VALUE(HEVARIM[[#This Row],[קוד מעמד]])=1,HEVARIM[[#This Row],[ותק מחברה 40]]&lt;25),HEVARIM[[#This Row],[ותק מחברה 40]]/25*הנחות!$C$4,0)</f>
        <v>0</v>
      </c>
      <c r="AM280" s="9" t="str">
        <f ca="1">IF(HEVARIM[[#This Row],[דמי עזיבה 25 שנות ותק]]&gt;0,YEAR(TODAY())+25-ROUNDDOWN(HEVARIM[[#This Row],[ותק מחברה 40]],0),"")</f>
        <v/>
      </c>
      <c r="AN2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0" s="9" t="str">
        <f ca="1">IF(HEVARIM[[#This Row],[דמי עזיבה לגיל 65]]&gt;0,YEAR(TODAY())+64-ROUNDDOWN(HEVARIM[[#This Row],[גיל]],0),"")</f>
        <v/>
      </c>
      <c r="AP280" s="1">
        <f>SUMIF(HEVARIM[קוד תקציב],HEVARIM[[#This Row],[קוד תקציב משפחה מקורי]],HEVARIM[ותק מחברה 40])</f>
        <v>9.66</v>
      </c>
      <c r="AQ2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0" s="9">
        <f>IF(HEVARIM[[#This Row],[קוד מעמד]]="1     ",IFERROR(VLOOKUP(HEVARIM[[#This Row],[קוד תקציב]],'תקציב צביעה - לקראת השינוי'!A:F,4,0),0),0)</f>
        <v>0</v>
      </c>
      <c r="AT280" s="1"/>
    </row>
    <row r="281" spans="1:46">
      <c r="A281" t="s">
        <v>1414</v>
      </c>
      <c r="B281" t="s">
        <v>1415</v>
      </c>
      <c r="C281" t="s">
        <v>1403</v>
      </c>
      <c r="D281" t="s">
        <v>1416</v>
      </c>
      <c r="E281" t="s">
        <v>79</v>
      </c>
      <c r="F281" s="4">
        <v>44217</v>
      </c>
      <c r="G281">
        <v>4</v>
      </c>
      <c r="H281" t="s">
        <v>1405</v>
      </c>
      <c r="I281" t="s">
        <v>1406</v>
      </c>
      <c r="J281" s="4" t="s">
        <v>70</v>
      </c>
      <c r="K281" s="4" t="s">
        <v>71</v>
      </c>
      <c r="L281" t="s">
        <v>1417</v>
      </c>
      <c r="M281" t="s">
        <v>1401</v>
      </c>
      <c r="N281" t="s">
        <v>1402</v>
      </c>
      <c r="O281">
        <f>IFERROR(VLOOKUP(HEVARIM[[#This Row],[קוד תקציב]],[2]תקציבים!A:L,6,0),0)</f>
        <v>2</v>
      </c>
      <c r="P281" s="5" t="s">
        <v>227</v>
      </c>
      <c r="Q281" t="s">
        <v>14</v>
      </c>
      <c r="R281" s="4">
        <v>44217</v>
      </c>
      <c r="S281" s="4" t="s">
        <v>90</v>
      </c>
      <c r="T281" s="96" t="s">
        <v>1405</v>
      </c>
      <c r="U281" t="str">
        <f>VLOOKUP(HEVARIM[[#This Row],[גיל]],GIL,2,1)</f>
        <v>גנים</v>
      </c>
      <c r="V281">
        <f>IF(HEVARIM[[#This Row],[קוד מעמד]]="4     ",IF(HEVARIM[[#This Row],[גיל]]=1,1,IF(HEVARIM[[#This Row],[גיל]]&lt;=5,5,18)),"")</f>
        <v>5</v>
      </c>
      <c r="W281">
        <f t="shared" si="16"/>
        <v>0</v>
      </c>
      <c r="X28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1">
        <f>IF(HEVARIM[[#This Row],[מצב משפחתי2]]="אלמן",'[2]ריכוז נתונים'!$AC$2,0)</f>
        <v>0</v>
      </c>
      <c r="Z281" s="3">
        <f>VLOOKUP(VALUE(HEVARIM[[#This Row],[קוד מעמד]]),הנחות!$I$2:$K$21,3,0)</f>
        <v>1</v>
      </c>
      <c r="AA281" t="b">
        <f>ISERROR(VLOOKUP(HEVARIM[[#This Row],[קוד תקציב]],'[2]ריכוז נתונים'!A:A,1,0))</f>
        <v>0</v>
      </c>
      <c r="AB281" s="1">
        <f t="shared" si="17"/>
        <v>0</v>
      </c>
      <c r="AC281" s="2">
        <f ca="1">IF(HEVARIM[[#This Row],[בר מצוה]]&gt;0,YEAR(TODAY())+'תקציבים מיוחדים'!$F$5-HEVARIM[[#This Row],[גיל]],0)</f>
        <v>0</v>
      </c>
      <c r="AD281" s="1">
        <f t="shared" si="18"/>
        <v>2204.6153846153848</v>
      </c>
      <c r="AE281" s="2">
        <f ca="1">IF(HEVARIM[[#This Row],[בת מצוה]]&gt;0,YEAR(TODAY())+'תקציבים מיוחדים'!$F$5-HEVARIM[[#This Row],[גיל]],0)</f>
        <v>2035</v>
      </c>
      <c r="AF281" s="1">
        <f>IF(AND($S281&gt;="רווק",$Z281=1),AF$4*IF(HEVARIM[[#This Row],[גיל]]&gt;$AF$3,1,(($G281-AF$2)/(AF$3-AF$2))),0)</f>
        <v>11526.190476190475</v>
      </c>
      <c r="AG281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281" s="1">
        <f t="shared" si="19"/>
        <v>20112.095238095237</v>
      </c>
      <c r="AI281" s="2">
        <f ca="1">IF(AH281&gt;0,YEAR(TODAY())+'תקציבים מיוחדים'!$F$7-HEVARIM[[#This Row],[גיל]],0)</f>
        <v>2043</v>
      </c>
      <c r="AJ281" s="9">
        <f>IF(AND(ISERROR(VLOOKUP(H281,'[2]ריכוז נתונים'!A:L,1,0)),P281="1     "),1,0)</f>
        <v>0</v>
      </c>
      <c r="AK28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1" s="1">
        <f>IF(AND(VALUE(HEVARIM[[#This Row],[קוד מעמד]])=1,HEVARIM[[#This Row],[ותק מחברה 40]]&lt;25),HEVARIM[[#This Row],[ותק מחברה 40]]/25*הנחות!$C$4,0)</f>
        <v>0</v>
      </c>
      <c r="AM281" s="9" t="str">
        <f ca="1">IF(HEVARIM[[#This Row],[דמי עזיבה 25 שנות ותק]]&gt;0,YEAR(TODAY())+25-ROUNDDOWN(HEVARIM[[#This Row],[ותק מחברה 40]],0),"")</f>
        <v/>
      </c>
      <c r="AN2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1" s="9" t="str">
        <f ca="1">IF(HEVARIM[[#This Row],[דמי עזיבה לגיל 65]]&gt;0,YEAR(TODAY())+64-ROUNDDOWN(HEVARIM[[#This Row],[גיל]],0),"")</f>
        <v/>
      </c>
      <c r="AP281" s="1">
        <f>SUMIF(HEVARIM[קוד תקציב],HEVARIM[[#This Row],[קוד תקציב משפחה מקורי]],HEVARIM[ותק מחברה 40])</f>
        <v>9.66</v>
      </c>
      <c r="AQ2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1" s="9">
        <f>IF(HEVARIM[[#This Row],[קוד מעמד]]="1     ",IFERROR(VLOOKUP(HEVARIM[[#This Row],[קוד תקציב]],'תקציב צביעה - לקראת השינוי'!A:F,4,0),0),0)</f>
        <v>0</v>
      </c>
      <c r="AT281" s="1"/>
    </row>
    <row r="282" spans="1:46">
      <c r="A282" t="s">
        <v>1418</v>
      </c>
      <c r="B282" t="s">
        <v>1419</v>
      </c>
      <c r="C282" t="s">
        <v>1403</v>
      </c>
      <c r="D282" t="s">
        <v>1420</v>
      </c>
      <c r="E282" t="s">
        <v>79</v>
      </c>
      <c r="F282" s="4">
        <v>45494</v>
      </c>
      <c r="G282">
        <v>1</v>
      </c>
      <c r="H282" t="s">
        <v>1405</v>
      </c>
      <c r="I282" t="s">
        <v>1406</v>
      </c>
      <c r="J282" s="4" t="s">
        <v>70</v>
      </c>
      <c r="K282" s="4" t="s">
        <v>71</v>
      </c>
      <c r="L282" t="s">
        <v>1421</v>
      </c>
      <c r="M282" t="s">
        <v>1401</v>
      </c>
      <c r="N282" t="s">
        <v>1402</v>
      </c>
      <c r="O282">
        <f>IFERROR(VLOOKUP(HEVARIM[[#This Row],[קוד תקציב]],[2]תקציבים!A:L,6,0),0)</f>
        <v>2</v>
      </c>
      <c r="P282" s="5" t="s">
        <v>227</v>
      </c>
      <c r="Q282" t="s">
        <v>14</v>
      </c>
      <c r="R282" s="4">
        <v>45494</v>
      </c>
      <c r="S282" s="4" t="s">
        <v>90</v>
      </c>
      <c r="T282" s="96" t="s">
        <v>1405</v>
      </c>
      <c r="U282" t="str">
        <f>VLOOKUP(HEVARIM[[#This Row],[גיל]],GIL,2,1)</f>
        <v>פעוט</v>
      </c>
      <c r="V282">
        <f>IF(HEVARIM[[#This Row],[קוד מעמד]]="4     ",IF(HEVARIM[[#This Row],[גיל]]=1,1,IF(HEVARIM[[#This Row],[גיל]]&lt;=5,5,18)),"")</f>
        <v>1</v>
      </c>
      <c r="W282">
        <f t="shared" si="16"/>
        <v>0</v>
      </c>
      <c r="X28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2">
        <f>IF(HEVARIM[[#This Row],[מצב משפחתי2]]="אלמן",'[2]ריכוז נתונים'!$AC$2,0)</f>
        <v>0</v>
      </c>
      <c r="Z282" s="3">
        <f>VLOOKUP(VALUE(HEVARIM[[#This Row],[קוד מעמד]]),הנחות!$I$2:$K$21,3,0)</f>
        <v>1</v>
      </c>
      <c r="AA282" t="b">
        <f>ISERROR(VLOOKUP(HEVARIM[[#This Row],[קוד תקציב]],'[2]ריכוז נתונים'!A:A,1,0))</f>
        <v>0</v>
      </c>
      <c r="AB282" s="1">
        <f t="shared" si="17"/>
        <v>0</v>
      </c>
      <c r="AC282" s="2">
        <f ca="1">IF(HEVARIM[[#This Row],[בר מצוה]]&gt;0,YEAR(TODAY())+'תקציבים מיוחדים'!$F$5-HEVARIM[[#This Row],[גיל]],0)</f>
        <v>0</v>
      </c>
      <c r="AD282" s="1">
        <f t="shared" si="18"/>
        <v>551.15384615384619</v>
      </c>
      <c r="AE282" s="2">
        <f ca="1">IF(HEVARIM[[#This Row],[בת מצוה]]&gt;0,YEAR(TODAY())+'תקציבים מיוחדים'!$F$5-HEVARIM[[#This Row],[גיל]],0)</f>
        <v>2038</v>
      </c>
      <c r="AF282" s="1">
        <f>IF(AND($S282&gt;="רווק",$Z282=1),AF$4*IF(HEVARIM[[#This Row],[גיל]]&gt;$AF$3,1,(($G282-AF$2)/(AF$3-AF$2))),0)</f>
        <v>2881.5476190476188</v>
      </c>
      <c r="AG282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282" s="1">
        <f t="shared" si="19"/>
        <v>5028.0238095238092</v>
      </c>
      <c r="AI282" s="2">
        <f ca="1">IF(AH282&gt;0,YEAR(TODAY())+'תקציבים מיוחדים'!$F$7-HEVARIM[[#This Row],[גיל]],0)</f>
        <v>2046</v>
      </c>
      <c r="AJ282" s="9">
        <f>IF(AND(ISERROR(VLOOKUP(H282,'[2]ריכוז נתונים'!A:L,1,0)),P282="1     "),1,0)</f>
        <v>0</v>
      </c>
      <c r="AK28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2" s="1">
        <f>IF(AND(VALUE(HEVARIM[[#This Row],[קוד מעמד]])=1,HEVARIM[[#This Row],[ותק מחברה 40]]&lt;25),HEVARIM[[#This Row],[ותק מחברה 40]]/25*הנחות!$C$4,0)</f>
        <v>0</v>
      </c>
      <c r="AM282" s="9" t="str">
        <f ca="1">IF(HEVARIM[[#This Row],[דמי עזיבה 25 שנות ותק]]&gt;0,YEAR(TODAY())+25-ROUNDDOWN(HEVARIM[[#This Row],[ותק מחברה 40]],0),"")</f>
        <v/>
      </c>
      <c r="AN2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2" s="9" t="str">
        <f ca="1">IF(HEVARIM[[#This Row],[דמי עזיבה לגיל 65]]&gt;0,YEAR(TODAY())+64-ROUNDDOWN(HEVARIM[[#This Row],[גיל]],0),"")</f>
        <v/>
      </c>
      <c r="AP282" s="1">
        <f>SUMIF(HEVARIM[קוד תקציב],HEVARIM[[#This Row],[קוד תקציב משפחה מקורי]],HEVARIM[ותק מחברה 40])</f>
        <v>9.66</v>
      </c>
      <c r="AQ2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2" s="9">
        <f>IF(HEVARIM[[#This Row],[קוד מעמד]]="1     ",IFERROR(VLOOKUP(HEVARIM[[#This Row],[קוד תקציב]],'תקציב צביעה - לקראת השינוי'!A:F,4,0),0),0)</f>
        <v>0</v>
      </c>
      <c r="AT282" s="1"/>
    </row>
    <row r="283" spans="1:46">
      <c r="A283" t="s">
        <v>1422</v>
      </c>
      <c r="B283" t="s">
        <v>1423</v>
      </c>
      <c r="C283" t="s">
        <v>1424</v>
      </c>
      <c r="D283" t="s">
        <v>1425</v>
      </c>
      <c r="E283" t="s">
        <v>67</v>
      </c>
      <c r="F283" s="4">
        <v>32169</v>
      </c>
      <c r="G283">
        <v>37</v>
      </c>
      <c r="H283" t="s">
        <v>1426</v>
      </c>
      <c r="I283" t="s">
        <v>1427</v>
      </c>
      <c r="J283" s="4" t="s">
        <v>70</v>
      </c>
      <c r="K283" s="4" t="s">
        <v>71</v>
      </c>
      <c r="L283" t="s">
        <v>1428</v>
      </c>
      <c r="M283" t="s">
        <v>1422</v>
      </c>
      <c r="N283" t="s">
        <v>1423</v>
      </c>
      <c r="O283">
        <f>IFERROR(VLOOKUP(HEVARIM[[#This Row],[קוד תקציב]],[2]תקציבים!A:L,6,0),0)</f>
        <v>2</v>
      </c>
      <c r="P283" s="5" t="s">
        <v>104</v>
      </c>
      <c r="Q283" t="s">
        <v>11</v>
      </c>
      <c r="R283" s="4">
        <v>42871</v>
      </c>
      <c r="S283" s="4" t="s">
        <v>74</v>
      </c>
      <c r="T283" s="96" t="s">
        <v>1426</v>
      </c>
      <c r="U283" t="str">
        <f>VLOOKUP(HEVARIM[[#This Row],[גיל]],GIL,2,1)</f>
        <v>--</v>
      </c>
      <c r="V283" t="str">
        <f>IF(HEVARIM[[#This Row],[קוד מעמד]]="4     ",IF(HEVARIM[[#This Row],[גיל]]=1,1,IF(HEVARIM[[#This Row],[גיל]]&lt;=5,5,18)),"")</f>
        <v/>
      </c>
      <c r="W283">
        <f t="shared" si="16"/>
        <v>0</v>
      </c>
      <c r="X28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3">
        <f>IF(HEVARIM[[#This Row],[מצב משפחתי2]]="אלמן",'[2]ריכוז נתונים'!$AC$2,0)</f>
        <v>0</v>
      </c>
      <c r="Z283" s="3">
        <f>VLOOKUP(VALUE(HEVARIM[[#This Row],[קוד מעמד]]),הנחות!$I$2:$K$21,3,0)</f>
        <v>0</v>
      </c>
      <c r="AA283" t="b">
        <f>ISERROR(VLOOKUP(HEVARIM[[#This Row],[קוד תקציב]],'[2]ריכוז נתונים'!A:A,1,0))</f>
        <v>0</v>
      </c>
      <c r="AB283" s="1">
        <f t="shared" si="17"/>
        <v>0</v>
      </c>
      <c r="AC283" s="2">
        <f ca="1">IF(HEVARIM[[#This Row],[בר מצוה]]&gt;0,YEAR(TODAY())+'תקציבים מיוחדים'!$F$5-HEVARIM[[#This Row],[גיל]],0)</f>
        <v>0</v>
      </c>
      <c r="AD283" s="1">
        <f t="shared" si="18"/>
        <v>0</v>
      </c>
      <c r="AE283" s="2">
        <f ca="1">IF(HEVARIM[[#This Row],[בת מצוה]]&gt;0,YEAR(TODAY())+'תקציבים מיוחדים'!$F$5-HEVARIM[[#This Row],[גיל]],0)</f>
        <v>0</v>
      </c>
      <c r="AF283" s="1">
        <f>IF(AND($S283&gt;="רווק",$Z283=1),AF$4*IF(HEVARIM[[#This Row],[גיל]]&gt;$AF$3,1,(($G283-AF$2)/(AF$3-AF$2))),0)</f>
        <v>0</v>
      </c>
      <c r="AG28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83" s="1">
        <f t="shared" si="19"/>
        <v>0</v>
      </c>
      <c r="AI283" s="2">
        <f ca="1">IF(AH283&gt;0,YEAR(TODAY())+'תקציבים מיוחדים'!$F$7-HEVARIM[[#This Row],[גיל]],0)</f>
        <v>0</v>
      </c>
      <c r="AJ283" s="9">
        <f>IF(AND(ISERROR(VLOOKUP(H283,'[2]ריכוז נתונים'!A:L,1,0)),P283="1     "),1,0)</f>
        <v>0</v>
      </c>
      <c r="AK283" s="1">
        <f>IF(VALUE(HEVARIM[[#This Row],[קוד מעמד]])=1,VLOOKUP((IF(LEFT(HEVARIM[[#This Row],[קוד חבר]],1)="0",HEVARIM[[#This Row],[קוד חבר]],VALUE(HEVARIM[[#This Row],[קוד חבר]]))),'ותק חברה 40'!AQ:AW,7,0),"")</f>
        <v>10.26</v>
      </c>
      <c r="AL283" s="1">
        <f>IF(AND(VALUE(HEVARIM[[#This Row],[קוד מעמד]])=1,HEVARIM[[#This Row],[ותק מחברה 40]]&lt;25),HEVARIM[[#This Row],[ותק מחברה 40]]/25*הנחות!$C$4,0)</f>
        <v>15404.204969999997</v>
      </c>
      <c r="AM283" s="9">
        <f ca="1">IF(HEVARIM[[#This Row],[דמי עזיבה 25 שנות ותק]]&gt;0,YEAR(TODAY())+25-ROUNDDOWN(HEVARIM[[#This Row],[ותק מחברה 40]],0),"")</f>
        <v>2041</v>
      </c>
      <c r="AN2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3" s="9" t="str">
        <f ca="1">IF(HEVARIM[[#This Row],[דמי עזיבה לגיל 65]]&gt;0,YEAR(TODAY())+64-ROUNDDOWN(HEVARIM[[#This Row],[גיל]],0),"")</f>
        <v/>
      </c>
      <c r="AP283" s="1">
        <f>SUMIF(HEVARIM[קוד תקציב],HEVARIM[[#This Row],[קוד תקציב משפחה מקורי]],HEVARIM[ותק מחברה 40])</f>
        <v>28.36</v>
      </c>
      <c r="AQ2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283" s="9">
        <f>IF(HEVARIM[[#This Row],[קוד מעמד]]="1     ",IFERROR(VLOOKUP(HEVARIM[[#This Row],[קוד תקציב]],'תקציב צביעה - לקראת השינוי'!A:F,4,0),0),0)</f>
        <v>2030</v>
      </c>
      <c r="AT283" s="1"/>
    </row>
    <row r="284" spans="1:46">
      <c r="A284" t="s">
        <v>1429</v>
      </c>
      <c r="B284" t="s">
        <v>1430</v>
      </c>
      <c r="C284" t="s">
        <v>1424</v>
      </c>
      <c r="D284" t="s">
        <v>1431</v>
      </c>
      <c r="E284" t="s">
        <v>79</v>
      </c>
      <c r="F284" s="4">
        <v>31203</v>
      </c>
      <c r="G284">
        <v>40</v>
      </c>
      <c r="H284" t="s">
        <v>1426</v>
      </c>
      <c r="I284" t="s">
        <v>1427</v>
      </c>
      <c r="J284" s="4" t="s">
        <v>70</v>
      </c>
      <c r="K284" s="4" t="s">
        <v>71</v>
      </c>
      <c r="L284" t="s">
        <v>1432</v>
      </c>
      <c r="M284" t="s">
        <v>1422</v>
      </c>
      <c r="N284" t="s">
        <v>1423</v>
      </c>
      <c r="O284">
        <f>IFERROR(VLOOKUP(HEVARIM[[#This Row],[קוד תקציב]],[2]תקציבים!A:L,6,0),0)</f>
        <v>2</v>
      </c>
      <c r="P284" s="5" t="s">
        <v>104</v>
      </c>
      <c r="Q284" t="s">
        <v>11</v>
      </c>
      <c r="R284" s="4">
        <v>39923</v>
      </c>
      <c r="S284" s="4" t="s">
        <v>74</v>
      </c>
      <c r="T284" s="96" t="s">
        <v>1426</v>
      </c>
      <c r="U284" t="str">
        <f>VLOOKUP(HEVARIM[[#This Row],[גיל]],GIL,2,1)</f>
        <v>--</v>
      </c>
      <c r="V284" t="str">
        <f>IF(HEVARIM[[#This Row],[קוד מעמד]]="4     ",IF(HEVARIM[[#This Row],[גיל]]=1,1,IF(HEVARIM[[#This Row],[גיל]]&lt;=5,5,18)),"")</f>
        <v/>
      </c>
      <c r="W284">
        <f t="shared" si="16"/>
        <v>0</v>
      </c>
      <c r="X28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4">
        <f>IF(HEVARIM[[#This Row],[מצב משפחתי2]]="אלמן",'[2]ריכוז נתונים'!$AC$2,0)</f>
        <v>0</v>
      </c>
      <c r="Z284" s="3">
        <f>VLOOKUP(VALUE(HEVARIM[[#This Row],[קוד מעמד]]),הנחות!$I$2:$K$21,3,0)</f>
        <v>0</v>
      </c>
      <c r="AA284" t="b">
        <f>ISERROR(VLOOKUP(HEVARIM[[#This Row],[קוד תקציב]],'[2]ריכוז נתונים'!A:A,1,0))</f>
        <v>0</v>
      </c>
      <c r="AB284" s="1">
        <f t="shared" si="17"/>
        <v>0</v>
      </c>
      <c r="AC284" s="2">
        <f ca="1">IF(HEVARIM[[#This Row],[בר מצוה]]&gt;0,YEAR(TODAY())+'תקציבים מיוחדים'!$F$5-HEVARIM[[#This Row],[גיל]],0)</f>
        <v>0</v>
      </c>
      <c r="AD284" s="1">
        <f t="shared" si="18"/>
        <v>0</v>
      </c>
      <c r="AE284" s="2">
        <f ca="1">IF(HEVARIM[[#This Row],[בת מצוה]]&gt;0,YEAR(TODAY())+'תקציבים מיוחדים'!$F$5-HEVARIM[[#This Row],[גיל]],0)</f>
        <v>0</v>
      </c>
      <c r="AF284" s="1">
        <f>IF(AND($S284&gt;="רווק",$Z284=1),AF$4*IF(HEVARIM[[#This Row],[גיל]]&gt;$AF$3,1,(($G284-AF$2)/(AF$3-AF$2))),0)</f>
        <v>0</v>
      </c>
      <c r="AG28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84" s="1">
        <f t="shared" si="19"/>
        <v>0</v>
      </c>
      <c r="AI284" s="2">
        <f ca="1">IF(AH284&gt;0,YEAR(TODAY())+'תקציבים מיוחדים'!$F$7-HEVARIM[[#This Row],[גיל]],0)</f>
        <v>0</v>
      </c>
      <c r="AJ284" s="9">
        <f>IF(AND(ISERROR(VLOOKUP(H284,'[2]ריכוז נתונים'!A:L,1,0)),P284="1     "),1,0)</f>
        <v>0</v>
      </c>
      <c r="AK284" s="1">
        <f>IF(VALUE(HEVARIM[[#This Row],[קוד מעמד]])=1,VLOOKUP((IF(LEFT(HEVARIM[[#This Row],[קוד חבר]],1)="0",HEVARIM[[#This Row],[קוד חבר]],VALUE(HEVARIM[[#This Row],[קוד חבר]]))),'ותק חברה 40'!AQ:AW,7,0),"")</f>
        <v>18.100000000000001</v>
      </c>
      <c r="AL284" s="1">
        <f>IF(AND(VALUE(HEVARIM[[#This Row],[קוד מעמד]])=1,HEVARIM[[#This Row],[ותק מחברה 40]]&lt;25),HEVARIM[[#This Row],[ותק מחברה 40]]/25*הנחות!$C$4,0)</f>
        <v>27175.059450000001</v>
      </c>
      <c r="AM284" s="9">
        <f ca="1">IF(HEVARIM[[#This Row],[דמי עזיבה 25 שנות ותק]]&gt;0,YEAR(TODAY())+25-ROUNDDOWN(HEVARIM[[#This Row],[ותק מחברה 40]],0),"")</f>
        <v>2033</v>
      </c>
      <c r="AN28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4" s="9" t="str">
        <f ca="1">IF(HEVARIM[[#This Row],[דמי עזיבה לגיל 65]]&gt;0,YEAR(TODAY())+64-ROUNDDOWN(HEVARIM[[#This Row],[גיל]],0),"")</f>
        <v/>
      </c>
      <c r="AP284" s="1">
        <f>SUMIF(HEVARIM[קוד תקציב],HEVARIM[[#This Row],[קוד תקציב משפחה מקורי]],HEVARIM[ותק מחברה 40])</f>
        <v>28.36</v>
      </c>
      <c r="AQ2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284" s="9">
        <f>IF(HEVARIM[[#This Row],[קוד מעמד]]="1     ",IFERROR(VLOOKUP(HEVARIM[[#This Row],[קוד תקציב]],'תקציב צביעה - לקראת השינוי'!A:F,4,0),0),0)</f>
        <v>2030</v>
      </c>
      <c r="AT284" s="1"/>
    </row>
    <row r="285" spans="1:46">
      <c r="A285" t="s">
        <v>1433</v>
      </c>
      <c r="B285" t="s">
        <v>1434</v>
      </c>
      <c r="C285" t="s">
        <v>1435</v>
      </c>
      <c r="D285" t="s">
        <v>1436</v>
      </c>
      <c r="E285" t="s">
        <v>67</v>
      </c>
      <c r="F285" s="4">
        <v>40009</v>
      </c>
      <c r="G285">
        <v>16</v>
      </c>
      <c r="H285" t="s">
        <v>1426</v>
      </c>
      <c r="I285" t="s">
        <v>1427</v>
      </c>
      <c r="J285" s="4" t="s">
        <v>70</v>
      </c>
      <c r="K285" s="4" t="s">
        <v>71</v>
      </c>
      <c r="L285" t="s">
        <v>1437</v>
      </c>
      <c r="M285" t="s">
        <v>1422</v>
      </c>
      <c r="N285" t="s">
        <v>1423</v>
      </c>
      <c r="O285">
        <f>IFERROR(VLOOKUP(HEVARIM[[#This Row],[קוד תקציב]],[2]תקציבים!A:L,6,0),0)</f>
        <v>2</v>
      </c>
      <c r="P285" s="5" t="s">
        <v>227</v>
      </c>
      <c r="Q285" t="s">
        <v>14</v>
      </c>
      <c r="R285" s="4">
        <v>40009</v>
      </c>
      <c r="S285" s="4" t="s">
        <v>90</v>
      </c>
      <c r="T285" s="96" t="s">
        <v>1426</v>
      </c>
      <c r="U285" t="str">
        <f>VLOOKUP(HEVARIM[[#This Row],[גיל]],GIL,2,1)</f>
        <v>תיכון</v>
      </c>
      <c r="V285">
        <f>IF(HEVARIM[[#This Row],[קוד מעמד]]="4     ",IF(HEVARIM[[#This Row],[גיל]]=1,1,IF(HEVARIM[[#This Row],[גיל]]&lt;=5,5,18)),"")</f>
        <v>18</v>
      </c>
      <c r="W285">
        <f t="shared" si="16"/>
        <v>0</v>
      </c>
      <c r="X28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5">
        <f>IF(HEVARIM[[#This Row],[מצב משפחתי2]]="אלמן",'[2]ריכוז נתונים'!$AC$2,0)</f>
        <v>0</v>
      </c>
      <c r="Z285" s="3">
        <f>VLOOKUP(VALUE(HEVARIM[[#This Row],[קוד מעמד]]),הנחות!$I$2:$K$21,3,0)</f>
        <v>1</v>
      </c>
      <c r="AA285" t="b">
        <f>ISERROR(VLOOKUP(HEVARIM[[#This Row],[קוד תקציב]],'[2]ריכוז נתונים'!A:A,1,0))</f>
        <v>0</v>
      </c>
      <c r="AB285" s="1">
        <f t="shared" si="17"/>
        <v>0</v>
      </c>
      <c r="AC285" s="2">
        <f ca="1">IF(HEVARIM[[#This Row],[בר מצוה]]&gt;0,YEAR(TODAY())+'תקציבים מיוחדים'!$F$5-HEVARIM[[#This Row],[גיל]],0)</f>
        <v>0</v>
      </c>
      <c r="AD285" s="1">
        <f t="shared" si="18"/>
        <v>0</v>
      </c>
      <c r="AE285" s="2">
        <f ca="1">IF(HEVARIM[[#This Row],[בת מצוה]]&gt;0,YEAR(TODAY())+'תקציבים מיוחדים'!$F$5-HEVARIM[[#This Row],[גיל]],0)</f>
        <v>0</v>
      </c>
      <c r="AF285" s="1">
        <f>IF(AND($S285&gt;="רווק",$Z285=1),AF$4*IF(HEVARIM[[#This Row],[גיל]]&gt;$AF$3,1,(($G285-AF$2)/(AF$3-AF$2))),0)</f>
        <v>46104.761904761901</v>
      </c>
      <c r="AG285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285" s="1">
        <f t="shared" si="19"/>
        <v>80448.380952380947</v>
      </c>
      <c r="AI285" s="2">
        <f ca="1">IF(AH285&gt;0,YEAR(TODAY())+'תקציבים מיוחדים'!$F$7-HEVARIM[[#This Row],[גיל]],0)</f>
        <v>2031</v>
      </c>
      <c r="AJ285" s="9">
        <f>IF(AND(ISERROR(VLOOKUP(H285,'[2]ריכוז נתונים'!A:L,1,0)),P285="1     "),1,0)</f>
        <v>0</v>
      </c>
      <c r="AK28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5" s="1">
        <f>IF(AND(VALUE(HEVARIM[[#This Row],[קוד מעמד]])=1,HEVARIM[[#This Row],[ותק מחברה 40]]&lt;25),HEVARIM[[#This Row],[ותק מחברה 40]]/25*הנחות!$C$4,0)</f>
        <v>0</v>
      </c>
      <c r="AM285" s="9" t="str">
        <f ca="1">IF(HEVARIM[[#This Row],[דמי עזיבה 25 שנות ותק]]&gt;0,YEAR(TODAY())+25-ROUNDDOWN(HEVARIM[[#This Row],[ותק מחברה 40]],0),"")</f>
        <v/>
      </c>
      <c r="AN28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5" s="9" t="str">
        <f ca="1">IF(HEVARIM[[#This Row],[דמי עזיבה לגיל 65]]&gt;0,YEAR(TODAY())+64-ROUNDDOWN(HEVARIM[[#This Row],[גיל]],0),"")</f>
        <v/>
      </c>
      <c r="AP285" s="1">
        <f>SUMIF(HEVARIM[קוד תקציב],HEVARIM[[#This Row],[קוד תקציב משפחה מקורי]],HEVARIM[ותק מחברה 40])</f>
        <v>28.36</v>
      </c>
      <c r="AQ2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5" s="9">
        <f>IF(HEVARIM[[#This Row],[קוד מעמד]]="1     ",IFERROR(VLOOKUP(HEVARIM[[#This Row],[קוד תקציב]],'תקציב צביעה - לקראת השינוי'!A:F,4,0),0),0)</f>
        <v>0</v>
      </c>
      <c r="AT285" s="1"/>
    </row>
    <row r="286" spans="1:46">
      <c r="A286" t="s">
        <v>1438</v>
      </c>
      <c r="B286" t="s">
        <v>1439</v>
      </c>
      <c r="C286" t="s">
        <v>1424</v>
      </c>
      <c r="D286" t="s">
        <v>1440</v>
      </c>
      <c r="E286" t="s">
        <v>67</v>
      </c>
      <c r="F286" s="4">
        <v>42099</v>
      </c>
      <c r="G286">
        <v>10</v>
      </c>
      <c r="H286" t="s">
        <v>1426</v>
      </c>
      <c r="I286" t="s">
        <v>1427</v>
      </c>
      <c r="J286" s="4" t="s">
        <v>70</v>
      </c>
      <c r="K286" s="4" t="s">
        <v>71</v>
      </c>
      <c r="L286" t="s">
        <v>1441</v>
      </c>
      <c r="M286" t="s">
        <v>1422</v>
      </c>
      <c r="N286" t="s">
        <v>1423</v>
      </c>
      <c r="O286">
        <f>IFERROR(VLOOKUP(HEVARIM[[#This Row],[קוד תקציב]],[2]תקציבים!A:L,6,0),0)</f>
        <v>2</v>
      </c>
      <c r="P286" s="5" t="s">
        <v>227</v>
      </c>
      <c r="Q286" t="s">
        <v>14</v>
      </c>
      <c r="R286" s="4">
        <v>42099</v>
      </c>
      <c r="S286" s="4" t="s">
        <v>90</v>
      </c>
      <c r="T286" s="96" t="s">
        <v>1426</v>
      </c>
      <c r="U286" t="str">
        <f>VLOOKUP(HEVARIM[[#This Row],[גיל]],GIL,2,1)</f>
        <v>יסודי</v>
      </c>
      <c r="V286">
        <f>IF(HEVARIM[[#This Row],[קוד מעמד]]="4     ",IF(HEVARIM[[#This Row],[גיל]]=1,1,IF(HEVARIM[[#This Row],[גיל]]&lt;=5,5,18)),"")</f>
        <v>18</v>
      </c>
      <c r="W286">
        <f t="shared" si="16"/>
        <v>0</v>
      </c>
      <c r="X28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6">
        <f>IF(HEVARIM[[#This Row],[מצב משפחתי2]]="אלמן",'[2]ריכוז נתונים'!$AC$2,0)</f>
        <v>0</v>
      </c>
      <c r="Z286" s="3">
        <f>VLOOKUP(VALUE(HEVARIM[[#This Row],[קוד מעמד]]),הנחות!$I$2:$K$21,3,0)</f>
        <v>1</v>
      </c>
      <c r="AA286" t="b">
        <f>ISERROR(VLOOKUP(HEVARIM[[#This Row],[קוד תקציב]],'[2]ריכוז נתונים'!A:A,1,0))</f>
        <v>0</v>
      </c>
      <c r="AB286" s="1">
        <f t="shared" si="17"/>
        <v>5511.5384615384619</v>
      </c>
      <c r="AC286" s="2">
        <f ca="1">IF(HEVARIM[[#This Row],[בר מצוה]]&gt;0,YEAR(TODAY())+'תקציבים מיוחדים'!$F$5-HEVARIM[[#This Row],[גיל]],0)</f>
        <v>2029</v>
      </c>
      <c r="AD286" s="1">
        <f t="shared" si="18"/>
        <v>0</v>
      </c>
      <c r="AE286" s="2">
        <f ca="1">IF(HEVARIM[[#This Row],[בת מצוה]]&gt;0,YEAR(TODAY())+'תקציבים מיוחדים'!$F$5-HEVARIM[[#This Row],[גיל]],0)</f>
        <v>0</v>
      </c>
      <c r="AF286" s="1">
        <f>IF(AND($S286&gt;="רווק",$Z286=1),AF$4*IF(HEVARIM[[#This Row],[גיל]]&gt;$AF$3,1,(($G286-AF$2)/(AF$3-AF$2))),0)</f>
        <v>28815.476190476187</v>
      </c>
      <c r="AG286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286" s="1">
        <f t="shared" si="19"/>
        <v>50280.238095238092</v>
      </c>
      <c r="AI286" s="2">
        <f ca="1">IF(AH286&gt;0,YEAR(TODAY())+'תקציבים מיוחדים'!$F$7-HEVARIM[[#This Row],[גיל]],0)</f>
        <v>2037</v>
      </c>
      <c r="AJ286" s="9">
        <f>IF(AND(ISERROR(VLOOKUP(H286,'[2]ריכוז נתונים'!A:L,1,0)),P286="1     "),1,0)</f>
        <v>0</v>
      </c>
      <c r="AK28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6" s="1">
        <f>IF(AND(VALUE(HEVARIM[[#This Row],[קוד מעמד]])=1,HEVARIM[[#This Row],[ותק מחברה 40]]&lt;25),HEVARIM[[#This Row],[ותק מחברה 40]]/25*הנחות!$C$4,0)</f>
        <v>0</v>
      </c>
      <c r="AM286" s="9" t="str">
        <f ca="1">IF(HEVARIM[[#This Row],[דמי עזיבה 25 שנות ותק]]&gt;0,YEAR(TODAY())+25-ROUNDDOWN(HEVARIM[[#This Row],[ותק מחברה 40]],0),"")</f>
        <v/>
      </c>
      <c r="AN2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6" s="9" t="str">
        <f ca="1">IF(HEVARIM[[#This Row],[דמי עזיבה לגיל 65]]&gt;0,YEAR(TODAY())+64-ROUNDDOWN(HEVARIM[[#This Row],[גיל]],0),"")</f>
        <v/>
      </c>
      <c r="AP286" s="1">
        <f>SUMIF(HEVARIM[קוד תקציב],HEVARIM[[#This Row],[קוד תקציב משפחה מקורי]],HEVARIM[ותק מחברה 40])</f>
        <v>28.36</v>
      </c>
      <c r="AQ2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6" s="9">
        <f>IF(HEVARIM[[#This Row],[קוד מעמד]]="1     ",IFERROR(VLOOKUP(HEVARIM[[#This Row],[קוד תקציב]],'תקציב צביעה - לקראת השינוי'!A:F,4,0),0),0)</f>
        <v>0</v>
      </c>
      <c r="AT286" s="1"/>
    </row>
    <row r="287" spans="1:46">
      <c r="A287" t="s">
        <v>1442</v>
      </c>
      <c r="B287" t="s">
        <v>1443</v>
      </c>
      <c r="C287" t="s">
        <v>1424</v>
      </c>
      <c r="D287" t="s">
        <v>1444</v>
      </c>
      <c r="E287" t="s">
        <v>67</v>
      </c>
      <c r="F287" s="4">
        <v>42583</v>
      </c>
      <c r="G287">
        <v>9</v>
      </c>
      <c r="H287" t="s">
        <v>1426</v>
      </c>
      <c r="I287" t="s">
        <v>1427</v>
      </c>
      <c r="J287" s="4" t="s">
        <v>70</v>
      </c>
      <c r="K287" s="4" t="s">
        <v>71</v>
      </c>
      <c r="L287" t="s">
        <v>1445</v>
      </c>
      <c r="M287" t="s">
        <v>1422</v>
      </c>
      <c r="N287" t="s">
        <v>1423</v>
      </c>
      <c r="O287">
        <f>IFERROR(VLOOKUP(HEVARIM[[#This Row],[קוד תקציב]],[2]תקציבים!A:L,6,0),0)</f>
        <v>2</v>
      </c>
      <c r="P287" s="5" t="s">
        <v>227</v>
      </c>
      <c r="Q287" t="s">
        <v>14</v>
      </c>
      <c r="R287" s="4">
        <v>42583</v>
      </c>
      <c r="S287" s="4" t="s">
        <v>90</v>
      </c>
      <c r="T287" s="96" t="s">
        <v>1426</v>
      </c>
      <c r="U287" t="str">
        <f>VLOOKUP(HEVARIM[[#This Row],[גיל]],GIL,2,1)</f>
        <v>יסודי</v>
      </c>
      <c r="V287">
        <f>IF(HEVARIM[[#This Row],[קוד מעמד]]="4     ",IF(HEVARIM[[#This Row],[גיל]]=1,1,IF(HEVARIM[[#This Row],[גיל]]&lt;=5,5,18)),"")</f>
        <v>18</v>
      </c>
      <c r="W287">
        <f t="shared" si="16"/>
        <v>0</v>
      </c>
      <c r="X28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7">
        <f>IF(HEVARIM[[#This Row],[מצב משפחתי2]]="אלמן",'[2]ריכוז נתונים'!$AC$2,0)</f>
        <v>0</v>
      </c>
      <c r="Z287" s="3">
        <f>VLOOKUP(VALUE(HEVARIM[[#This Row],[קוד מעמד]]),הנחות!$I$2:$K$21,3,0)</f>
        <v>1</v>
      </c>
      <c r="AA287" t="b">
        <f>ISERROR(VLOOKUP(HEVARIM[[#This Row],[קוד תקציב]],'[2]ריכוז נתונים'!A:A,1,0))</f>
        <v>0</v>
      </c>
      <c r="AB287" s="1">
        <f t="shared" si="17"/>
        <v>4960.3846153846152</v>
      </c>
      <c r="AC287" s="2">
        <f ca="1">IF(HEVARIM[[#This Row],[בר מצוה]]&gt;0,YEAR(TODAY())+'תקציבים מיוחדים'!$F$5-HEVARIM[[#This Row],[גיל]],0)</f>
        <v>2030</v>
      </c>
      <c r="AD287" s="1">
        <f t="shared" si="18"/>
        <v>0</v>
      </c>
      <c r="AE287" s="2">
        <f ca="1">IF(HEVARIM[[#This Row],[בת מצוה]]&gt;0,YEAR(TODAY())+'תקציבים מיוחדים'!$F$5-HEVARIM[[#This Row],[גיל]],0)</f>
        <v>0</v>
      </c>
      <c r="AF287" s="1">
        <f>IF(AND($S287&gt;="רווק",$Z287=1),AF$4*IF(HEVARIM[[#This Row],[גיל]]&gt;$AF$3,1,(($G287-AF$2)/(AF$3-AF$2))),0)</f>
        <v>25933.928571428569</v>
      </c>
      <c r="AG287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287" s="1">
        <f t="shared" si="19"/>
        <v>45252.214285714283</v>
      </c>
      <c r="AI287" s="2">
        <f ca="1">IF(AH287&gt;0,YEAR(TODAY())+'תקציבים מיוחדים'!$F$7-HEVARIM[[#This Row],[גיל]],0)</f>
        <v>2038</v>
      </c>
      <c r="AJ287" s="9">
        <f>IF(AND(ISERROR(VLOOKUP(H287,'[2]ריכוז נתונים'!A:L,1,0)),P287="1     "),1,0)</f>
        <v>0</v>
      </c>
      <c r="AK28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7" s="1">
        <f>IF(AND(VALUE(HEVARIM[[#This Row],[קוד מעמד]])=1,HEVARIM[[#This Row],[ותק מחברה 40]]&lt;25),HEVARIM[[#This Row],[ותק מחברה 40]]/25*הנחות!$C$4,0)</f>
        <v>0</v>
      </c>
      <c r="AM287" s="9" t="str">
        <f ca="1">IF(HEVARIM[[#This Row],[דמי עזיבה 25 שנות ותק]]&gt;0,YEAR(TODAY())+25-ROUNDDOWN(HEVARIM[[#This Row],[ותק מחברה 40]],0),"")</f>
        <v/>
      </c>
      <c r="AN2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7" s="9" t="str">
        <f ca="1">IF(HEVARIM[[#This Row],[דמי עזיבה לגיל 65]]&gt;0,YEAR(TODAY())+64-ROUNDDOWN(HEVARIM[[#This Row],[גיל]],0),"")</f>
        <v/>
      </c>
      <c r="AP287" s="1">
        <f>SUMIF(HEVARIM[קוד תקציב],HEVARIM[[#This Row],[קוד תקציב משפחה מקורי]],HEVARIM[ותק מחברה 40])</f>
        <v>28.36</v>
      </c>
      <c r="AQ2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7" s="9">
        <f>IF(HEVARIM[[#This Row],[קוד מעמד]]="1     ",IFERROR(VLOOKUP(HEVARIM[[#This Row],[קוד תקציב]],'תקציב צביעה - לקראת השינוי'!A:F,4,0),0),0)</f>
        <v>0</v>
      </c>
      <c r="AT287" s="1"/>
    </row>
    <row r="288" spans="1:46">
      <c r="A288" t="s">
        <v>1446</v>
      </c>
      <c r="B288" t="s">
        <v>1447</v>
      </c>
      <c r="C288" t="s">
        <v>1424</v>
      </c>
      <c r="D288" t="s">
        <v>1448</v>
      </c>
      <c r="E288" t="s">
        <v>79</v>
      </c>
      <c r="F288" s="4">
        <v>43495</v>
      </c>
      <c r="G288">
        <v>6</v>
      </c>
      <c r="H288" t="s">
        <v>1426</v>
      </c>
      <c r="I288" t="s">
        <v>1427</v>
      </c>
      <c r="J288" s="4" t="s">
        <v>70</v>
      </c>
      <c r="K288" s="4" t="s">
        <v>71</v>
      </c>
      <c r="L288" t="s">
        <v>1449</v>
      </c>
      <c r="M288" t="s">
        <v>1422</v>
      </c>
      <c r="N288" t="s">
        <v>1423</v>
      </c>
      <c r="O288">
        <f>IFERROR(VLOOKUP(HEVARIM[[#This Row],[קוד תקציב]],[2]תקציבים!A:L,6,0),0)</f>
        <v>2</v>
      </c>
      <c r="P288" s="5" t="s">
        <v>227</v>
      </c>
      <c r="Q288" t="s">
        <v>14</v>
      </c>
      <c r="R288" s="4">
        <v>43495</v>
      </c>
      <c r="S288" s="4" t="s">
        <v>90</v>
      </c>
      <c r="T288" s="96" t="s">
        <v>1426</v>
      </c>
      <c r="U288" t="str">
        <f>VLOOKUP(HEVARIM[[#This Row],[גיל]],GIL,2,1)</f>
        <v>יסודי</v>
      </c>
      <c r="V288">
        <f>IF(HEVARIM[[#This Row],[קוד מעמד]]="4     ",IF(HEVARIM[[#This Row],[גיל]]=1,1,IF(HEVARIM[[#This Row],[גיל]]&lt;=5,5,18)),"")</f>
        <v>18</v>
      </c>
      <c r="W288">
        <f t="shared" si="16"/>
        <v>0</v>
      </c>
      <c r="X28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8">
        <f>IF(HEVARIM[[#This Row],[מצב משפחתי2]]="אלמן",'[2]ריכוז נתונים'!$AC$2,0)</f>
        <v>0</v>
      </c>
      <c r="Z288" s="3">
        <f>VLOOKUP(VALUE(HEVARIM[[#This Row],[קוד מעמד]]),הנחות!$I$2:$K$21,3,0)</f>
        <v>1</v>
      </c>
      <c r="AA288" t="b">
        <f>ISERROR(VLOOKUP(HEVARIM[[#This Row],[קוד תקציב]],'[2]ריכוז נתונים'!A:A,1,0))</f>
        <v>0</v>
      </c>
      <c r="AB288" s="1">
        <f t="shared" si="17"/>
        <v>0</v>
      </c>
      <c r="AC288" s="2">
        <f ca="1">IF(HEVARIM[[#This Row],[בר מצוה]]&gt;0,YEAR(TODAY())+'תקציבים מיוחדים'!$F$5-HEVARIM[[#This Row],[גיל]],0)</f>
        <v>0</v>
      </c>
      <c r="AD288" s="1">
        <f t="shared" si="18"/>
        <v>3306.9230769230771</v>
      </c>
      <c r="AE288" s="2">
        <f ca="1">IF(HEVARIM[[#This Row],[בת מצוה]]&gt;0,YEAR(TODAY())+'תקציבים מיוחדים'!$F$5-HEVARIM[[#This Row],[גיל]],0)</f>
        <v>2033</v>
      </c>
      <c r="AF288" s="1">
        <f>IF(AND($S288&gt;="רווק",$Z288=1),AF$4*IF(HEVARIM[[#This Row],[גיל]]&gt;$AF$3,1,(($G288-AF$2)/(AF$3-AF$2))),0)</f>
        <v>17289.285714285714</v>
      </c>
      <c r="AG288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288" s="1">
        <f t="shared" si="19"/>
        <v>30168.142857142855</v>
      </c>
      <c r="AI288" s="2">
        <f ca="1">IF(AH288&gt;0,YEAR(TODAY())+'תקציבים מיוחדים'!$F$7-HEVARIM[[#This Row],[גיל]],0)</f>
        <v>2041</v>
      </c>
      <c r="AJ288" s="9">
        <f>IF(AND(ISERROR(VLOOKUP(H288,'[2]ריכוז נתונים'!A:L,1,0)),P288="1     "),1,0)</f>
        <v>0</v>
      </c>
      <c r="AK28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8" s="1">
        <f>IF(AND(VALUE(HEVARIM[[#This Row],[קוד מעמד]])=1,HEVARIM[[#This Row],[ותק מחברה 40]]&lt;25),HEVARIM[[#This Row],[ותק מחברה 40]]/25*הנחות!$C$4,0)</f>
        <v>0</v>
      </c>
      <c r="AM288" s="9" t="str">
        <f ca="1">IF(HEVARIM[[#This Row],[דמי עזיבה 25 שנות ותק]]&gt;0,YEAR(TODAY())+25-ROUNDDOWN(HEVARIM[[#This Row],[ותק מחברה 40]],0),"")</f>
        <v/>
      </c>
      <c r="AN2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8" s="9" t="str">
        <f ca="1">IF(HEVARIM[[#This Row],[דמי עזיבה לגיל 65]]&gt;0,YEAR(TODAY())+64-ROUNDDOWN(HEVARIM[[#This Row],[גיל]],0),"")</f>
        <v/>
      </c>
      <c r="AP288" s="1">
        <f>SUMIF(HEVARIM[קוד תקציב],HEVARIM[[#This Row],[קוד תקציב משפחה מקורי]],HEVARIM[ותק מחברה 40])</f>
        <v>28.36</v>
      </c>
      <c r="AQ2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8" s="9">
        <f>IF(HEVARIM[[#This Row],[קוד מעמד]]="1     ",IFERROR(VLOOKUP(HEVARIM[[#This Row],[קוד תקציב]],'תקציב צביעה - לקראת השינוי'!A:F,4,0),0),0)</f>
        <v>0</v>
      </c>
      <c r="AT288" s="1"/>
    </row>
    <row r="289" spans="1:46">
      <c r="A289" t="s">
        <v>1450</v>
      </c>
      <c r="B289" t="s">
        <v>1451</v>
      </c>
      <c r="C289" t="s">
        <v>1424</v>
      </c>
      <c r="D289" t="s">
        <v>1294</v>
      </c>
      <c r="E289" t="s">
        <v>67</v>
      </c>
      <c r="F289" s="4">
        <v>44306</v>
      </c>
      <c r="G289">
        <v>4</v>
      </c>
      <c r="H289" t="s">
        <v>1426</v>
      </c>
      <c r="I289" t="s">
        <v>1427</v>
      </c>
      <c r="J289" s="4" t="s">
        <v>70</v>
      </c>
      <c r="K289" s="4" t="s">
        <v>71</v>
      </c>
      <c r="L289" t="s">
        <v>1452</v>
      </c>
      <c r="M289" t="s">
        <v>1422</v>
      </c>
      <c r="N289" t="s">
        <v>1423</v>
      </c>
      <c r="O289">
        <f>IFERROR(VLOOKUP(HEVARIM[[#This Row],[קוד תקציב]],[2]תקציבים!A:L,6,0),0)</f>
        <v>2</v>
      </c>
      <c r="P289" s="5" t="s">
        <v>227</v>
      </c>
      <c r="Q289" t="s">
        <v>14</v>
      </c>
      <c r="R289" s="4">
        <v>44308</v>
      </c>
      <c r="S289" s="4" t="s">
        <v>90</v>
      </c>
      <c r="T289" s="96" t="s">
        <v>1426</v>
      </c>
      <c r="U289" t="str">
        <f>VLOOKUP(HEVARIM[[#This Row],[גיל]],GIL,2,1)</f>
        <v>גנים</v>
      </c>
      <c r="V289">
        <f>IF(HEVARIM[[#This Row],[קוד מעמד]]="4     ",IF(HEVARIM[[#This Row],[גיל]]=1,1,IF(HEVARIM[[#This Row],[גיל]]&lt;=5,5,18)),"")</f>
        <v>5</v>
      </c>
      <c r="W289">
        <f t="shared" si="16"/>
        <v>0</v>
      </c>
      <c r="X28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89">
        <f>IF(HEVARIM[[#This Row],[מצב משפחתי2]]="אלמן",'[2]ריכוז נתונים'!$AC$2,0)</f>
        <v>0</v>
      </c>
      <c r="Z289" s="3">
        <f>VLOOKUP(VALUE(HEVARIM[[#This Row],[קוד מעמד]]),הנחות!$I$2:$K$21,3,0)</f>
        <v>1</v>
      </c>
      <c r="AA289" t="b">
        <f>ISERROR(VLOOKUP(HEVARIM[[#This Row],[קוד תקציב]],'[2]ריכוז נתונים'!A:A,1,0))</f>
        <v>0</v>
      </c>
      <c r="AB289" s="1">
        <f t="shared" si="17"/>
        <v>2204.6153846153848</v>
      </c>
      <c r="AC289" s="2">
        <f ca="1">IF(HEVARIM[[#This Row],[בר מצוה]]&gt;0,YEAR(TODAY())+'תקציבים מיוחדים'!$F$5-HEVARIM[[#This Row],[גיל]],0)</f>
        <v>2035</v>
      </c>
      <c r="AD289" s="1">
        <f t="shared" si="18"/>
        <v>0</v>
      </c>
      <c r="AE289" s="2">
        <f ca="1">IF(HEVARIM[[#This Row],[בת מצוה]]&gt;0,YEAR(TODAY())+'תקציבים מיוחדים'!$F$5-HEVARIM[[#This Row],[גיל]],0)</f>
        <v>0</v>
      </c>
      <c r="AF289" s="1">
        <f>IF(AND($S289&gt;="רווק",$Z289=1),AF$4*IF(HEVARIM[[#This Row],[גיל]]&gt;$AF$3,1,(($G289-AF$2)/(AF$3-AF$2))),0)</f>
        <v>11526.190476190475</v>
      </c>
      <c r="AG289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289" s="1">
        <f t="shared" si="19"/>
        <v>20112.095238095237</v>
      </c>
      <c r="AI289" s="2">
        <f ca="1">IF(AH289&gt;0,YEAR(TODAY())+'תקציבים מיוחדים'!$F$7-HEVARIM[[#This Row],[גיל]],0)</f>
        <v>2043</v>
      </c>
      <c r="AJ289" s="9">
        <f>IF(AND(ISERROR(VLOOKUP(H289,'[2]ריכוז נתונים'!A:L,1,0)),P289="1     "),1,0)</f>
        <v>0</v>
      </c>
      <c r="AK28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89" s="1">
        <f>IF(AND(VALUE(HEVARIM[[#This Row],[קוד מעמד]])=1,HEVARIM[[#This Row],[ותק מחברה 40]]&lt;25),HEVARIM[[#This Row],[ותק מחברה 40]]/25*הנחות!$C$4,0)</f>
        <v>0</v>
      </c>
      <c r="AM289" s="9" t="str">
        <f ca="1">IF(HEVARIM[[#This Row],[דמי עזיבה 25 שנות ותק]]&gt;0,YEAR(TODAY())+25-ROUNDDOWN(HEVARIM[[#This Row],[ותק מחברה 40]],0),"")</f>
        <v/>
      </c>
      <c r="AN28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89" s="9" t="str">
        <f ca="1">IF(HEVARIM[[#This Row],[דמי עזיבה לגיל 65]]&gt;0,YEAR(TODAY())+64-ROUNDDOWN(HEVARIM[[#This Row],[גיל]],0),"")</f>
        <v/>
      </c>
      <c r="AP289" s="1">
        <f>SUMIF(HEVARIM[קוד תקציב],HEVARIM[[#This Row],[קוד תקציב משפחה מקורי]],HEVARIM[ותק מחברה 40])</f>
        <v>28.36</v>
      </c>
      <c r="AQ2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89" s="9">
        <f>IF(HEVARIM[[#This Row],[קוד מעמד]]="1     ",IFERROR(VLOOKUP(HEVARIM[[#This Row],[קוד תקציב]],'תקציב צביעה - לקראת השינוי'!A:F,4,0),0),0)</f>
        <v>0</v>
      </c>
      <c r="AT289" s="1"/>
    </row>
    <row r="290" spans="1:46">
      <c r="A290" t="s">
        <v>1453</v>
      </c>
      <c r="B290" t="s">
        <v>1454</v>
      </c>
      <c r="C290" t="s">
        <v>1455</v>
      </c>
      <c r="D290" t="s">
        <v>699</v>
      </c>
      <c r="E290" t="s">
        <v>67</v>
      </c>
      <c r="F290" s="4">
        <v>32209</v>
      </c>
      <c r="G290">
        <v>37</v>
      </c>
      <c r="H290" t="s">
        <v>1456</v>
      </c>
      <c r="I290" t="s">
        <v>1457</v>
      </c>
      <c r="J290" s="4" t="s">
        <v>70</v>
      </c>
      <c r="K290" s="4" t="s">
        <v>81</v>
      </c>
      <c r="L290" t="s">
        <v>1458</v>
      </c>
      <c r="M290" t="s">
        <v>1453</v>
      </c>
      <c r="N290" t="s">
        <v>1454</v>
      </c>
      <c r="O290">
        <f>IFERROR(VLOOKUP(HEVARIM[[#This Row],[קוד תקציב]],[2]תקציבים!A:L,6,0),0)</f>
        <v>0</v>
      </c>
      <c r="P290" s="5" t="s">
        <v>1459</v>
      </c>
      <c r="Q290" t="s">
        <v>29</v>
      </c>
      <c r="R290" s="4">
        <v>45146</v>
      </c>
      <c r="S290" s="4" t="s">
        <v>74</v>
      </c>
      <c r="T290" s="96" t="s">
        <v>1456</v>
      </c>
      <c r="U290" t="str">
        <f>VLOOKUP(HEVARIM[[#This Row],[גיל]],GIL,2,1)</f>
        <v>--</v>
      </c>
      <c r="V290" t="str">
        <f>IF(HEVARIM[[#This Row],[קוד מעמד]]="4     ",IF(HEVARIM[[#This Row],[גיל]]=1,1,IF(HEVARIM[[#This Row],[גיל]]&lt;=5,5,18)),"")</f>
        <v/>
      </c>
      <c r="W290">
        <f t="shared" si="16"/>
        <v>0</v>
      </c>
      <c r="X29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0">
        <f>IF(HEVARIM[[#This Row],[מצב משפחתי2]]="אלמן",'[2]ריכוז נתונים'!$AC$2,0)</f>
        <v>0</v>
      </c>
      <c r="Z290" s="3">
        <f>VLOOKUP(VALUE(HEVARIM[[#This Row],[קוד מעמד]]),הנחות!$I$2:$K$21,3,0)</f>
        <v>0</v>
      </c>
      <c r="AA290" t="b">
        <f>ISERROR(VLOOKUP(HEVARIM[[#This Row],[קוד תקציב]],'[2]ריכוז נתונים'!A:A,1,0))</f>
        <v>1</v>
      </c>
      <c r="AB290" s="1">
        <f t="shared" si="17"/>
        <v>0</v>
      </c>
      <c r="AC290" s="2">
        <f ca="1">IF(HEVARIM[[#This Row],[בר מצוה]]&gt;0,YEAR(TODAY())+'תקציבים מיוחדים'!$F$5-HEVARIM[[#This Row],[גיל]],0)</f>
        <v>0</v>
      </c>
      <c r="AD290" s="1">
        <f t="shared" si="18"/>
        <v>0</v>
      </c>
      <c r="AE290" s="2">
        <f ca="1">IF(HEVARIM[[#This Row],[בת מצוה]]&gt;0,YEAR(TODAY())+'תקציבים מיוחדים'!$F$5-HEVARIM[[#This Row],[גיל]],0)</f>
        <v>0</v>
      </c>
      <c r="AF290" s="1">
        <f>IF(AND($S290&gt;="רווק",$Z290=1),AF$4*IF(HEVARIM[[#This Row],[גיל]]&gt;$AF$3,1,(($G290-AF$2)/(AF$3-AF$2))),0)</f>
        <v>0</v>
      </c>
      <c r="AG29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0" s="1">
        <f t="shared" si="19"/>
        <v>0</v>
      </c>
      <c r="AI290" s="2">
        <f ca="1">IF(AH290&gt;0,YEAR(TODAY())+'תקציבים מיוחדים'!$F$7-HEVARIM[[#This Row],[גיל]],0)</f>
        <v>0</v>
      </c>
      <c r="AJ290" s="9">
        <f>IF(AND(ISERROR(VLOOKUP(H290,'[2]ריכוז נתונים'!A:L,1,0)),P290="1     "),1,0)</f>
        <v>0</v>
      </c>
      <c r="AK29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90" s="1">
        <f>IF(AND(VALUE(HEVARIM[[#This Row],[קוד מעמד]])=1,HEVARIM[[#This Row],[ותק מחברה 40]]&lt;25),HEVARIM[[#This Row],[ותק מחברה 40]]/25*הנחות!$C$4,0)</f>
        <v>0</v>
      </c>
      <c r="AM290" s="9" t="str">
        <f ca="1">IF(HEVARIM[[#This Row],[דמי עזיבה 25 שנות ותק]]&gt;0,YEAR(TODAY())+25-ROUNDDOWN(HEVARIM[[#This Row],[ותק מחברה 40]],0),"")</f>
        <v/>
      </c>
      <c r="AN2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0" s="9" t="str">
        <f ca="1">IF(HEVARIM[[#This Row],[דמי עזיבה לגיל 65]]&gt;0,YEAR(TODAY())+64-ROUNDDOWN(HEVARIM[[#This Row],[גיל]],0),"")</f>
        <v/>
      </c>
      <c r="AP290" s="1">
        <f>SUMIF(HEVARIM[קוד תקציב],HEVARIM[[#This Row],[קוד תקציב משפחה מקורי]],HEVARIM[ותק מחברה 40])</f>
        <v>0</v>
      </c>
      <c r="AQ2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90" s="9">
        <f>IF(HEVARIM[[#This Row],[קוד מעמד]]="1     ",IFERROR(VLOOKUP(HEVARIM[[#This Row],[קוד תקציב]],'תקציב צביעה - לקראת השינוי'!A:F,4,0),0),0)</f>
        <v>0</v>
      </c>
      <c r="AT290" s="1"/>
    </row>
    <row r="291" spans="1:46">
      <c r="A291" t="s">
        <v>1460</v>
      </c>
      <c r="B291" t="s">
        <v>1461</v>
      </c>
      <c r="C291" t="s">
        <v>1455</v>
      </c>
      <c r="D291" t="s">
        <v>1462</v>
      </c>
      <c r="E291" t="s">
        <v>79</v>
      </c>
      <c r="F291" s="4">
        <v>32244</v>
      </c>
      <c r="G291">
        <v>37</v>
      </c>
      <c r="H291" t="s">
        <v>1456</v>
      </c>
      <c r="I291" t="s">
        <v>1457</v>
      </c>
      <c r="J291" s="4" t="s">
        <v>70</v>
      </c>
      <c r="K291" s="4" t="s">
        <v>81</v>
      </c>
      <c r="L291" t="s">
        <v>1463</v>
      </c>
      <c r="M291" t="s">
        <v>1453</v>
      </c>
      <c r="N291" t="s">
        <v>1454</v>
      </c>
      <c r="O291">
        <f>IFERROR(VLOOKUP(HEVARIM[[#This Row],[קוד תקציב]],[2]תקציבים!A:L,6,0),0)</f>
        <v>0</v>
      </c>
      <c r="P291" s="5" t="s">
        <v>1459</v>
      </c>
      <c r="Q291" t="s">
        <v>29</v>
      </c>
      <c r="R291" s="4">
        <v>45146</v>
      </c>
      <c r="S291" s="4" t="s">
        <v>74</v>
      </c>
      <c r="T291" s="96" t="s">
        <v>1456</v>
      </c>
      <c r="U291" t="str">
        <f>VLOOKUP(HEVARIM[[#This Row],[גיל]],GIL,2,1)</f>
        <v>--</v>
      </c>
      <c r="V291" t="str">
        <f>IF(HEVARIM[[#This Row],[קוד מעמד]]="4     ",IF(HEVARIM[[#This Row],[גיל]]=1,1,IF(HEVARIM[[#This Row],[גיל]]&lt;=5,5,18)),"")</f>
        <v/>
      </c>
      <c r="W291">
        <f t="shared" si="16"/>
        <v>0</v>
      </c>
      <c r="X29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1">
        <f>IF(HEVARIM[[#This Row],[מצב משפחתי2]]="אלמן",'[2]ריכוז נתונים'!$AC$2,0)</f>
        <v>0</v>
      </c>
      <c r="Z291" s="3">
        <f>VLOOKUP(VALUE(HEVARIM[[#This Row],[קוד מעמד]]),הנחות!$I$2:$K$21,3,0)</f>
        <v>0</v>
      </c>
      <c r="AA291" t="b">
        <f>ISERROR(VLOOKUP(HEVARIM[[#This Row],[קוד תקציב]],'[2]ריכוז נתונים'!A:A,1,0))</f>
        <v>1</v>
      </c>
      <c r="AB291" s="1">
        <f t="shared" si="17"/>
        <v>0</v>
      </c>
      <c r="AC291" s="2">
        <f ca="1">IF(HEVARIM[[#This Row],[בר מצוה]]&gt;0,YEAR(TODAY())+'תקציבים מיוחדים'!$F$5-HEVARIM[[#This Row],[גיל]],0)</f>
        <v>0</v>
      </c>
      <c r="AD291" s="1">
        <f t="shared" si="18"/>
        <v>0</v>
      </c>
      <c r="AE291" s="2">
        <f ca="1">IF(HEVARIM[[#This Row],[בת מצוה]]&gt;0,YEAR(TODAY())+'תקציבים מיוחדים'!$F$5-HEVARIM[[#This Row],[גיל]],0)</f>
        <v>0</v>
      </c>
      <c r="AF291" s="1">
        <f>IF(AND($S291&gt;="רווק",$Z291=1),AF$4*IF(HEVARIM[[#This Row],[גיל]]&gt;$AF$3,1,(($G291-AF$2)/(AF$3-AF$2))),0)</f>
        <v>0</v>
      </c>
      <c r="AG29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1" s="1">
        <f t="shared" si="19"/>
        <v>0</v>
      </c>
      <c r="AI291" s="2">
        <f ca="1">IF(AH291&gt;0,YEAR(TODAY())+'תקציבים מיוחדים'!$F$7-HEVARIM[[#This Row],[גיל]],0)</f>
        <v>0</v>
      </c>
      <c r="AJ291" s="9">
        <f>IF(AND(ISERROR(VLOOKUP(H291,'[2]ריכוז נתונים'!A:L,1,0)),P291="1     "),1,0)</f>
        <v>0</v>
      </c>
      <c r="AK29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91" s="1">
        <f>IF(AND(VALUE(HEVARIM[[#This Row],[קוד מעמד]])=1,HEVARIM[[#This Row],[ותק מחברה 40]]&lt;25),HEVARIM[[#This Row],[ותק מחברה 40]]/25*הנחות!$C$4,0)</f>
        <v>0</v>
      </c>
      <c r="AM291" s="9" t="str">
        <f ca="1">IF(HEVARIM[[#This Row],[דמי עזיבה 25 שנות ותק]]&gt;0,YEAR(TODAY())+25-ROUNDDOWN(HEVARIM[[#This Row],[ותק מחברה 40]],0),"")</f>
        <v/>
      </c>
      <c r="AN29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1" s="9" t="str">
        <f ca="1">IF(HEVARIM[[#This Row],[דמי עזיבה לגיל 65]]&gt;0,YEAR(TODAY())+64-ROUNDDOWN(HEVARIM[[#This Row],[גיל]],0),"")</f>
        <v/>
      </c>
      <c r="AP291" s="1">
        <f>SUMIF(HEVARIM[קוד תקציב],HEVARIM[[#This Row],[קוד תקציב משפחה מקורי]],HEVARIM[ותק מחברה 40])</f>
        <v>0</v>
      </c>
      <c r="AQ2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91" s="9">
        <f>IF(HEVARIM[[#This Row],[קוד מעמד]]="1     ",IFERROR(VLOOKUP(HEVARIM[[#This Row],[קוד תקציב]],'תקציב צביעה - לקראת השינוי'!A:F,4,0),0),0)</f>
        <v>0</v>
      </c>
      <c r="AT291" s="1"/>
    </row>
    <row r="292" spans="1:46">
      <c r="A292" t="s">
        <v>1464</v>
      </c>
      <c r="B292" t="s">
        <v>1465</v>
      </c>
      <c r="C292" t="s">
        <v>1455</v>
      </c>
      <c r="D292" t="s">
        <v>1466</v>
      </c>
      <c r="E292" t="s">
        <v>67</v>
      </c>
      <c r="F292" s="4">
        <v>41620</v>
      </c>
      <c r="G292">
        <v>12</v>
      </c>
      <c r="H292" t="s">
        <v>1456</v>
      </c>
      <c r="I292" t="s">
        <v>1457</v>
      </c>
      <c r="J292" s="4" t="s">
        <v>70</v>
      </c>
      <c r="K292" s="4" t="s">
        <v>81</v>
      </c>
      <c r="L292" t="s">
        <v>1467</v>
      </c>
      <c r="M292" t="s">
        <v>1453</v>
      </c>
      <c r="N292" t="s">
        <v>1454</v>
      </c>
      <c r="O292">
        <f>IFERROR(VLOOKUP(HEVARIM[[#This Row],[קוד תקציב]],[2]תקציבים!A:L,6,0),0)</f>
        <v>0</v>
      </c>
      <c r="P292" s="5" t="s">
        <v>89</v>
      </c>
      <c r="Q292" t="s">
        <v>19</v>
      </c>
      <c r="R292" s="4">
        <v>45146</v>
      </c>
      <c r="S292" s="4" t="s">
        <v>90</v>
      </c>
      <c r="T292" s="96" t="s">
        <v>1456</v>
      </c>
      <c r="U292" t="str">
        <f>VLOOKUP(HEVARIM[[#This Row],[גיל]],GIL,2,1)</f>
        <v>יסודי</v>
      </c>
      <c r="V292" t="str">
        <f>IF(HEVARIM[[#This Row],[קוד מעמד]]="4     ",IF(HEVARIM[[#This Row],[גיל]]=1,1,IF(HEVARIM[[#This Row],[גיל]]&lt;=5,5,18)),"")</f>
        <v/>
      </c>
      <c r="W292">
        <f t="shared" si="16"/>
        <v>0</v>
      </c>
      <c r="X29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2">
        <f>IF(HEVARIM[[#This Row],[מצב משפחתי2]]="אלמן",'[2]ריכוז נתונים'!$AC$2,0)</f>
        <v>0</v>
      </c>
      <c r="Z292" s="3">
        <f>VLOOKUP(VALUE(HEVARIM[[#This Row],[קוד מעמד]]),הנחות!$I$2:$K$21,3,0)</f>
        <v>0</v>
      </c>
      <c r="AA292" t="b">
        <f>ISERROR(VLOOKUP(HEVARIM[[#This Row],[קוד תקציב]],'[2]ריכוז נתונים'!A:A,1,0))</f>
        <v>1</v>
      </c>
      <c r="AB292" s="1">
        <f t="shared" si="17"/>
        <v>0</v>
      </c>
      <c r="AC292" s="2">
        <f ca="1">IF(HEVARIM[[#This Row],[בר מצוה]]&gt;0,YEAR(TODAY())+'תקציבים מיוחדים'!$F$5-HEVARIM[[#This Row],[גיל]],0)</f>
        <v>0</v>
      </c>
      <c r="AD292" s="1">
        <f t="shared" si="18"/>
        <v>0</v>
      </c>
      <c r="AE292" s="2">
        <f ca="1">IF(HEVARIM[[#This Row],[בת מצוה]]&gt;0,YEAR(TODAY())+'תקציבים מיוחדים'!$F$5-HEVARIM[[#This Row],[גיל]],0)</f>
        <v>0</v>
      </c>
      <c r="AF292" s="1">
        <f>IF(AND($S292&gt;="רווק",$Z292=1),AF$4*IF(HEVARIM[[#This Row],[גיל]]&gt;$AF$3,1,(($G292-AF$2)/(AF$3-AF$2))),0)</f>
        <v>0</v>
      </c>
      <c r="AG29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2" s="1">
        <f t="shared" si="19"/>
        <v>0</v>
      </c>
      <c r="AI292" s="2">
        <f ca="1">IF(AH292&gt;0,YEAR(TODAY())+'תקציבים מיוחדים'!$F$7-HEVARIM[[#This Row],[גיל]],0)</f>
        <v>0</v>
      </c>
      <c r="AJ292" s="9">
        <f>IF(AND(ISERROR(VLOOKUP(H292,'[2]ריכוז נתונים'!A:L,1,0)),P292="1     "),1,0)</f>
        <v>0</v>
      </c>
      <c r="AK29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92" s="1">
        <f>IF(AND(VALUE(HEVARIM[[#This Row],[קוד מעמד]])=1,HEVARIM[[#This Row],[ותק מחברה 40]]&lt;25),HEVARIM[[#This Row],[ותק מחברה 40]]/25*הנחות!$C$4,0)</f>
        <v>0</v>
      </c>
      <c r="AM292" s="9" t="str">
        <f ca="1">IF(HEVARIM[[#This Row],[דמי עזיבה 25 שנות ותק]]&gt;0,YEAR(TODAY())+25-ROUNDDOWN(HEVARIM[[#This Row],[ותק מחברה 40]],0),"")</f>
        <v/>
      </c>
      <c r="AN2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2" s="9" t="str">
        <f ca="1">IF(HEVARIM[[#This Row],[דמי עזיבה לגיל 65]]&gt;0,YEAR(TODAY())+64-ROUNDDOWN(HEVARIM[[#This Row],[גיל]],0),"")</f>
        <v/>
      </c>
      <c r="AP292" s="1">
        <f>SUMIF(HEVARIM[קוד תקציב],HEVARIM[[#This Row],[קוד תקציב משפחה מקורי]],HEVARIM[ותק מחברה 40])</f>
        <v>0</v>
      </c>
      <c r="AQ2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92" s="9">
        <f>IF(HEVARIM[[#This Row],[קוד מעמד]]="1     ",IFERROR(VLOOKUP(HEVARIM[[#This Row],[קוד תקציב]],'תקציב צביעה - לקראת השינוי'!A:F,4,0),0),0)</f>
        <v>0</v>
      </c>
      <c r="AT292" s="1"/>
    </row>
    <row r="293" spans="1:46">
      <c r="A293" t="s">
        <v>1468</v>
      </c>
      <c r="B293" t="s">
        <v>1469</v>
      </c>
      <c r="C293" t="s">
        <v>1455</v>
      </c>
      <c r="D293" t="s">
        <v>785</v>
      </c>
      <c r="E293" t="s">
        <v>67</v>
      </c>
      <c r="F293" s="4">
        <v>42919</v>
      </c>
      <c r="G293">
        <v>8</v>
      </c>
      <c r="H293" t="s">
        <v>1456</v>
      </c>
      <c r="I293" t="s">
        <v>1457</v>
      </c>
      <c r="J293" s="4" t="s">
        <v>70</v>
      </c>
      <c r="K293" s="4" t="s">
        <v>81</v>
      </c>
      <c r="L293" t="s">
        <v>1470</v>
      </c>
      <c r="M293" t="s">
        <v>1453</v>
      </c>
      <c r="N293" t="s">
        <v>1454</v>
      </c>
      <c r="O293">
        <f>IFERROR(VLOOKUP(HEVARIM[[#This Row],[קוד תקציב]],[2]תקציבים!A:L,6,0),0)</f>
        <v>0</v>
      </c>
      <c r="P293" s="5" t="s">
        <v>89</v>
      </c>
      <c r="Q293" t="s">
        <v>19</v>
      </c>
      <c r="R293" s="4">
        <v>45146</v>
      </c>
      <c r="S293" s="4" t="s">
        <v>90</v>
      </c>
      <c r="T293" s="96" t="s">
        <v>1456</v>
      </c>
      <c r="U293" t="str">
        <f>VLOOKUP(HEVARIM[[#This Row],[גיל]],GIL,2,1)</f>
        <v>יסודי</v>
      </c>
      <c r="V293" t="str">
        <f>IF(HEVARIM[[#This Row],[קוד מעמד]]="4     ",IF(HEVARIM[[#This Row],[גיל]]=1,1,IF(HEVARIM[[#This Row],[גיל]]&lt;=5,5,18)),"")</f>
        <v/>
      </c>
      <c r="W293">
        <f t="shared" si="16"/>
        <v>0</v>
      </c>
      <c r="X29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3">
        <f>IF(HEVARIM[[#This Row],[מצב משפחתי2]]="אלמן",'[2]ריכוז נתונים'!$AC$2,0)</f>
        <v>0</v>
      </c>
      <c r="Z293" s="3">
        <f>VLOOKUP(VALUE(HEVARIM[[#This Row],[קוד מעמד]]),הנחות!$I$2:$K$21,3,0)</f>
        <v>0</v>
      </c>
      <c r="AA293" t="b">
        <f>ISERROR(VLOOKUP(HEVARIM[[#This Row],[קוד תקציב]],'[2]ריכוז נתונים'!A:A,1,0))</f>
        <v>1</v>
      </c>
      <c r="AB293" s="1">
        <f t="shared" si="17"/>
        <v>0</v>
      </c>
      <c r="AC293" s="2">
        <f ca="1">IF(HEVARIM[[#This Row],[בר מצוה]]&gt;0,YEAR(TODAY())+'תקציבים מיוחדים'!$F$5-HEVARIM[[#This Row],[גיל]],0)</f>
        <v>0</v>
      </c>
      <c r="AD293" s="1">
        <f t="shared" si="18"/>
        <v>0</v>
      </c>
      <c r="AE293" s="2">
        <f ca="1">IF(HEVARIM[[#This Row],[בת מצוה]]&gt;0,YEAR(TODAY())+'תקציבים מיוחדים'!$F$5-HEVARIM[[#This Row],[גיל]],0)</f>
        <v>0</v>
      </c>
      <c r="AF293" s="1">
        <f>IF(AND($S293&gt;="רווק",$Z293=1),AF$4*IF(HEVARIM[[#This Row],[גיל]]&gt;$AF$3,1,(($G293-AF$2)/(AF$3-AF$2))),0)</f>
        <v>0</v>
      </c>
      <c r="AG29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3" s="1">
        <f t="shared" si="19"/>
        <v>0</v>
      </c>
      <c r="AI293" s="2">
        <f ca="1">IF(AH293&gt;0,YEAR(TODAY())+'תקציבים מיוחדים'!$F$7-HEVARIM[[#This Row],[גיל]],0)</f>
        <v>0</v>
      </c>
      <c r="AJ293" s="9">
        <f>IF(AND(ISERROR(VLOOKUP(H293,'[2]ריכוז נתונים'!A:L,1,0)),P293="1     "),1,0)</f>
        <v>0</v>
      </c>
      <c r="AK29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93" s="1">
        <f>IF(AND(VALUE(HEVARIM[[#This Row],[קוד מעמד]])=1,HEVARIM[[#This Row],[ותק מחברה 40]]&lt;25),HEVARIM[[#This Row],[ותק מחברה 40]]/25*הנחות!$C$4,0)</f>
        <v>0</v>
      </c>
      <c r="AM293" s="9" t="str">
        <f ca="1">IF(HEVARIM[[#This Row],[דמי עזיבה 25 שנות ותק]]&gt;0,YEAR(TODAY())+25-ROUNDDOWN(HEVARIM[[#This Row],[ותק מחברה 40]],0),"")</f>
        <v/>
      </c>
      <c r="AN29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3" s="9" t="str">
        <f ca="1">IF(HEVARIM[[#This Row],[דמי עזיבה לגיל 65]]&gt;0,YEAR(TODAY())+64-ROUNDDOWN(HEVARIM[[#This Row],[גיל]],0),"")</f>
        <v/>
      </c>
      <c r="AP293" s="1">
        <f>SUMIF(HEVARIM[קוד תקציב],HEVARIM[[#This Row],[קוד תקציב משפחה מקורי]],HEVARIM[ותק מחברה 40])</f>
        <v>0</v>
      </c>
      <c r="AQ2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93" s="9">
        <f>IF(HEVARIM[[#This Row],[קוד מעמד]]="1     ",IFERROR(VLOOKUP(HEVARIM[[#This Row],[קוד תקציב]],'תקציב צביעה - לקראת השינוי'!A:F,4,0),0),0)</f>
        <v>0</v>
      </c>
      <c r="AT293" s="1"/>
    </row>
    <row r="294" spans="1:46">
      <c r="A294" t="s">
        <v>1471</v>
      </c>
      <c r="B294" t="s">
        <v>1472</v>
      </c>
      <c r="C294" t="s">
        <v>1455</v>
      </c>
      <c r="D294" t="s">
        <v>1473</v>
      </c>
      <c r="E294" t="s">
        <v>67</v>
      </c>
      <c r="F294" s="4">
        <v>44359</v>
      </c>
      <c r="G294">
        <v>4</v>
      </c>
      <c r="H294" t="s">
        <v>1456</v>
      </c>
      <c r="I294" t="s">
        <v>1457</v>
      </c>
      <c r="J294" s="4" t="s">
        <v>70</v>
      </c>
      <c r="K294" s="4" t="s">
        <v>81</v>
      </c>
      <c r="L294" t="s">
        <v>1474</v>
      </c>
      <c r="M294" t="s">
        <v>1453</v>
      </c>
      <c r="N294" t="s">
        <v>1454</v>
      </c>
      <c r="O294">
        <f>IFERROR(VLOOKUP(HEVARIM[[#This Row],[קוד תקציב]],[2]תקציבים!A:L,6,0),0)</f>
        <v>0</v>
      </c>
      <c r="P294" s="5" t="s">
        <v>89</v>
      </c>
      <c r="Q294" t="s">
        <v>19</v>
      </c>
      <c r="R294" s="4">
        <v>45146</v>
      </c>
      <c r="S294" s="4" t="s">
        <v>90</v>
      </c>
      <c r="T294" s="96" t="s">
        <v>1456</v>
      </c>
      <c r="U294" t="str">
        <f>VLOOKUP(HEVARIM[[#This Row],[גיל]],GIL,2,1)</f>
        <v>גנים</v>
      </c>
      <c r="V294" t="str">
        <f>IF(HEVARIM[[#This Row],[קוד מעמד]]="4     ",IF(HEVARIM[[#This Row],[גיל]]=1,1,IF(HEVARIM[[#This Row],[גיל]]&lt;=5,5,18)),"")</f>
        <v/>
      </c>
      <c r="W294">
        <f t="shared" si="16"/>
        <v>0</v>
      </c>
      <c r="X29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4">
        <f>IF(HEVARIM[[#This Row],[מצב משפחתי2]]="אלמן",'[2]ריכוז נתונים'!$AC$2,0)</f>
        <v>0</v>
      </c>
      <c r="Z294" s="3">
        <f>VLOOKUP(VALUE(HEVARIM[[#This Row],[קוד מעמד]]),הנחות!$I$2:$K$21,3,0)</f>
        <v>0</v>
      </c>
      <c r="AA294" t="b">
        <f>ISERROR(VLOOKUP(HEVARIM[[#This Row],[קוד תקציב]],'[2]ריכוז נתונים'!A:A,1,0))</f>
        <v>1</v>
      </c>
      <c r="AB294" s="1">
        <f t="shared" si="17"/>
        <v>0</v>
      </c>
      <c r="AC294" s="2">
        <f ca="1">IF(HEVARIM[[#This Row],[בר מצוה]]&gt;0,YEAR(TODAY())+'תקציבים מיוחדים'!$F$5-HEVARIM[[#This Row],[גיל]],0)</f>
        <v>0</v>
      </c>
      <c r="AD294" s="1">
        <f t="shared" si="18"/>
        <v>0</v>
      </c>
      <c r="AE294" s="2">
        <f ca="1">IF(HEVARIM[[#This Row],[בת מצוה]]&gt;0,YEAR(TODAY())+'תקציבים מיוחדים'!$F$5-HEVARIM[[#This Row],[גיל]],0)</f>
        <v>0</v>
      </c>
      <c r="AF294" s="1">
        <f>IF(AND($S294&gt;="רווק",$Z294=1),AF$4*IF(HEVARIM[[#This Row],[גיל]]&gt;$AF$3,1,(($G294-AF$2)/(AF$3-AF$2))),0)</f>
        <v>0</v>
      </c>
      <c r="AG29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4" s="1">
        <f t="shared" si="19"/>
        <v>0</v>
      </c>
      <c r="AI294" s="2">
        <f ca="1">IF(AH294&gt;0,YEAR(TODAY())+'תקציבים מיוחדים'!$F$7-HEVARIM[[#This Row],[גיל]],0)</f>
        <v>0</v>
      </c>
      <c r="AJ294" s="9">
        <f>IF(AND(ISERROR(VLOOKUP(H294,'[2]ריכוז נתונים'!A:L,1,0)),P294="1     "),1,0)</f>
        <v>0</v>
      </c>
      <c r="AK29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94" s="1">
        <f>IF(AND(VALUE(HEVARIM[[#This Row],[קוד מעמד]])=1,HEVARIM[[#This Row],[ותק מחברה 40]]&lt;25),HEVARIM[[#This Row],[ותק מחברה 40]]/25*הנחות!$C$4,0)</f>
        <v>0</v>
      </c>
      <c r="AM294" s="9" t="str">
        <f ca="1">IF(HEVARIM[[#This Row],[דמי עזיבה 25 שנות ותק]]&gt;0,YEAR(TODAY())+25-ROUNDDOWN(HEVARIM[[#This Row],[ותק מחברה 40]],0),"")</f>
        <v/>
      </c>
      <c r="AN29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4" s="9" t="str">
        <f ca="1">IF(HEVARIM[[#This Row],[דמי עזיבה לגיל 65]]&gt;0,YEAR(TODAY())+64-ROUNDDOWN(HEVARIM[[#This Row],[גיל]],0),"")</f>
        <v/>
      </c>
      <c r="AP294" s="1">
        <f>SUMIF(HEVARIM[קוד תקציב],HEVARIM[[#This Row],[קוד תקציב משפחה מקורי]],HEVARIM[ותק מחברה 40])</f>
        <v>0</v>
      </c>
      <c r="AQ2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94" s="9">
        <f>IF(HEVARIM[[#This Row],[קוד מעמד]]="1     ",IFERROR(VLOOKUP(HEVARIM[[#This Row],[קוד תקציב]],'תקציב צביעה - לקראת השינוי'!A:F,4,0),0),0)</f>
        <v>0</v>
      </c>
      <c r="AT294" s="1"/>
    </row>
    <row r="295" spans="1:46">
      <c r="A295" t="s">
        <v>1475</v>
      </c>
      <c r="B295" t="s">
        <v>1476</v>
      </c>
      <c r="C295" t="s">
        <v>1455</v>
      </c>
      <c r="D295" t="s">
        <v>1477</v>
      </c>
      <c r="E295" t="s">
        <v>67</v>
      </c>
      <c r="F295" s="4">
        <v>45639</v>
      </c>
      <c r="G295">
        <v>1</v>
      </c>
      <c r="H295" t="s">
        <v>1456</v>
      </c>
      <c r="I295" t="s">
        <v>1457</v>
      </c>
      <c r="J295" s="4" t="s">
        <v>70</v>
      </c>
      <c r="K295" s="4" t="s">
        <v>81</v>
      </c>
      <c r="L295" t="s">
        <v>1478</v>
      </c>
      <c r="M295" t="s">
        <v>1453</v>
      </c>
      <c r="N295" t="s">
        <v>1454</v>
      </c>
      <c r="O295">
        <f>IFERROR(VLOOKUP(HEVARIM[[#This Row],[קוד תקציב]],[2]תקציבים!A:L,6,0),0)</f>
        <v>0</v>
      </c>
      <c r="P295" s="5" t="s">
        <v>89</v>
      </c>
      <c r="Q295" t="s">
        <v>19</v>
      </c>
      <c r="R295" s="4">
        <v>45639</v>
      </c>
      <c r="S295" s="4" t="s">
        <v>90</v>
      </c>
      <c r="T295" s="96" t="s">
        <v>1456</v>
      </c>
      <c r="U295" t="str">
        <f>VLOOKUP(HEVARIM[[#This Row],[גיל]],GIL,2,1)</f>
        <v>פעוט</v>
      </c>
      <c r="V295" t="str">
        <f>IF(HEVARIM[[#This Row],[קוד מעמד]]="4     ",IF(HEVARIM[[#This Row],[גיל]]=1,1,IF(HEVARIM[[#This Row],[גיל]]&lt;=5,5,18)),"")</f>
        <v/>
      </c>
      <c r="W295">
        <f t="shared" si="16"/>
        <v>0</v>
      </c>
      <c r="X29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5">
        <f>IF(HEVARIM[[#This Row],[מצב משפחתי2]]="אלמן",'[2]ריכוז נתונים'!$AC$2,0)</f>
        <v>0</v>
      </c>
      <c r="Z295" s="3">
        <f>VLOOKUP(VALUE(HEVARIM[[#This Row],[קוד מעמד]]),הנחות!$I$2:$K$21,3,0)</f>
        <v>0</v>
      </c>
      <c r="AA295" t="b">
        <f>ISERROR(VLOOKUP(HEVARIM[[#This Row],[קוד תקציב]],'[2]ריכוז נתונים'!A:A,1,0))</f>
        <v>1</v>
      </c>
      <c r="AB295" s="1">
        <f t="shared" si="17"/>
        <v>0</v>
      </c>
      <c r="AC295" s="2">
        <f ca="1">IF(HEVARIM[[#This Row],[בר מצוה]]&gt;0,YEAR(TODAY())+'תקציבים מיוחדים'!$F$5-HEVARIM[[#This Row],[גיל]],0)</f>
        <v>0</v>
      </c>
      <c r="AD295" s="1">
        <f t="shared" si="18"/>
        <v>0</v>
      </c>
      <c r="AE295" s="2">
        <f ca="1">IF(HEVARIM[[#This Row],[בת מצוה]]&gt;0,YEAR(TODAY())+'תקציבים מיוחדים'!$F$5-HEVARIM[[#This Row],[גיל]],0)</f>
        <v>0</v>
      </c>
      <c r="AF295" s="1">
        <f>IF(AND($S295&gt;="רווק",$Z295=1),AF$4*IF(HEVARIM[[#This Row],[גיל]]&gt;$AF$3,1,(($G295-AF$2)/(AF$3-AF$2))),0)</f>
        <v>0</v>
      </c>
      <c r="AG29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5" s="1">
        <f t="shared" si="19"/>
        <v>0</v>
      </c>
      <c r="AI295" s="2">
        <f ca="1">IF(AH295&gt;0,YEAR(TODAY())+'תקציבים מיוחדים'!$F$7-HEVARIM[[#This Row],[גיל]],0)</f>
        <v>0</v>
      </c>
      <c r="AJ295" s="9">
        <f>IF(AND(ISERROR(VLOOKUP(H295,'[2]ריכוז נתונים'!A:L,1,0)),P295="1     "),1,0)</f>
        <v>0</v>
      </c>
      <c r="AK29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295" s="1">
        <f>IF(AND(VALUE(HEVARIM[[#This Row],[קוד מעמד]])=1,HEVARIM[[#This Row],[ותק מחברה 40]]&lt;25),HEVARIM[[#This Row],[ותק מחברה 40]]/25*הנחות!$C$4,0)</f>
        <v>0</v>
      </c>
      <c r="AM295" s="9" t="str">
        <f ca="1">IF(HEVARIM[[#This Row],[דמי עזיבה 25 שנות ותק]]&gt;0,YEAR(TODAY())+25-ROUNDDOWN(HEVARIM[[#This Row],[ותק מחברה 40]],0),"")</f>
        <v/>
      </c>
      <c r="AN2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5" s="9" t="str">
        <f ca="1">IF(HEVARIM[[#This Row],[דמי עזיבה לגיל 65]]&gt;0,YEAR(TODAY())+64-ROUNDDOWN(HEVARIM[[#This Row],[גיל]],0),"")</f>
        <v/>
      </c>
      <c r="AP295" s="1">
        <f>SUMIF(HEVARIM[קוד תקציב],HEVARIM[[#This Row],[קוד תקציב משפחה מקורי]],HEVARIM[ותק מחברה 40])</f>
        <v>0</v>
      </c>
      <c r="AQ2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295" s="9">
        <f>IF(HEVARIM[[#This Row],[קוד מעמד]]="1     ",IFERROR(VLOOKUP(HEVARIM[[#This Row],[קוד תקציב]],'תקציב צביעה - לקראת השינוי'!A:F,4,0),0),0)</f>
        <v>0</v>
      </c>
      <c r="AT295" s="1"/>
    </row>
    <row r="296" spans="1:46">
      <c r="A296" t="s">
        <v>1484</v>
      </c>
      <c r="B296" t="s">
        <v>1485</v>
      </c>
      <c r="C296" t="s">
        <v>1481</v>
      </c>
      <c r="D296" t="s">
        <v>1486</v>
      </c>
      <c r="E296" t="s">
        <v>67</v>
      </c>
      <c r="F296" s="4">
        <v>16652</v>
      </c>
      <c r="G296">
        <v>80</v>
      </c>
      <c r="H296" t="s">
        <v>1487</v>
      </c>
      <c r="I296" t="s">
        <v>1488</v>
      </c>
      <c r="J296" s="4" t="s">
        <v>70</v>
      </c>
      <c r="K296" s="4" t="s">
        <v>71</v>
      </c>
      <c r="L296" t="s">
        <v>1489</v>
      </c>
      <c r="M296" t="s">
        <v>1484</v>
      </c>
      <c r="N296" t="s">
        <v>1485</v>
      </c>
      <c r="O296">
        <f>IFERROR(VLOOKUP(HEVARIM[[#This Row],[קוד תקציב]],[2]תקציבים!A:L,6,0),0)</f>
        <v>2</v>
      </c>
      <c r="P296" s="5" t="s">
        <v>104</v>
      </c>
      <c r="Q296" t="s">
        <v>11</v>
      </c>
      <c r="R296" s="4">
        <v>24472</v>
      </c>
      <c r="S296" s="4" t="s">
        <v>74</v>
      </c>
      <c r="T296" s="96" t="s">
        <v>1487</v>
      </c>
      <c r="U296" t="str">
        <f>VLOOKUP(HEVARIM[[#This Row],[גיל]],GIL,2,1)</f>
        <v>--</v>
      </c>
      <c r="V296" t="str">
        <f>IF(HEVARIM[[#This Row],[קוד מעמד]]="4     ",IF(HEVARIM[[#This Row],[גיל]]=1,1,IF(HEVARIM[[#This Row],[גיל]]&lt;=5,5,18)),"")</f>
        <v/>
      </c>
      <c r="W296">
        <f t="shared" si="16"/>
        <v>2567</v>
      </c>
      <c r="X29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96">
        <f>IF(HEVARIM[[#This Row],[מצב משפחתי2]]="אלמן",'[2]ריכוז נתונים'!$AC$2,0)</f>
        <v>0</v>
      </c>
      <c r="Z296" s="3">
        <f>VLOOKUP(VALUE(HEVARIM[[#This Row],[קוד מעמד]]),הנחות!$I$2:$K$21,3,0)</f>
        <v>0</v>
      </c>
      <c r="AA296" t="b">
        <f>ISERROR(VLOOKUP(HEVARIM[[#This Row],[קוד תקציב]],'[2]ריכוז נתונים'!A:A,1,0))</f>
        <v>0</v>
      </c>
      <c r="AB296" s="1">
        <f t="shared" si="17"/>
        <v>0</v>
      </c>
      <c r="AC296" s="2">
        <f ca="1">IF(HEVARIM[[#This Row],[בר מצוה]]&gt;0,YEAR(TODAY())+'תקציבים מיוחדים'!$F$5-HEVARIM[[#This Row],[גיל]],0)</f>
        <v>0</v>
      </c>
      <c r="AD296" s="1">
        <f t="shared" si="18"/>
        <v>0</v>
      </c>
      <c r="AE296" s="2">
        <f ca="1">IF(HEVARIM[[#This Row],[בת מצוה]]&gt;0,YEAR(TODAY())+'תקציבים מיוחדים'!$F$5-HEVARIM[[#This Row],[גיל]],0)</f>
        <v>0</v>
      </c>
      <c r="AF296" s="1">
        <f>IF(AND($S296&gt;="רווק",$Z296=1),AF$4*IF(HEVARIM[[#This Row],[גיל]]&gt;$AF$3,1,(($G296-AF$2)/(AF$3-AF$2))),0)</f>
        <v>0</v>
      </c>
      <c r="AG29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6" s="1">
        <f t="shared" si="19"/>
        <v>0</v>
      </c>
      <c r="AI296" s="2">
        <f ca="1">IF(AH296&gt;0,YEAR(TODAY())+'תקציבים מיוחדים'!$F$7-HEVARIM[[#This Row],[גיל]],0)</f>
        <v>0</v>
      </c>
      <c r="AJ296" s="9">
        <f>IF(AND(ISERROR(VLOOKUP(H296,'[2]ריכוז נתונים'!A:L,1,0)),P296="1     "),1,0)</f>
        <v>0</v>
      </c>
      <c r="AK296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96" s="1">
        <f>IF(AND(VALUE(HEVARIM[[#This Row],[קוד מעמד]])=1,HEVARIM[[#This Row],[ותק מחברה 40]]&lt;25),HEVARIM[[#This Row],[ותק מחברה 40]]/25*הנחות!$C$4,0)</f>
        <v>0</v>
      </c>
      <c r="AM296" s="9" t="str">
        <f ca="1">IF(HEVARIM[[#This Row],[דמי עזיבה 25 שנות ותק]]&gt;0,YEAR(TODAY())+25-ROUNDDOWN(HEVARIM[[#This Row],[ותק מחברה 40]],0),"")</f>
        <v/>
      </c>
      <c r="AN2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6" s="9" t="str">
        <f ca="1">IF(HEVARIM[[#This Row],[דמי עזיבה לגיל 65]]&gt;0,YEAR(TODAY())+64-ROUNDDOWN(HEVARIM[[#This Row],[גיל]],0),"")</f>
        <v/>
      </c>
      <c r="AP296" s="1">
        <f>SUMIF(HEVARIM[קוד תקציב],HEVARIM[[#This Row],[קוד תקציב משפחה מקורי]],HEVARIM[ותק מחברה 40])</f>
        <v>96</v>
      </c>
      <c r="AQ2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296" s="9">
        <f>IF(HEVARIM[[#This Row],[קוד מעמד]]="1     ",IFERROR(VLOOKUP(HEVARIM[[#This Row],[קוד תקציב]],'תקציב צביעה - לקראת השינוי'!A:F,4,0),0),0)</f>
        <v>2034</v>
      </c>
      <c r="AT296" s="1"/>
    </row>
    <row r="297" spans="1:46">
      <c r="A297" t="s">
        <v>1490</v>
      </c>
      <c r="B297" t="s">
        <v>1491</v>
      </c>
      <c r="C297" t="s">
        <v>1481</v>
      </c>
      <c r="D297" t="s">
        <v>1156</v>
      </c>
      <c r="E297" t="s">
        <v>79</v>
      </c>
      <c r="F297" s="4">
        <v>17265</v>
      </c>
      <c r="G297">
        <v>78</v>
      </c>
      <c r="H297" t="s">
        <v>1487</v>
      </c>
      <c r="I297" t="s">
        <v>1488</v>
      </c>
      <c r="J297" s="4" t="s">
        <v>70</v>
      </c>
      <c r="K297" s="4" t="s">
        <v>71</v>
      </c>
      <c r="L297" t="s">
        <v>1492</v>
      </c>
      <c r="M297" t="s">
        <v>1484</v>
      </c>
      <c r="N297" t="s">
        <v>1485</v>
      </c>
      <c r="O297">
        <f>IFERROR(VLOOKUP(HEVARIM[[#This Row],[קוד תקציב]],[2]תקציבים!A:L,6,0),0)</f>
        <v>2</v>
      </c>
      <c r="P297" s="5" t="s">
        <v>104</v>
      </c>
      <c r="Q297" t="s">
        <v>11</v>
      </c>
      <c r="R297" s="4">
        <v>25568</v>
      </c>
      <c r="S297" s="4" t="s">
        <v>74</v>
      </c>
      <c r="T297" s="96" t="s">
        <v>1487</v>
      </c>
      <c r="U297" t="str">
        <f>VLOOKUP(HEVARIM[[#This Row],[גיל]],GIL,2,1)</f>
        <v>--</v>
      </c>
      <c r="V297" t="str">
        <f>IF(HEVARIM[[#This Row],[קוד מעמד]]="4     ",IF(HEVARIM[[#This Row],[גיל]]=1,1,IF(HEVARIM[[#This Row],[גיל]]&lt;=5,5,18)),"")</f>
        <v/>
      </c>
      <c r="W297">
        <f t="shared" si="16"/>
        <v>2365</v>
      </c>
      <c r="X29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97">
        <f>IF(HEVARIM[[#This Row],[מצב משפחתי2]]="אלמן",'[2]ריכוז נתונים'!$AC$2,0)</f>
        <v>0</v>
      </c>
      <c r="Z297" s="3">
        <f>VLOOKUP(VALUE(HEVARIM[[#This Row],[קוד מעמד]]),הנחות!$I$2:$K$21,3,0)</f>
        <v>0</v>
      </c>
      <c r="AA297" t="b">
        <f>ISERROR(VLOOKUP(HEVARIM[[#This Row],[קוד תקציב]],'[2]ריכוז נתונים'!A:A,1,0))</f>
        <v>0</v>
      </c>
      <c r="AB297" s="1">
        <f t="shared" si="17"/>
        <v>0</v>
      </c>
      <c r="AC297" s="2">
        <f ca="1">IF(HEVARIM[[#This Row],[בר מצוה]]&gt;0,YEAR(TODAY())+'תקציבים מיוחדים'!$F$5-HEVARIM[[#This Row],[גיל]],0)</f>
        <v>0</v>
      </c>
      <c r="AD297" s="1">
        <f t="shared" si="18"/>
        <v>0</v>
      </c>
      <c r="AE297" s="2">
        <f ca="1">IF(HEVARIM[[#This Row],[בת מצוה]]&gt;0,YEAR(TODAY())+'תקציבים מיוחדים'!$F$5-HEVARIM[[#This Row],[גיל]],0)</f>
        <v>0</v>
      </c>
      <c r="AF297" s="1">
        <f>IF(AND($S297&gt;="רווק",$Z297=1),AF$4*IF(HEVARIM[[#This Row],[גיל]]&gt;$AF$3,1,(($G297-AF$2)/(AF$3-AF$2))),0)</f>
        <v>0</v>
      </c>
      <c r="AG29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7" s="1">
        <f t="shared" si="19"/>
        <v>0</v>
      </c>
      <c r="AI297" s="2">
        <f ca="1">IF(AH297&gt;0,YEAR(TODAY())+'תקציבים מיוחדים'!$F$7-HEVARIM[[#This Row],[גיל]],0)</f>
        <v>0</v>
      </c>
      <c r="AJ297" s="9">
        <f>IF(AND(ISERROR(VLOOKUP(H297,'[2]ריכוז נתונים'!A:L,1,0)),P297="1     "),1,0)</f>
        <v>0</v>
      </c>
      <c r="AK29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97" s="1">
        <f>IF(AND(VALUE(HEVARIM[[#This Row],[קוד מעמד]])=1,HEVARIM[[#This Row],[ותק מחברה 40]]&lt;25),HEVARIM[[#This Row],[ותק מחברה 40]]/25*הנחות!$C$4,0)</f>
        <v>0</v>
      </c>
      <c r="AM297" s="9" t="str">
        <f ca="1">IF(HEVARIM[[#This Row],[דמי עזיבה 25 שנות ותק]]&gt;0,YEAR(TODAY())+25-ROUNDDOWN(HEVARIM[[#This Row],[ותק מחברה 40]],0),"")</f>
        <v/>
      </c>
      <c r="AN2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7" s="9" t="str">
        <f ca="1">IF(HEVARIM[[#This Row],[דמי עזיבה לגיל 65]]&gt;0,YEAR(TODAY())+64-ROUNDDOWN(HEVARIM[[#This Row],[גיל]],0),"")</f>
        <v/>
      </c>
      <c r="AP297" s="1">
        <f>SUMIF(HEVARIM[קוד תקציב],HEVARIM[[#This Row],[קוד תקציב משפחה מקורי]],HEVARIM[ותק מחברה 40])</f>
        <v>96</v>
      </c>
      <c r="AQ2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297" s="9">
        <f>IF(HEVARIM[[#This Row],[קוד מעמד]]="1     ",IFERROR(VLOOKUP(HEVARIM[[#This Row],[קוד תקציב]],'תקציב צביעה - לקראת השינוי'!A:F,4,0),0),0)</f>
        <v>2034</v>
      </c>
      <c r="AT297" s="1"/>
    </row>
    <row r="298" spans="1:46">
      <c r="A298" t="s">
        <v>1504</v>
      </c>
      <c r="B298" t="s">
        <v>1505</v>
      </c>
      <c r="C298" t="s">
        <v>1506</v>
      </c>
      <c r="D298" t="s">
        <v>108</v>
      </c>
      <c r="E298" t="s">
        <v>79</v>
      </c>
      <c r="F298" s="4">
        <v>25783</v>
      </c>
      <c r="G298">
        <v>55</v>
      </c>
      <c r="H298" t="s">
        <v>1507</v>
      </c>
      <c r="I298" t="s">
        <v>1505</v>
      </c>
      <c r="J298" s="4" t="s">
        <v>70</v>
      </c>
      <c r="K298" s="4" t="s">
        <v>71</v>
      </c>
      <c r="L298" t="s">
        <v>1508</v>
      </c>
      <c r="M298" t="s">
        <v>1504</v>
      </c>
      <c r="N298" t="s">
        <v>1505</v>
      </c>
      <c r="O298">
        <f>IFERROR(VLOOKUP(HEVARIM[[#This Row],[קוד תקציב]],[2]תקציבים!A:L,6,0),0)</f>
        <v>1</v>
      </c>
      <c r="P298" s="5" t="s">
        <v>104</v>
      </c>
      <c r="Q298" t="s">
        <v>11</v>
      </c>
      <c r="R298" s="4">
        <v>34926</v>
      </c>
      <c r="S298" s="4" t="s">
        <v>145</v>
      </c>
      <c r="T298" s="96" t="s">
        <v>1487</v>
      </c>
      <c r="U298" t="str">
        <f>VLOOKUP(HEVARIM[[#This Row],[גיל]],GIL,2,1)</f>
        <v>--</v>
      </c>
      <c r="V298" t="str">
        <f>IF(HEVARIM[[#This Row],[קוד מעמד]]="4     ",IF(HEVARIM[[#This Row],[גיל]]=1,1,IF(HEVARIM[[#This Row],[גיל]]&lt;=5,5,18)),"")</f>
        <v/>
      </c>
      <c r="W298">
        <f t="shared" si="16"/>
        <v>0</v>
      </c>
      <c r="X29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298">
        <f>IF(HEVARIM[[#This Row],[מצב משפחתי2]]="אלמן",'[2]ריכוז נתונים'!$AC$2,0)</f>
        <v>0</v>
      </c>
      <c r="Z298" s="3">
        <f>VLOOKUP(VALUE(HEVARIM[[#This Row],[קוד מעמד]]),הנחות!$I$2:$K$21,3,0)</f>
        <v>0</v>
      </c>
      <c r="AA298" t="b">
        <f>ISERROR(VLOOKUP(HEVARIM[[#This Row],[קוד תקציב]],'[2]ריכוז נתונים'!A:A,1,0))</f>
        <v>0</v>
      </c>
      <c r="AB298" s="1">
        <f t="shared" si="17"/>
        <v>0</v>
      </c>
      <c r="AC298" s="2">
        <f ca="1">IF(HEVARIM[[#This Row],[בר מצוה]]&gt;0,YEAR(TODAY())+'תקציבים מיוחדים'!$F$5-HEVARIM[[#This Row],[גיל]],0)</f>
        <v>0</v>
      </c>
      <c r="AD298" s="1">
        <f t="shared" si="18"/>
        <v>0</v>
      </c>
      <c r="AE298" s="2">
        <f ca="1">IF(HEVARIM[[#This Row],[בת מצוה]]&gt;0,YEAR(TODAY())+'תקציבים מיוחדים'!$F$5-HEVARIM[[#This Row],[גיל]],0)</f>
        <v>0</v>
      </c>
      <c r="AF298" s="1">
        <f>IF(AND($S298&gt;="רווק",$Z298=1),AF$4*IF(HEVARIM[[#This Row],[גיל]]&gt;$AF$3,1,(($G298-AF$2)/(AF$3-AF$2))),0)</f>
        <v>0</v>
      </c>
      <c r="AG29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8" s="1">
        <f t="shared" si="19"/>
        <v>0</v>
      </c>
      <c r="AI298" s="2">
        <f ca="1">IF(AH298&gt;0,YEAR(TODAY())+'תקציבים מיוחדים'!$F$7-HEVARIM[[#This Row],[גיל]],0)</f>
        <v>0</v>
      </c>
      <c r="AJ298" s="9">
        <f>IF(AND(ISERROR(VLOOKUP(H298,'[2]ריכוז נתונים'!A:L,1,0)),P298="1     "),1,0)</f>
        <v>0</v>
      </c>
      <c r="AK298" s="1">
        <f>IF(VALUE(HEVARIM[[#This Row],[קוד מעמד]])=1,VLOOKUP((IF(LEFT(HEVARIM[[#This Row],[קוד חבר]],1)="0",HEVARIM[[#This Row],[קוד חבר]],VALUE(HEVARIM[[#This Row],[קוד חבר]]))),'ותק חברה 40'!AQ:AW,7,0),"")</f>
        <v>36.94</v>
      </c>
      <c r="AL298" s="1">
        <f>IF(AND(VALUE(HEVARIM[[#This Row],[קוד מעמד]])=1,HEVARIM[[#This Row],[ותק מחברה 40]]&lt;25),HEVARIM[[#This Row],[ותק מחברה 40]]/25*הנחות!$C$4,0)</f>
        <v>0</v>
      </c>
      <c r="AM298" s="9" t="str">
        <f ca="1">IF(HEVARIM[[#This Row],[דמי עזיבה 25 שנות ותק]]&gt;0,YEAR(TODAY())+25-ROUNDDOWN(HEVARIM[[#This Row],[ותק מחברה 40]],0),"")</f>
        <v/>
      </c>
      <c r="AN298" s="1">
        <f>IF(AND(VALUE(HEVARIM[[#This Row],[קוד מעמד]])=1,HEVARIM[[#This Row],[ותק מחברה 40]]&gt;25,HEVARIM[[#This Row],[גיל]]&lt;65),הנחות!$C$14+(HEVARIM[[#This Row],[ותק מחברה 40]]-25)*הנחות!$C$10*0.25,0)</f>
        <v>58822.099874999993</v>
      </c>
      <c r="AO298" s="9">
        <f ca="1">IF(HEVARIM[[#This Row],[דמי עזיבה לגיל 65]]&gt;0,YEAR(TODAY())+64-ROUNDDOWN(HEVARIM[[#This Row],[גיל]],0),"")</f>
        <v>2035</v>
      </c>
      <c r="AP298" s="1">
        <f>SUMIF(HEVARIM[קוד תקציב],HEVARIM[[#This Row],[קוד תקציב משפחה מקורי]],HEVARIM[ותק מחברה 40])</f>
        <v>96</v>
      </c>
      <c r="AQ2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4687.5</v>
      </c>
      <c r="AS298" s="9">
        <f>IF(HEVARIM[[#This Row],[קוד מעמד]]="1     ",IFERROR(VLOOKUP(HEVARIM[[#This Row],[קוד תקציב]],'תקציב צביעה - לקראת השינוי'!A:F,4,0),0),0)</f>
        <v>2030</v>
      </c>
      <c r="AT298" s="1"/>
    </row>
    <row r="299" spans="1:46">
      <c r="A299" t="s">
        <v>1493</v>
      </c>
      <c r="B299" t="s">
        <v>1494</v>
      </c>
      <c r="C299" t="s">
        <v>1495</v>
      </c>
      <c r="D299" t="s">
        <v>1496</v>
      </c>
      <c r="E299" t="s">
        <v>67</v>
      </c>
      <c r="F299" s="4">
        <v>18601</v>
      </c>
      <c r="G299">
        <v>75</v>
      </c>
      <c r="H299" t="s">
        <v>1497</v>
      </c>
      <c r="I299" t="s">
        <v>1498</v>
      </c>
      <c r="J299" s="4" t="s">
        <v>70</v>
      </c>
      <c r="K299" s="4" t="s">
        <v>71</v>
      </c>
      <c r="L299" t="s">
        <v>1499</v>
      </c>
      <c r="M299" t="s">
        <v>1493</v>
      </c>
      <c r="N299" t="s">
        <v>1494</v>
      </c>
      <c r="O299">
        <f>IFERROR(VLOOKUP(HEVARIM[[#This Row],[קוד תקציב]],[2]תקציבים!A:L,6,0),0)</f>
        <v>2</v>
      </c>
      <c r="P299" s="5" t="s">
        <v>104</v>
      </c>
      <c r="Q299" t="s">
        <v>11</v>
      </c>
      <c r="R299" s="4">
        <v>25203</v>
      </c>
      <c r="S299" s="4" t="s">
        <v>74</v>
      </c>
      <c r="T299" s="96" t="s">
        <v>1497</v>
      </c>
      <c r="U299" t="str">
        <f>VLOOKUP(HEVARIM[[#This Row],[גיל]],GIL,2,1)</f>
        <v>--</v>
      </c>
      <c r="V299" t="str">
        <f>IF(HEVARIM[[#This Row],[קוד מעמד]]="4     ",IF(HEVARIM[[#This Row],[גיל]]=1,1,IF(HEVARIM[[#This Row],[גיל]]&lt;=5,5,18)),"")</f>
        <v/>
      </c>
      <c r="W299">
        <f t="shared" si="16"/>
        <v>2365</v>
      </c>
      <c r="X29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299">
        <f>IF(HEVARIM[[#This Row],[מצב משפחתי2]]="אלמן",'[2]ריכוז נתונים'!$AC$2,0)</f>
        <v>0</v>
      </c>
      <c r="Z299" s="3">
        <f>VLOOKUP(VALUE(HEVARIM[[#This Row],[קוד מעמד]]),הנחות!$I$2:$K$21,3,0)</f>
        <v>0</v>
      </c>
      <c r="AA299" t="b">
        <f>ISERROR(VLOOKUP(HEVARIM[[#This Row],[קוד תקציב]],'[2]ריכוז נתונים'!A:A,1,0))</f>
        <v>0</v>
      </c>
      <c r="AB299" s="1">
        <f t="shared" si="17"/>
        <v>0</v>
      </c>
      <c r="AC299" s="2">
        <f ca="1">IF(HEVARIM[[#This Row],[בר מצוה]]&gt;0,YEAR(TODAY())+'תקציבים מיוחדים'!$F$5-HEVARIM[[#This Row],[גיל]],0)</f>
        <v>0</v>
      </c>
      <c r="AD299" s="1">
        <f t="shared" si="18"/>
        <v>0</v>
      </c>
      <c r="AE299" s="2">
        <f ca="1">IF(HEVARIM[[#This Row],[בת מצוה]]&gt;0,YEAR(TODAY())+'תקציבים מיוחדים'!$F$5-HEVARIM[[#This Row],[גיל]],0)</f>
        <v>0</v>
      </c>
      <c r="AF299" s="1">
        <f>IF(AND($S299&gt;="רווק",$Z299=1),AF$4*IF(HEVARIM[[#This Row],[גיל]]&gt;$AF$3,1,(($G299-AF$2)/(AF$3-AF$2))),0)</f>
        <v>0</v>
      </c>
      <c r="AG29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299" s="1">
        <f t="shared" si="19"/>
        <v>0</v>
      </c>
      <c r="AI299" s="2">
        <f ca="1">IF(AH299&gt;0,YEAR(TODAY())+'תקציבים מיוחדים'!$F$7-HEVARIM[[#This Row],[גיל]],0)</f>
        <v>0</v>
      </c>
      <c r="AJ299" s="9">
        <f>IF(AND(ISERROR(VLOOKUP(H299,'[2]ריכוז נתונים'!A:L,1,0)),P299="1     "),1,0)</f>
        <v>0</v>
      </c>
      <c r="AK299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299" s="1">
        <f>IF(AND(VALUE(HEVARIM[[#This Row],[קוד מעמד]])=1,HEVARIM[[#This Row],[ותק מחברה 40]]&lt;25),HEVARIM[[#This Row],[ותק מחברה 40]]/25*הנחות!$C$4,0)</f>
        <v>0</v>
      </c>
      <c r="AM299" s="9" t="str">
        <f ca="1">IF(HEVARIM[[#This Row],[דמי עזיבה 25 שנות ותק]]&gt;0,YEAR(TODAY())+25-ROUNDDOWN(HEVARIM[[#This Row],[ותק מחברה 40]],0),"")</f>
        <v/>
      </c>
      <c r="AN29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299" s="9" t="str">
        <f ca="1">IF(HEVARIM[[#This Row],[דמי עזיבה לגיל 65]]&gt;0,YEAR(TODAY())+64-ROUNDDOWN(HEVARIM[[#This Row],[גיל]],0),"")</f>
        <v/>
      </c>
      <c r="AP299" s="1">
        <f>SUMIF(HEVARIM[קוד תקציב],HEVARIM[[#This Row],[קוד תקציב משפחה מקורי]],HEVARIM[ותק מחברה 40])</f>
        <v>96</v>
      </c>
      <c r="AQ2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2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299" s="9">
        <f>IF(HEVARIM[[#This Row],[קוד מעמד]]="1     ",IFERROR(VLOOKUP(HEVARIM[[#This Row],[קוד תקציב]],'תקציב צביעה - לקראת השינוי'!A:F,4,0),0),0)</f>
        <v>2033</v>
      </c>
      <c r="AT299" s="1"/>
    </row>
    <row r="300" spans="1:46">
      <c r="A300" t="s">
        <v>1500</v>
      </c>
      <c r="B300" t="s">
        <v>1501</v>
      </c>
      <c r="C300" t="s">
        <v>1495</v>
      </c>
      <c r="D300" t="s">
        <v>1502</v>
      </c>
      <c r="E300" t="s">
        <v>79</v>
      </c>
      <c r="F300" s="4">
        <v>18773</v>
      </c>
      <c r="G300">
        <v>74</v>
      </c>
      <c r="H300" t="s">
        <v>1497</v>
      </c>
      <c r="I300" t="s">
        <v>1498</v>
      </c>
      <c r="J300" s="4" t="s">
        <v>70</v>
      </c>
      <c r="K300" s="4" t="s">
        <v>71</v>
      </c>
      <c r="L300" t="s">
        <v>1503</v>
      </c>
      <c r="M300" t="s">
        <v>1493</v>
      </c>
      <c r="N300" t="s">
        <v>1494</v>
      </c>
      <c r="O300">
        <f>IFERROR(VLOOKUP(HEVARIM[[#This Row],[קוד תקציב]],[2]תקציבים!A:L,6,0),0)</f>
        <v>2</v>
      </c>
      <c r="P300" s="5" t="s">
        <v>104</v>
      </c>
      <c r="Q300" t="s">
        <v>11</v>
      </c>
      <c r="R300" s="4">
        <v>27029</v>
      </c>
      <c r="S300" s="4" t="s">
        <v>74</v>
      </c>
      <c r="T300" s="96" t="s">
        <v>1497</v>
      </c>
      <c r="U300" t="str">
        <f>VLOOKUP(HEVARIM[[#This Row],[גיל]],GIL,2,1)</f>
        <v>--</v>
      </c>
      <c r="V300" t="str">
        <f>IF(HEVARIM[[#This Row],[קוד מעמד]]="4     ",IF(HEVARIM[[#This Row],[גיל]]=1,1,IF(HEVARIM[[#This Row],[גיל]]&lt;=5,5,18)),"")</f>
        <v/>
      </c>
      <c r="W300">
        <f t="shared" si="16"/>
        <v>2365</v>
      </c>
      <c r="X30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00">
        <f>IF(HEVARIM[[#This Row],[מצב משפחתי2]]="אלמן",'[2]ריכוז נתונים'!$AC$2,0)</f>
        <v>0</v>
      </c>
      <c r="Z300" s="3">
        <f>VLOOKUP(VALUE(HEVARIM[[#This Row],[קוד מעמד]]),הנחות!$I$2:$K$21,3,0)</f>
        <v>0</v>
      </c>
      <c r="AA300" t="b">
        <f>ISERROR(VLOOKUP(HEVARIM[[#This Row],[קוד תקציב]],'[2]ריכוז נתונים'!A:A,1,0))</f>
        <v>0</v>
      </c>
      <c r="AB300" s="1">
        <f t="shared" si="17"/>
        <v>0</v>
      </c>
      <c r="AC300" s="2">
        <f ca="1">IF(HEVARIM[[#This Row],[בר מצוה]]&gt;0,YEAR(TODAY())+'תקציבים מיוחדים'!$F$5-HEVARIM[[#This Row],[גיל]],0)</f>
        <v>0</v>
      </c>
      <c r="AD300" s="1">
        <f t="shared" si="18"/>
        <v>0</v>
      </c>
      <c r="AE300" s="2">
        <f ca="1">IF(HEVARIM[[#This Row],[בת מצוה]]&gt;0,YEAR(TODAY())+'תקציבים מיוחדים'!$F$5-HEVARIM[[#This Row],[גיל]],0)</f>
        <v>0</v>
      </c>
      <c r="AF300" s="1">
        <f>IF(AND($S300&gt;="רווק",$Z300=1),AF$4*IF(HEVARIM[[#This Row],[גיל]]&gt;$AF$3,1,(($G300-AF$2)/(AF$3-AF$2))),0)</f>
        <v>0</v>
      </c>
      <c r="AG30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00" s="1">
        <f t="shared" si="19"/>
        <v>0</v>
      </c>
      <c r="AI300" s="2">
        <f ca="1">IF(AH300&gt;0,YEAR(TODAY())+'תקציבים מיוחדים'!$F$7-HEVARIM[[#This Row],[גיל]],0)</f>
        <v>0</v>
      </c>
      <c r="AJ300" s="9">
        <f>IF(AND(ISERROR(VLOOKUP(H300,'[2]ריכוז נתונים'!A:L,1,0)),P300="1     "),1,0)</f>
        <v>0</v>
      </c>
      <c r="AK30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300" s="1">
        <f>IF(AND(VALUE(HEVARIM[[#This Row],[קוד מעמד]])=1,HEVARIM[[#This Row],[ותק מחברה 40]]&lt;25),HEVARIM[[#This Row],[ותק מחברה 40]]/25*הנחות!$C$4,0)</f>
        <v>0</v>
      </c>
      <c r="AM300" s="9" t="str">
        <f ca="1">IF(HEVARIM[[#This Row],[דמי עזיבה 25 שנות ותק]]&gt;0,YEAR(TODAY())+25-ROUNDDOWN(HEVARIM[[#This Row],[ותק מחברה 40]],0),"")</f>
        <v/>
      </c>
      <c r="AN3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0" s="9" t="str">
        <f ca="1">IF(HEVARIM[[#This Row],[דמי עזיבה לגיל 65]]&gt;0,YEAR(TODAY())+64-ROUNDDOWN(HEVARIM[[#This Row],[גיל]],0),"")</f>
        <v/>
      </c>
      <c r="AP300" s="1">
        <f>SUMIF(HEVARIM[קוד תקציב],HEVARIM[[#This Row],[קוד תקציב משפחה מקורי]],HEVARIM[ותק מחברה 40])</f>
        <v>96</v>
      </c>
      <c r="AQ3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300" s="9">
        <f>IF(HEVARIM[[#This Row],[קוד מעמד]]="1     ",IFERROR(VLOOKUP(HEVARIM[[#This Row],[קוד תקציב]],'תקציב צביעה - לקראת השינוי'!A:F,4,0),0),0)</f>
        <v>2033</v>
      </c>
      <c r="AT300" s="1"/>
    </row>
    <row r="301" spans="1:46">
      <c r="A301" t="s">
        <v>3136</v>
      </c>
      <c r="B301" t="s">
        <v>3137</v>
      </c>
      <c r="C301" t="s">
        <v>3131</v>
      </c>
      <c r="D301" t="s">
        <v>155</v>
      </c>
      <c r="E301" t="s">
        <v>79</v>
      </c>
      <c r="F301" s="4">
        <v>27445</v>
      </c>
      <c r="G301">
        <v>50</v>
      </c>
      <c r="H301" t="s">
        <v>3133</v>
      </c>
      <c r="I301" t="s">
        <v>3134</v>
      </c>
      <c r="J301" s="4" t="s">
        <v>70</v>
      </c>
      <c r="K301" s="4" t="s">
        <v>71</v>
      </c>
      <c r="L301" t="s">
        <v>3138</v>
      </c>
      <c r="M301" t="s">
        <v>3129</v>
      </c>
      <c r="N301" t="s">
        <v>3130</v>
      </c>
      <c r="O301">
        <f>IFERROR(VLOOKUP(HEVARIM[[#This Row],[קוד תקציב]],[2]תקציבים!A:L,6,0),0)</f>
        <v>1</v>
      </c>
      <c r="P301" s="5" t="s">
        <v>104</v>
      </c>
      <c r="Q301" t="s">
        <v>11</v>
      </c>
      <c r="R301" s="4">
        <v>35186</v>
      </c>
      <c r="S301" s="4" t="s">
        <v>74</v>
      </c>
      <c r="T301" s="96" t="s">
        <v>1497</v>
      </c>
      <c r="U301" t="str">
        <f>VLOOKUP(HEVARIM[[#This Row],[גיל]],GIL,2,1)</f>
        <v>--</v>
      </c>
      <c r="V301" t="str">
        <f>IF(HEVARIM[[#This Row],[קוד מעמד]]="4     ",IF(HEVARIM[[#This Row],[גיל]]=1,1,IF(HEVARIM[[#This Row],[גיל]]&lt;=5,5,18)),"")</f>
        <v/>
      </c>
      <c r="W301">
        <f t="shared" si="16"/>
        <v>0</v>
      </c>
      <c r="X3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1">
        <f>IF(HEVARIM[[#This Row],[מצב משפחתי2]]="אלמן",'[2]ריכוז נתונים'!$AC$2,0)</f>
        <v>0</v>
      </c>
      <c r="Z301" s="3">
        <f>VLOOKUP(VALUE(HEVARIM[[#This Row],[קוד מעמד]]),הנחות!$I$2:$K$21,3,0)</f>
        <v>0</v>
      </c>
      <c r="AA301" t="b">
        <f>ISERROR(VLOOKUP(HEVARIM[[#This Row],[קוד תקציב]],'[2]ריכוז נתונים'!A:A,1,0))</f>
        <v>0</v>
      </c>
      <c r="AB301" s="1">
        <f t="shared" si="17"/>
        <v>0</v>
      </c>
      <c r="AC301" s="2">
        <f ca="1">IF(HEVARIM[[#This Row],[בר מצוה]]&gt;0,YEAR(TODAY())+'תקציבים מיוחדים'!$F$5-HEVARIM[[#This Row],[גיל]],0)</f>
        <v>0</v>
      </c>
      <c r="AD301" s="1">
        <f t="shared" si="18"/>
        <v>0</v>
      </c>
      <c r="AE301" s="2">
        <f ca="1">IF(HEVARIM[[#This Row],[בת מצוה]]&gt;0,YEAR(TODAY())+'תקציבים מיוחדים'!$F$5-HEVARIM[[#This Row],[גיל]],0)</f>
        <v>0</v>
      </c>
      <c r="AF301" s="1">
        <f>IF(AND($S301&gt;="רווק",$Z301=1),AF$4*IF(HEVARIM[[#This Row],[גיל]]&gt;$AF$3,1,(($G301-AF$2)/(AF$3-AF$2))),0)</f>
        <v>0</v>
      </c>
      <c r="AG30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01" s="1">
        <f t="shared" si="19"/>
        <v>0</v>
      </c>
      <c r="AI301" s="2">
        <f ca="1">IF(AH301&gt;0,YEAR(TODAY())+'תקציבים מיוחדים'!$F$7-HEVARIM[[#This Row],[גיל]],0)</f>
        <v>0</v>
      </c>
      <c r="AJ301" s="9">
        <f>IF(AND(ISERROR(VLOOKUP(H301,'[2]ריכוז נתונים'!A:L,1,0)),P301="1     "),1,0)</f>
        <v>0</v>
      </c>
      <c r="AK301" s="1">
        <f>IF(VALUE(HEVARIM[[#This Row],[קוד מעמד]])=1,VLOOKUP((IF(LEFT(HEVARIM[[#This Row],[קוד חבר]],1)="0",HEVARIM[[#This Row],[קוד חבר]],VALUE(HEVARIM[[#This Row],[קוד חבר]]))),'ותק חברה 40'!AQ:AW,7,0),"")</f>
        <v>31.94</v>
      </c>
      <c r="AL301" s="1">
        <f>IF(AND(VALUE(HEVARIM[[#This Row],[קוד מעמד]])=1,HEVARIM[[#This Row],[ותק מחברה 40]]&lt;25),HEVARIM[[#This Row],[ותק מחברה 40]]/25*הנחות!$C$4,0)</f>
        <v>0</v>
      </c>
      <c r="AM301" s="9" t="str">
        <f ca="1">IF(HEVARIM[[#This Row],[דמי עזיבה 25 שנות ותק]]&gt;0,YEAR(TODAY())+25-ROUNDDOWN(HEVARIM[[#This Row],[ותק מחברה 40]],0),"")</f>
        <v/>
      </c>
      <c r="AN301" s="1">
        <f>IF(AND(VALUE(HEVARIM[[#This Row],[קוד מעמד]])=1,HEVARIM[[#This Row],[ותק מחברה 40]]&gt;25,HEVARIM[[#This Row],[גיל]]&lt;65),הנחות!$C$14+(HEVARIM[[#This Row],[ותק מחברה 40]]-25)*הנחות!$C$10*0.25,0)</f>
        <v>45416.881125</v>
      </c>
      <c r="AO301" s="9">
        <f ca="1">IF(HEVARIM[[#This Row],[דמי עזיבה לגיל 65]]&gt;0,YEAR(TODAY())+64-ROUNDDOWN(HEVARIM[[#This Row],[גיל]],0),"")</f>
        <v>2040</v>
      </c>
      <c r="AP301" s="1">
        <f>SUMIF(HEVARIM[קוד תקציב],HEVARIM[[#This Row],[קוד תקציב משפחה מקורי]],HEVARIM[ותק מחברה 40])</f>
        <v>96</v>
      </c>
      <c r="AQ3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301" s="9">
        <f>IF(HEVARIM[[#This Row],[קוד מעמד]]="1     ",IFERROR(VLOOKUP(HEVARIM[[#This Row],[קוד תקציב]],'תקציב צביעה - לקראת השינוי'!A:F,4,0),0),0)</f>
        <v>2033</v>
      </c>
      <c r="AT301" s="1"/>
    </row>
    <row r="302" spans="1:46">
      <c r="A302" t="s">
        <v>1509</v>
      </c>
      <c r="B302" t="s">
        <v>1510</v>
      </c>
      <c r="C302" t="s">
        <v>1506</v>
      </c>
      <c r="D302" t="s">
        <v>341</v>
      </c>
      <c r="E302" t="s">
        <v>67</v>
      </c>
      <c r="F302" s="4">
        <v>39607</v>
      </c>
      <c r="G302">
        <v>17</v>
      </c>
      <c r="H302" t="s">
        <v>1507</v>
      </c>
      <c r="I302" t="s">
        <v>1505</v>
      </c>
      <c r="J302" s="4" t="s">
        <v>70</v>
      </c>
      <c r="K302" s="4" t="s">
        <v>71</v>
      </c>
      <c r="L302" t="s">
        <v>1511</v>
      </c>
      <c r="M302" t="s">
        <v>1504</v>
      </c>
      <c r="N302" t="s">
        <v>1505</v>
      </c>
      <c r="O302">
        <f>IFERROR(VLOOKUP(HEVARIM[[#This Row],[קוד תקציב]],[2]תקציבים!A:L,6,0),0)</f>
        <v>1</v>
      </c>
      <c r="P302" s="5" t="s">
        <v>227</v>
      </c>
      <c r="Q302" t="s">
        <v>14</v>
      </c>
      <c r="R302" s="4">
        <v>39607</v>
      </c>
      <c r="S302" s="4" t="s">
        <v>90</v>
      </c>
      <c r="T302" s="96" t="s">
        <v>1507</v>
      </c>
      <c r="U302" t="str">
        <f>VLOOKUP(HEVARIM[[#This Row],[גיל]],GIL,2,1)</f>
        <v>תיכון</v>
      </c>
      <c r="V302">
        <f>IF(HEVARIM[[#This Row],[קוד מעמד]]="4     ",IF(HEVARIM[[#This Row],[גיל]]=1,1,IF(HEVARIM[[#This Row],[גיל]]&lt;=5,5,18)),"")</f>
        <v>18</v>
      </c>
      <c r="W302">
        <f t="shared" si="16"/>
        <v>0</v>
      </c>
      <c r="X30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2">
        <f>IF(HEVARIM[[#This Row],[מצב משפחתי2]]="אלמן",'[2]ריכוז נתונים'!$AC$2,0)</f>
        <v>0</v>
      </c>
      <c r="Z302" s="3">
        <f>VLOOKUP(VALUE(HEVARIM[[#This Row],[קוד מעמד]]),הנחות!$I$2:$K$21,3,0)</f>
        <v>1</v>
      </c>
      <c r="AA302" t="b">
        <f>ISERROR(VLOOKUP(HEVARIM[[#This Row],[קוד תקציב]],'[2]ריכוז נתונים'!A:A,1,0))</f>
        <v>0</v>
      </c>
      <c r="AB302" s="1">
        <f t="shared" si="17"/>
        <v>0</v>
      </c>
      <c r="AC302" s="2">
        <f ca="1">IF(HEVARIM[[#This Row],[בר מצוה]]&gt;0,YEAR(TODAY())+'תקציבים מיוחדים'!$F$5-HEVARIM[[#This Row],[גיל]],0)</f>
        <v>0</v>
      </c>
      <c r="AD302" s="1">
        <f t="shared" si="18"/>
        <v>0</v>
      </c>
      <c r="AE302" s="2">
        <f ca="1">IF(HEVARIM[[#This Row],[בת מצוה]]&gt;0,YEAR(TODAY())+'תקציבים מיוחדים'!$F$5-HEVARIM[[#This Row],[גיל]],0)</f>
        <v>0</v>
      </c>
      <c r="AF302" s="1">
        <f>IF(AND($S302&gt;="רווק",$Z302=1),AF$4*IF(HEVARIM[[#This Row],[גיל]]&gt;$AF$3,1,(($G302-AF$2)/(AF$3-AF$2))),0)</f>
        <v>48986.309523809527</v>
      </c>
      <c r="AG302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302" s="1">
        <f t="shared" si="19"/>
        <v>85476.404761904763</v>
      </c>
      <c r="AI302" s="2">
        <f ca="1">IF(AH302&gt;0,YEAR(TODAY())+'תקציבים מיוחדים'!$F$7-HEVARIM[[#This Row],[גיל]],0)</f>
        <v>2030</v>
      </c>
      <c r="AJ302" s="9">
        <f>IF(AND(ISERROR(VLOOKUP(H302,'[2]ריכוז נתונים'!A:L,1,0)),P302="1     "),1,0)</f>
        <v>0</v>
      </c>
      <c r="AK30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2" s="1">
        <f>IF(AND(VALUE(HEVARIM[[#This Row],[קוד מעמד]])=1,HEVARIM[[#This Row],[ותק מחברה 40]]&lt;25),HEVARIM[[#This Row],[ותק מחברה 40]]/25*הנחות!$C$4,0)</f>
        <v>0</v>
      </c>
      <c r="AM302" s="9" t="str">
        <f ca="1">IF(HEVARIM[[#This Row],[דמי עזיבה 25 שנות ותק]]&gt;0,YEAR(TODAY())+25-ROUNDDOWN(HEVARIM[[#This Row],[ותק מחברה 40]],0),"")</f>
        <v/>
      </c>
      <c r="AN3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2" s="9" t="str">
        <f ca="1">IF(HEVARIM[[#This Row],[דמי עזיבה לגיל 65]]&gt;0,YEAR(TODAY())+64-ROUNDDOWN(HEVARIM[[#This Row],[גיל]],0),"")</f>
        <v/>
      </c>
      <c r="AP302" s="1">
        <f>SUMIF(HEVARIM[קוד תקציב],HEVARIM[[#This Row],[קוד תקציב משפחה מקורי]],HEVARIM[ותק מחברה 40])</f>
        <v>36.94</v>
      </c>
      <c r="AQ3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2" s="9">
        <f>IF(HEVARIM[[#This Row],[קוד מעמד]]="1     ",IFERROR(VLOOKUP(HEVARIM[[#This Row],[קוד תקציב]],'תקציב צביעה - לקראת השינוי'!A:F,4,0),0),0)</f>
        <v>0</v>
      </c>
      <c r="AT302" s="1"/>
    </row>
    <row r="303" spans="1:46">
      <c r="A303" t="s">
        <v>1512</v>
      </c>
      <c r="B303" t="s">
        <v>1513</v>
      </c>
      <c r="C303" t="s">
        <v>1506</v>
      </c>
      <c r="D303" t="s">
        <v>387</v>
      </c>
      <c r="E303" t="s">
        <v>79</v>
      </c>
      <c r="F303" s="4">
        <v>39607</v>
      </c>
      <c r="G303">
        <v>17</v>
      </c>
      <c r="H303" t="s">
        <v>1507</v>
      </c>
      <c r="I303" t="s">
        <v>1505</v>
      </c>
      <c r="J303" s="4" t="s">
        <v>70</v>
      </c>
      <c r="K303" s="4" t="s">
        <v>71</v>
      </c>
      <c r="L303" t="s">
        <v>1514</v>
      </c>
      <c r="M303" t="s">
        <v>1504</v>
      </c>
      <c r="N303" t="s">
        <v>1505</v>
      </c>
      <c r="O303">
        <f>IFERROR(VLOOKUP(HEVARIM[[#This Row],[קוד תקציב]],[2]תקציבים!A:L,6,0),0)</f>
        <v>1</v>
      </c>
      <c r="P303" s="5" t="s">
        <v>227</v>
      </c>
      <c r="Q303" t="s">
        <v>14</v>
      </c>
      <c r="R303" s="4">
        <v>39607</v>
      </c>
      <c r="S303" s="4" t="s">
        <v>90</v>
      </c>
      <c r="T303" s="96" t="s">
        <v>1507</v>
      </c>
      <c r="U303" t="str">
        <f>VLOOKUP(HEVARIM[[#This Row],[גיל]],GIL,2,1)</f>
        <v>תיכון</v>
      </c>
      <c r="V303">
        <f>IF(HEVARIM[[#This Row],[קוד מעמד]]="4     ",IF(HEVARIM[[#This Row],[גיל]]=1,1,IF(HEVARIM[[#This Row],[גיל]]&lt;=5,5,18)),"")</f>
        <v>18</v>
      </c>
      <c r="W303">
        <f t="shared" si="16"/>
        <v>0</v>
      </c>
      <c r="X30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3">
        <f>IF(HEVARIM[[#This Row],[מצב משפחתי2]]="אלמן",'[2]ריכוז נתונים'!$AC$2,0)</f>
        <v>0</v>
      </c>
      <c r="Z303" s="3">
        <f>VLOOKUP(VALUE(HEVARIM[[#This Row],[קוד מעמד]]),הנחות!$I$2:$K$21,3,0)</f>
        <v>1</v>
      </c>
      <c r="AA303" t="b">
        <f>ISERROR(VLOOKUP(HEVARIM[[#This Row],[קוד תקציב]],'[2]ריכוז נתונים'!A:A,1,0))</f>
        <v>0</v>
      </c>
      <c r="AB303" s="1">
        <f t="shared" si="17"/>
        <v>0</v>
      </c>
      <c r="AC303" s="2">
        <f ca="1">IF(HEVARIM[[#This Row],[בר מצוה]]&gt;0,YEAR(TODAY())+'תקציבים מיוחדים'!$F$5-HEVARIM[[#This Row],[גיל]],0)</f>
        <v>0</v>
      </c>
      <c r="AD303" s="1">
        <f t="shared" si="18"/>
        <v>0</v>
      </c>
      <c r="AE303" s="2">
        <f ca="1">IF(HEVARIM[[#This Row],[בת מצוה]]&gt;0,YEAR(TODAY())+'תקציבים מיוחדים'!$F$5-HEVARIM[[#This Row],[גיל]],0)</f>
        <v>0</v>
      </c>
      <c r="AF303" s="1">
        <f>IF(AND($S303&gt;="רווק",$Z303=1),AF$4*IF(HEVARIM[[#This Row],[גיל]]&gt;$AF$3,1,(($G303-AF$2)/(AF$3-AF$2))),0)</f>
        <v>48986.309523809527</v>
      </c>
      <c r="AG303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303" s="1">
        <f t="shared" si="19"/>
        <v>85476.404761904763</v>
      </c>
      <c r="AI303" s="2">
        <f ca="1">IF(AH303&gt;0,YEAR(TODAY())+'תקציבים מיוחדים'!$F$7-HEVARIM[[#This Row],[גיל]],0)</f>
        <v>2030</v>
      </c>
      <c r="AJ303" s="9">
        <f>IF(AND(ISERROR(VLOOKUP(H303,'[2]ריכוז נתונים'!A:L,1,0)),P303="1     "),1,0)</f>
        <v>0</v>
      </c>
      <c r="AK30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3" s="1">
        <f>IF(AND(VALUE(HEVARIM[[#This Row],[קוד מעמד]])=1,HEVARIM[[#This Row],[ותק מחברה 40]]&lt;25),HEVARIM[[#This Row],[ותק מחברה 40]]/25*הנחות!$C$4,0)</f>
        <v>0</v>
      </c>
      <c r="AM303" s="9" t="str">
        <f ca="1">IF(HEVARIM[[#This Row],[דמי עזיבה 25 שנות ותק]]&gt;0,YEAR(TODAY())+25-ROUNDDOWN(HEVARIM[[#This Row],[ותק מחברה 40]],0),"")</f>
        <v/>
      </c>
      <c r="AN3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3" s="9" t="str">
        <f ca="1">IF(HEVARIM[[#This Row],[דמי עזיבה לגיל 65]]&gt;0,YEAR(TODAY())+64-ROUNDDOWN(HEVARIM[[#This Row],[גיל]],0),"")</f>
        <v/>
      </c>
      <c r="AP303" s="1">
        <f>SUMIF(HEVARIM[קוד תקציב],HEVARIM[[#This Row],[קוד תקציב משפחה מקורי]],HEVARIM[ותק מחברה 40])</f>
        <v>36.94</v>
      </c>
      <c r="AQ3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3" s="9">
        <f>IF(HEVARIM[[#This Row],[קוד מעמד]]="1     ",IFERROR(VLOOKUP(HEVARIM[[#This Row],[קוד תקציב]],'תקציב צביעה - לקראת השינוי'!A:F,4,0),0),0)</f>
        <v>0</v>
      </c>
      <c r="AT303" s="1"/>
    </row>
    <row r="304" spans="1:46">
      <c r="A304" t="s">
        <v>1532</v>
      </c>
      <c r="B304" t="s">
        <v>1533</v>
      </c>
      <c r="C304" t="s">
        <v>1506</v>
      </c>
      <c r="D304" t="s">
        <v>1534</v>
      </c>
      <c r="E304" t="s">
        <v>79</v>
      </c>
      <c r="F304" s="4">
        <v>36764</v>
      </c>
      <c r="G304">
        <v>25</v>
      </c>
      <c r="H304" t="s">
        <v>3764</v>
      </c>
      <c r="I304" t="s">
        <v>3765</v>
      </c>
      <c r="J304" s="4" t="s">
        <v>70</v>
      </c>
      <c r="K304" s="4" t="s">
        <v>81</v>
      </c>
      <c r="L304" t="s">
        <v>1535</v>
      </c>
      <c r="M304" t="s">
        <v>1532</v>
      </c>
      <c r="N304" t="s">
        <v>1533</v>
      </c>
      <c r="O304">
        <f>IFERROR(VLOOKUP(HEVARIM[[#This Row],[קוד תקציב]],[2]תקציבים!A:L,6,0),0)</f>
        <v>0</v>
      </c>
      <c r="P304" s="5" t="s">
        <v>129</v>
      </c>
      <c r="Q304" t="s">
        <v>26</v>
      </c>
      <c r="R304" s="4">
        <v>45861</v>
      </c>
      <c r="S304" s="4" t="s">
        <v>90</v>
      </c>
      <c r="T304" s="96" t="s">
        <v>1507</v>
      </c>
      <c r="U304" t="str">
        <f>VLOOKUP(HEVARIM[[#This Row],[גיל]],GIL,2,1)</f>
        <v>--</v>
      </c>
      <c r="V304" t="str">
        <f>IF(HEVARIM[[#This Row],[קוד מעמד]]="4     ",IF(HEVARIM[[#This Row],[גיל]]=1,1,IF(HEVARIM[[#This Row],[גיל]]&lt;=5,5,18)),"")</f>
        <v/>
      </c>
      <c r="W304">
        <f t="shared" si="16"/>
        <v>0</v>
      </c>
      <c r="X30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4">
        <f>IF(HEVARIM[[#This Row],[מצב משפחתי2]]="אלמן",'[2]ריכוז נתונים'!$AC$2,0)</f>
        <v>0</v>
      </c>
      <c r="Z304" s="3">
        <f>VLOOKUP(VALUE(HEVARIM[[#This Row],[קוד מעמד]]),הנחות!$I$2:$K$21,3,0)</f>
        <v>1</v>
      </c>
      <c r="AA304" t="b">
        <f>ISERROR(VLOOKUP(HEVARIM[[#This Row],[קוד תקציב]],'[2]ריכוז נתונים'!A:A,1,0))</f>
        <v>1</v>
      </c>
      <c r="AB304" s="1">
        <f t="shared" si="17"/>
        <v>0</v>
      </c>
      <c r="AC304" s="2">
        <f ca="1">IF(HEVARIM[[#This Row],[בר מצוה]]&gt;0,YEAR(TODAY())+'תקציבים מיוחדים'!$F$5-HEVARIM[[#This Row],[גיל]],0)</f>
        <v>0</v>
      </c>
      <c r="AD304" s="1">
        <f t="shared" si="18"/>
        <v>0</v>
      </c>
      <c r="AE304" s="2">
        <f ca="1">IF(HEVARIM[[#This Row],[בת מצוה]]&gt;0,YEAR(TODAY())+'תקציבים מיוחדים'!$F$5-HEVARIM[[#This Row],[גיל]],0)</f>
        <v>0</v>
      </c>
      <c r="AF304" s="1">
        <f>IF(AND($S304&gt;="רווק",$Z304=1),AF$4*IF(HEVARIM[[#This Row],[גיל]]&gt;$AF$3,1,(($G304-AF$2)/(AF$3-AF$2))),0)</f>
        <v>60512.5</v>
      </c>
      <c r="AG304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04" s="1">
        <f t="shared" si="19"/>
        <v>0</v>
      </c>
      <c r="AI304" s="2">
        <f ca="1">IF(AH304&gt;0,YEAR(TODAY())+'תקציבים מיוחדים'!$F$7-HEVARIM[[#This Row],[גיל]],0)</f>
        <v>0</v>
      </c>
      <c r="AJ304" s="9">
        <f>IF(AND(ISERROR(VLOOKUP(H304,'[2]ריכוז נתונים'!A:L,1,0)),P304="1     "),1,0)</f>
        <v>0</v>
      </c>
      <c r="AK30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4" s="1">
        <f>IF(AND(VALUE(HEVARIM[[#This Row],[קוד מעמד]])=1,HEVARIM[[#This Row],[ותק מחברה 40]]&lt;25),HEVARIM[[#This Row],[ותק מחברה 40]]/25*הנחות!$C$4,0)</f>
        <v>0</v>
      </c>
      <c r="AM304" s="9" t="str">
        <f ca="1">IF(HEVARIM[[#This Row],[דמי עזיבה 25 שנות ותק]]&gt;0,YEAR(TODAY())+25-ROUNDDOWN(HEVARIM[[#This Row],[ותק מחברה 40]],0),"")</f>
        <v/>
      </c>
      <c r="AN3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4" s="9" t="str">
        <f ca="1">IF(HEVARIM[[#This Row],[דמי עזיבה לגיל 65]]&gt;0,YEAR(TODAY())+64-ROUNDDOWN(HEVARIM[[#This Row],[גיל]],0),"")</f>
        <v/>
      </c>
      <c r="AP304" s="1">
        <f>SUMIF(HEVARIM[קוד תקציב],HEVARIM[[#This Row],[קוד תקציב משפחה מקורי]],HEVARIM[ותק מחברה 40])</f>
        <v>36.94</v>
      </c>
      <c r="AQ3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4" s="9">
        <f>IF(HEVARIM[[#This Row],[קוד מעמד]]="1     ",IFERROR(VLOOKUP(HEVARIM[[#This Row],[קוד תקציב]],'תקציב צביעה - לקראת השינוי'!A:F,4,0),0),0)</f>
        <v>0</v>
      </c>
      <c r="AT304" s="1"/>
    </row>
    <row r="305" spans="1:46">
      <c r="A305" t="s">
        <v>1550</v>
      </c>
      <c r="B305" t="s">
        <v>1551</v>
      </c>
      <c r="C305" t="s">
        <v>1506</v>
      </c>
      <c r="D305" t="s">
        <v>462</v>
      </c>
      <c r="E305" t="s">
        <v>67</v>
      </c>
      <c r="F305" s="4">
        <v>37677</v>
      </c>
      <c r="G305">
        <v>22</v>
      </c>
      <c r="H305" t="s">
        <v>1552</v>
      </c>
      <c r="I305" t="s">
        <v>1551</v>
      </c>
      <c r="J305" s="4" t="s">
        <v>70</v>
      </c>
      <c r="K305" s="4" t="s">
        <v>71</v>
      </c>
      <c r="L305" t="s">
        <v>1553</v>
      </c>
      <c r="M305" t="s">
        <v>1550</v>
      </c>
      <c r="N305" t="s">
        <v>1551</v>
      </c>
      <c r="O305">
        <f>IFERROR(VLOOKUP(HEVARIM[[#This Row],[קוד תקציב]],[2]תקציבים!A:L,6,0),0)</f>
        <v>0</v>
      </c>
      <c r="P305" s="5" t="s">
        <v>73</v>
      </c>
      <c r="Q305" t="s">
        <v>27</v>
      </c>
      <c r="R305" s="4">
        <v>45762</v>
      </c>
      <c r="S305" s="4" t="s">
        <v>90</v>
      </c>
      <c r="T305" s="96" t="s">
        <v>1507</v>
      </c>
      <c r="U305" t="str">
        <f>VLOOKUP(HEVARIM[[#This Row],[גיל]],GIL,2,1)</f>
        <v>--</v>
      </c>
      <c r="V305" t="str">
        <f>IF(HEVARIM[[#This Row],[קוד מעמד]]="4     ",IF(HEVARIM[[#This Row],[גיל]]=1,1,IF(HEVARIM[[#This Row],[גיל]]&lt;=5,5,18)),"")</f>
        <v/>
      </c>
      <c r="W305">
        <f t="shared" si="16"/>
        <v>0</v>
      </c>
      <c r="X3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5">
        <f>IF(HEVARIM[[#This Row],[מצב משפחתי2]]="אלמן",'[2]ריכוז נתונים'!$AC$2,0)</f>
        <v>0</v>
      </c>
      <c r="Z305" s="3">
        <f>VLOOKUP(VALUE(HEVARIM[[#This Row],[קוד מעמד]]),הנחות!$I$2:$K$21,3,0)</f>
        <v>1</v>
      </c>
      <c r="AA305" t="b">
        <f>ISERROR(VLOOKUP(HEVARIM[[#This Row],[קוד תקציב]],'[2]ריכוז נתונים'!A:A,1,0))</f>
        <v>1</v>
      </c>
      <c r="AB305" s="1">
        <f t="shared" si="17"/>
        <v>0</v>
      </c>
      <c r="AC305" s="2">
        <f ca="1">IF(HEVARIM[[#This Row],[בר מצוה]]&gt;0,YEAR(TODAY())+'תקציבים מיוחדים'!$F$5-HEVARIM[[#This Row],[גיל]],0)</f>
        <v>0</v>
      </c>
      <c r="AD305" s="1">
        <f t="shared" si="18"/>
        <v>0</v>
      </c>
      <c r="AE305" s="2">
        <f ca="1">IF(HEVARIM[[#This Row],[בת מצוה]]&gt;0,YEAR(TODAY())+'תקציבים מיוחדים'!$F$5-HEVARIM[[#This Row],[גיל]],0)</f>
        <v>0</v>
      </c>
      <c r="AF305" s="1">
        <f>IF(AND($S305&gt;="רווק",$Z305=1),AF$4*IF(HEVARIM[[#This Row],[גיל]]&gt;$AF$3,1,(($G305-AF$2)/(AF$3-AF$2))),0)</f>
        <v>60512.5</v>
      </c>
      <c r="AG305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05" s="1">
        <f t="shared" si="19"/>
        <v>0</v>
      </c>
      <c r="AI305" s="2">
        <f ca="1">IF(AH305&gt;0,YEAR(TODAY())+'תקציבים מיוחדים'!$F$7-HEVARIM[[#This Row],[גיל]],0)</f>
        <v>0</v>
      </c>
      <c r="AJ305" s="9">
        <f>IF(AND(ISERROR(VLOOKUP(H305,'[2]ריכוז נתונים'!A:L,1,0)),P305="1     "),1,0)</f>
        <v>0</v>
      </c>
      <c r="AK30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5" s="1">
        <f>IF(AND(VALUE(HEVARIM[[#This Row],[קוד מעמד]])=1,HEVARIM[[#This Row],[ותק מחברה 40]]&lt;25),HEVARIM[[#This Row],[ותק מחברה 40]]/25*הנחות!$C$4,0)</f>
        <v>0</v>
      </c>
      <c r="AM305" s="9" t="str">
        <f ca="1">IF(HEVARIM[[#This Row],[דמי עזיבה 25 שנות ותק]]&gt;0,YEAR(TODAY())+25-ROUNDDOWN(HEVARIM[[#This Row],[ותק מחברה 40]],0),"")</f>
        <v/>
      </c>
      <c r="AN30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5" s="9" t="str">
        <f ca="1">IF(HEVARIM[[#This Row],[דמי עזיבה לגיל 65]]&gt;0,YEAR(TODAY())+64-ROUNDDOWN(HEVARIM[[#This Row],[גיל]],0),"")</f>
        <v/>
      </c>
      <c r="AP305" s="1">
        <f>SUMIF(HEVARIM[קוד תקציב],HEVARIM[[#This Row],[קוד תקציב משפחה מקורי]],HEVARIM[ותק מחברה 40])</f>
        <v>36.94</v>
      </c>
      <c r="AQ3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5" s="9">
        <f>IF(HEVARIM[[#This Row],[קוד מעמד]]="1     ",IFERROR(VLOOKUP(HEVARIM[[#This Row],[קוד תקציב]],'תקציב צביעה - לקראת השינוי'!A:F,4,0),0),0)</f>
        <v>0</v>
      </c>
      <c r="AT305" s="1"/>
    </row>
    <row r="306" spans="1:46">
      <c r="A306" t="s">
        <v>1554</v>
      </c>
      <c r="B306" t="s">
        <v>1555</v>
      </c>
      <c r="C306" t="s">
        <v>1506</v>
      </c>
      <c r="D306" t="s">
        <v>813</v>
      </c>
      <c r="E306" t="s">
        <v>67</v>
      </c>
      <c r="F306" s="4">
        <v>37677</v>
      </c>
      <c r="G306">
        <v>22</v>
      </c>
      <c r="H306" t="s">
        <v>1556</v>
      </c>
      <c r="I306" t="s">
        <v>1555</v>
      </c>
      <c r="J306" s="4" t="s">
        <v>70</v>
      </c>
      <c r="K306" s="4" t="s">
        <v>81</v>
      </c>
      <c r="L306" t="s">
        <v>1557</v>
      </c>
      <c r="M306" t="s">
        <v>1554</v>
      </c>
      <c r="N306" t="s">
        <v>1555</v>
      </c>
      <c r="O306">
        <f>IFERROR(VLOOKUP(HEVARIM[[#This Row],[קוד תקציב]],[2]תקציבים!A:L,6,0),0)</f>
        <v>0</v>
      </c>
      <c r="P306" s="5" t="s">
        <v>73</v>
      </c>
      <c r="Q306" t="s">
        <v>27</v>
      </c>
      <c r="R306" s="4">
        <v>45170</v>
      </c>
      <c r="S306" s="4" t="s">
        <v>90</v>
      </c>
      <c r="T306" s="96" t="s">
        <v>1507</v>
      </c>
      <c r="U306" t="str">
        <f>VLOOKUP(HEVARIM[[#This Row],[גיל]],GIL,2,1)</f>
        <v>--</v>
      </c>
      <c r="V306" t="str">
        <f>IF(HEVARIM[[#This Row],[קוד מעמד]]="4     ",IF(HEVARIM[[#This Row],[גיל]]=1,1,IF(HEVARIM[[#This Row],[גיל]]&lt;=5,5,18)),"")</f>
        <v/>
      </c>
      <c r="W306">
        <f t="shared" si="16"/>
        <v>0</v>
      </c>
      <c r="X30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6">
        <f>IF(HEVARIM[[#This Row],[מצב משפחתי2]]="אלמן",'[2]ריכוז נתונים'!$AC$2,0)</f>
        <v>0</v>
      </c>
      <c r="Z306" s="3">
        <f>VLOOKUP(VALUE(HEVARIM[[#This Row],[קוד מעמד]]),הנחות!$I$2:$K$21,3,0)</f>
        <v>1</v>
      </c>
      <c r="AA306" t="b">
        <f>ISERROR(VLOOKUP(HEVARIM[[#This Row],[קוד תקציב]],'[2]ריכוז נתונים'!A:A,1,0))</f>
        <v>1</v>
      </c>
      <c r="AB306" s="1">
        <f t="shared" si="17"/>
        <v>0</v>
      </c>
      <c r="AC306" s="2">
        <f ca="1">IF(HEVARIM[[#This Row],[בר מצוה]]&gt;0,YEAR(TODAY())+'תקציבים מיוחדים'!$F$5-HEVARIM[[#This Row],[גיל]],0)</f>
        <v>0</v>
      </c>
      <c r="AD306" s="1">
        <f t="shared" si="18"/>
        <v>0</v>
      </c>
      <c r="AE306" s="2">
        <f ca="1">IF(HEVARIM[[#This Row],[בת מצוה]]&gt;0,YEAR(TODAY())+'תקציבים מיוחדים'!$F$5-HEVARIM[[#This Row],[גיל]],0)</f>
        <v>0</v>
      </c>
      <c r="AF306" s="1">
        <f>IF(AND($S306&gt;="רווק",$Z306=1),AF$4*IF(HEVARIM[[#This Row],[גיל]]&gt;$AF$3,1,(($G306-AF$2)/(AF$3-AF$2))),0)</f>
        <v>60512.5</v>
      </c>
      <c r="AG306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06" s="1">
        <f t="shared" si="19"/>
        <v>0</v>
      </c>
      <c r="AI306" s="2">
        <f ca="1">IF(AH306&gt;0,YEAR(TODAY())+'תקציבים מיוחדים'!$F$7-HEVARIM[[#This Row],[גיל]],0)</f>
        <v>0</v>
      </c>
      <c r="AJ306" s="9">
        <f>IF(AND(ISERROR(VLOOKUP(H306,'[2]ריכוז נתונים'!A:L,1,0)),P306="1     "),1,0)</f>
        <v>0</v>
      </c>
      <c r="AK30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6" s="1">
        <f>IF(AND(VALUE(HEVARIM[[#This Row],[קוד מעמד]])=1,HEVARIM[[#This Row],[ותק מחברה 40]]&lt;25),HEVARIM[[#This Row],[ותק מחברה 40]]/25*הנחות!$C$4,0)</f>
        <v>0</v>
      </c>
      <c r="AM306" s="9" t="str">
        <f ca="1">IF(HEVARIM[[#This Row],[דמי עזיבה 25 שנות ותק]]&gt;0,YEAR(TODAY())+25-ROUNDDOWN(HEVARIM[[#This Row],[ותק מחברה 40]],0),"")</f>
        <v/>
      </c>
      <c r="AN3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6" s="9" t="str">
        <f ca="1">IF(HEVARIM[[#This Row],[דמי עזיבה לגיל 65]]&gt;0,YEAR(TODAY())+64-ROUNDDOWN(HEVARIM[[#This Row],[גיל]],0),"")</f>
        <v/>
      </c>
      <c r="AP306" s="1">
        <f>SUMIF(HEVARIM[קוד תקציב],HEVARIM[[#This Row],[קוד תקציב משפחה מקורי]],HEVARIM[ותק מחברה 40])</f>
        <v>36.94</v>
      </c>
      <c r="AQ3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6" s="9">
        <f>IF(HEVARIM[[#This Row],[קוד מעמד]]="1     ",IFERROR(VLOOKUP(HEVARIM[[#This Row],[קוד תקציב]],'תקציב צביעה - לקראת השינוי'!A:F,4,0),0),0)</f>
        <v>0</v>
      </c>
      <c r="AT306" s="1"/>
    </row>
    <row r="307" spans="1:46">
      <c r="A307" t="s">
        <v>1515</v>
      </c>
      <c r="B307" t="s">
        <v>1516</v>
      </c>
      <c r="C307" t="s">
        <v>1481</v>
      </c>
      <c r="D307" t="s">
        <v>333</v>
      </c>
      <c r="E307" t="s">
        <v>67</v>
      </c>
      <c r="F307" s="4">
        <v>26350</v>
      </c>
      <c r="G307">
        <v>53</v>
      </c>
      <c r="H307" t="s">
        <v>1517</v>
      </c>
      <c r="I307" t="s">
        <v>1518</v>
      </c>
      <c r="J307" s="4" t="s">
        <v>70</v>
      </c>
      <c r="K307" s="4" t="s">
        <v>71</v>
      </c>
      <c r="L307" t="s">
        <v>1519</v>
      </c>
      <c r="M307" t="s">
        <v>1515</v>
      </c>
      <c r="N307" t="s">
        <v>1516</v>
      </c>
      <c r="O307">
        <f>IFERROR(VLOOKUP(HEVARIM[[#This Row],[קוד תקציב]],[2]תקציבים!A:L,6,0),0)</f>
        <v>2</v>
      </c>
      <c r="P307" s="5" t="s">
        <v>104</v>
      </c>
      <c r="Q307" t="s">
        <v>11</v>
      </c>
      <c r="R307" s="4">
        <v>37865</v>
      </c>
      <c r="S307" s="4" t="s">
        <v>74</v>
      </c>
      <c r="T307" s="96" t="s">
        <v>1517</v>
      </c>
      <c r="U307" t="str">
        <f>VLOOKUP(HEVARIM[[#This Row],[גיל]],GIL,2,1)</f>
        <v>--</v>
      </c>
      <c r="V307" t="str">
        <f>IF(HEVARIM[[#This Row],[קוד מעמד]]="4     ",IF(HEVARIM[[#This Row],[גיל]]=1,1,IF(HEVARIM[[#This Row],[גיל]]&lt;=5,5,18)),"")</f>
        <v/>
      </c>
      <c r="W307">
        <f t="shared" si="16"/>
        <v>0</v>
      </c>
      <c r="X30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7">
        <f>IF(HEVARIM[[#This Row],[מצב משפחתי2]]="אלמן",'[2]ריכוז נתונים'!$AC$2,0)</f>
        <v>0</v>
      </c>
      <c r="Z307" s="3">
        <f>VLOOKUP(VALUE(HEVARIM[[#This Row],[קוד מעמד]]),הנחות!$I$2:$K$21,3,0)</f>
        <v>0</v>
      </c>
      <c r="AA307" t="b">
        <f>ISERROR(VLOOKUP(HEVARIM[[#This Row],[קוד תקציב]],'[2]ריכוז נתונים'!A:A,1,0))</f>
        <v>0</v>
      </c>
      <c r="AB307" s="1">
        <f t="shared" si="17"/>
        <v>0</v>
      </c>
      <c r="AC307" s="2">
        <f ca="1">IF(HEVARIM[[#This Row],[בר מצוה]]&gt;0,YEAR(TODAY())+'תקציבים מיוחדים'!$F$5-HEVARIM[[#This Row],[גיל]],0)</f>
        <v>0</v>
      </c>
      <c r="AD307" s="1">
        <f t="shared" si="18"/>
        <v>0</v>
      </c>
      <c r="AE307" s="2">
        <f ca="1">IF(HEVARIM[[#This Row],[בת מצוה]]&gt;0,YEAR(TODAY())+'תקציבים מיוחדים'!$F$5-HEVARIM[[#This Row],[גיל]],0)</f>
        <v>0</v>
      </c>
      <c r="AF307" s="1">
        <f>IF(AND($S307&gt;="רווק",$Z307=1),AF$4*IF(HEVARIM[[#This Row],[גיל]]&gt;$AF$3,1,(($G307-AF$2)/(AF$3-AF$2))),0)</f>
        <v>0</v>
      </c>
      <c r="AG30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07" s="1">
        <f t="shared" si="19"/>
        <v>0</v>
      </c>
      <c r="AI307" s="2">
        <f ca="1">IF(AH307&gt;0,YEAR(TODAY())+'תקציבים מיוחדים'!$F$7-HEVARIM[[#This Row],[גיל]],0)</f>
        <v>0</v>
      </c>
      <c r="AJ307" s="9">
        <f>IF(AND(ISERROR(VLOOKUP(H307,'[2]ריכוז נתונים'!A:L,1,0)),P307="1     "),1,0)</f>
        <v>0</v>
      </c>
      <c r="AK307" s="1">
        <f>IF(VALUE(HEVARIM[[#This Row],[קוד מעמד]])=1,VLOOKUP((IF(LEFT(HEVARIM[[#This Row],[קוד חבר]],1)="0",HEVARIM[[#This Row],[קוד חבר]],VALUE(HEVARIM[[#This Row],[קוד חבר]]))),'ותק חברה 40'!AQ:AW,7,0),"")</f>
        <v>30.61</v>
      </c>
      <c r="AL307" s="1">
        <f>IF(AND(VALUE(HEVARIM[[#This Row],[קוד מעמד]])=1,HEVARIM[[#This Row],[ותק מחברה 40]]&lt;25),HEVARIM[[#This Row],[ותק מחברה 40]]/25*הנחות!$C$4,0)</f>
        <v>0</v>
      </c>
      <c r="AM307" s="9" t="str">
        <f ca="1">IF(HEVARIM[[#This Row],[דמי עזיבה 25 שנות ותק]]&gt;0,YEAR(TODAY())+25-ROUNDDOWN(HEVARIM[[#This Row],[ותק מחברה 40]],0),"")</f>
        <v/>
      </c>
      <c r="AN307" s="1">
        <f>IF(AND(VALUE(HEVARIM[[#This Row],[קוד מעמד]])=1,HEVARIM[[#This Row],[ותק מחברה 40]]&gt;25,HEVARIM[[#This Row],[גיל]]&lt;65),הנחות!$C$14+(HEVARIM[[#This Row],[ותק מחברה 40]]-25)*הנחות!$C$10*0.25,0)</f>
        <v>41851.092937499998</v>
      </c>
      <c r="AO307" s="9">
        <f ca="1">IF(HEVARIM[[#This Row],[דמי עזיבה לגיל 65]]&gt;0,YEAR(TODAY())+64-ROUNDDOWN(HEVARIM[[#This Row],[גיל]],0),"")</f>
        <v>2037</v>
      </c>
      <c r="AP307" s="1">
        <f>SUMIF(HEVARIM[קוד תקציב],HEVARIM[[#This Row],[קוד תקציב משפחה מקורי]],HEVARIM[ותק מחברה 40])</f>
        <v>52.629999999999995</v>
      </c>
      <c r="AQ3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307" s="9">
        <f>IF(HEVARIM[[#This Row],[קוד מעמד]]="1     ",IFERROR(VLOOKUP(HEVARIM[[#This Row],[קוד תקציב]],'תקציב צביעה - לקראת השינוי'!A:F,4,0),0),0)</f>
        <v>2033</v>
      </c>
      <c r="AT307" s="1"/>
    </row>
    <row r="308" spans="1:46">
      <c r="A308" t="s">
        <v>1520</v>
      </c>
      <c r="B308" t="s">
        <v>1521</v>
      </c>
      <c r="C308" t="s">
        <v>1481</v>
      </c>
      <c r="D308" t="s">
        <v>1522</v>
      </c>
      <c r="E308" t="s">
        <v>79</v>
      </c>
      <c r="F308" s="4">
        <v>27892</v>
      </c>
      <c r="G308">
        <v>49</v>
      </c>
      <c r="H308" t="s">
        <v>1517</v>
      </c>
      <c r="I308" t="s">
        <v>1518</v>
      </c>
      <c r="J308" s="4" t="s">
        <v>70</v>
      </c>
      <c r="K308" s="4" t="s">
        <v>71</v>
      </c>
      <c r="L308" t="s">
        <v>1523</v>
      </c>
      <c r="M308" t="s">
        <v>1515</v>
      </c>
      <c r="N308" t="s">
        <v>1516</v>
      </c>
      <c r="O308">
        <f>IFERROR(VLOOKUP(HEVARIM[[#This Row],[קוד תקציב]],[2]תקציבים!A:L,6,0),0)</f>
        <v>2</v>
      </c>
      <c r="P308" s="5" t="s">
        <v>104</v>
      </c>
      <c r="Q308" t="s">
        <v>11</v>
      </c>
      <c r="R308" s="4">
        <v>38567</v>
      </c>
      <c r="S308" s="4" t="s">
        <v>74</v>
      </c>
      <c r="T308" s="96" t="s">
        <v>1517</v>
      </c>
      <c r="U308" t="str">
        <f>VLOOKUP(HEVARIM[[#This Row],[גיל]],GIL,2,1)</f>
        <v>--</v>
      </c>
      <c r="V308" t="str">
        <f>IF(HEVARIM[[#This Row],[קוד מעמד]]="4     ",IF(HEVARIM[[#This Row],[גיל]]=1,1,IF(HEVARIM[[#This Row],[גיל]]&lt;=5,5,18)),"")</f>
        <v/>
      </c>
      <c r="W308">
        <f t="shared" si="16"/>
        <v>0</v>
      </c>
      <c r="X3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8">
        <f>IF(HEVARIM[[#This Row],[מצב משפחתי2]]="אלמן",'[2]ריכוז נתונים'!$AC$2,0)</f>
        <v>0</v>
      </c>
      <c r="Z308" s="3">
        <f>VLOOKUP(VALUE(HEVARIM[[#This Row],[קוד מעמד]]),הנחות!$I$2:$K$21,3,0)</f>
        <v>0</v>
      </c>
      <c r="AA308" t="b">
        <f>ISERROR(VLOOKUP(HEVARIM[[#This Row],[קוד תקציב]],'[2]ריכוז נתונים'!A:A,1,0))</f>
        <v>0</v>
      </c>
      <c r="AB308" s="1">
        <f t="shared" si="17"/>
        <v>0</v>
      </c>
      <c r="AC308" s="2">
        <f ca="1">IF(HEVARIM[[#This Row],[בר מצוה]]&gt;0,YEAR(TODAY())+'תקציבים מיוחדים'!$F$5-HEVARIM[[#This Row],[גיל]],0)</f>
        <v>0</v>
      </c>
      <c r="AD308" s="1">
        <f t="shared" si="18"/>
        <v>0</v>
      </c>
      <c r="AE308" s="2">
        <f ca="1">IF(HEVARIM[[#This Row],[בת מצוה]]&gt;0,YEAR(TODAY())+'תקציבים מיוחדים'!$F$5-HEVARIM[[#This Row],[גיל]],0)</f>
        <v>0</v>
      </c>
      <c r="AF308" s="1">
        <f>IF(AND($S308&gt;="רווק",$Z308=1),AF$4*IF(HEVARIM[[#This Row],[גיל]]&gt;$AF$3,1,(($G308-AF$2)/(AF$3-AF$2))),0)</f>
        <v>0</v>
      </c>
      <c r="AG30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08" s="1">
        <f t="shared" si="19"/>
        <v>0</v>
      </c>
      <c r="AI308" s="2">
        <f ca="1">IF(AH308&gt;0,YEAR(TODAY())+'תקציבים מיוחדים'!$F$7-HEVARIM[[#This Row],[גיל]],0)</f>
        <v>0</v>
      </c>
      <c r="AJ308" s="9">
        <f>IF(AND(ISERROR(VLOOKUP(H308,'[2]ריכוז נתונים'!A:L,1,0)),P308="1     "),1,0)</f>
        <v>0</v>
      </c>
      <c r="AK308" s="1">
        <f>IF(VALUE(HEVARIM[[#This Row],[קוד מעמד]])=1,VLOOKUP((IF(LEFT(HEVARIM[[#This Row],[קוד חבר]],1)="0",HEVARIM[[#This Row],[קוד חבר]],VALUE(HEVARIM[[#This Row],[קוד חבר]]))),'ותק חברה 40'!AQ:AW,7,0),"")</f>
        <v>22.02</v>
      </c>
      <c r="AL308" s="1">
        <f>IF(AND(VALUE(HEVARIM[[#This Row],[קוד מעמד]])=1,HEVARIM[[#This Row],[ותק מחברה 40]]&lt;25),HEVARIM[[#This Row],[ותק מחברה 40]]/25*הנחות!$C$4,0)</f>
        <v>33060.486689999998</v>
      </c>
      <c r="AM308" s="9">
        <f ca="1">IF(HEVARIM[[#This Row],[דמי עזיבה 25 שנות ותק]]&gt;0,YEAR(TODAY())+25-ROUNDDOWN(HEVARIM[[#This Row],[ותק מחברה 40]],0),"")</f>
        <v>2029</v>
      </c>
      <c r="AN30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8" s="9" t="str">
        <f ca="1">IF(HEVARIM[[#This Row],[דמי עזיבה לגיל 65]]&gt;0,YEAR(TODAY())+64-ROUNDDOWN(HEVARIM[[#This Row],[גיל]],0),"")</f>
        <v/>
      </c>
      <c r="AP308" s="1">
        <f>SUMIF(HEVARIM[קוד תקציב],HEVARIM[[#This Row],[קוד תקציב משפחה מקורי]],HEVARIM[ותק מחברה 40])</f>
        <v>52.629999999999995</v>
      </c>
      <c r="AQ3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308" s="9">
        <f>IF(HEVARIM[[#This Row],[קוד מעמד]]="1     ",IFERROR(VLOOKUP(HEVARIM[[#This Row],[קוד תקציב]],'תקציב צביעה - לקראת השינוי'!A:F,4,0),0),0)</f>
        <v>2033</v>
      </c>
      <c r="AT308" s="1"/>
    </row>
    <row r="309" spans="1:46">
      <c r="A309" t="s">
        <v>1524</v>
      </c>
      <c r="B309" t="s">
        <v>1525</v>
      </c>
      <c r="C309" t="s">
        <v>1481</v>
      </c>
      <c r="D309" t="s">
        <v>1526</v>
      </c>
      <c r="E309" t="s">
        <v>67</v>
      </c>
      <c r="F309" s="4">
        <v>40278</v>
      </c>
      <c r="G309">
        <v>15</v>
      </c>
      <c r="H309" t="s">
        <v>1517</v>
      </c>
      <c r="I309" t="s">
        <v>1518</v>
      </c>
      <c r="J309" s="4" t="s">
        <v>70</v>
      </c>
      <c r="K309" s="4" t="s">
        <v>71</v>
      </c>
      <c r="L309" t="s">
        <v>1527</v>
      </c>
      <c r="M309" t="s">
        <v>1515</v>
      </c>
      <c r="N309" t="s">
        <v>1516</v>
      </c>
      <c r="O309">
        <f>IFERROR(VLOOKUP(HEVARIM[[#This Row],[קוד תקציב]],[2]תקציבים!A:L,6,0),0)</f>
        <v>2</v>
      </c>
      <c r="P309" s="5" t="s">
        <v>227</v>
      </c>
      <c r="Q309" t="s">
        <v>14</v>
      </c>
      <c r="R309" s="4">
        <v>40278</v>
      </c>
      <c r="S309" s="4" t="s">
        <v>90</v>
      </c>
      <c r="T309" s="96" t="s">
        <v>1517</v>
      </c>
      <c r="U309" t="str">
        <f>VLOOKUP(HEVARIM[[#This Row],[גיל]],GIL,2,1)</f>
        <v>תיכון</v>
      </c>
      <c r="V309">
        <f>IF(HEVARIM[[#This Row],[קוד מעמד]]="4     ",IF(HEVARIM[[#This Row],[גיל]]=1,1,IF(HEVARIM[[#This Row],[גיל]]&lt;=5,5,18)),"")</f>
        <v>18</v>
      </c>
      <c r="W309">
        <f t="shared" si="16"/>
        <v>0</v>
      </c>
      <c r="X3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09">
        <f>IF(HEVARIM[[#This Row],[מצב משפחתי2]]="אלמן",'[2]ריכוז נתונים'!$AC$2,0)</f>
        <v>0</v>
      </c>
      <c r="Z309" s="3">
        <f>VLOOKUP(VALUE(HEVARIM[[#This Row],[קוד מעמד]]),הנחות!$I$2:$K$21,3,0)</f>
        <v>1</v>
      </c>
      <c r="AA309" t="b">
        <f>ISERROR(VLOOKUP(HEVARIM[[#This Row],[קוד תקציב]],'[2]ריכוז נתונים'!A:A,1,0))</f>
        <v>0</v>
      </c>
      <c r="AB309" s="1">
        <f t="shared" si="17"/>
        <v>0</v>
      </c>
      <c r="AC309" s="2">
        <f ca="1">IF(HEVARIM[[#This Row],[בר מצוה]]&gt;0,YEAR(TODAY())+'תקציבים מיוחדים'!$F$5-HEVARIM[[#This Row],[גיל]],0)</f>
        <v>0</v>
      </c>
      <c r="AD309" s="1">
        <f t="shared" si="18"/>
        <v>0</v>
      </c>
      <c r="AE309" s="2">
        <f ca="1">IF(HEVARIM[[#This Row],[בת מצוה]]&gt;0,YEAR(TODAY())+'תקציבים מיוחדים'!$F$5-HEVARIM[[#This Row],[גיל]],0)</f>
        <v>0</v>
      </c>
      <c r="AF309" s="1">
        <f>IF(AND($S309&gt;="רווק",$Z309=1),AF$4*IF(HEVARIM[[#This Row],[גיל]]&gt;$AF$3,1,(($G309-AF$2)/(AF$3-AF$2))),0)</f>
        <v>43223.21428571429</v>
      </c>
      <c r="AG309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09" s="1">
        <f t="shared" si="19"/>
        <v>75420.357142857145</v>
      </c>
      <c r="AI309" s="2">
        <f ca="1">IF(AH309&gt;0,YEAR(TODAY())+'תקציבים מיוחדים'!$F$7-HEVARIM[[#This Row],[גיל]],0)</f>
        <v>2032</v>
      </c>
      <c r="AJ309" s="9">
        <f>IF(AND(ISERROR(VLOOKUP(H309,'[2]ריכוז נתונים'!A:L,1,0)),P309="1     "),1,0)</f>
        <v>0</v>
      </c>
      <c r="AK30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09" s="1">
        <f>IF(AND(VALUE(HEVARIM[[#This Row],[קוד מעמד]])=1,HEVARIM[[#This Row],[ותק מחברה 40]]&lt;25),HEVARIM[[#This Row],[ותק מחברה 40]]/25*הנחות!$C$4,0)</f>
        <v>0</v>
      </c>
      <c r="AM309" s="9" t="str">
        <f ca="1">IF(HEVARIM[[#This Row],[דמי עזיבה 25 שנות ותק]]&gt;0,YEAR(TODAY())+25-ROUNDDOWN(HEVARIM[[#This Row],[ותק מחברה 40]],0),"")</f>
        <v/>
      </c>
      <c r="AN30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09" s="9" t="str">
        <f ca="1">IF(HEVARIM[[#This Row],[דמי עזיבה לגיל 65]]&gt;0,YEAR(TODAY())+64-ROUNDDOWN(HEVARIM[[#This Row],[גיל]],0),"")</f>
        <v/>
      </c>
      <c r="AP309" s="1">
        <f>SUMIF(HEVARIM[קוד תקציב],HEVARIM[[#This Row],[קוד תקציב משפחה מקורי]],HEVARIM[ותק מחברה 40])</f>
        <v>52.629999999999995</v>
      </c>
      <c r="AQ3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09" s="9">
        <f>IF(HEVARIM[[#This Row],[קוד מעמד]]="1     ",IFERROR(VLOOKUP(HEVARIM[[#This Row],[קוד תקציב]],'תקציב צביעה - לקראת השינוי'!A:F,4,0),0),0)</f>
        <v>0</v>
      </c>
      <c r="AT309" s="1"/>
    </row>
    <row r="310" spans="1:46">
      <c r="A310" t="s">
        <v>1528</v>
      </c>
      <c r="B310" t="s">
        <v>1529</v>
      </c>
      <c r="C310" t="s">
        <v>1481</v>
      </c>
      <c r="D310" t="s">
        <v>1530</v>
      </c>
      <c r="E310" t="s">
        <v>67</v>
      </c>
      <c r="F310" s="4">
        <v>39025</v>
      </c>
      <c r="G310">
        <v>19</v>
      </c>
      <c r="H310" t="s">
        <v>1517</v>
      </c>
      <c r="I310" t="s">
        <v>1518</v>
      </c>
      <c r="J310" s="4" t="s">
        <v>70</v>
      </c>
      <c r="K310" s="4" t="s">
        <v>71</v>
      </c>
      <c r="L310" t="s">
        <v>1531</v>
      </c>
      <c r="M310" t="s">
        <v>1515</v>
      </c>
      <c r="N310" t="s">
        <v>1516</v>
      </c>
      <c r="O310">
        <f>IFERROR(VLOOKUP(HEVARIM[[#This Row],[קוד תקציב]],[2]תקציבים!A:L,6,0),0)</f>
        <v>2</v>
      </c>
      <c r="P310" s="5" t="s">
        <v>1688</v>
      </c>
      <c r="Q310" t="s">
        <v>20</v>
      </c>
      <c r="R310" s="4">
        <v>45901</v>
      </c>
      <c r="S310" s="4" t="s">
        <v>90</v>
      </c>
      <c r="T310" s="96" t="s">
        <v>1517</v>
      </c>
      <c r="U310" t="str">
        <f>VLOOKUP(HEVARIM[[#This Row],[גיל]],GIL,2,1)</f>
        <v>--</v>
      </c>
      <c r="V310" t="str">
        <f>IF(HEVARIM[[#This Row],[קוד מעמד]]="4     ",IF(HEVARIM[[#This Row],[גיל]]=1,1,IF(HEVARIM[[#This Row],[גיל]]&lt;=5,5,18)),"")</f>
        <v/>
      </c>
      <c r="W310">
        <f t="shared" si="16"/>
        <v>0</v>
      </c>
      <c r="X31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0">
        <f>IF(HEVARIM[[#This Row],[מצב משפחתי2]]="אלמן",'[2]ריכוז נתונים'!$AC$2,0)</f>
        <v>0</v>
      </c>
      <c r="Z310" s="3">
        <f>VLOOKUP(VALUE(HEVARIM[[#This Row],[קוד מעמד]]),הנחות!$I$2:$K$21,3,0)</f>
        <v>1</v>
      </c>
      <c r="AA310" t="b">
        <f>ISERROR(VLOOKUP(HEVARIM[[#This Row],[קוד תקציב]],'[2]ריכוז נתונים'!A:A,1,0))</f>
        <v>0</v>
      </c>
      <c r="AB310" s="1">
        <f t="shared" si="17"/>
        <v>0</v>
      </c>
      <c r="AC310" s="2">
        <f ca="1">IF(HEVARIM[[#This Row],[בר מצוה]]&gt;0,YEAR(TODAY())+'תקציבים מיוחדים'!$F$5-HEVARIM[[#This Row],[גיל]],0)</f>
        <v>0</v>
      </c>
      <c r="AD310" s="1">
        <f t="shared" si="18"/>
        <v>0</v>
      </c>
      <c r="AE310" s="2">
        <f ca="1">IF(HEVARIM[[#This Row],[בת מצוה]]&gt;0,YEAR(TODAY())+'תקציבים מיוחדים'!$F$5-HEVARIM[[#This Row],[גיל]],0)</f>
        <v>0</v>
      </c>
      <c r="AF310" s="1">
        <f>IF(AND($S310&gt;="רווק",$Z310=1),AF$4*IF(HEVARIM[[#This Row],[גיל]]&gt;$AF$3,1,(($G310-AF$2)/(AF$3-AF$2))),0)</f>
        <v>54749.404761904763</v>
      </c>
      <c r="AG310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310" s="1">
        <f t="shared" si="19"/>
        <v>95532.452380952382</v>
      </c>
      <c r="AI310" s="2">
        <f ca="1">IF(AH310&gt;0,YEAR(TODAY())+'תקציבים מיוחדים'!$F$7-HEVARIM[[#This Row],[גיל]],0)</f>
        <v>2028</v>
      </c>
      <c r="AJ310" s="9">
        <f>IF(AND(ISERROR(VLOOKUP(H310,'[2]ריכוז נתונים'!A:L,1,0)),P310="1     "),1,0)</f>
        <v>0</v>
      </c>
      <c r="AK31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0" s="1">
        <f>IF(AND(VALUE(HEVARIM[[#This Row],[קוד מעמד]])=1,HEVARIM[[#This Row],[ותק מחברה 40]]&lt;25),HEVARIM[[#This Row],[ותק מחברה 40]]/25*הנחות!$C$4,0)</f>
        <v>0</v>
      </c>
      <c r="AM310" s="9" t="str">
        <f ca="1">IF(HEVARIM[[#This Row],[דמי עזיבה 25 שנות ותק]]&gt;0,YEAR(TODAY())+25-ROUNDDOWN(HEVARIM[[#This Row],[ותק מחברה 40]],0),"")</f>
        <v/>
      </c>
      <c r="AN3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0" s="9" t="str">
        <f ca="1">IF(HEVARIM[[#This Row],[דמי עזיבה לגיל 65]]&gt;0,YEAR(TODAY())+64-ROUNDDOWN(HEVARIM[[#This Row],[גיל]],0),"")</f>
        <v/>
      </c>
      <c r="AP310" s="1">
        <f>SUMIF(HEVARIM[קוד תקציב],HEVARIM[[#This Row],[קוד תקציב משפחה מקורי]],HEVARIM[ותק מחברה 40])</f>
        <v>52.629999999999995</v>
      </c>
      <c r="AQ3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0" s="9">
        <f>IF(HEVARIM[[#This Row],[קוד מעמד]]="1     ",IFERROR(VLOOKUP(HEVARIM[[#This Row],[קוד תקציב]],'תקציב צביעה - לקראת השינוי'!A:F,4,0),0),0)</f>
        <v>0</v>
      </c>
      <c r="AT310" s="1"/>
    </row>
    <row r="311" spans="1:46">
      <c r="A311" t="s">
        <v>1479</v>
      </c>
      <c r="B311" t="s">
        <v>1480</v>
      </c>
      <c r="C311" t="s">
        <v>1481</v>
      </c>
      <c r="D311" t="s">
        <v>299</v>
      </c>
      <c r="E311" t="s">
        <v>79</v>
      </c>
      <c r="F311" s="4">
        <v>36868</v>
      </c>
      <c r="G311">
        <v>25</v>
      </c>
      <c r="H311" t="s">
        <v>1482</v>
      </c>
      <c r="I311" t="s">
        <v>1480</v>
      </c>
      <c r="J311" s="4" t="s">
        <v>70</v>
      </c>
      <c r="K311" s="4" t="s">
        <v>81</v>
      </c>
      <c r="L311" t="s">
        <v>1483</v>
      </c>
      <c r="M311" t="s">
        <v>1479</v>
      </c>
      <c r="N311" t="s">
        <v>1480</v>
      </c>
      <c r="O311">
        <f>IFERROR(VLOOKUP(HEVARIM[[#This Row],[קוד תקציב]],[2]תקציבים!A:L,6,0),0)</f>
        <v>0</v>
      </c>
      <c r="P311" s="5" t="s">
        <v>129</v>
      </c>
      <c r="Q311" t="s">
        <v>26</v>
      </c>
      <c r="R311" s="4">
        <v>45536</v>
      </c>
      <c r="S311" s="4" t="s">
        <v>90</v>
      </c>
      <c r="T311" s="96" t="s">
        <v>1517</v>
      </c>
      <c r="U311" t="str">
        <f>VLOOKUP(HEVARIM[[#This Row],[גיל]],GIL,2,1)</f>
        <v>--</v>
      </c>
      <c r="V311" t="str">
        <f>IF(HEVARIM[[#This Row],[קוד מעמד]]="4     ",IF(HEVARIM[[#This Row],[גיל]]=1,1,IF(HEVARIM[[#This Row],[גיל]]&lt;=5,5,18)),"")</f>
        <v/>
      </c>
      <c r="W311">
        <f t="shared" si="16"/>
        <v>0</v>
      </c>
      <c r="X3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1">
        <f>IF(HEVARIM[[#This Row],[מצב משפחתי2]]="אלמן",'[2]ריכוז נתונים'!$AC$2,0)</f>
        <v>0</v>
      </c>
      <c r="Z311" s="3">
        <f>VLOOKUP(VALUE(HEVARIM[[#This Row],[קוד מעמד]]),הנחות!$I$2:$K$21,3,0)</f>
        <v>1</v>
      </c>
      <c r="AA311" t="b">
        <f>ISERROR(VLOOKUP(HEVARIM[[#This Row],[קוד תקציב]],'[2]ריכוז נתונים'!A:A,1,0))</f>
        <v>1</v>
      </c>
      <c r="AB311" s="1">
        <f t="shared" si="17"/>
        <v>0</v>
      </c>
      <c r="AC311" s="2">
        <f ca="1">IF(HEVARIM[[#This Row],[בר מצוה]]&gt;0,YEAR(TODAY())+'תקציבים מיוחדים'!$F$5-HEVARIM[[#This Row],[גיל]],0)</f>
        <v>0</v>
      </c>
      <c r="AD311" s="1">
        <f t="shared" si="18"/>
        <v>0</v>
      </c>
      <c r="AE311" s="2">
        <f ca="1">IF(HEVARIM[[#This Row],[בת מצוה]]&gt;0,YEAR(TODAY())+'תקציבים מיוחדים'!$F$5-HEVARIM[[#This Row],[גיל]],0)</f>
        <v>0</v>
      </c>
      <c r="AF311" s="1">
        <f>IF(AND($S311&gt;="רווק",$Z311=1),AF$4*IF(HEVARIM[[#This Row],[גיל]]&gt;$AF$3,1,(($G311-AF$2)/(AF$3-AF$2))),0)</f>
        <v>60512.5</v>
      </c>
      <c r="AG311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11" s="1">
        <f t="shared" si="19"/>
        <v>0</v>
      </c>
      <c r="AI311" s="2">
        <f ca="1">IF(AH311&gt;0,YEAR(TODAY())+'תקציבים מיוחדים'!$F$7-HEVARIM[[#This Row],[גיל]],0)</f>
        <v>0</v>
      </c>
      <c r="AJ311" s="9">
        <f>IF(AND(ISERROR(VLOOKUP(H311,'[2]ריכוז נתונים'!A:L,1,0)),P311="1     "),1,0)</f>
        <v>0</v>
      </c>
      <c r="AK31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1" s="1">
        <f>IF(AND(VALUE(HEVARIM[[#This Row],[קוד מעמד]])=1,HEVARIM[[#This Row],[ותק מחברה 40]]&lt;25),HEVARIM[[#This Row],[ותק מחברה 40]]/25*הנחות!$C$4,0)</f>
        <v>0</v>
      </c>
      <c r="AM311" s="9" t="str">
        <f ca="1">IF(HEVARIM[[#This Row],[דמי עזיבה 25 שנות ותק]]&gt;0,YEAR(TODAY())+25-ROUNDDOWN(HEVARIM[[#This Row],[ותק מחברה 40]],0),"")</f>
        <v/>
      </c>
      <c r="AN31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1" s="9" t="str">
        <f ca="1">IF(HEVARIM[[#This Row],[דמי עזיבה לגיל 65]]&gt;0,YEAR(TODAY())+64-ROUNDDOWN(HEVARIM[[#This Row],[גיל]],0),"")</f>
        <v/>
      </c>
      <c r="AP311" s="1">
        <f>SUMIF(HEVARIM[קוד תקציב],HEVARIM[[#This Row],[קוד תקציב משפחה מקורי]],HEVARIM[ותק מחברה 40])</f>
        <v>52.629999999999995</v>
      </c>
      <c r="AQ3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1" s="9">
        <f>IF(HEVARIM[[#This Row],[קוד מעמד]]="1     ",IFERROR(VLOOKUP(HEVARIM[[#This Row],[קוד תקציב]],'תקציב צביעה - לקראת השינוי'!A:F,4,0),0),0)</f>
        <v>0</v>
      </c>
      <c r="AT311" s="1"/>
    </row>
    <row r="312" spans="1:46">
      <c r="A312" t="s">
        <v>1547</v>
      </c>
      <c r="B312" t="s">
        <v>1548</v>
      </c>
      <c r="C312" t="s">
        <v>1481</v>
      </c>
      <c r="D312" t="s">
        <v>392</v>
      </c>
      <c r="E312" t="s">
        <v>79</v>
      </c>
      <c r="F312" s="4">
        <v>38070</v>
      </c>
      <c r="G312">
        <v>21</v>
      </c>
      <c r="H312" t="s">
        <v>1517</v>
      </c>
      <c r="I312" t="s">
        <v>1518</v>
      </c>
      <c r="J312" s="4" t="s">
        <v>70</v>
      </c>
      <c r="K312" s="4" t="s">
        <v>71</v>
      </c>
      <c r="L312" t="s">
        <v>1549</v>
      </c>
      <c r="M312" t="s">
        <v>1515</v>
      </c>
      <c r="N312" t="s">
        <v>1516</v>
      </c>
      <c r="O312">
        <f>IFERROR(VLOOKUP(HEVARIM[[#This Row],[קוד תקציב]],[2]תקציבים!A:L,6,0),0)</f>
        <v>2</v>
      </c>
      <c r="P312" s="5" t="s">
        <v>73</v>
      </c>
      <c r="Q312" t="s">
        <v>27</v>
      </c>
      <c r="R312" s="4">
        <v>45946</v>
      </c>
      <c r="S312" s="4" t="s">
        <v>90</v>
      </c>
      <c r="T312" s="96" t="s">
        <v>1517</v>
      </c>
      <c r="U312" t="str">
        <f>VLOOKUP(HEVARIM[[#This Row],[גיל]],GIL,2,1)</f>
        <v>--</v>
      </c>
      <c r="V312" t="str">
        <f>IF(HEVARIM[[#This Row],[קוד מעמד]]="4     ",IF(HEVARIM[[#This Row],[גיל]]=1,1,IF(HEVARIM[[#This Row],[גיל]]&lt;=5,5,18)),"")</f>
        <v/>
      </c>
      <c r="W312">
        <f t="shared" si="16"/>
        <v>0</v>
      </c>
      <c r="X3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2">
        <f>IF(HEVARIM[[#This Row],[מצב משפחתי2]]="אלמן",'[2]ריכוז נתונים'!$AC$2,0)</f>
        <v>0</v>
      </c>
      <c r="Z312" s="3">
        <f>VLOOKUP(VALUE(HEVARIM[[#This Row],[קוד מעמד]]),הנחות!$I$2:$K$21,3,0)</f>
        <v>1</v>
      </c>
      <c r="AA312" t="b">
        <f>ISERROR(VLOOKUP(HEVARIM[[#This Row],[קוד תקציב]],'[2]ריכוז נתונים'!A:A,1,0))</f>
        <v>0</v>
      </c>
      <c r="AB312" s="1">
        <f t="shared" si="17"/>
        <v>0</v>
      </c>
      <c r="AC312" s="2">
        <f ca="1">IF(HEVARIM[[#This Row],[בר מצוה]]&gt;0,YEAR(TODAY())+'תקציבים מיוחדים'!$F$5-HEVARIM[[#This Row],[גיל]],0)</f>
        <v>0</v>
      </c>
      <c r="AD312" s="1">
        <f t="shared" si="18"/>
        <v>0</v>
      </c>
      <c r="AE312" s="2">
        <f ca="1">IF(HEVARIM[[#This Row],[בת מצוה]]&gt;0,YEAR(TODAY())+'תקציבים מיוחדים'!$F$5-HEVARIM[[#This Row],[גיל]],0)</f>
        <v>0</v>
      </c>
      <c r="AF312" s="1">
        <f>IF(AND($S312&gt;="רווק",$Z312=1),AF$4*IF(HEVARIM[[#This Row],[גיל]]&gt;$AF$3,1,(($G312-AF$2)/(AF$3-AF$2))),0)</f>
        <v>60512.5</v>
      </c>
      <c r="AG312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312" s="1">
        <f t="shared" si="19"/>
        <v>105588.5</v>
      </c>
      <c r="AI312" s="2">
        <f ca="1">IF(AH312&gt;0,YEAR(TODAY())+'תקציבים מיוחדים'!$F$7-HEVARIM[[#This Row],[גיל]],0)</f>
        <v>2026</v>
      </c>
      <c r="AJ312" s="9">
        <f>IF(AND(ISERROR(VLOOKUP(H312,'[2]ריכוז נתונים'!A:L,1,0)),P312="1     "),1,0)</f>
        <v>0</v>
      </c>
      <c r="AK31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2" s="1">
        <f>IF(AND(VALUE(HEVARIM[[#This Row],[קוד מעמד]])=1,HEVARIM[[#This Row],[ותק מחברה 40]]&lt;25),HEVARIM[[#This Row],[ותק מחברה 40]]/25*הנחות!$C$4,0)</f>
        <v>0</v>
      </c>
      <c r="AM312" s="9" t="str">
        <f ca="1">IF(HEVARIM[[#This Row],[דמי עזיבה 25 שנות ותק]]&gt;0,YEAR(TODAY())+25-ROUNDDOWN(HEVARIM[[#This Row],[ותק מחברה 40]],0),"")</f>
        <v/>
      </c>
      <c r="AN31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2" s="9" t="str">
        <f ca="1">IF(HEVARIM[[#This Row],[דמי עזיבה לגיל 65]]&gt;0,YEAR(TODAY())+64-ROUNDDOWN(HEVARIM[[#This Row],[גיל]],0),"")</f>
        <v/>
      </c>
      <c r="AP312" s="1">
        <f>SUMIF(HEVARIM[קוד תקציב],HEVARIM[[#This Row],[קוד תקציב משפחה מקורי]],HEVARIM[ותק מחברה 40])</f>
        <v>52.629999999999995</v>
      </c>
      <c r="AQ3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2" s="9">
        <f>IF(HEVARIM[[#This Row],[קוד מעמד]]="1     ",IFERROR(VLOOKUP(HEVARIM[[#This Row],[קוד תקציב]],'תקציב צביעה - לקראת השינוי'!A:F,4,0),0),0)</f>
        <v>0</v>
      </c>
      <c r="AT312" s="1"/>
    </row>
    <row r="313" spans="1:46">
      <c r="A313" t="s">
        <v>1542</v>
      </c>
      <c r="B313" t="s">
        <v>1543</v>
      </c>
      <c r="C313" t="s">
        <v>1506</v>
      </c>
      <c r="D313" t="s">
        <v>1544</v>
      </c>
      <c r="E313" t="s">
        <v>67</v>
      </c>
      <c r="F313" s="4">
        <v>25625</v>
      </c>
      <c r="G313">
        <v>55</v>
      </c>
      <c r="H313" t="s">
        <v>1545</v>
      </c>
      <c r="I313" t="s">
        <v>1543</v>
      </c>
      <c r="J313" s="4" t="s">
        <v>70</v>
      </c>
      <c r="K313" s="4" t="s">
        <v>71</v>
      </c>
      <c r="L313" t="s">
        <v>1546</v>
      </c>
      <c r="M313" t="s">
        <v>1542</v>
      </c>
      <c r="N313" t="s">
        <v>1543</v>
      </c>
      <c r="O313">
        <f>IFERROR(VLOOKUP(HEVARIM[[#This Row],[קוד תקציב]],[2]תקציבים!A:L,6,0),0)</f>
        <v>1</v>
      </c>
      <c r="P313" s="5" t="s">
        <v>104</v>
      </c>
      <c r="Q313" t="s">
        <v>11</v>
      </c>
      <c r="R313" s="4">
        <v>37724</v>
      </c>
      <c r="S313" s="4" t="s">
        <v>145</v>
      </c>
      <c r="T313" s="96" t="s">
        <v>1545</v>
      </c>
      <c r="U313" t="str">
        <f>VLOOKUP(HEVARIM[[#This Row],[גיל]],GIL,2,1)</f>
        <v>--</v>
      </c>
      <c r="V313" t="str">
        <f>IF(HEVARIM[[#This Row],[קוד מעמד]]="4     ",IF(HEVARIM[[#This Row],[גיל]]=1,1,IF(HEVARIM[[#This Row],[גיל]]&lt;=5,5,18)),"")</f>
        <v/>
      </c>
      <c r="W313">
        <f t="shared" si="16"/>
        <v>0</v>
      </c>
      <c r="X3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3">
        <f>IF(HEVARIM[[#This Row],[מצב משפחתי2]]="אלמן",'[2]ריכוז נתונים'!$AC$2,0)</f>
        <v>0</v>
      </c>
      <c r="Z313" s="3">
        <f>VLOOKUP(VALUE(HEVARIM[[#This Row],[קוד מעמד]]),הנחות!$I$2:$K$21,3,0)</f>
        <v>0</v>
      </c>
      <c r="AA313" t="b">
        <f>ISERROR(VLOOKUP(HEVARIM[[#This Row],[קוד תקציב]],'[2]ריכוז נתונים'!A:A,1,0))</f>
        <v>0</v>
      </c>
      <c r="AB313" s="1">
        <f t="shared" si="17"/>
        <v>0</v>
      </c>
      <c r="AC313" s="2">
        <f ca="1">IF(HEVARIM[[#This Row],[בר מצוה]]&gt;0,YEAR(TODAY())+'תקציבים מיוחדים'!$F$5-HEVARIM[[#This Row],[גיל]],0)</f>
        <v>0</v>
      </c>
      <c r="AD313" s="1">
        <f t="shared" si="18"/>
        <v>0</v>
      </c>
      <c r="AE313" s="2">
        <f ca="1">IF(HEVARIM[[#This Row],[בת מצוה]]&gt;0,YEAR(TODAY())+'תקציבים מיוחדים'!$F$5-HEVARIM[[#This Row],[גיל]],0)</f>
        <v>0</v>
      </c>
      <c r="AF313" s="1">
        <f>IF(AND($S313&gt;="רווק",$Z313=1),AF$4*IF(HEVARIM[[#This Row],[גיל]]&gt;$AF$3,1,(($G313-AF$2)/(AF$3-AF$2))),0)</f>
        <v>0</v>
      </c>
      <c r="AG31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13" s="1">
        <f t="shared" si="19"/>
        <v>0</v>
      </c>
      <c r="AI313" s="2">
        <f ca="1">IF(AH313&gt;0,YEAR(TODAY())+'תקציבים מיוחדים'!$F$7-HEVARIM[[#This Row],[גיל]],0)</f>
        <v>0</v>
      </c>
      <c r="AJ313" s="9">
        <f>IF(AND(ISERROR(VLOOKUP(H313,'[2]ריכוז נתונים'!A:L,1,0)),P313="1     "),1,0)</f>
        <v>0</v>
      </c>
      <c r="AK313" s="216">
        <f>IF(VALUE(HEVARIM[[#This Row],[קוד מעמד]])=1,VLOOKUP((IF(LEFT(HEVARIM[[#This Row],[קוד חבר]],1)="0",HEVARIM[[#This Row],[קוד חבר]],VALUE(HEVARIM[[#This Row],[קוד חבר]]))),'ותק חברה 40'!AQ:AW,7,0),"")</f>
        <v>24.9</v>
      </c>
      <c r="AL313" s="1">
        <f>IF(AND(VALUE(HEVARIM[[#This Row],[קוד מעמד]])=1,HEVARIM[[#This Row],[ותק מחברה 40]]&lt;25),HEVARIM[[#This Row],[ותק מחברה 40]]/25*הנחות!$C$4,0)</f>
        <v>37384.474049999997</v>
      </c>
      <c r="AM313" s="9">
        <f ca="1">IF(HEVARIM[[#This Row],[דמי עזיבה 25 שנות ותק]]&gt;0,YEAR(TODAY())+24-ROUNDDOWN(HEVARIM[[#This Row],[ותק מחברה 40]],0),"")</f>
        <v>2026</v>
      </c>
      <c r="AN3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3" s="9" t="str">
        <f ca="1">IF(HEVARIM[[#This Row],[דמי עזיבה לגיל 65]]&gt;0,YEAR(TODAY())+64-ROUNDDOWN(HEVARIM[[#This Row],[גיל]],0),"")</f>
        <v/>
      </c>
      <c r="AP313" s="1">
        <f>SUMIF(HEVARIM[קוד תקציב],HEVARIM[[#This Row],[קוד תקציב משפחה מקורי]],HEVARIM[ותק מחברה 40])</f>
        <v>24.9</v>
      </c>
      <c r="AQ3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6562.5</v>
      </c>
      <c r="AS313" s="9">
        <f>IF(HEVARIM[[#This Row],[קוד מעמד]]="1     ",IFERROR(VLOOKUP(HEVARIM[[#This Row],[קוד תקציב]],'תקציב צביעה - לקראת השינוי'!A:F,4,0),0),0)</f>
        <v>2028</v>
      </c>
      <c r="AT313" s="1"/>
    </row>
    <row r="314" spans="1:46">
      <c r="A314" t="s">
        <v>1558</v>
      </c>
      <c r="B314" t="s">
        <v>1559</v>
      </c>
      <c r="C314" t="s">
        <v>1560</v>
      </c>
      <c r="D314" t="s">
        <v>1561</v>
      </c>
      <c r="E314" t="s">
        <v>67</v>
      </c>
      <c r="F314" s="4">
        <v>17079</v>
      </c>
      <c r="G314">
        <v>79</v>
      </c>
      <c r="H314" t="s">
        <v>1562</v>
      </c>
      <c r="I314" t="s">
        <v>1563</v>
      </c>
      <c r="J314" s="4" t="s">
        <v>70</v>
      </c>
      <c r="K314" s="4" t="s">
        <v>71</v>
      </c>
      <c r="L314" t="s">
        <v>1564</v>
      </c>
      <c r="M314" t="s">
        <v>1558</v>
      </c>
      <c r="N314" t="s">
        <v>1559</v>
      </c>
      <c r="O314">
        <f>IFERROR(VLOOKUP(HEVARIM[[#This Row],[קוד תקציב]],[2]תקציבים!A:L,6,0),0)</f>
        <v>2</v>
      </c>
      <c r="P314" s="5" t="s">
        <v>104</v>
      </c>
      <c r="Q314" t="s">
        <v>11</v>
      </c>
      <c r="R314" s="4">
        <v>27759</v>
      </c>
      <c r="S314" s="4" t="s">
        <v>74</v>
      </c>
      <c r="T314" s="96" t="s">
        <v>1562</v>
      </c>
      <c r="U314" t="str">
        <f>VLOOKUP(HEVARIM[[#This Row],[גיל]],GIL,2,1)</f>
        <v>--</v>
      </c>
      <c r="V314" t="str">
        <f>IF(HEVARIM[[#This Row],[קוד מעמד]]="4     ",IF(HEVARIM[[#This Row],[גיל]]=1,1,IF(HEVARIM[[#This Row],[גיל]]&lt;=5,5,18)),"")</f>
        <v/>
      </c>
      <c r="W314">
        <f t="shared" si="16"/>
        <v>2365</v>
      </c>
      <c r="X31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14">
        <f>IF(HEVARIM[[#This Row],[מצב משפחתי2]]="אלמן",'[2]ריכוז נתונים'!$AC$2,0)</f>
        <v>0</v>
      </c>
      <c r="Z314" s="3">
        <f>VLOOKUP(VALUE(HEVARIM[[#This Row],[קוד מעמד]]),הנחות!$I$2:$K$21,3,0)</f>
        <v>0</v>
      </c>
      <c r="AA314" t="b">
        <f>ISERROR(VLOOKUP(HEVARIM[[#This Row],[קוד תקציב]],'[2]ריכוז נתונים'!A:A,1,0))</f>
        <v>0</v>
      </c>
      <c r="AB314" s="1">
        <f t="shared" si="17"/>
        <v>0</v>
      </c>
      <c r="AC314" s="2">
        <f ca="1">IF(HEVARIM[[#This Row],[בר מצוה]]&gt;0,YEAR(TODAY())+'תקציבים מיוחדים'!$F$5-HEVARIM[[#This Row],[גיל]],0)</f>
        <v>0</v>
      </c>
      <c r="AD314" s="1">
        <f t="shared" si="18"/>
        <v>0</v>
      </c>
      <c r="AE314" s="2">
        <f ca="1">IF(HEVARIM[[#This Row],[בת מצוה]]&gt;0,YEAR(TODAY())+'תקציבים מיוחדים'!$F$5-HEVARIM[[#This Row],[גיל]],0)</f>
        <v>0</v>
      </c>
      <c r="AF314" s="1">
        <f>IF(AND($S314&gt;="רווק",$Z314=1),AF$4*IF(HEVARIM[[#This Row],[גיל]]&gt;$AF$3,1,(($G314-AF$2)/(AF$3-AF$2))),0)</f>
        <v>0</v>
      </c>
      <c r="AG31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14" s="1">
        <f t="shared" si="19"/>
        <v>0</v>
      </c>
      <c r="AI314" s="2">
        <f ca="1">IF(AH314&gt;0,YEAR(TODAY())+'תקציבים מיוחדים'!$F$7-HEVARIM[[#This Row],[גיל]],0)</f>
        <v>0</v>
      </c>
      <c r="AJ314" s="9">
        <f>IF(AND(ISERROR(VLOOKUP(H314,'[2]ריכוז נתונים'!A:L,1,0)),P314="1     "),1,0)</f>
        <v>0</v>
      </c>
      <c r="AK314" s="1">
        <f>IF(VALUE(HEVARIM[[#This Row],[קוד מעמד]])=1,VLOOKUP((IF(LEFT(HEVARIM[[#This Row],[קוד חבר]],1)="0",HEVARIM[[#This Row],[קוד חבר]],VALUE(HEVARIM[[#This Row],[קוד חבר]]))),'ותק חברה 40'!AQ:AW,7,0),"")</f>
        <v>41.78</v>
      </c>
      <c r="AL314" s="1">
        <f>IF(AND(VALUE(HEVARIM[[#This Row],[קוד מעמד]])=1,HEVARIM[[#This Row],[ותק מחברה 40]]&lt;25),HEVARIM[[#This Row],[ותק מחברה 40]]/25*הנחות!$C$4,0)</f>
        <v>0</v>
      </c>
      <c r="AM314" s="9" t="str">
        <f ca="1">IF(HEVARIM[[#This Row],[דמי עזיבה 25 שנות ותק]]&gt;0,YEAR(TODAY())+25-ROUNDDOWN(HEVARIM[[#This Row],[ותק מחברה 40]],0),"")</f>
        <v/>
      </c>
      <c r="AN3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4" s="9" t="str">
        <f ca="1">IF(HEVARIM[[#This Row],[דמי עזיבה לגיל 65]]&gt;0,YEAR(TODAY())+64-ROUNDDOWN(HEVARIM[[#This Row],[גיל]],0),"")</f>
        <v/>
      </c>
      <c r="AP314" s="1">
        <f>SUMIF(HEVARIM[קוד תקציב],HEVARIM[[#This Row],[קוד תקציב משפחה מקורי]],HEVARIM[ותק מחברה 40])</f>
        <v>86.03</v>
      </c>
      <c r="AQ3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14" s="9">
        <f>IF(HEVARIM[[#This Row],[קוד מעמד]]="1     ",IFERROR(VLOOKUP(HEVARIM[[#This Row],[קוד תקציב]],'תקציב צביעה - לקראת השינוי'!A:F,4,0),0),0)</f>
        <v>2032</v>
      </c>
      <c r="AT314" s="1"/>
    </row>
    <row r="315" spans="1:46">
      <c r="A315" t="s">
        <v>1581</v>
      </c>
      <c r="B315" t="s">
        <v>1582</v>
      </c>
      <c r="C315" t="s">
        <v>1435</v>
      </c>
      <c r="D315" t="s">
        <v>1583</v>
      </c>
      <c r="E315" t="s">
        <v>79</v>
      </c>
      <c r="F315" s="4">
        <v>20866</v>
      </c>
      <c r="G315">
        <v>68</v>
      </c>
      <c r="H315" t="s">
        <v>1578</v>
      </c>
      <c r="I315" t="s">
        <v>1579</v>
      </c>
      <c r="J315" s="4" t="s">
        <v>70</v>
      </c>
      <c r="K315" s="4" t="s">
        <v>71</v>
      </c>
      <c r="L315" t="s">
        <v>1584</v>
      </c>
      <c r="M315" t="s">
        <v>1576</v>
      </c>
      <c r="N315" t="s">
        <v>1577</v>
      </c>
      <c r="O315">
        <f>IFERROR(VLOOKUP(HEVARIM[[#This Row],[קוד תקציב]],[2]תקציבים!A:L,6,0),0)</f>
        <v>2</v>
      </c>
      <c r="P315" s="5" t="s">
        <v>104</v>
      </c>
      <c r="Q315" t="s">
        <v>11</v>
      </c>
      <c r="R315" s="4">
        <v>28855</v>
      </c>
      <c r="S315" s="4" t="s">
        <v>74</v>
      </c>
      <c r="T315" s="96" t="s">
        <v>1578</v>
      </c>
      <c r="U315" t="str">
        <f>VLOOKUP(HEVARIM[[#This Row],[גיל]],GIL,2,1)</f>
        <v>--</v>
      </c>
      <c r="V315" t="str">
        <f>IF(HEVARIM[[#This Row],[קוד מעמד]]="4     ",IF(HEVARIM[[#This Row],[גיל]]=1,1,IF(HEVARIM[[#This Row],[גיל]]&lt;=5,5,18)),"")</f>
        <v/>
      </c>
      <c r="W315">
        <f t="shared" si="16"/>
        <v>2365</v>
      </c>
      <c r="X31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15">
        <f>IF(HEVARIM[[#This Row],[מצב משפחתי2]]="אלמן",'[2]ריכוז נתונים'!$AC$2,0)</f>
        <v>0</v>
      </c>
      <c r="Z315" s="3">
        <f>VLOOKUP(VALUE(HEVARIM[[#This Row],[קוד מעמד]]),הנחות!$I$2:$K$21,3,0)</f>
        <v>0</v>
      </c>
      <c r="AA315" t="b">
        <f>ISERROR(VLOOKUP(HEVARIM[[#This Row],[קוד תקציב]],'[2]ריכוז נתונים'!A:A,1,0))</f>
        <v>0</v>
      </c>
      <c r="AB315" s="1">
        <f t="shared" si="17"/>
        <v>0</v>
      </c>
      <c r="AC315" s="2">
        <f ca="1">IF(HEVARIM[[#This Row],[בר מצוה]]&gt;0,YEAR(TODAY())+'תקציבים מיוחדים'!$F$5-HEVARIM[[#This Row],[גיל]],0)</f>
        <v>0</v>
      </c>
      <c r="AD315" s="1">
        <f t="shared" si="18"/>
        <v>0</v>
      </c>
      <c r="AE315" s="2">
        <f ca="1">IF(HEVARIM[[#This Row],[בת מצוה]]&gt;0,YEAR(TODAY())+'תקציבים מיוחדים'!$F$5-HEVARIM[[#This Row],[גיל]],0)</f>
        <v>0</v>
      </c>
      <c r="AF315" s="1">
        <f>IF(AND($S315&gt;="רווק",$Z315=1),AF$4*IF(HEVARIM[[#This Row],[גיל]]&gt;$AF$3,1,(($G315-AF$2)/(AF$3-AF$2))),0)</f>
        <v>0</v>
      </c>
      <c r="AG31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15" s="1">
        <f t="shared" si="19"/>
        <v>0</v>
      </c>
      <c r="AI315" s="2">
        <f ca="1">IF(AH315&gt;0,YEAR(TODAY())+'תקציבים מיוחדים'!$F$7-HEVARIM[[#This Row],[גיל]],0)</f>
        <v>0</v>
      </c>
      <c r="AJ315" s="9">
        <f>IF(AND(ISERROR(VLOOKUP(H315,'[2]ריכוז נתונים'!A:L,1,0)),P315="1     "),1,0)</f>
        <v>0</v>
      </c>
      <c r="AK315" s="1">
        <f>IF(VALUE(HEVARIM[[#This Row],[קוד מעמד]])=1,VLOOKUP((IF(LEFT(HEVARIM[[#This Row],[קוד חבר]],1)="0",HEVARIM[[#This Row],[קוד חבר]],VALUE(HEVARIM[[#This Row],[קוד חבר]]))),'ותק חברה 40'!AQ:AW,7,0),"")</f>
        <v>45.08</v>
      </c>
      <c r="AL315" s="1">
        <f>IF(AND(VALUE(HEVARIM[[#This Row],[קוד מעמד]])=1,HEVARIM[[#This Row],[ותק מחברה 40]]&lt;25),HEVARIM[[#This Row],[ותק מחברה 40]]/25*הנחות!$C$4,0)</f>
        <v>0</v>
      </c>
      <c r="AM315" s="9" t="str">
        <f ca="1">IF(HEVARIM[[#This Row],[דמי עזיבה 25 שנות ותק]]&gt;0,YEAR(TODAY())+25-ROUNDDOWN(HEVARIM[[#This Row],[ותק מחברה 40]],0),"")</f>
        <v/>
      </c>
      <c r="AN31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5" s="9" t="str">
        <f ca="1">IF(HEVARIM[[#This Row],[דמי עזיבה לגיל 65]]&gt;0,YEAR(TODAY())+64-ROUNDDOWN(HEVARIM[[#This Row],[גיל]],0),"")</f>
        <v/>
      </c>
      <c r="AP315" s="1">
        <f>SUMIF(HEVARIM[קוד תקציב],HEVARIM[[#This Row],[קוד תקציב משפחה מקורי]],HEVARIM[ותק מחברה 40])</f>
        <v>93.08</v>
      </c>
      <c r="AQ3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15" s="9">
        <f>IF(HEVARIM[[#This Row],[קוד מעמד]]="1     ",IFERROR(VLOOKUP(HEVARIM[[#This Row],[קוד תקציב]],'תקציב צביעה - לקראת השינוי'!A:F,4,0),0),0)</f>
        <v>2028</v>
      </c>
      <c r="AT315" s="1"/>
    </row>
    <row r="316" spans="1:46">
      <c r="A316" t="s">
        <v>1593</v>
      </c>
      <c r="B316" t="s">
        <v>1594</v>
      </c>
      <c r="C316" t="s">
        <v>1435</v>
      </c>
      <c r="D316" t="s">
        <v>1595</v>
      </c>
      <c r="E316" t="s">
        <v>67</v>
      </c>
      <c r="F316" s="4">
        <v>27925</v>
      </c>
      <c r="G316">
        <v>49</v>
      </c>
      <c r="H316" t="s">
        <v>1596</v>
      </c>
      <c r="I316" t="s">
        <v>1597</v>
      </c>
      <c r="J316" s="4" t="s">
        <v>70</v>
      </c>
      <c r="K316" s="4" t="s">
        <v>71</v>
      </c>
      <c r="L316" t="s">
        <v>1598</v>
      </c>
      <c r="M316" t="s">
        <v>1593</v>
      </c>
      <c r="N316" t="s">
        <v>1594</v>
      </c>
      <c r="O316">
        <f>IFERROR(VLOOKUP(HEVARIM[[#This Row],[קוד תקציב]],[2]תקציבים!A:L,6,0),0)</f>
        <v>2</v>
      </c>
      <c r="P316" s="5" t="s">
        <v>104</v>
      </c>
      <c r="Q316" t="s">
        <v>11</v>
      </c>
      <c r="R316" s="4">
        <v>44046</v>
      </c>
      <c r="S316" s="4" t="s">
        <v>74</v>
      </c>
      <c r="T316" s="96" t="s">
        <v>1596</v>
      </c>
      <c r="U316" t="str">
        <f>VLOOKUP(HEVARIM[[#This Row],[גיל]],GIL,2,1)</f>
        <v>--</v>
      </c>
      <c r="V316" t="str">
        <f>IF(HEVARIM[[#This Row],[קוד מעמד]]="4     ",IF(HEVARIM[[#This Row],[גיל]]=1,1,IF(HEVARIM[[#This Row],[גיל]]&lt;=5,5,18)),"")</f>
        <v/>
      </c>
      <c r="W316">
        <f t="shared" si="16"/>
        <v>0</v>
      </c>
      <c r="X3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6">
        <f>IF(HEVARIM[[#This Row],[מצב משפחתי2]]="אלמן",'[2]ריכוז נתונים'!$AC$2,0)</f>
        <v>0</v>
      </c>
      <c r="Z316" s="3">
        <f>VLOOKUP(VALUE(HEVARIM[[#This Row],[קוד מעמד]]),הנחות!$I$2:$K$21,3,0)</f>
        <v>0</v>
      </c>
      <c r="AA316" t="b">
        <f>ISERROR(VLOOKUP(HEVARIM[[#This Row],[קוד תקציב]],'[2]ריכוז נתונים'!A:A,1,0))</f>
        <v>0</v>
      </c>
      <c r="AB316" s="1">
        <f t="shared" si="17"/>
        <v>0</v>
      </c>
      <c r="AC316" s="2">
        <f ca="1">IF(HEVARIM[[#This Row],[בר מצוה]]&gt;0,YEAR(TODAY())+'תקציבים מיוחדים'!$F$5-HEVARIM[[#This Row],[גיל]],0)</f>
        <v>0</v>
      </c>
      <c r="AD316" s="1">
        <f t="shared" si="18"/>
        <v>0</v>
      </c>
      <c r="AE316" s="2">
        <f ca="1">IF(HEVARIM[[#This Row],[בת מצוה]]&gt;0,YEAR(TODAY())+'תקציבים מיוחדים'!$F$5-HEVARIM[[#This Row],[גיל]],0)</f>
        <v>0</v>
      </c>
      <c r="AF316" s="1">
        <f>IF(AND($S316&gt;="רווק",$Z316=1),AF$4*IF(HEVARIM[[#This Row],[גיל]]&gt;$AF$3,1,(($G316-AF$2)/(AF$3-AF$2))),0)</f>
        <v>0</v>
      </c>
      <c r="AG31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16" s="1">
        <f t="shared" si="19"/>
        <v>0</v>
      </c>
      <c r="AI316" s="2">
        <f ca="1">IF(AH316&gt;0,YEAR(TODAY())+'תקציבים מיוחדים'!$F$7-HEVARIM[[#This Row],[גיל]],0)</f>
        <v>0</v>
      </c>
      <c r="AJ316" s="9">
        <f>IF(AND(ISERROR(VLOOKUP(H316,'[2]ריכוז נתונים'!A:L,1,0)),P316="1     "),1,0)</f>
        <v>0</v>
      </c>
      <c r="AK316" s="1">
        <f>IF(VALUE(HEVARIM[[#This Row],[קוד מעמד]])=1,VLOOKUP((IF(LEFT(HEVARIM[[#This Row],[קוד חבר]],1)="0",HEVARIM[[#This Row],[קוד חבר]],VALUE(HEVARIM[[#This Row],[קוד חבר]]))),'ותק חברה 40'!AQ:AW,7,0),"")</f>
        <v>13.73</v>
      </c>
      <c r="AL316" s="1">
        <f>IF(AND(VALUE(HEVARIM[[#This Row],[קוד מעמד]])=1,HEVARIM[[#This Row],[ותק מחברה 40]]&lt;25),HEVARIM[[#This Row],[ותק מחברה 40]]/25*הנחות!$C$4,0)</f>
        <v>20614.009184999999</v>
      </c>
      <c r="AM316" s="9">
        <f ca="1">IF(HEVARIM[[#This Row],[דמי עזיבה 25 שנות ותק]]&gt;0,YEAR(TODAY())+25-ROUNDDOWN(HEVARIM[[#This Row],[ותק מחברה 40]],0),"")</f>
        <v>2038</v>
      </c>
      <c r="AN3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6" s="9" t="str">
        <f ca="1">IF(HEVARIM[[#This Row],[דמי עזיבה לגיל 65]]&gt;0,YEAR(TODAY())+64-ROUNDDOWN(HEVARIM[[#This Row],[גיל]],0),"")</f>
        <v/>
      </c>
      <c r="AP316" s="1">
        <f>SUMIF(HEVARIM[קוד תקציב],HEVARIM[[#This Row],[קוד תקציב משפחה מקורי]],HEVARIM[ותק מחברה 40])</f>
        <v>32.22</v>
      </c>
      <c r="AQ3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316" s="9">
        <f>IF(HEVARIM[[#This Row],[קוד מעמד]]="1     ",IFERROR(VLOOKUP(HEVARIM[[#This Row],[קוד תקציב]],'תקציב צביעה - לקראת השינוי'!A:F,4,0),0),0)</f>
        <v>2034</v>
      </c>
      <c r="AT316" s="1"/>
    </row>
    <row r="317" spans="1:46">
      <c r="A317" t="s">
        <v>1602</v>
      </c>
      <c r="B317" t="s">
        <v>1603</v>
      </c>
      <c r="C317" t="s">
        <v>1435</v>
      </c>
      <c r="D317" t="s">
        <v>289</v>
      </c>
      <c r="E317" t="s">
        <v>67</v>
      </c>
      <c r="F317" s="4">
        <v>39876</v>
      </c>
      <c r="G317">
        <v>16</v>
      </c>
      <c r="H317" t="s">
        <v>1596</v>
      </c>
      <c r="I317" t="s">
        <v>1597</v>
      </c>
      <c r="J317" s="4" t="s">
        <v>70</v>
      </c>
      <c r="K317" s="4" t="s">
        <v>71</v>
      </c>
      <c r="L317" t="s">
        <v>1604</v>
      </c>
      <c r="M317" t="s">
        <v>1593</v>
      </c>
      <c r="N317" t="s">
        <v>1594</v>
      </c>
      <c r="O317">
        <f>IFERROR(VLOOKUP(HEVARIM[[#This Row],[קוד תקציב]],[2]תקציבים!A:L,6,0),0)</f>
        <v>2</v>
      </c>
      <c r="P317" s="5" t="s">
        <v>227</v>
      </c>
      <c r="Q317" t="s">
        <v>14</v>
      </c>
      <c r="R317" s="4">
        <v>44047</v>
      </c>
      <c r="S317" s="4" t="s">
        <v>90</v>
      </c>
      <c r="T317" s="96" t="s">
        <v>1596</v>
      </c>
      <c r="U317" t="str">
        <f>VLOOKUP(HEVARIM[[#This Row],[גיל]],GIL,2,1)</f>
        <v>תיכון</v>
      </c>
      <c r="V317">
        <f>IF(HEVARIM[[#This Row],[קוד מעמד]]="4     ",IF(HEVARIM[[#This Row],[גיל]]=1,1,IF(HEVARIM[[#This Row],[גיל]]&lt;=5,5,18)),"")</f>
        <v>18</v>
      </c>
      <c r="W317">
        <f t="shared" si="16"/>
        <v>0</v>
      </c>
      <c r="X31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7">
        <f>IF(HEVARIM[[#This Row],[מצב משפחתי2]]="אלמן",'[2]ריכוז נתונים'!$AC$2,0)</f>
        <v>0</v>
      </c>
      <c r="Z317" s="3">
        <f>VLOOKUP(VALUE(HEVARIM[[#This Row],[קוד מעמד]]),הנחות!$I$2:$K$21,3,0)</f>
        <v>1</v>
      </c>
      <c r="AA317" t="b">
        <f>ISERROR(VLOOKUP(HEVARIM[[#This Row],[קוד תקציב]],'[2]ריכוז נתונים'!A:A,1,0))</f>
        <v>0</v>
      </c>
      <c r="AB317" s="1">
        <f t="shared" si="17"/>
        <v>0</v>
      </c>
      <c r="AC317" s="2">
        <f ca="1">IF(HEVARIM[[#This Row],[בר מצוה]]&gt;0,YEAR(TODAY())+'תקציבים מיוחדים'!$F$5-HEVARIM[[#This Row],[גיל]],0)</f>
        <v>0</v>
      </c>
      <c r="AD317" s="1">
        <f t="shared" si="18"/>
        <v>0</v>
      </c>
      <c r="AE317" s="2">
        <f ca="1">IF(HEVARIM[[#This Row],[בת מצוה]]&gt;0,YEAR(TODAY())+'תקציבים מיוחדים'!$F$5-HEVARIM[[#This Row],[גיל]],0)</f>
        <v>0</v>
      </c>
      <c r="AF317" s="1">
        <f>IF(AND($S317&gt;="רווק",$Z317=1),AF$4*IF(HEVARIM[[#This Row],[גיל]]&gt;$AF$3,1,(($G317-AF$2)/(AF$3-AF$2))),0)</f>
        <v>46104.761904761901</v>
      </c>
      <c r="AG317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317" s="1">
        <f t="shared" si="19"/>
        <v>80448.380952380947</v>
      </c>
      <c r="AI317" s="2">
        <f ca="1">IF(AH317&gt;0,YEAR(TODAY())+'תקציבים מיוחדים'!$F$7-HEVARIM[[#This Row],[גיל]],0)</f>
        <v>2031</v>
      </c>
      <c r="AJ317" s="9">
        <f>IF(AND(ISERROR(VLOOKUP(H317,'[2]ריכוז נתונים'!A:L,1,0)),P317="1     "),1,0)</f>
        <v>0</v>
      </c>
      <c r="AK31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7" s="1">
        <f>IF(AND(VALUE(HEVARIM[[#This Row],[קוד מעמד]])=1,HEVARIM[[#This Row],[ותק מחברה 40]]&lt;25),HEVARIM[[#This Row],[ותק מחברה 40]]/25*הנחות!$C$4,0)</f>
        <v>0</v>
      </c>
      <c r="AM317" s="9" t="str">
        <f ca="1">IF(HEVARIM[[#This Row],[דמי עזיבה 25 שנות ותק]]&gt;0,YEAR(TODAY())+25-ROUNDDOWN(HEVARIM[[#This Row],[ותק מחברה 40]],0),"")</f>
        <v/>
      </c>
      <c r="AN3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7" s="9" t="str">
        <f ca="1">IF(HEVARIM[[#This Row],[דמי עזיבה לגיל 65]]&gt;0,YEAR(TODAY())+64-ROUNDDOWN(HEVARIM[[#This Row],[גיל]],0),"")</f>
        <v/>
      </c>
      <c r="AP317" s="1">
        <f>SUMIF(HEVARIM[קוד תקציב],HEVARIM[[#This Row],[קוד תקציב משפחה מקורי]],HEVARIM[ותק מחברה 40])</f>
        <v>32.22</v>
      </c>
      <c r="AQ3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7" s="9">
        <f>IF(HEVARIM[[#This Row],[קוד מעמד]]="1     ",IFERROR(VLOOKUP(HEVARIM[[#This Row],[קוד תקציב]],'תקציב צביעה - לקראת השינוי'!A:F,4,0),0),0)</f>
        <v>0</v>
      </c>
      <c r="AT317" s="1"/>
    </row>
    <row r="318" spans="1:46">
      <c r="A318" t="s">
        <v>1605</v>
      </c>
      <c r="B318" t="s">
        <v>1606</v>
      </c>
      <c r="C318" t="s">
        <v>1435</v>
      </c>
      <c r="D318" t="s">
        <v>1607</v>
      </c>
      <c r="E318" t="s">
        <v>67</v>
      </c>
      <c r="F318" s="4">
        <v>40440</v>
      </c>
      <c r="G318">
        <v>15</v>
      </c>
      <c r="H318" t="s">
        <v>1596</v>
      </c>
      <c r="I318" t="s">
        <v>1597</v>
      </c>
      <c r="J318" s="4" t="s">
        <v>70</v>
      </c>
      <c r="K318" s="4" t="s">
        <v>71</v>
      </c>
      <c r="L318" t="s">
        <v>1608</v>
      </c>
      <c r="M318" t="s">
        <v>1593</v>
      </c>
      <c r="N318" t="s">
        <v>1594</v>
      </c>
      <c r="O318">
        <f>IFERROR(VLOOKUP(HEVARIM[[#This Row],[קוד תקציב]],[2]תקציבים!A:L,6,0),0)</f>
        <v>2</v>
      </c>
      <c r="P318" s="5" t="s">
        <v>227</v>
      </c>
      <c r="Q318" t="s">
        <v>14</v>
      </c>
      <c r="R318" s="4">
        <v>44047</v>
      </c>
      <c r="S318" s="4" t="s">
        <v>90</v>
      </c>
      <c r="T318" s="96" t="s">
        <v>1596</v>
      </c>
      <c r="U318" t="str">
        <f>VLOOKUP(HEVARIM[[#This Row],[גיל]],GIL,2,1)</f>
        <v>תיכון</v>
      </c>
      <c r="V318">
        <f>IF(HEVARIM[[#This Row],[קוד מעמד]]="4     ",IF(HEVARIM[[#This Row],[גיל]]=1,1,IF(HEVARIM[[#This Row],[גיל]]&lt;=5,5,18)),"")</f>
        <v>18</v>
      </c>
      <c r="W318">
        <f t="shared" si="16"/>
        <v>0</v>
      </c>
      <c r="X31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8">
        <f>IF(HEVARIM[[#This Row],[מצב משפחתי2]]="אלמן",'[2]ריכוז נתונים'!$AC$2,0)</f>
        <v>0</v>
      </c>
      <c r="Z318" s="3">
        <f>VLOOKUP(VALUE(HEVARIM[[#This Row],[קוד מעמד]]),הנחות!$I$2:$K$21,3,0)</f>
        <v>1</v>
      </c>
      <c r="AA318" t="b">
        <f>ISERROR(VLOOKUP(HEVARIM[[#This Row],[קוד תקציב]],'[2]ריכוז נתונים'!A:A,1,0))</f>
        <v>0</v>
      </c>
      <c r="AB318" s="1">
        <f t="shared" si="17"/>
        <v>0</v>
      </c>
      <c r="AC318" s="2">
        <f ca="1">IF(HEVARIM[[#This Row],[בר מצוה]]&gt;0,YEAR(TODAY())+'תקציבים מיוחדים'!$F$5-HEVARIM[[#This Row],[גיל]],0)</f>
        <v>0</v>
      </c>
      <c r="AD318" s="1">
        <f t="shared" si="18"/>
        <v>0</v>
      </c>
      <c r="AE318" s="2">
        <f ca="1">IF(HEVARIM[[#This Row],[בת מצוה]]&gt;0,YEAR(TODAY())+'תקציבים מיוחדים'!$F$5-HEVARIM[[#This Row],[גיל]],0)</f>
        <v>0</v>
      </c>
      <c r="AF318" s="1">
        <f>IF(AND($S318&gt;="רווק",$Z318=1),AF$4*IF(HEVARIM[[#This Row],[גיל]]&gt;$AF$3,1,(($G318-AF$2)/(AF$3-AF$2))),0)</f>
        <v>43223.21428571429</v>
      </c>
      <c r="AG318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18" s="1">
        <f t="shared" si="19"/>
        <v>75420.357142857145</v>
      </c>
      <c r="AI318" s="2">
        <f ca="1">IF(AH318&gt;0,YEAR(TODAY())+'תקציבים מיוחדים'!$F$7-HEVARIM[[#This Row],[גיל]],0)</f>
        <v>2032</v>
      </c>
      <c r="AJ318" s="9">
        <f>IF(AND(ISERROR(VLOOKUP(H318,'[2]ריכוז נתונים'!A:L,1,0)),P318="1     "),1,0)</f>
        <v>0</v>
      </c>
      <c r="AK31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8" s="1">
        <f>IF(AND(VALUE(HEVARIM[[#This Row],[קוד מעמד]])=1,HEVARIM[[#This Row],[ותק מחברה 40]]&lt;25),HEVARIM[[#This Row],[ותק מחברה 40]]/25*הנחות!$C$4,0)</f>
        <v>0</v>
      </c>
      <c r="AM318" s="9" t="str">
        <f ca="1">IF(HEVARIM[[#This Row],[דמי עזיבה 25 שנות ותק]]&gt;0,YEAR(TODAY())+25-ROUNDDOWN(HEVARIM[[#This Row],[ותק מחברה 40]],0),"")</f>
        <v/>
      </c>
      <c r="AN3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8" s="9" t="str">
        <f ca="1">IF(HEVARIM[[#This Row],[דמי עזיבה לגיל 65]]&gt;0,YEAR(TODAY())+64-ROUNDDOWN(HEVARIM[[#This Row],[גיל]],0),"")</f>
        <v/>
      </c>
      <c r="AP318" s="1">
        <f>SUMIF(HEVARIM[קוד תקציב],HEVARIM[[#This Row],[קוד תקציב משפחה מקורי]],HEVARIM[ותק מחברה 40])</f>
        <v>32.22</v>
      </c>
      <c r="AQ3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8" s="9">
        <f>IF(HEVARIM[[#This Row],[קוד מעמד]]="1     ",IFERROR(VLOOKUP(HEVARIM[[#This Row],[קוד תקציב]],'תקציב צביעה - לקראת השינוי'!A:F,4,0),0),0)</f>
        <v>0</v>
      </c>
      <c r="AT318" s="1"/>
    </row>
    <row r="319" spans="1:46">
      <c r="A319" t="s">
        <v>1609</v>
      </c>
      <c r="B319" t="s">
        <v>1610</v>
      </c>
      <c r="C319" t="s">
        <v>1435</v>
      </c>
      <c r="D319" t="s">
        <v>392</v>
      </c>
      <c r="E319" t="s">
        <v>67</v>
      </c>
      <c r="F319" s="4">
        <v>41175</v>
      </c>
      <c r="G319">
        <v>13</v>
      </c>
      <c r="H319" t="s">
        <v>1596</v>
      </c>
      <c r="I319" t="s">
        <v>1597</v>
      </c>
      <c r="J319" s="4" t="s">
        <v>70</v>
      </c>
      <c r="K319" s="4" t="s">
        <v>71</v>
      </c>
      <c r="L319" t="s">
        <v>1611</v>
      </c>
      <c r="M319" t="s">
        <v>1593</v>
      </c>
      <c r="N319" t="s">
        <v>1594</v>
      </c>
      <c r="O319">
        <f>IFERROR(VLOOKUP(HEVARIM[[#This Row],[קוד תקציב]],[2]תקציבים!A:L,6,0),0)</f>
        <v>2</v>
      </c>
      <c r="P319" s="5" t="s">
        <v>227</v>
      </c>
      <c r="Q319" t="s">
        <v>14</v>
      </c>
      <c r="R319" s="4">
        <v>44047</v>
      </c>
      <c r="S319" s="4" t="s">
        <v>90</v>
      </c>
      <c r="T319" s="96" t="s">
        <v>1596</v>
      </c>
      <c r="U319" t="str">
        <f>VLOOKUP(HEVARIM[[#This Row],[גיל]],GIL,2,1)</f>
        <v>חטיבה</v>
      </c>
      <c r="V319">
        <f>IF(HEVARIM[[#This Row],[קוד מעמד]]="4     ",IF(HEVARIM[[#This Row],[גיל]]=1,1,IF(HEVARIM[[#This Row],[גיל]]&lt;=5,5,18)),"")</f>
        <v>18</v>
      </c>
      <c r="W319">
        <f t="shared" si="16"/>
        <v>0</v>
      </c>
      <c r="X31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19">
        <f>IF(HEVARIM[[#This Row],[מצב משפחתי2]]="אלמן",'[2]ריכוז נתונים'!$AC$2,0)</f>
        <v>0</v>
      </c>
      <c r="Z319" s="3">
        <f>VLOOKUP(VALUE(HEVARIM[[#This Row],[קוד מעמד]]),הנחות!$I$2:$K$21,3,0)</f>
        <v>1</v>
      </c>
      <c r="AA319" t="b">
        <f>ISERROR(VLOOKUP(HEVARIM[[#This Row],[קוד תקציב]],'[2]ריכוז נתונים'!A:A,1,0))</f>
        <v>0</v>
      </c>
      <c r="AB319" s="1">
        <f t="shared" si="17"/>
        <v>7165</v>
      </c>
      <c r="AC319" s="2">
        <f ca="1">IF(HEVARIM[[#This Row],[בר מצוה]]&gt;0,YEAR(TODAY())+'תקציבים מיוחדים'!$F$5-HEVARIM[[#This Row],[גיל]],0)</f>
        <v>2026</v>
      </c>
      <c r="AD319" s="1">
        <f t="shared" si="18"/>
        <v>0</v>
      </c>
      <c r="AE319" s="2">
        <f ca="1">IF(HEVARIM[[#This Row],[בת מצוה]]&gt;0,YEAR(TODAY())+'תקציבים מיוחדים'!$F$5-HEVARIM[[#This Row],[גיל]],0)</f>
        <v>0</v>
      </c>
      <c r="AF319" s="1">
        <f>IF(AND($S319&gt;="רווק",$Z319=1),AF$4*IF(HEVARIM[[#This Row],[גיל]]&gt;$AF$3,1,(($G319-AF$2)/(AF$3-AF$2))),0)</f>
        <v>37460.119047619046</v>
      </c>
      <c r="AG319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319" s="1">
        <f t="shared" si="19"/>
        <v>65364.309523809527</v>
      </c>
      <c r="AI319" s="2">
        <f ca="1">IF(AH319&gt;0,YEAR(TODAY())+'תקציבים מיוחדים'!$F$7-HEVARIM[[#This Row],[גיל]],0)</f>
        <v>2034</v>
      </c>
      <c r="AJ319" s="9">
        <f>IF(AND(ISERROR(VLOOKUP(H319,'[2]ריכוז נתונים'!A:L,1,0)),P319="1     "),1,0)</f>
        <v>0</v>
      </c>
      <c r="AK31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19" s="1">
        <f>IF(AND(VALUE(HEVARIM[[#This Row],[קוד מעמד]])=1,HEVARIM[[#This Row],[ותק מחברה 40]]&lt;25),HEVARIM[[#This Row],[ותק מחברה 40]]/25*הנחות!$C$4,0)</f>
        <v>0</v>
      </c>
      <c r="AM319" s="9" t="str">
        <f ca="1">IF(HEVARIM[[#This Row],[דמי עזיבה 25 שנות ותק]]&gt;0,YEAR(TODAY())+25-ROUNDDOWN(HEVARIM[[#This Row],[ותק מחברה 40]],0),"")</f>
        <v/>
      </c>
      <c r="AN3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19" s="9" t="str">
        <f ca="1">IF(HEVARIM[[#This Row],[דמי עזיבה לגיל 65]]&gt;0,YEAR(TODAY())+64-ROUNDDOWN(HEVARIM[[#This Row],[גיל]],0),"")</f>
        <v/>
      </c>
      <c r="AP319" s="1">
        <f>SUMIF(HEVARIM[קוד תקציב],HEVARIM[[#This Row],[קוד תקציב משפחה מקורי]],HEVARIM[ותק מחברה 40])</f>
        <v>32.22</v>
      </c>
      <c r="AQ3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19" s="9">
        <f>IF(HEVARIM[[#This Row],[קוד מעמד]]="1     ",IFERROR(VLOOKUP(HEVARIM[[#This Row],[קוד תקציב]],'תקציב צביעה - לקראת השינוי'!A:F,4,0),0),0)</f>
        <v>0</v>
      </c>
      <c r="AT319" s="1"/>
    </row>
    <row r="320" spans="1:46">
      <c r="A320" t="s">
        <v>1612</v>
      </c>
      <c r="B320" t="s">
        <v>1613</v>
      </c>
      <c r="C320" t="s">
        <v>1435</v>
      </c>
      <c r="D320" t="s">
        <v>1614</v>
      </c>
      <c r="E320" t="s">
        <v>67</v>
      </c>
      <c r="F320" s="4">
        <v>42189</v>
      </c>
      <c r="G320">
        <v>10</v>
      </c>
      <c r="H320" t="s">
        <v>1596</v>
      </c>
      <c r="I320" t="s">
        <v>1597</v>
      </c>
      <c r="J320" s="4" t="s">
        <v>70</v>
      </c>
      <c r="K320" s="4" t="s">
        <v>71</v>
      </c>
      <c r="L320" t="s">
        <v>1615</v>
      </c>
      <c r="M320" t="s">
        <v>1593</v>
      </c>
      <c r="N320" t="s">
        <v>1594</v>
      </c>
      <c r="O320">
        <f>IFERROR(VLOOKUP(HEVARIM[[#This Row],[קוד תקציב]],[2]תקציבים!A:L,6,0),0)</f>
        <v>2</v>
      </c>
      <c r="P320" s="5" t="s">
        <v>227</v>
      </c>
      <c r="Q320" t="s">
        <v>14</v>
      </c>
      <c r="R320" s="4">
        <v>44047</v>
      </c>
      <c r="S320" s="4" t="s">
        <v>90</v>
      </c>
      <c r="T320" s="96" t="s">
        <v>1596</v>
      </c>
      <c r="U320" t="str">
        <f>VLOOKUP(HEVARIM[[#This Row],[גיל]],GIL,2,1)</f>
        <v>יסודי</v>
      </c>
      <c r="V320">
        <f>IF(HEVARIM[[#This Row],[קוד מעמד]]="4     ",IF(HEVARIM[[#This Row],[גיל]]=1,1,IF(HEVARIM[[#This Row],[גיל]]&lt;=5,5,18)),"")</f>
        <v>18</v>
      </c>
      <c r="W320">
        <f t="shared" si="16"/>
        <v>0</v>
      </c>
      <c r="X32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0">
        <f>IF(HEVARIM[[#This Row],[מצב משפחתי2]]="אלמן",'[2]ריכוז נתונים'!$AC$2,0)</f>
        <v>0</v>
      </c>
      <c r="Z320" s="3">
        <f>VLOOKUP(VALUE(HEVARIM[[#This Row],[קוד מעמד]]),הנחות!$I$2:$K$21,3,0)</f>
        <v>1</v>
      </c>
      <c r="AA320" t="b">
        <f>ISERROR(VLOOKUP(HEVARIM[[#This Row],[קוד תקציב]],'[2]ריכוז נתונים'!A:A,1,0))</f>
        <v>0</v>
      </c>
      <c r="AB320" s="1">
        <f t="shared" si="17"/>
        <v>5511.5384615384619</v>
      </c>
      <c r="AC320" s="2">
        <f ca="1">IF(HEVARIM[[#This Row],[בר מצוה]]&gt;0,YEAR(TODAY())+'תקציבים מיוחדים'!$F$5-HEVARIM[[#This Row],[גיל]],0)</f>
        <v>2029</v>
      </c>
      <c r="AD320" s="1">
        <f t="shared" si="18"/>
        <v>0</v>
      </c>
      <c r="AE320" s="2">
        <f ca="1">IF(HEVARIM[[#This Row],[בת מצוה]]&gt;0,YEAR(TODAY())+'תקציבים מיוחדים'!$F$5-HEVARIM[[#This Row],[גיל]],0)</f>
        <v>0</v>
      </c>
      <c r="AF320" s="1">
        <f>IF(AND($S320&gt;="רווק",$Z320=1),AF$4*IF(HEVARIM[[#This Row],[גיל]]&gt;$AF$3,1,(($G320-AF$2)/(AF$3-AF$2))),0)</f>
        <v>28815.476190476187</v>
      </c>
      <c r="AG320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320" s="1">
        <f t="shared" si="19"/>
        <v>50280.238095238092</v>
      </c>
      <c r="AI320" s="2">
        <f ca="1">IF(AH320&gt;0,YEAR(TODAY())+'תקציבים מיוחדים'!$F$7-HEVARIM[[#This Row],[גיל]],0)</f>
        <v>2037</v>
      </c>
      <c r="AJ320" s="9">
        <f>IF(AND(ISERROR(VLOOKUP(H320,'[2]ריכוז נתונים'!A:L,1,0)),P320="1     "),1,0)</f>
        <v>0</v>
      </c>
      <c r="AK32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0" s="1">
        <f>IF(AND(VALUE(HEVARIM[[#This Row],[קוד מעמד]])=1,HEVARIM[[#This Row],[ותק מחברה 40]]&lt;25),HEVARIM[[#This Row],[ותק מחברה 40]]/25*הנחות!$C$4,0)</f>
        <v>0</v>
      </c>
      <c r="AM320" s="9" t="str">
        <f ca="1">IF(HEVARIM[[#This Row],[דמי עזיבה 25 שנות ותק]]&gt;0,YEAR(TODAY())+25-ROUNDDOWN(HEVARIM[[#This Row],[ותק מחברה 40]],0),"")</f>
        <v/>
      </c>
      <c r="AN32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0" s="9" t="str">
        <f ca="1">IF(HEVARIM[[#This Row],[דמי עזיבה לגיל 65]]&gt;0,YEAR(TODAY())+64-ROUNDDOWN(HEVARIM[[#This Row],[גיל]],0),"")</f>
        <v/>
      </c>
      <c r="AP320" s="1">
        <f>SUMIF(HEVARIM[קוד תקציב],HEVARIM[[#This Row],[קוד תקציב משפחה מקורי]],HEVARIM[ותק מחברה 40])</f>
        <v>32.22</v>
      </c>
      <c r="AQ3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0" s="9">
        <f>IF(HEVARIM[[#This Row],[קוד מעמד]]="1     ",IFERROR(VLOOKUP(HEVARIM[[#This Row],[קוד תקציב]],'תקציב צביעה - לקראת השינוי'!A:F,4,0),0),0)</f>
        <v>0</v>
      </c>
      <c r="AT320" s="1"/>
    </row>
    <row r="321" spans="1:46">
      <c r="A321" t="s">
        <v>1616</v>
      </c>
      <c r="B321" t="s">
        <v>1617</v>
      </c>
      <c r="C321" t="s">
        <v>1435</v>
      </c>
      <c r="D321" t="s">
        <v>636</v>
      </c>
      <c r="E321" t="s">
        <v>79</v>
      </c>
      <c r="F321" s="4">
        <v>43173</v>
      </c>
      <c r="G321">
        <v>7</v>
      </c>
      <c r="H321" t="s">
        <v>1596</v>
      </c>
      <c r="I321" t="s">
        <v>1597</v>
      </c>
      <c r="J321" s="4" t="s">
        <v>70</v>
      </c>
      <c r="K321" s="4" t="s">
        <v>71</v>
      </c>
      <c r="L321" t="s">
        <v>1618</v>
      </c>
      <c r="M321" t="s">
        <v>1593</v>
      </c>
      <c r="N321" t="s">
        <v>1594</v>
      </c>
      <c r="O321">
        <f>IFERROR(VLOOKUP(HEVARIM[[#This Row],[קוד תקציב]],[2]תקציבים!A:L,6,0),0)</f>
        <v>2</v>
      </c>
      <c r="P321" s="5" t="s">
        <v>227</v>
      </c>
      <c r="Q321" t="s">
        <v>14</v>
      </c>
      <c r="R321" s="4">
        <v>44046</v>
      </c>
      <c r="S321" s="4" t="s">
        <v>90</v>
      </c>
      <c r="T321" s="96" t="s">
        <v>1596</v>
      </c>
      <c r="U321" t="str">
        <f>VLOOKUP(HEVARIM[[#This Row],[גיל]],GIL,2,1)</f>
        <v>יסודי</v>
      </c>
      <c r="V321">
        <f>IF(HEVARIM[[#This Row],[קוד מעמד]]="4     ",IF(HEVARIM[[#This Row],[גיל]]=1,1,IF(HEVARIM[[#This Row],[גיל]]&lt;=5,5,18)),"")</f>
        <v>18</v>
      </c>
      <c r="W321">
        <f t="shared" si="16"/>
        <v>0</v>
      </c>
      <c r="X32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1">
        <f>IF(HEVARIM[[#This Row],[מצב משפחתי2]]="אלמן",'[2]ריכוז נתונים'!$AC$2,0)</f>
        <v>0</v>
      </c>
      <c r="Z321" s="3">
        <f>VLOOKUP(VALUE(HEVARIM[[#This Row],[קוד מעמד]]),הנחות!$I$2:$K$21,3,0)</f>
        <v>1</v>
      </c>
      <c r="AA321" t="b">
        <f>ISERROR(VLOOKUP(HEVARIM[[#This Row],[קוד תקציב]],'[2]ריכוז נתונים'!A:A,1,0))</f>
        <v>0</v>
      </c>
      <c r="AB321" s="1">
        <f t="shared" si="17"/>
        <v>0</v>
      </c>
      <c r="AC321" s="2">
        <f ca="1">IF(HEVARIM[[#This Row],[בר מצוה]]&gt;0,YEAR(TODAY())+'תקציבים מיוחדים'!$F$5-HEVARIM[[#This Row],[גיל]],0)</f>
        <v>0</v>
      </c>
      <c r="AD321" s="1">
        <f t="shared" si="18"/>
        <v>3858.0769230769229</v>
      </c>
      <c r="AE321" s="2">
        <f ca="1">IF(HEVARIM[[#This Row],[בת מצוה]]&gt;0,YEAR(TODAY())+'תקציבים מיוחדים'!$F$5-HEVARIM[[#This Row],[גיל]],0)</f>
        <v>2032</v>
      </c>
      <c r="AF321" s="1">
        <f>IF(AND($S321&gt;="רווק",$Z321=1),AF$4*IF(HEVARIM[[#This Row],[גיל]]&gt;$AF$3,1,(($G321-AF$2)/(AF$3-AF$2))),0)</f>
        <v>20170.833333333332</v>
      </c>
      <c r="AG321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321" s="1">
        <f t="shared" si="19"/>
        <v>35196.166666666664</v>
      </c>
      <c r="AI321" s="2">
        <f ca="1">IF(AH321&gt;0,YEAR(TODAY())+'תקציבים מיוחדים'!$F$7-HEVARIM[[#This Row],[גיל]],0)</f>
        <v>2040</v>
      </c>
      <c r="AJ321" s="9">
        <f>IF(AND(ISERROR(VLOOKUP(H321,'[2]ריכוז נתונים'!A:L,1,0)),P321="1     "),1,0)</f>
        <v>0</v>
      </c>
      <c r="AK32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1" s="1">
        <f>IF(AND(VALUE(HEVARIM[[#This Row],[קוד מעמד]])=1,HEVARIM[[#This Row],[ותק מחברה 40]]&lt;25),HEVARIM[[#This Row],[ותק מחברה 40]]/25*הנחות!$C$4,0)</f>
        <v>0</v>
      </c>
      <c r="AM321" s="9" t="str">
        <f ca="1">IF(HEVARIM[[#This Row],[דמי עזיבה 25 שנות ותק]]&gt;0,YEAR(TODAY())+25-ROUNDDOWN(HEVARIM[[#This Row],[ותק מחברה 40]],0),"")</f>
        <v/>
      </c>
      <c r="AN32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1" s="9" t="str">
        <f ca="1">IF(HEVARIM[[#This Row],[דמי עזיבה לגיל 65]]&gt;0,YEAR(TODAY())+64-ROUNDDOWN(HEVARIM[[#This Row],[גיל]],0),"")</f>
        <v/>
      </c>
      <c r="AP321" s="1">
        <f>SUMIF(HEVARIM[קוד תקציב],HEVARIM[[#This Row],[קוד תקציב משפחה מקורי]],HEVARIM[ותק מחברה 40])</f>
        <v>32.22</v>
      </c>
      <c r="AQ3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1" s="9">
        <f>IF(HEVARIM[[#This Row],[קוד מעמד]]="1     ",IFERROR(VLOOKUP(HEVARIM[[#This Row],[קוד תקציב]],'תקציב צביעה - לקראת השינוי'!A:F,4,0),0),0)</f>
        <v>0</v>
      </c>
      <c r="AT321" s="1"/>
    </row>
    <row r="322" spans="1:46">
      <c r="A322" t="s">
        <v>1619</v>
      </c>
      <c r="B322" t="s">
        <v>1620</v>
      </c>
      <c r="C322" t="s">
        <v>1435</v>
      </c>
      <c r="D322" t="s">
        <v>65</v>
      </c>
      <c r="E322" t="s">
        <v>67</v>
      </c>
      <c r="F322" s="4">
        <v>34926</v>
      </c>
      <c r="G322">
        <v>30</v>
      </c>
      <c r="H322" t="s">
        <v>1621</v>
      </c>
      <c r="I322" t="s">
        <v>1622</v>
      </c>
      <c r="J322" s="4" t="s">
        <v>70</v>
      </c>
      <c r="K322" s="4" t="s">
        <v>81</v>
      </c>
      <c r="L322" t="s">
        <v>1623</v>
      </c>
      <c r="M322" t="s">
        <v>1619</v>
      </c>
      <c r="N322" t="s">
        <v>1620</v>
      </c>
      <c r="O322">
        <f>IFERROR(VLOOKUP(HEVARIM[[#This Row],[קוד תקציב]],[2]תקציבים!A:L,6,0),0)</f>
        <v>0</v>
      </c>
      <c r="P322" s="5" t="s">
        <v>83</v>
      </c>
      <c r="Q322" t="s">
        <v>15</v>
      </c>
      <c r="R322" s="4">
        <v>45159</v>
      </c>
      <c r="S322" s="4" t="s">
        <v>74</v>
      </c>
      <c r="T322" s="96" t="s">
        <v>1621</v>
      </c>
      <c r="U322" t="str">
        <f>VLOOKUP(HEVARIM[[#This Row],[גיל]],GIL,2,1)</f>
        <v>--</v>
      </c>
      <c r="V322" t="str">
        <f>IF(HEVARIM[[#This Row],[קוד מעמד]]="4     ",IF(HEVARIM[[#This Row],[גיל]]=1,1,IF(HEVARIM[[#This Row],[גיל]]&lt;=5,5,18)),"")</f>
        <v/>
      </c>
      <c r="W322">
        <f t="shared" si="16"/>
        <v>0</v>
      </c>
      <c r="X3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2">
        <f>IF(HEVARIM[[#This Row],[מצב משפחתי2]]="אלמן",'[2]ריכוז נתונים'!$AC$2,0)</f>
        <v>0</v>
      </c>
      <c r="Z322" s="3">
        <f>VLOOKUP(VALUE(HEVARIM[[#This Row],[קוד מעמד]]),הנחות!$I$2:$K$21,3,0)</f>
        <v>0</v>
      </c>
      <c r="AA322" t="b">
        <f>ISERROR(VLOOKUP(HEVARIM[[#This Row],[קוד תקציב]],'[2]ריכוז נתונים'!A:A,1,0))</f>
        <v>1</v>
      </c>
      <c r="AB322" s="1">
        <f t="shared" si="17"/>
        <v>0</v>
      </c>
      <c r="AC322" s="2">
        <f ca="1">IF(HEVARIM[[#This Row],[בר מצוה]]&gt;0,YEAR(TODAY())+'תקציבים מיוחדים'!$F$5-HEVARIM[[#This Row],[גיל]],0)</f>
        <v>0</v>
      </c>
      <c r="AD322" s="1">
        <f t="shared" si="18"/>
        <v>0</v>
      </c>
      <c r="AE322" s="2">
        <f ca="1">IF(HEVARIM[[#This Row],[בת מצוה]]&gt;0,YEAR(TODAY())+'תקציבים מיוחדים'!$F$5-HEVARIM[[#This Row],[גיל]],0)</f>
        <v>0</v>
      </c>
      <c r="AF322" s="1">
        <f>IF(AND($S322&gt;="רווק",$Z322=1),AF$4*IF(HEVARIM[[#This Row],[גיל]]&gt;$AF$3,1,(($G322-AF$2)/(AF$3-AF$2))),0)</f>
        <v>0</v>
      </c>
      <c r="AG32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22" s="1">
        <f t="shared" si="19"/>
        <v>0</v>
      </c>
      <c r="AI322" s="2">
        <f ca="1">IF(AH322&gt;0,YEAR(TODAY())+'תקציבים מיוחדים'!$F$7-HEVARIM[[#This Row],[גיל]],0)</f>
        <v>0</v>
      </c>
      <c r="AJ322" s="9">
        <f>IF(AND(ISERROR(VLOOKUP(H322,'[2]ריכוז נתונים'!A:L,1,0)),P322="1     "),1,0)</f>
        <v>0</v>
      </c>
      <c r="AK32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2" s="1">
        <f>IF(AND(VALUE(HEVARIM[[#This Row],[קוד מעמד]])=1,HEVARIM[[#This Row],[ותק מחברה 40]]&lt;25),HEVARIM[[#This Row],[ותק מחברה 40]]/25*הנחות!$C$4,0)</f>
        <v>0</v>
      </c>
      <c r="AM322" s="9" t="str">
        <f ca="1">IF(HEVARIM[[#This Row],[דמי עזיבה 25 שנות ותק]]&gt;0,YEAR(TODAY())+25-ROUNDDOWN(HEVARIM[[#This Row],[ותק מחברה 40]],0),"")</f>
        <v/>
      </c>
      <c r="AN32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2" s="9" t="str">
        <f ca="1">IF(HEVARIM[[#This Row],[דמי עזיבה לגיל 65]]&gt;0,YEAR(TODAY())+64-ROUNDDOWN(HEVARIM[[#This Row],[גיל]],0),"")</f>
        <v/>
      </c>
      <c r="AP322" s="1">
        <f>SUMIF(HEVARIM[קוד תקציב],HEVARIM[[#This Row],[קוד תקציב משפחה מקורי]],HEVARIM[ותק מחברה 40])</f>
        <v>0</v>
      </c>
      <c r="AQ3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2" s="9">
        <f>IF(HEVARIM[[#This Row],[קוד מעמד]]="1     ",IFERROR(VLOOKUP(HEVARIM[[#This Row],[קוד תקציב]],'תקציב צביעה - לקראת השינוי'!A:F,4,0),0),0)</f>
        <v>0</v>
      </c>
      <c r="AT322" s="1"/>
    </row>
    <row r="323" spans="1:46">
      <c r="A323" t="s">
        <v>1627</v>
      </c>
      <c r="B323" t="s">
        <v>1628</v>
      </c>
      <c r="C323" t="s">
        <v>1435</v>
      </c>
      <c r="D323" t="s">
        <v>846</v>
      </c>
      <c r="E323" t="s">
        <v>67</v>
      </c>
      <c r="F323" s="4">
        <v>44570</v>
      </c>
      <c r="G323">
        <v>3</v>
      </c>
      <c r="H323" t="s">
        <v>1621</v>
      </c>
      <c r="I323" t="s">
        <v>1622</v>
      </c>
      <c r="J323" s="4" t="s">
        <v>70</v>
      </c>
      <c r="K323" s="4" t="s">
        <v>81</v>
      </c>
      <c r="L323" t="s">
        <v>1629</v>
      </c>
      <c r="M323" t="s">
        <v>1619</v>
      </c>
      <c r="N323" t="s">
        <v>1620</v>
      </c>
      <c r="O323">
        <f>IFERROR(VLOOKUP(HEVARIM[[#This Row],[קוד תקציב]],[2]תקציבים!A:L,6,0),0)</f>
        <v>0</v>
      </c>
      <c r="P323" s="5" t="s">
        <v>89</v>
      </c>
      <c r="Q323" t="s">
        <v>19</v>
      </c>
      <c r="R323" s="4">
        <v>45159</v>
      </c>
      <c r="S323" s="4" t="s">
        <v>90</v>
      </c>
      <c r="T323" s="96" t="s">
        <v>1621</v>
      </c>
      <c r="U323" t="str">
        <f>VLOOKUP(HEVARIM[[#This Row],[גיל]],GIL,2,1)</f>
        <v>גנים</v>
      </c>
      <c r="V323" t="str">
        <f>IF(HEVARIM[[#This Row],[קוד מעמד]]="4     ",IF(HEVARIM[[#This Row],[גיל]]=1,1,IF(HEVARIM[[#This Row],[גיל]]&lt;=5,5,18)),"")</f>
        <v/>
      </c>
      <c r="W323">
        <f t="shared" si="16"/>
        <v>0</v>
      </c>
      <c r="X32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3">
        <f>IF(HEVARIM[[#This Row],[מצב משפחתי2]]="אלמן",'[2]ריכוז נתונים'!$AC$2,0)</f>
        <v>0</v>
      </c>
      <c r="Z323" s="3">
        <f>VLOOKUP(VALUE(HEVARIM[[#This Row],[קוד מעמד]]),הנחות!$I$2:$K$21,3,0)</f>
        <v>0</v>
      </c>
      <c r="AA323" t="b">
        <f>ISERROR(VLOOKUP(HEVARIM[[#This Row],[קוד תקציב]],'[2]ריכוז נתונים'!A:A,1,0))</f>
        <v>1</v>
      </c>
      <c r="AB323" s="1">
        <f t="shared" si="17"/>
        <v>0</v>
      </c>
      <c r="AC323" s="2">
        <f ca="1">IF(HEVARIM[[#This Row],[בר מצוה]]&gt;0,YEAR(TODAY())+'תקציבים מיוחדים'!$F$5-HEVARIM[[#This Row],[גיל]],0)</f>
        <v>0</v>
      </c>
      <c r="AD323" s="1">
        <f t="shared" si="18"/>
        <v>0</v>
      </c>
      <c r="AE323" s="2">
        <f ca="1">IF(HEVARIM[[#This Row],[בת מצוה]]&gt;0,YEAR(TODAY())+'תקציבים מיוחדים'!$F$5-HEVARIM[[#This Row],[גיל]],0)</f>
        <v>0</v>
      </c>
      <c r="AF323" s="1">
        <f>IF(AND($S323&gt;="רווק",$Z323=1),AF$4*IF(HEVARIM[[#This Row],[גיל]]&gt;$AF$3,1,(($G323-AF$2)/(AF$3-AF$2))),0)</f>
        <v>0</v>
      </c>
      <c r="AG32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23" s="1">
        <f t="shared" si="19"/>
        <v>0</v>
      </c>
      <c r="AI323" s="2">
        <f ca="1">IF(AH323&gt;0,YEAR(TODAY())+'תקציבים מיוחדים'!$F$7-HEVARIM[[#This Row],[גיל]],0)</f>
        <v>0</v>
      </c>
      <c r="AJ323" s="9">
        <f>IF(AND(ISERROR(VLOOKUP(H323,'[2]ריכוז נתונים'!A:L,1,0)),P323="1     "),1,0)</f>
        <v>0</v>
      </c>
      <c r="AK32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3" s="1">
        <f>IF(AND(VALUE(HEVARIM[[#This Row],[קוד מעמד]])=1,HEVARIM[[#This Row],[ותק מחברה 40]]&lt;25),HEVARIM[[#This Row],[ותק מחברה 40]]/25*הנחות!$C$4,0)</f>
        <v>0</v>
      </c>
      <c r="AM323" s="9" t="str">
        <f ca="1">IF(HEVARIM[[#This Row],[דמי עזיבה 25 שנות ותק]]&gt;0,YEAR(TODAY())+25-ROUNDDOWN(HEVARIM[[#This Row],[ותק מחברה 40]],0),"")</f>
        <v/>
      </c>
      <c r="AN32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3" s="9" t="str">
        <f ca="1">IF(HEVARIM[[#This Row],[דמי עזיבה לגיל 65]]&gt;0,YEAR(TODAY())+64-ROUNDDOWN(HEVARIM[[#This Row],[גיל]],0),"")</f>
        <v/>
      </c>
      <c r="AP323" s="1">
        <f>SUMIF(HEVARIM[קוד תקציב],HEVARIM[[#This Row],[קוד תקציב משפחה מקורי]],HEVARIM[ותק מחברה 40])</f>
        <v>0</v>
      </c>
      <c r="AQ3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3" s="9">
        <f>IF(HEVARIM[[#This Row],[קוד מעמד]]="1     ",IFERROR(VLOOKUP(HEVARIM[[#This Row],[קוד תקציב]],'תקציב צביעה - לקראת השינוי'!A:F,4,0),0),0)</f>
        <v>0</v>
      </c>
      <c r="AT323" s="1"/>
    </row>
    <row r="324" spans="1:46">
      <c r="A324" t="s">
        <v>1630</v>
      </c>
      <c r="B324" t="s">
        <v>1631</v>
      </c>
      <c r="C324" t="s">
        <v>1435</v>
      </c>
      <c r="D324" t="s">
        <v>1632</v>
      </c>
      <c r="E324" t="s">
        <v>67</v>
      </c>
      <c r="F324" s="4">
        <v>45196</v>
      </c>
      <c r="G324">
        <v>2</v>
      </c>
      <c r="H324" t="s">
        <v>1621</v>
      </c>
      <c r="I324" t="s">
        <v>1622</v>
      </c>
      <c r="J324" s="4" t="s">
        <v>70</v>
      </c>
      <c r="K324" s="4" t="s">
        <v>81</v>
      </c>
      <c r="L324" t="s">
        <v>1633</v>
      </c>
      <c r="M324" t="s">
        <v>1619</v>
      </c>
      <c r="N324" t="s">
        <v>1620</v>
      </c>
      <c r="O324">
        <f>IFERROR(VLOOKUP(HEVARIM[[#This Row],[קוד תקציב]],[2]תקציבים!A:L,6,0),0)</f>
        <v>0</v>
      </c>
      <c r="P324" s="5" t="s">
        <v>89</v>
      </c>
      <c r="Q324" t="s">
        <v>19</v>
      </c>
      <c r="R324" s="4">
        <v>45196</v>
      </c>
      <c r="S324" s="4" t="s">
        <v>90</v>
      </c>
      <c r="T324" s="96" t="s">
        <v>1621</v>
      </c>
      <c r="U324" t="str">
        <f>VLOOKUP(HEVARIM[[#This Row],[גיל]],GIL,2,1)</f>
        <v>פעוט</v>
      </c>
      <c r="V324" t="str">
        <f>IF(HEVARIM[[#This Row],[קוד מעמד]]="4     ",IF(HEVARIM[[#This Row],[גיל]]=1,1,IF(HEVARIM[[#This Row],[גיל]]&lt;=5,5,18)),"")</f>
        <v/>
      </c>
      <c r="W324">
        <f t="shared" si="16"/>
        <v>0</v>
      </c>
      <c r="X32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4">
        <f>IF(HEVARIM[[#This Row],[מצב משפחתי2]]="אלמן",'[2]ריכוז נתונים'!$AC$2,0)</f>
        <v>0</v>
      </c>
      <c r="Z324" s="3">
        <f>VLOOKUP(VALUE(HEVARIM[[#This Row],[קוד מעמד]]),הנחות!$I$2:$K$21,3,0)</f>
        <v>0</v>
      </c>
      <c r="AA324" t="b">
        <f>ISERROR(VLOOKUP(HEVARIM[[#This Row],[קוד תקציב]],'[2]ריכוז נתונים'!A:A,1,0))</f>
        <v>1</v>
      </c>
      <c r="AB324" s="1">
        <f t="shared" si="17"/>
        <v>0</v>
      </c>
      <c r="AC324" s="2">
        <f ca="1">IF(HEVARIM[[#This Row],[בר מצוה]]&gt;0,YEAR(TODAY())+'תקציבים מיוחדים'!$F$5-HEVARIM[[#This Row],[גיל]],0)</f>
        <v>0</v>
      </c>
      <c r="AD324" s="1">
        <f t="shared" si="18"/>
        <v>0</v>
      </c>
      <c r="AE324" s="2">
        <f ca="1">IF(HEVARIM[[#This Row],[בת מצוה]]&gt;0,YEAR(TODAY())+'תקציבים מיוחדים'!$F$5-HEVARIM[[#This Row],[גיל]],0)</f>
        <v>0</v>
      </c>
      <c r="AF324" s="1">
        <f>IF(AND($S324&gt;="רווק",$Z324=1),AF$4*IF(HEVARIM[[#This Row],[גיל]]&gt;$AF$3,1,(($G324-AF$2)/(AF$3-AF$2))),0)</f>
        <v>0</v>
      </c>
      <c r="AG32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24" s="1">
        <f t="shared" si="19"/>
        <v>0</v>
      </c>
      <c r="AI324" s="2">
        <f ca="1">IF(AH324&gt;0,YEAR(TODAY())+'תקציבים מיוחדים'!$F$7-HEVARIM[[#This Row],[גיל]],0)</f>
        <v>0</v>
      </c>
      <c r="AJ324" s="9">
        <f>IF(AND(ISERROR(VLOOKUP(H324,'[2]ריכוז נתונים'!A:L,1,0)),P324="1     "),1,0)</f>
        <v>0</v>
      </c>
      <c r="AK32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4" s="1">
        <f>IF(AND(VALUE(HEVARIM[[#This Row],[קוד מעמד]])=1,HEVARIM[[#This Row],[ותק מחברה 40]]&lt;25),HEVARIM[[#This Row],[ותק מחברה 40]]/25*הנחות!$C$4,0)</f>
        <v>0</v>
      </c>
      <c r="AM324" s="9" t="str">
        <f ca="1">IF(HEVARIM[[#This Row],[דמי עזיבה 25 שנות ותק]]&gt;0,YEAR(TODAY())+25-ROUNDDOWN(HEVARIM[[#This Row],[ותק מחברה 40]],0),"")</f>
        <v/>
      </c>
      <c r="AN3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4" s="9" t="str">
        <f ca="1">IF(HEVARIM[[#This Row],[דמי עזיבה לגיל 65]]&gt;0,YEAR(TODAY())+64-ROUNDDOWN(HEVARIM[[#This Row],[גיל]],0),"")</f>
        <v/>
      </c>
      <c r="AP324" s="1">
        <f>SUMIF(HEVARIM[קוד תקציב],HEVARIM[[#This Row],[קוד תקציב משפחה מקורי]],HEVARIM[ותק מחברה 40])</f>
        <v>0</v>
      </c>
      <c r="AQ3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4" s="9">
        <f>IF(HEVARIM[[#This Row],[קוד מעמד]]="1     ",IFERROR(VLOOKUP(HEVARIM[[#This Row],[קוד תקציב]],'תקציב צביעה - לקראת השינוי'!A:F,4,0),0),0)</f>
        <v>0</v>
      </c>
      <c r="AT324" s="1"/>
    </row>
    <row r="325" spans="1:46">
      <c r="A325" t="s">
        <v>1634</v>
      </c>
      <c r="B325" t="s">
        <v>1635</v>
      </c>
      <c r="C325" t="s">
        <v>1435</v>
      </c>
      <c r="D325" t="s">
        <v>1636</v>
      </c>
      <c r="E325" t="s">
        <v>67</v>
      </c>
      <c r="F325" s="4">
        <v>36181</v>
      </c>
      <c r="G325">
        <v>26</v>
      </c>
      <c r="H325" t="s">
        <v>1637</v>
      </c>
      <c r="I325" t="s">
        <v>1635</v>
      </c>
      <c r="J325" s="4" t="s">
        <v>70</v>
      </c>
      <c r="K325" s="4" t="s">
        <v>71</v>
      </c>
      <c r="L325" t="s">
        <v>1638</v>
      </c>
      <c r="M325" t="s">
        <v>1634</v>
      </c>
      <c r="N325" t="s">
        <v>1635</v>
      </c>
      <c r="O325">
        <f>IFERROR(VLOOKUP(HEVARIM[[#This Row],[קוד תקציב]],[2]תקציבים!A:L,6,0),0)</f>
        <v>0</v>
      </c>
      <c r="P325" s="5" t="s">
        <v>129</v>
      </c>
      <c r="Q325" t="s">
        <v>26</v>
      </c>
      <c r="R325" s="4">
        <v>45901</v>
      </c>
      <c r="S325" s="4" t="s">
        <v>90</v>
      </c>
      <c r="T325" s="96" t="s">
        <v>1642</v>
      </c>
      <c r="U325" t="str">
        <f>VLOOKUP(HEVARIM[[#This Row],[גיל]],GIL,2,1)</f>
        <v>--</v>
      </c>
      <c r="V325" t="str">
        <f>IF(HEVARIM[[#This Row],[קוד מעמד]]="4     ",IF(HEVARIM[[#This Row],[גיל]]=1,1,IF(HEVARIM[[#This Row],[גיל]]&lt;=5,5,18)),"")</f>
        <v/>
      </c>
      <c r="W325">
        <f t="shared" si="16"/>
        <v>0</v>
      </c>
      <c r="X32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5">
        <f>IF(HEVARIM[[#This Row],[מצב משפחתי2]]="אלמן",'[2]ריכוז נתונים'!$AC$2,0)</f>
        <v>0</v>
      </c>
      <c r="Z325" s="3">
        <f>VLOOKUP(VALUE(HEVARIM[[#This Row],[קוד מעמד]]),הנחות!$I$2:$K$21,3,0)</f>
        <v>1</v>
      </c>
      <c r="AA325" t="b">
        <f>ISERROR(VLOOKUP(HEVARIM[[#This Row],[קוד תקציב]],'[2]ריכוז נתונים'!A:A,1,0))</f>
        <v>1</v>
      </c>
      <c r="AB325" s="1">
        <f t="shared" si="17"/>
        <v>0</v>
      </c>
      <c r="AC325" s="2">
        <f ca="1">IF(HEVARIM[[#This Row],[בר מצוה]]&gt;0,YEAR(TODAY())+'תקציבים מיוחדים'!$F$5-HEVARIM[[#This Row],[גיל]],0)</f>
        <v>0</v>
      </c>
      <c r="AD325" s="1">
        <f t="shared" si="18"/>
        <v>0</v>
      </c>
      <c r="AE325" s="2">
        <f ca="1">IF(HEVARIM[[#This Row],[בת מצוה]]&gt;0,YEAR(TODAY())+'תקציבים מיוחדים'!$F$5-HEVARIM[[#This Row],[גיל]],0)</f>
        <v>0</v>
      </c>
      <c r="AF325" s="1">
        <f>IF(AND($S325&gt;="רווק",$Z325=1),AF$4*IF(HEVARIM[[#This Row],[גיל]]&gt;$AF$3,1,(($G325-AF$2)/(AF$3-AF$2))),0)</f>
        <v>60512.5</v>
      </c>
      <c r="AG325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25" s="1">
        <f t="shared" si="19"/>
        <v>0</v>
      </c>
      <c r="AI325" s="2">
        <f ca="1">IF(AH325&gt;0,YEAR(TODAY())+'תקציבים מיוחדים'!$F$7-HEVARIM[[#This Row],[גיל]],0)</f>
        <v>0</v>
      </c>
      <c r="AJ325" s="9">
        <f>IF(AND(ISERROR(VLOOKUP(H325,'[2]ריכוז נתונים'!A:L,1,0)),P325="1     "),1,0)</f>
        <v>0</v>
      </c>
      <c r="AK32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5" s="1">
        <f>IF(AND(VALUE(HEVARIM[[#This Row],[קוד מעמד]])=1,HEVARIM[[#This Row],[ותק מחברה 40]]&lt;25),HEVARIM[[#This Row],[ותק מחברה 40]]/25*הנחות!$C$4,0)</f>
        <v>0</v>
      </c>
      <c r="AM325" s="9" t="str">
        <f ca="1">IF(HEVARIM[[#This Row],[דמי עזיבה 25 שנות ותק]]&gt;0,YEAR(TODAY())+25-ROUNDDOWN(HEVARIM[[#This Row],[ותק מחברה 40]],0),"")</f>
        <v/>
      </c>
      <c r="AN32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5" s="9" t="str">
        <f ca="1">IF(HEVARIM[[#This Row],[דמי עזיבה לגיל 65]]&gt;0,YEAR(TODAY())+64-ROUNDDOWN(HEVARIM[[#This Row],[גיל]],0),"")</f>
        <v/>
      </c>
      <c r="AP325" s="1">
        <f>SUMIF(HEVARIM[קוד תקציב],HEVARIM[[#This Row],[קוד תקציב משפחה מקורי]],HEVARIM[ותק מחברה 40])</f>
        <v>42.2</v>
      </c>
      <c r="AQ3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5" s="9">
        <f>IF(HEVARIM[[#This Row],[קוד מעמד]]="1     ",IFERROR(VLOOKUP(HEVARIM[[#This Row],[קוד תקציב]],'תקציב צביעה - לקראת השינוי'!A:F,4,0),0),0)</f>
        <v>0</v>
      </c>
      <c r="AT325" s="1"/>
    </row>
    <row r="326" spans="1:46">
      <c r="A326" t="s">
        <v>1639</v>
      </c>
      <c r="B326" t="s">
        <v>1640</v>
      </c>
      <c r="C326" t="s">
        <v>1435</v>
      </c>
      <c r="D326" t="s">
        <v>1641</v>
      </c>
      <c r="E326" t="s">
        <v>67</v>
      </c>
      <c r="F326" s="4">
        <v>26563</v>
      </c>
      <c r="G326">
        <v>53</v>
      </c>
      <c r="H326" t="s">
        <v>1642</v>
      </c>
      <c r="I326" t="s">
        <v>1643</v>
      </c>
      <c r="J326" s="4" t="s">
        <v>70</v>
      </c>
      <c r="K326" s="4" t="s">
        <v>71</v>
      </c>
      <c r="L326" t="s">
        <v>1644</v>
      </c>
      <c r="M326" t="s">
        <v>1639</v>
      </c>
      <c r="N326" t="s">
        <v>1640</v>
      </c>
      <c r="O326">
        <f>IFERROR(VLOOKUP(HEVARIM[[#This Row],[קוד תקציב]],[2]תקציבים!A:L,6,0),0)</f>
        <v>2</v>
      </c>
      <c r="P326" s="5" t="s">
        <v>104</v>
      </c>
      <c r="Q326" t="s">
        <v>11</v>
      </c>
      <c r="R326" s="4">
        <v>39110</v>
      </c>
      <c r="S326" s="4" t="s">
        <v>74</v>
      </c>
      <c r="T326" s="96" t="s">
        <v>1642</v>
      </c>
      <c r="U326" t="str">
        <f>VLOOKUP(HEVARIM[[#This Row],[גיל]],GIL,2,1)</f>
        <v>--</v>
      </c>
      <c r="V326" t="str">
        <f>IF(HEVARIM[[#This Row],[קוד מעמד]]="4     ",IF(HEVARIM[[#This Row],[גיל]]=1,1,IF(HEVARIM[[#This Row],[גיל]]&lt;=5,5,18)),"")</f>
        <v/>
      </c>
      <c r="W326">
        <f t="shared" ref="W326:W389" si="20">IF(G326&lt;67,0,
 IF(O326=1,
   IF(G326&gt;=80,1896-231,1795-231),
 IF(O326=2,
   IF(G326&gt;=80,2899-332,2697-332),
 0))
)</f>
        <v>0</v>
      </c>
      <c r="X32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6">
        <f>IF(HEVARIM[[#This Row],[מצב משפחתי2]]="אלמן",'[2]ריכוז נתונים'!$AC$2,0)</f>
        <v>0</v>
      </c>
      <c r="Z326" s="3">
        <f>VLOOKUP(VALUE(HEVARIM[[#This Row],[קוד מעמד]]),הנחות!$I$2:$K$21,3,0)</f>
        <v>0</v>
      </c>
      <c r="AA326" t="b">
        <f>ISERROR(VLOOKUP(HEVARIM[[#This Row],[קוד תקציב]],'[2]ריכוז נתונים'!A:A,1,0))</f>
        <v>0</v>
      </c>
      <c r="AB326" s="1">
        <f t="shared" ref="AB326:AB389" si="21">IF(AND($G326&gt;=AC$2,$G326&lt;=AC$3,$E326="ז ",$Z326=1),AC$4*(($G326-AC$2)/(AC$3-AC$2)),0)</f>
        <v>0</v>
      </c>
      <c r="AC326" s="2">
        <f ca="1">IF(HEVARIM[[#This Row],[בר מצוה]]&gt;0,YEAR(TODAY())+'תקציבים מיוחדים'!$F$5-HEVARIM[[#This Row],[גיל]],0)</f>
        <v>0</v>
      </c>
      <c r="AD326" s="1">
        <f t="shared" ref="AD326:AD389" si="22">IF(AND($G326&gt;=AE$2,$G326&lt;=AE$3,$E326="נ ",$Z326=1),AE$4*(($G326-AE$2)/(AE$3-AE$2)),0)</f>
        <v>0</v>
      </c>
      <c r="AE326" s="2">
        <f ca="1">IF(HEVARIM[[#This Row],[בת מצוה]]&gt;0,YEAR(TODAY())+'תקציבים מיוחדים'!$F$5-HEVARIM[[#This Row],[גיל]],0)</f>
        <v>0</v>
      </c>
      <c r="AF326" s="1">
        <f>IF(AND($S326&gt;="רווק",$Z326=1),AF$4*IF(HEVARIM[[#This Row],[גיל]]&gt;$AF$3,1,(($G326-AF$2)/(AF$3-AF$2))),0)</f>
        <v>0</v>
      </c>
      <c r="AG32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26" s="1">
        <f t="shared" ref="AH326:AH389" si="23">IF(AND($G326&gt;=AI$2,$G326&lt;=AI$3,$Z326=1),AI$4*(($G326-AI$2)/(AI$3-AI$2)),0)</f>
        <v>0</v>
      </c>
      <c r="AI326" s="2">
        <f ca="1">IF(AH326&gt;0,YEAR(TODAY())+'תקציבים מיוחדים'!$F$7-HEVARIM[[#This Row],[גיל]],0)</f>
        <v>0</v>
      </c>
      <c r="AJ326" s="9">
        <f>IF(AND(ISERROR(VLOOKUP(H326,'[2]ריכוז נתונים'!A:L,1,0)),P326="1     "),1,0)</f>
        <v>0</v>
      </c>
      <c r="AK326" s="1">
        <f>IF(VALUE(HEVARIM[[#This Row],[קוד מעמד]])=1,VLOOKUP((IF(LEFT(HEVARIM[[#This Row],[קוד חבר]],1)="0",HEVARIM[[#This Row],[קוד חבר]],VALUE(HEVARIM[[#This Row],[קוד חבר]]))),'ותק חברה 40'!AQ:AW,7,0),"")</f>
        <v>21.1</v>
      </c>
      <c r="AL326" s="1">
        <f>IF(AND(VALUE(HEVARIM[[#This Row],[קוד מעמד]])=1,HEVARIM[[#This Row],[ותק מחברה 40]]&lt;25),HEVARIM[[#This Row],[ותק מחברה 40]]/25*הנחות!$C$4,0)</f>
        <v>31679.212950000001</v>
      </c>
      <c r="AM326" s="9">
        <f ca="1">IF(HEVARIM[[#This Row],[דמי עזיבה 25 שנות ותק]]&gt;0,YEAR(TODAY())+25-ROUNDDOWN(HEVARIM[[#This Row],[ותק מחברה 40]],0),"")</f>
        <v>2030</v>
      </c>
      <c r="AN32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6" s="9" t="str">
        <f ca="1">IF(HEVARIM[[#This Row],[דמי עזיבה לגיל 65]]&gt;0,YEAR(TODAY())+64-ROUNDDOWN(HEVARIM[[#This Row],[גיל]],0),"")</f>
        <v/>
      </c>
      <c r="AP326" s="1">
        <f>SUMIF(HEVARIM[קוד תקציב],HEVARIM[[#This Row],[קוד תקציב משפחה מקורי]],HEVARIM[ותק מחברה 40])</f>
        <v>42.2</v>
      </c>
      <c r="AQ3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26" s="9">
        <f>IF(HEVARIM[[#This Row],[קוד מעמד]]="1     ",IFERROR(VLOOKUP(HEVARIM[[#This Row],[קוד תקציב]],'תקציב צביעה - לקראת השינוי'!A:F,4,0),0),0)</f>
        <v>2032</v>
      </c>
      <c r="AT326" s="1"/>
    </row>
    <row r="327" spans="1:46">
      <c r="A327" t="s">
        <v>1645</v>
      </c>
      <c r="B327" t="s">
        <v>1646</v>
      </c>
      <c r="C327" t="s">
        <v>1435</v>
      </c>
      <c r="D327" t="s">
        <v>155</v>
      </c>
      <c r="E327" t="s">
        <v>79</v>
      </c>
      <c r="F327" s="4">
        <v>27345</v>
      </c>
      <c r="G327">
        <v>51</v>
      </c>
      <c r="H327" t="s">
        <v>1642</v>
      </c>
      <c r="I327" t="s">
        <v>1643</v>
      </c>
      <c r="J327" s="4" t="s">
        <v>70</v>
      </c>
      <c r="K327" s="4" t="s">
        <v>71</v>
      </c>
      <c r="L327" t="s">
        <v>1647</v>
      </c>
      <c r="M327" t="s">
        <v>1639</v>
      </c>
      <c r="N327" t="s">
        <v>1640</v>
      </c>
      <c r="O327">
        <f>IFERROR(VLOOKUP(HEVARIM[[#This Row],[קוד תקציב]],[2]תקציבים!A:L,6,0),0)</f>
        <v>2</v>
      </c>
      <c r="P327" s="5" t="s">
        <v>104</v>
      </c>
      <c r="Q327" t="s">
        <v>11</v>
      </c>
      <c r="R327" s="4">
        <v>39110</v>
      </c>
      <c r="S327" s="4" t="s">
        <v>74</v>
      </c>
      <c r="T327" s="96" t="s">
        <v>1642</v>
      </c>
      <c r="U327" t="str">
        <f>VLOOKUP(HEVARIM[[#This Row],[גיל]],GIL,2,1)</f>
        <v>--</v>
      </c>
      <c r="V327" t="str">
        <f>IF(HEVARIM[[#This Row],[קוד מעמד]]="4     ",IF(HEVARIM[[#This Row],[גיל]]=1,1,IF(HEVARIM[[#This Row],[גיל]]&lt;=5,5,18)),"")</f>
        <v/>
      </c>
      <c r="W327">
        <f t="shared" si="20"/>
        <v>0</v>
      </c>
      <c r="X32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7">
        <f>IF(HEVARIM[[#This Row],[מצב משפחתי2]]="אלמן",'[2]ריכוז נתונים'!$AC$2,0)</f>
        <v>0</v>
      </c>
      <c r="Z327" s="3">
        <f>VLOOKUP(VALUE(HEVARIM[[#This Row],[קוד מעמד]]),הנחות!$I$2:$K$21,3,0)</f>
        <v>0</v>
      </c>
      <c r="AA327" t="b">
        <f>ISERROR(VLOOKUP(HEVARIM[[#This Row],[קוד תקציב]],'[2]ריכוז נתונים'!A:A,1,0))</f>
        <v>0</v>
      </c>
      <c r="AB327" s="1">
        <f t="shared" si="21"/>
        <v>0</v>
      </c>
      <c r="AC327" s="2">
        <f ca="1">IF(HEVARIM[[#This Row],[בר מצוה]]&gt;0,YEAR(TODAY())+'תקציבים מיוחדים'!$F$5-HEVARIM[[#This Row],[גיל]],0)</f>
        <v>0</v>
      </c>
      <c r="AD327" s="1">
        <f t="shared" si="22"/>
        <v>0</v>
      </c>
      <c r="AE327" s="2">
        <f ca="1">IF(HEVARIM[[#This Row],[בת מצוה]]&gt;0,YEAR(TODAY())+'תקציבים מיוחדים'!$F$5-HEVARIM[[#This Row],[גיל]],0)</f>
        <v>0</v>
      </c>
      <c r="AF327" s="1">
        <f>IF(AND($S327&gt;="רווק",$Z327=1),AF$4*IF(HEVARIM[[#This Row],[גיל]]&gt;$AF$3,1,(($G327-AF$2)/(AF$3-AF$2))),0)</f>
        <v>0</v>
      </c>
      <c r="AG32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27" s="1">
        <f t="shared" si="23"/>
        <v>0</v>
      </c>
      <c r="AI327" s="2">
        <f ca="1">IF(AH327&gt;0,YEAR(TODAY())+'תקציבים מיוחדים'!$F$7-HEVARIM[[#This Row],[גיל]],0)</f>
        <v>0</v>
      </c>
      <c r="AJ327" s="9">
        <f>IF(AND(ISERROR(VLOOKUP(H327,'[2]ריכוז נתונים'!A:L,1,0)),P327="1     "),1,0)</f>
        <v>0</v>
      </c>
      <c r="AK327" s="1">
        <f>IF(VALUE(HEVARIM[[#This Row],[קוד מעמד]])=1,VLOOKUP((IF(LEFT(HEVARIM[[#This Row],[קוד חבר]],1)="0",HEVARIM[[#This Row],[קוד חבר]],VALUE(HEVARIM[[#This Row],[קוד חבר]]))),'ותק חברה 40'!AQ:AW,7,0),"")</f>
        <v>21.1</v>
      </c>
      <c r="AL327" s="1">
        <f>IF(AND(VALUE(HEVARIM[[#This Row],[קוד מעמד]])=1,HEVARIM[[#This Row],[ותק מחברה 40]]&lt;25),HEVARIM[[#This Row],[ותק מחברה 40]]/25*הנחות!$C$4,0)</f>
        <v>31679.212950000001</v>
      </c>
      <c r="AM327" s="9">
        <f ca="1">IF(HEVARIM[[#This Row],[דמי עזיבה 25 שנות ותק]]&gt;0,YEAR(TODAY())+25-ROUNDDOWN(HEVARIM[[#This Row],[ותק מחברה 40]],0),"")</f>
        <v>2030</v>
      </c>
      <c r="AN3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7" s="9" t="str">
        <f ca="1">IF(HEVARIM[[#This Row],[דמי עזיבה לגיל 65]]&gt;0,YEAR(TODAY())+64-ROUNDDOWN(HEVARIM[[#This Row],[גיל]],0),"")</f>
        <v/>
      </c>
      <c r="AP327" s="1">
        <f>SUMIF(HEVARIM[קוד תקציב],HEVARIM[[#This Row],[קוד תקציב משפחה מקורי]],HEVARIM[ותק מחברה 40])</f>
        <v>42.2</v>
      </c>
      <c r="AQ3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27" s="9">
        <f>IF(HEVARIM[[#This Row],[קוד מעמד]]="1     ",IFERROR(VLOOKUP(HEVARIM[[#This Row],[קוד תקציב]],'תקציב צביעה - לקראת השינוי'!A:F,4,0),0),0)</f>
        <v>2032</v>
      </c>
      <c r="AT327" s="1"/>
    </row>
    <row r="328" spans="1:46">
      <c r="A328" t="s">
        <v>1648</v>
      </c>
      <c r="B328" t="s">
        <v>1649</v>
      </c>
      <c r="C328" t="s">
        <v>1435</v>
      </c>
      <c r="D328" t="s">
        <v>1650</v>
      </c>
      <c r="E328" t="s">
        <v>79</v>
      </c>
      <c r="F328" s="4">
        <v>40520</v>
      </c>
      <c r="G328">
        <v>15</v>
      </c>
      <c r="H328" t="s">
        <v>1642</v>
      </c>
      <c r="I328" t="s">
        <v>1643</v>
      </c>
      <c r="J328" s="4" t="s">
        <v>70</v>
      </c>
      <c r="K328" s="4" t="s">
        <v>71</v>
      </c>
      <c r="L328" t="s">
        <v>1651</v>
      </c>
      <c r="M328" t="s">
        <v>1639</v>
      </c>
      <c r="N328" t="s">
        <v>1640</v>
      </c>
      <c r="O328">
        <f>IFERROR(VLOOKUP(HEVARIM[[#This Row],[קוד תקציב]],[2]תקציבים!A:L,6,0),0)</f>
        <v>2</v>
      </c>
      <c r="P328" s="5" t="s">
        <v>227</v>
      </c>
      <c r="Q328" t="s">
        <v>14</v>
      </c>
      <c r="R328" s="4">
        <v>40520</v>
      </c>
      <c r="S328" s="4" t="s">
        <v>90</v>
      </c>
      <c r="T328" s="96" t="s">
        <v>1642</v>
      </c>
      <c r="U328" t="str">
        <f>VLOOKUP(HEVARIM[[#This Row],[גיל]],GIL,2,1)</f>
        <v>תיכון</v>
      </c>
      <c r="V328">
        <f>IF(HEVARIM[[#This Row],[קוד מעמד]]="4     ",IF(HEVARIM[[#This Row],[גיל]]=1,1,IF(HEVARIM[[#This Row],[גיל]]&lt;=5,5,18)),"")</f>
        <v>18</v>
      </c>
      <c r="W328">
        <f t="shared" si="20"/>
        <v>0</v>
      </c>
      <c r="X32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8">
        <f>IF(HEVARIM[[#This Row],[מצב משפחתי2]]="אלמן",'[2]ריכוז נתונים'!$AC$2,0)</f>
        <v>0</v>
      </c>
      <c r="Z328" s="3">
        <f>VLOOKUP(VALUE(HEVARIM[[#This Row],[קוד מעמד]]),הנחות!$I$2:$K$21,3,0)</f>
        <v>1</v>
      </c>
      <c r="AA328" t="b">
        <f>ISERROR(VLOOKUP(HEVARIM[[#This Row],[קוד תקציב]],'[2]ריכוז נתונים'!A:A,1,0))</f>
        <v>0</v>
      </c>
      <c r="AB328" s="1">
        <f t="shared" si="21"/>
        <v>0</v>
      </c>
      <c r="AC328" s="2">
        <f ca="1">IF(HEVARIM[[#This Row],[בר מצוה]]&gt;0,YEAR(TODAY())+'תקציבים מיוחדים'!$F$5-HEVARIM[[#This Row],[גיל]],0)</f>
        <v>0</v>
      </c>
      <c r="AD328" s="1">
        <f t="shared" si="22"/>
        <v>0</v>
      </c>
      <c r="AE328" s="2">
        <f ca="1">IF(HEVARIM[[#This Row],[בת מצוה]]&gt;0,YEAR(TODAY())+'תקציבים מיוחדים'!$F$5-HEVARIM[[#This Row],[גיל]],0)</f>
        <v>0</v>
      </c>
      <c r="AF328" s="1">
        <f>IF(AND($S328&gt;="רווק",$Z328=1),AF$4*IF(HEVARIM[[#This Row],[גיל]]&gt;$AF$3,1,(($G328-AF$2)/(AF$3-AF$2))),0)</f>
        <v>43223.21428571429</v>
      </c>
      <c r="AG328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28" s="1">
        <f t="shared" si="23"/>
        <v>75420.357142857145</v>
      </c>
      <c r="AI328" s="2">
        <f ca="1">IF(AH328&gt;0,YEAR(TODAY())+'תקציבים מיוחדים'!$F$7-HEVARIM[[#This Row],[גיל]],0)</f>
        <v>2032</v>
      </c>
      <c r="AJ328" s="9">
        <f>IF(AND(ISERROR(VLOOKUP(H328,'[2]ריכוז נתונים'!A:L,1,0)),P328="1     "),1,0)</f>
        <v>0</v>
      </c>
      <c r="AK32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8" s="1">
        <f>IF(AND(VALUE(HEVARIM[[#This Row],[קוד מעמד]])=1,HEVARIM[[#This Row],[ותק מחברה 40]]&lt;25),HEVARIM[[#This Row],[ותק מחברה 40]]/25*הנחות!$C$4,0)</f>
        <v>0</v>
      </c>
      <c r="AM328" s="9" t="str">
        <f ca="1">IF(HEVARIM[[#This Row],[דמי עזיבה 25 שנות ותק]]&gt;0,YEAR(TODAY())+25-ROUNDDOWN(HEVARIM[[#This Row],[ותק מחברה 40]],0),"")</f>
        <v/>
      </c>
      <c r="AN3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8" s="9" t="str">
        <f ca="1">IF(HEVARIM[[#This Row],[דמי עזיבה לגיל 65]]&gt;0,YEAR(TODAY())+64-ROUNDDOWN(HEVARIM[[#This Row],[גיל]],0),"")</f>
        <v/>
      </c>
      <c r="AP328" s="1">
        <f>SUMIF(HEVARIM[קוד תקציב],HEVARIM[[#This Row],[קוד תקציב משפחה מקורי]],HEVARIM[ותק מחברה 40])</f>
        <v>42.2</v>
      </c>
      <c r="AQ3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8" s="9">
        <f>IF(HEVARIM[[#This Row],[קוד מעמד]]="1     ",IFERROR(VLOOKUP(HEVARIM[[#This Row],[קוד תקציב]],'תקציב צביעה - לקראת השינוי'!A:F,4,0),0),0)</f>
        <v>0</v>
      </c>
      <c r="AT328" s="1"/>
    </row>
    <row r="329" spans="1:46">
      <c r="A329" t="s">
        <v>1652</v>
      </c>
      <c r="B329" t="s">
        <v>1653</v>
      </c>
      <c r="C329" t="s">
        <v>1435</v>
      </c>
      <c r="D329" t="s">
        <v>1654</v>
      </c>
      <c r="E329" t="s">
        <v>67</v>
      </c>
      <c r="F329" s="4">
        <v>37007</v>
      </c>
      <c r="G329">
        <v>24</v>
      </c>
      <c r="H329" t="s">
        <v>1655</v>
      </c>
      <c r="I329" t="s">
        <v>1656</v>
      </c>
      <c r="J329" s="4" t="s">
        <v>70</v>
      </c>
      <c r="K329" s="4" t="s">
        <v>81</v>
      </c>
      <c r="L329" t="s">
        <v>1657</v>
      </c>
      <c r="M329" t="s">
        <v>1652</v>
      </c>
      <c r="N329" t="s">
        <v>1653</v>
      </c>
      <c r="O329">
        <f>IFERROR(VLOOKUP(HEVARIM[[#This Row],[קוד תקציב]],[2]תקציבים!A:L,6,0),0)</f>
        <v>0</v>
      </c>
      <c r="P329" s="5" t="s">
        <v>73</v>
      </c>
      <c r="Q329" t="s">
        <v>27</v>
      </c>
      <c r="R329" s="4">
        <v>45251</v>
      </c>
      <c r="S329" s="4" t="s">
        <v>90</v>
      </c>
      <c r="T329" s="96" t="s">
        <v>1642</v>
      </c>
      <c r="U329" t="str">
        <f>VLOOKUP(HEVARIM[[#This Row],[גיל]],GIL,2,1)</f>
        <v>--</v>
      </c>
      <c r="V329" t="str">
        <f>IF(HEVARIM[[#This Row],[קוד מעמד]]="4     ",IF(HEVARIM[[#This Row],[גיל]]=1,1,IF(HEVARIM[[#This Row],[גיל]]&lt;=5,5,18)),"")</f>
        <v/>
      </c>
      <c r="W329">
        <f t="shared" si="20"/>
        <v>0</v>
      </c>
      <c r="X32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29">
        <f>IF(HEVARIM[[#This Row],[מצב משפחתי2]]="אלמן",'[2]ריכוז נתונים'!$AC$2,0)</f>
        <v>0</v>
      </c>
      <c r="Z329" s="3">
        <f>VLOOKUP(VALUE(HEVARIM[[#This Row],[קוד מעמד]]),הנחות!$I$2:$K$21,3,0)</f>
        <v>1</v>
      </c>
      <c r="AA329" t="b">
        <f>ISERROR(VLOOKUP(HEVARIM[[#This Row],[קוד תקציב]],'[2]ריכוז נתונים'!A:A,1,0))</f>
        <v>1</v>
      </c>
      <c r="AB329" s="1">
        <f t="shared" si="21"/>
        <v>0</v>
      </c>
      <c r="AC329" s="2">
        <f ca="1">IF(HEVARIM[[#This Row],[בר מצוה]]&gt;0,YEAR(TODAY())+'תקציבים מיוחדים'!$F$5-HEVARIM[[#This Row],[גיל]],0)</f>
        <v>0</v>
      </c>
      <c r="AD329" s="1">
        <f t="shared" si="22"/>
        <v>0</v>
      </c>
      <c r="AE329" s="2">
        <f ca="1">IF(HEVARIM[[#This Row],[בת מצוה]]&gt;0,YEAR(TODAY())+'תקציבים מיוחדים'!$F$5-HEVARIM[[#This Row],[גיל]],0)</f>
        <v>0</v>
      </c>
      <c r="AF329" s="1">
        <f>IF(AND($S329&gt;="רווק",$Z329=1),AF$4*IF(HEVARIM[[#This Row],[גיל]]&gt;$AF$3,1,(($G329-AF$2)/(AF$3-AF$2))),0)</f>
        <v>60512.5</v>
      </c>
      <c r="AG329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29" s="1">
        <f t="shared" si="23"/>
        <v>0</v>
      </c>
      <c r="AI329" s="2">
        <f ca="1">IF(AH329&gt;0,YEAR(TODAY())+'תקציבים מיוחדים'!$F$7-HEVARIM[[#This Row],[גיל]],0)</f>
        <v>0</v>
      </c>
      <c r="AJ329" s="9">
        <f>IF(AND(ISERROR(VLOOKUP(H329,'[2]ריכוז נתונים'!A:L,1,0)),P329="1     "),1,0)</f>
        <v>0</v>
      </c>
      <c r="AK32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29" s="1">
        <f>IF(AND(VALUE(HEVARIM[[#This Row],[קוד מעמד]])=1,HEVARIM[[#This Row],[ותק מחברה 40]]&lt;25),HEVARIM[[#This Row],[ותק מחברה 40]]/25*הנחות!$C$4,0)</f>
        <v>0</v>
      </c>
      <c r="AM329" s="9" t="str">
        <f ca="1">IF(HEVARIM[[#This Row],[דמי עזיבה 25 שנות ותק]]&gt;0,YEAR(TODAY())+25-ROUNDDOWN(HEVARIM[[#This Row],[ותק מחברה 40]],0),"")</f>
        <v/>
      </c>
      <c r="AN32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29" s="9" t="str">
        <f ca="1">IF(HEVARIM[[#This Row],[דמי עזיבה לגיל 65]]&gt;0,YEAR(TODAY())+64-ROUNDDOWN(HEVARIM[[#This Row],[גיל]],0),"")</f>
        <v/>
      </c>
      <c r="AP329" s="1">
        <f>SUMIF(HEVARIM[קוד תקציב],HEVARIM[[#This Row],[קוד תקציב משפחה מקורי]],HEVARIM[ותק מחברה 40])</f>
        <v>42.2</v>
      </c>
      <c r="AQ3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29" s="9">
        <f>IF(HEVARIM[[#This Row],[קוד מעמד]]="1     ",IFERROR(VLOOKUP(HEVARIM[[#This Row],[קוד תקציב]],'תקציב צביעה - לקראת השינוי'!A:F,4,0),0),0)</f>
        <v>0</v>
      </c>
      <c r="AT329" s="1"/>
    </row>
    <row r="330" spans="1:46">
      <c r="A330" t="s">
        <v>1658</v>
      </c>
      <c r="B330" t="s">
        <v>1659</v>
      </c>
      <c r="C330" t="s">
        <v>1660</v>
      </c>
      <c r="D330" t="s">
        <v>1416</v>
      </c>
      <c r="E330" t="s">
        <v>79</v>
      </c>
      <c r="F330" s="4">
        <v>37454</v>
      </c>
      <c r="G330">
        <v>23</v>
      </c>
      <c r="H330" t="s">
        <v>1661</v>
      </c>
      <c r="I330" t="s">
        <v>1662</v>
      </c>
      <c r="J330" s="4" t="s">
        <v>70</v>
      </c>
      <c r="K330" s="4" t="s">
        <v>81</v>
      </c>
      <c r="L330" t="s">
        <v>1663</v>
      </c>
      <c r="M330" t="s">
        <v>1664</v>
      </c>
      <c r="N330" t="s">
        <v>1665</v>
      </c>
      <c r="O330">
        <f>IFERROR(VLOOKUP(HEVARIM[[#This Row],[קוד תקציב]],[2]תקציבים!A:L,6,0),0)</f>
        <v>0</v>
      </c>
      <c r="P330" s="5" t="s">
        <v>73</v>
      </c>
      <c r="Q330" t="s">
        <v>27</v>
      </c>
      <c r="R330" s="4">
        <v>45292</v>
      </c>
      <c r="S330" s="4" t="s">
        <v>74</v>
      </c>
      <c r="T330" s="96" t="s">
        <v>1642</v>
      </c>
      <c r="U330" t="str">
        <f>VLOOKUP(HEVARIM[[#This Row],[גיל]],GIL,2,1)</f>
        <v>--</v>
      </c>
      <c r="V330" t="str">
        <f>IF(HEVARIM[[#This Row],[קוד מעמד]]="4     ",IF(HEVARIM[[#This Row],[גיל]]=1,1,IF(HEVARIM[[#This Row],[גיל]]&lt;=5,5,18)),"")</f>
        <v/>
      </c>
      <c r="W330">
        <f t="shared" si="20"/>
        <v>0</v>
      </c>
      <c r="X33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0">
        <f>IF(HEVARIM[[#This Row],[מצב משפחתי2]]="אלמן",'[2]ריכוז נתונים'!$AC$2,0)</f>
        <v>0</v>
      </c>
      <c r="Z330" s="3">
        <f>VLOOKUP(VALUE(HEVARIM[[#This Row],[קוד מעמד]]),הנחות!$I$2:$K$21,3,0)</f>
        <v>1</v>
      </c>
      <c r="AA330" t="b">
        <f>ISERROR(VLOOKUP(HEVARIM[[#This Row],[קוד תקציב]],'[2]ריכוז נתונים'!A:A,1,0))</f>
        <v>1</v>
      </c>
      <c r="AB330" s="1">
        <f t="shared" si="21"/>
        <v>0</v>
      </c>
      <c r="AC330" s="2">
        <f ca="1">IF(HEVARIM[[#This Row],[בר מצוה]]&gt;0,YEAR(TODAY())+'תקציבים מיוחדים'!$F$5-HEVARIM[[#This Row],[גיל]],0)</f>
        <v>0</v>
      </c>
      <c r="AD330" s="1">
        <f t="shared" si="22"/>
        <v>0</v>
      </c>
      <c r="AE330" s="2">
        <f ca="1">IF(HEVARIM[[#This Row],[בת מצוה]]&gt;0,YEAR(TODAY())+'תקציבים מיוחדים'!$F$5-HEVARIM[[#This Row],[גיל]],0)</f>
        <v>0</v>
      </c>
      <c r="AF330" s="1">
        <f>IF(AND($S330&gt;="רווק",$Z330=1),AF$4*IF(HEVARIM[[#This Row],[גיל]]&gt;$AF$3,1,(($G330-AF$2)/(AF$3-AF$2))),0)</f>
        <v>0</v>
      </c>
      <c r="AG33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0" s="1">
        <f t="shared" si="23"/>
        <v>0</v>
      </c>
      <c r="AI330" s="2">
        <f ca="1">IF(AH330&gt;0,YEAR(TODAY())+'תקציבים מיוחדים'!$F$7-HEVARIM[[#This Row],[גיל]],0)</f>
        <v>0</v>
      </c>
      <c r="AJ330" s="9">
        <f>IF(AND(ISERROR(VLOOKUP(H330,'[2]ריכוז נתונים'!A:L,1,0)),P330="1     "),1,0)</f>
        <v>0</v>
      </c>
      <c r="AK33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0" s="1">
        <f>IF(AND(VALUE(HEVARIM[[#This Row],[קוד מעמד]])=1,HEVARIM[[#This Row],[ותק מחברה 40]]&lt;25),HEVARIM[[#This Row],[ותק מחברה 40]]/25*הנחות!$C$4,0)</f>
        <v>0</v>
      </c>
      <c r="AM330" s="9" t="str">
        <f ca="1">IF(HEVARIM[[#This Row],[דמי עזיבה 25 שנות ותק]]&gt;0,YEAR(TODAY())+25-ROUNDDOWN(HEVARIM[[#This Row],[ותק מחברה 40]],0),"")</f>
        <v/>
      </c>
      <c r="AN3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0" s="9" t="str">
        <f ca="1">IF(HEVARIM[[#This Row],[דמי עזיבה לגיל 65]]&gt;0,YEAR(TODAY())+64-ROUNDDOWN(HEVARIM[[#This Row],[גיל]],0),"")</f>
        <v/>
      </c>
      <c r="AP330" s="1">
        <f>SUMIF(HEVARIM[קוד תקציב],HEVARIM[[#This Row],[קוד תקציב משפחה מקורי]],HEVARIM[ותק מחברה 40])</f>
        <v>42.2</v>
      </c>
      <c r="AQ3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0" s="9">
        <f>IF(HEVARIM[[#This Row],[קוד מעמד]]="1     ",IFERROR(VLOOKUP(HEVARIM[[#This Row],[קוד תקציב]],'תקציב צביעה - לקראת השינוי'!A:F,4,0),0),0)</f>
        <v>0</v>
      </c>
      <c r="AT330" s="1"/>
    </row>
    <row r="331" spans="1:46">
      <c r="A331" t="s">
        <v>1585</v>
      </c>
      <c r="B331" t="s">
        <v>1586</v>
      </c>
      <c r="C331" t="s">
        <v>1435</v>
      </c>
      <c r="D331" t="s">
        <v>1587</v>
      </c>
      <c r="E331" t="s">
        <v>67</v>
      </c>
      <c r="F331" s="4">
        <v>35267</v>
      </c>
      <c r="G331">
        <v>29</v>
      </c>
      <c r="H331" t="s">
        <v>1588</v>
      </c>
      <c r="I331" t="s">
        <v>1589</v>
      </c>
      <c r="J331" s="4" t="s">
        <v>1590</v>
      </c>
      <c r="K331" s="4" t="s">
        <v>1591</v>
      </c>
      <c r="L331" t="s">
        <v>1592</v>
      </c>
      <c r="M331" t="s">
        <v>1585</v>
      </c>
      <c r="N331" t="s">
        <v>1586</v>
      </c>
      <c r="O331">
        <f>IFERROR(VLOOKUP(HEVARIM[[#This Row],[קוד תקציב]],[2]תקציבים!A:L,6,0),0)</f>
        <v>0</v>
      </c>
      <c r="P331" s="5" t="s">
        <v>129</v>
      </c>
      <c r="Q331" t="s">
        <v>26</v>
      </c>
      <c r="R331" s="4">
        <v>44682</v>
      </c>
      <c r="S331" s="4" t="s">
        <v>90</v>
      </c>
      <c r="T331" s="96" t="s">
        <v>1642</v>
      </c>
      <c r="U331" t="str">
        <f>VLOOKUP(HEVARIM[[#This Row],[גיל]],GIL,2,1)</f>
        <v>--</v>
      </c>
      <c r="V331" t="str">
        <f>IF(HEVARIM[[#This Row],[קוד מעמד]]="4     ",IF(HEVARIM[[#This Row],[גיל]]=1,1,IF(HEVARIM[[#This Row],[גיל]]&lt;=5,5,18)),"")</f>
        <v/>
      </c>
      <c r="W331">
        <f t="shared" si="20"/>
        <v>0</v>
      </c>
      <c r="X33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1">
        <f>IF(HEVARIM[[#This Row],[מצב משפחתי2]]="אלמן",'[2]ריכוז נתונים'!$AC$2,0)</f>
        <v>0</v>
      </c>
      <c r="Z331" s="3">
        <f>VLOOKUP(VALUE(HEVARIM[[#This Row],[קוד מעמד]]),הנחות!$I$2:$K$21,3,0)</f>
        <v>1</v>
      </c>
      <c r="AA331" t="b">
        <f>ISERROR(VLOOKUP(HEVARIM[[#This Row],[קוד תקציב]],'[2]ריכוז נתונים'!A:A,1,0))</f>
        <v>1</v>
      </c>
      <c r="AB331" s="1">
        <f t="shared" si="21"/>
        <v>0</v>
      </c>
      <c r="AC331" s="2">
        <f ca="1">IF(HEVARIM[[#This Row],[בר מצוה]]&gt;0,YEAR(TODAY())+'תקציבים מיוחדים'!$F$5-HEVARIM[[#This Row],[גיל]],0)</f>
        <v>0</v>
      </c>
      <c r="AD331" s="1">
        <f t="shared" si="22"/>
        <v>0</v>
      </c>
      <c r="AE331" s="2">
        <f ca="1">IF(HEVARIM[[#This Row],[בת מצוה]]&gt;0,YEAR(TODAY())+'תקציבים מיוחדים'!$F$5-HEVARIM[[#This Row],[גיל]],0)</f>
        <v>0</v>
      </c>
      <c r="AF331" s="1">
        <f>IF(AND($S331&gt;="רווק",$Z331=1),AF$4*IF(HEVARIM[[#This Row],[גיל]]&gt;$AF$3,1,(($G331-AF$2)/(AF$3-AF$2))),0)</f>
        <v>60512.5</v>
      </c>
      <c r="AG331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31" s="1">
        <f t="shared" si="23"/>
        <v>0</v>
      </c>
      <c r="AI331" s="2">
        <f ca="1">IF(AH331&gt;0,YEAR(TODAY())+'תקציבים מיוחדים'!$F$7-HEVARIM[[#This Row],[גיל]],0)</f>
        <v>0</v>
      </c>
      <c r="AJ331" s="9">
        <f>IF(AND(ISERROR(VLOOKUP(H331,'[2]ריכוז נתונים'!A:L,1,0)),P331="1     "),1,0)</f>
        <v>0</v>
      </c>
      <c r="AK33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1" s="1">
        <f>IF(AND(VALUE(HEVARIM[[#This Row],[קוד מעמד]])=1,HEVARIM[[#This Row],[ותק מחברה 40]]&lt;25),HEVARIM[[#This Row],[ותק מחברה 40]]/25*הנחות!$C$4,0)</f>
        <v>0</v>
      </c>
      <c r="AM331" s="9" t="str">
        <f ca="1">IF(HEVARIM[[#This Row],[דמי עזיבה 25 שנות ותק]]&gt;0,YEAR(TODAY())+25-ROUNDDOWN(HEVARIM[[#This Row],[ותק מחברה 40]],0),"")</f>
        <v/>
      </c>
      <c r="AN33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1" s="9" t="str">
        <f ca="1">IF(HEVARIM[[#This Row],[דמי עזיבה לגיל 65]]&gt;0,YEAR(TODAY())+64-ROUNDDOWN(HEVARIM[[#This Row],[גיל]],0),"")</f>
        <v/>
      </c>
      <c r="AP331" s="1">
        <f>SUMIF(HEVARIM[קוד תקציב],HEVARIM[[#This Row],[קוד תקציב משפחה מקורי]],HEVARIM[ותק מחברה 40])</f>
        <v>42.2</v>
      </c>
      <c r="AQ3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1" s="9">
        <f>IF(HEVARIM[[#This Row],[קוד מעמד]]="1     ",IFERROR(VLOOKUP(HEVARIM[[#This Row],[קוד תקציב]],'תקציב צביעה - לקראת השינוי'!A:F,4,0),0),0)</f>
        <v>0</v>
      </c>
      <c r="AT331" s="1"/>
    </row>
    <row r="332" spans="1:46">
      <c r="A332" t="s">
        <v>1666</v>
      </c>
      <c r="B332" t="s">
        <v>1667</v>
      </c>
      <c r="C332" t="s">
        <v>1435</v>
      </c>
      <c r="D332" t="s">
        <v>1668</v>
      </c>
      <c r="E332" t="s">
        <v>79</v>
      </c>
      <c r="F332" s="4">
        <v>39228</v>
      </c>
      <c r="G332">
        <v>18</v>
      </c>
      <c r="H332" t="s">
        <v>1669</v>
      </c>
      <c r="I332" t="s">
        <v>1670</v>
      </c>
      <c r="J332" s="4" t="s">
        <v>70</v>
      </c>
      <c r="K332" s="4" t="s">
        <v>71</v>
      </c>
      <c r="L332" t="s">
        <v>1671</v>
      </c>
      <c r="M332" t="s">
        <v>1672</v>
      </c>
      <c r="N332" t="s">
        <v>1673</v>
      </c>
      <c r="O332">
        <f>IFERROR(VLOOKUP(HEVARIM[[#This Row],[קוד תקציב]],[2]תקציבים!A:L,6,0),0)</f>
        <v>2</v>
      </c>
      <c r="P332" s="5" t="s">
        <v>1688</v>
      </c>
      <c r="Q332" t="s">
        <v>20</v>
      </c>
      <c r="R332" s="4">
        <v>45901</v>
      </c>
      <c r="S332" s="4" t="s">
        <v>90</v>
      </c>
      <c r="T332" s="96" t="s">
        <v>1669</v>
      </c>
      <c r="U332" t="str">
        <f>VLOOKUP(HEVARIM[[#This Row],[גיל]],GIL,2,1)</f>
        <v>--</v>
      </c>
      <c r="V332" t="str">
        <f>IF(HEVARIM[[#This Row],[קוד מעמד]]="4     ",IF(HEVARIM[[#This Row],[גיל]]=1,1,IF(HEVARIM[[#This Row],[גיל]]&lt;=5,5,18)),"")</f>
        <v/>
      </c>
      <c r="W332">
        <f t="shared" si="20"/>
        <v>0</v>
      </c>
      <c r="X33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2">
        <f>IF(HEVARIM[[#This Row],[מצב משפחתי2]]="אלמן",'[2]ריכוז נתונים'!$AC$2,0)</f>
        <v>0</v>
      </c>
      <c r="Z332" s="3">
        <f>VLOOKUP(VALUE(HEVARIM[[#This Row],[קוד מעמד]]),הנחות!$I$2:$K$21,3,0)</f>
        <v>1</v>
      </c>
      <c r="AA332" t="b">
        <f>ISERROR(VLOOKUP(HEVARIM[[#This Row],[קוד תקציב]],'[2]ריכוז נתונים'!A:A,1,0))</f>
        <v>0</v>
      </c>
      <c r="AB332" s="1">
        <f t="shared" si="21"/>
        <v>0</v>
      </c>
      <c r="AC332" s="2">
        <f ca="1">IF(HEVARIM[[#This Row],[בר מצוה]]&gt;0,YEAR(TODAY())+'תקציבים מיוחדים'!$F$5-HEVARIM[[#This Row],[גיל]],0)</f>
        <v>0</v>
      </c>
      <c r="AD332" s="1">
        <f t="shared" si="22"/>
        <v>0</v>
      </c>
      <c r="AE332" s="2">
        <f ca="1">IF(HEVARIM[[#This Row],[בת מצוה]]&gt;0,YEAR(TODAY())+'תקציבים מיוחדים'!$F$5-HEVARIM[[#This Row],[גיל]],0)</f>
        <v>0</v>
      </c>
      <c r="AF332" s="1">
        <f>IF(AND($S332&gt;="רווק",$Z332=1),AF$4*IF(HEVARIM[[#This Row],[גיל]]&gt;$AF$3,1,(($G332-AF$2)/(AF$3-AF$2))),0)</f>
        <v>51867.857142857138</v>
      </c>
      <c r="AG332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332" s="1">
        <f t="shared" si="23"/>
        <v>90504.428571428565</v>
      </c>
      <c r="AI332" s="2">
        <f ca="1">IF(AH332&gt;0,YEAR(TODAY())+'תקציבים מיוחדים'!$F$7-HEVARIM[[#This Row],[גיל]],0)</f>
        <v>2029</v>
      </c>
      <c r="AJ332" s="9">
        <f>IF(AND(ISERROR(VLOOKUP(H332,'[2]ריכוז נתונים'!A:L,1,0)),P332="1     "),1,0)</f>
        <v>0</v>
      </c>
      <c r="AK33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2" s="1">
        <f>IF(AND(VALUE(HEVARIM[[#This Row],[קוד מעמד]])=1,HEVARIM[[#This Row],[ותק מחברה 40]]&lt;25),HEVARIM[[#This Row],[ותק מחברה 40]]/25*הנחות!$C$4,0)</f>
        <v>0</v>
      </c>
      <c r="AM332" s="9" t="str">
        <f ca="1">IF(HEVARIM[[#This Row],[דמי עזיבה 25 שנות ותק]]&gt;0,YEAR(TODAY())+25-ROUNDDOWN(HEVARIM[[#This Row],[ותק מחברה 40]],0),"")</f>
        <v/>
      </c>
      <c r="AN33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2" s="9" t="str">
        <f ca="1">IF(HEVARIM[[#This Row],[דמי עזיבה לגיל 65]]&gt;0,YEAR(TODAY())+64-ROUNDDOWN(HEVARIM[[#This Row],[גיל]],0),"")</f>
        <v/>
      </c>
      <c r="AP332" s="1">
        <f>SUMIF(HEVARIM[קוד תקציב],HEVARIM[[#This Row],[קוד תקציב משפחה מקורי]],HEVARIM[ותק מחברה 40])</f>
        <v>53.58</v>
      </c>
      <c r="AQ3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2" s="9">
        <f>IF(HEVARIM[[#This Row],[קוד מעמד]]="1     ",IFERROR(VLOOKUP(HEVARIM[[#This Row],[קוד תקציב]],'תקציב צביעה - לקראת השינוי'!A:F,4,0),0),0)</f>
        <v>0</v>
      </c>
      <c r="AT332" s="1"/>
    </row>
    <row r="333" spans="1:46">
      <c r="A333" t="s">
        <v>1672</v>
      </c>
      <c r="B333" t="s">
        <v>1673</v>
      </c>
      <c r="C333" t="s">
        <v>1435</v>
      </c>
      <c r="D333" t="s">
        <v>1674</v>
      </c>
      <c r="E333" t="s">
        <v>67</v>
      </c>
      <c r="F333" s="4">
        <v>26160</v>
      </c>
      <c r="G333">
        <v>54</v>
      </c>
      <c r="H333" t="s">
        <v>1669</v>
      </c>
      <c r="I333" t="s">
        <v>1670</v>
      </c>
      <c r="J333" s="4" t="s">
        <v>70</v>
      </c>
      <c r="K333" s="4" t="s">
        <v>71</v>
      </c>
      <c r="L333" t="s">
        <v>1675</v>
      </c>
      <c r="M333" t="s">
        <v>1672</v>
      </c>
      <c r="N333" t="s">
        <v>1673</v>
      </c>
      <c r="O333">
        <f>IFERROR(VLOOKUP(HEVARIM[[#This Row],[קוד תקציב]],[2]תקציבים!A:L,6,0),0)</f>
        <v>2</v>
      </c>
      <c r="P333" s="5" t="s">
        <v>104</v>
      </c>
      <c r="Q333" t="s">
        <v>11</v>
      </c>
      <c r="R333" s="4">
        <v>39320</v>
      </c>
      <c r="S333" s="4" t="s">
        <v>74</v>
      </c>
      <c r="T333" s="96" t="s">
        <v>1669</v>
      </c>
      <c r="U333" t="str">
        <f>VLOOKUP(HEVARIM[[#This Row],[גיל]],GIL,2,1)</f>
        <v>--</v>
      </c>
      <c r="V333" t="str">
        <f>IF(HEVARIM[[#This Row],[קוד מעמד]]="4     ",IF(HEVARIM[[#This Row],[גיל]]=1,1,IF(HEVARIM[[#This Row],[גיל]]&lt;=5,5,18)),"")</f>
        <v/>
      </c>
      <c r="W333">
        <f t="shared" si="20"/>
        <v>0</v>
      </c>
      <c r="X3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3">
        <f>IF(HEVARIM[[#This Row],[מצב משפחתי2]]="אלמן",'[2]ריכוז נתונים'!$AC$2,0)</f>
        <v>0</v>
      </c>
      <c r="Z333" s="3">
        <f>VLOOKUP(VALUE(HEVARIM[[#This Row],[קוד מעמד]]),הנחות!$I$2:$K$21,3,0)</f>
        <v>0</v>
      </c>
      <c r="AA333" t="b">
        <f>ISERROR(VLOOKUP(HEVARIM[[#This Row],[קוד תקציב]],'[2]ריכוז נתונים'!A:A,1,0))</f>
        <v>0</v>
      </c>
      <c r="AB333" s="1">
        <f t="shared" si="21"/>
        <v>0</v>
      </c>
      <c r="AC333" s="2">
        <f ca="1">IF(HEVARIM[[#This Row],[בר מצוה]]&gt;0,YEAR(TODAY())+'תקציבים מיוחדים'!$F$5-HEVARIM[[#This Row],[גיל]],0)</f>
        <v>0</v>
      </c>
      <c r="AD333" s="1">
        <f t="shared" si="22"/>
        <v>0</v>
      </c>
      <c r="AE333" s="2">
        <f ca="1">IF(HEVARIM[[#This Row],[בת מצוה]]&gt;0,YEAR(TODAY())+'תקציבים מיוחדים'!$F$5-HEVARIM[[#This Row],[גיל]],0)</f>
        <v>0</v>
      </c>
      <c r="AF333" s="1">
        <f>IF(AND($S333&gt;="רווק",$Z333=1),AF$4*IF(HEVARIM[[#This Row],[גיל]]&gt;$AF$3,1,(($G333-AF$2)/(AF$3-AF$2))),0)</f>
        <v>0</v>
      </c>
      <c r="AG33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3" s="1">
        <f t="shared" si="23"/>
        <v>0</v>
      </c>
      <c r="AI333" s="2">
        <f ca="1">IF(AH333&gt;0,YEAR(TODAY())+'תקציבים מיוחדים'!$F$7-HEVARIM[[#This Row],[גיל]],0)</f>
        <v>0</v>
      </c>
      <c r="AJ333" s="9">
        <f>IF(AND(ISERROR(VLOOKUP(H333,'[2]ריכוז נתונים'!A:L,1,0)),P333="1     "),1,0)</f>
        <v>0</v>
      </c>
      <c r="AK333" s="1">
        <f>IF(VALUE(HEVARIM[[#This Row],[קוד מעמד]])=1,VLOOKUP((IF(LEFT(HEVARIM[[#This Row],[קוד חבר]],1)="0",HEVARIM[[#This Row],[קוד חבר]],VALUE(HEVARIM[[#This Row],[קוד חבר]]))),'ותק חברה 40'!AQ:AW,7,0),"")</f>
        <v>20.010000000000002</v>
      </c>
      <c r="AL333" s="1">
        <f>IF(AND(VALUE(HEVARIM[[#This Row],[קוד מעמד]])=1,HEVARIM[[#This Row],[ותק מחברה 40]]&lt;25),HEVARIM[[#This Row],[ותק מחברה 40]]/25*הנחות!$C$4,0)</f>
        <v>30042.703845</v>
      </c>
      <c r="AM333" s="9">
        <f ca="1">IF(HEVARIM[[#This Row],[דמי עזיבה 25 שנות ותק]]&gt;0,YEAR(TODAY())+25-ROUNDDOWN(HEVARIM[[#This Row],[ותק מחברה 40]],0),"")</f>
        <v>2031</v>
      </c>
      <c r="AN33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3" s="9" t="str">
        <f ca="1">IF(HEVARIM[[#This Row],[דמי עזיבה לגיל 65]]&gt;0,YEAR(TODAY())+64-ROUNDDOWN(HEVARIM[[#This Row],[גיל]],0),"")</f>
        <v/>
      </c>
      <c r="AP333" s="1">
        <f>SUMIF(HEVARIM[קוד תקציב],HEVARIM[[#This Row],[קוד תקציב משפחה מקורי]],HEVARIM[ותק מחברה 40])</f>
        <v>53.58</v>
      </c>
      <c r="AQ3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333" s="9">
        <f>IF(HEVARIM[[#This Row],[קוד מעמד]]="1     ",IFERROR(VLOOKUP(HEVARIM[[#This Row],[קוד תקציב]],'תקציב צביעה - לקראת השינוי'!A:F,4,0),0),0)</f>
        <v>2031</v>
      </c>
      <c r="AT333" s="1"/>
    </row>
    <row r="334" spans="1:46">
      <c r="A334" t="s">
        <v>1680</v>
      </c>
      <c r="B334" t="s">
        <v>1681</v>
      </c>
      <c r="C334" t="s">
        <v>1435</v>
      </c>
      <c r="D334" t="s">
        <v>1682</v>
      </c>
      <c r="E334" t="s">
        <v>67</v>
      </c>
      <c r="F334" s="4">
        <v>40188</v>
      </c>
      <c r="G334">
        <v>15</v>
      </c>
      <c r="H334" t="s">
        <v>1669</v>
      </c>
      <c r="I334" t="s">
        <v>1670</v>
      </c>
      <c r="J334" s="4" t="s">
        <v>70</v>
      </c>
      <c r="K334" s="4" t="s">
        <v>71</v>
      </c>
      <c r="L334" t="s">
        <v>1683</v>
      </c>
      <c r="M334" t="s">
        <v>1672</v>
      </c>
      <c r="N334" t="s">
        <v>1673</v>
      </c>
      <c r="O334">
        <f>IFERROR(VLOOKUP(HEVARIM[[#This Row],[קוד תקציב]],[2]תקציבים!A:L,6,0),0)</f>
        <v>2</v>
      </c>
      <c r="P334" s="5" t="s">
        <v>227</v>
      </c>
      <c r="Q334" t="s">
        <v>14</v>
      </c>
      <c r="R334" s="4">
        <v>40188</v>
      </c>
      <c r="S334" s="4" t="s">
        <v>90</v>
      </c>
      <c r="T334" s="96" t="s">
        <v>1669</v>
      </c>
      <c r="U334" t="str">
        <f>VLOOKUP(HEVARIM[[#This Row],[גיל]],GIL,2,1)</f>
        <v>תיכון</v>
      </c>
      <c r="V334">
        <f>IF(HEVARIM[[#This Row],[קוד מעמד]]="4     ",IF(HEVARIM[[#This Row],[גיל]]=1,1,IF(HEVARIM[[#This Row],[גיל]]&lt;=5,5,18)),"")</f>
        <v>18</v>
      </c>
      <c r="W334">
        <f t="shared" si="20"/>
        <v>0</v>
      </c>
      <c r="X33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4">
        <f>IF(HEVARIM[[#This Row],[מצב משפחתי2]]="אלמן",'[2]ריכוז נתונים'!$AC$2,0)</f>
        <v>0</v>
      </c>
      <c r="Z334" s="3">
        <f>VLOOKUP(VALUE(HEVARIM[[#This Row],[קוד מעמד]]),הנחות!$I$2:$K$21,3,0)</f>
        <v>1</v>
      </c>
      <c r="AA334" t="b">
        <f>ISERROR(VLOOKUP(HEVARIM[[#This Row],[קוד תקציב]],'[2]ריכוז נתונים'!A:A,1,0))</f>
        <v>0</v>
      </c>
      <c r="AB334" s="1">
        <f t="shared" si="21"/>
        <v>0</v>
      </c>
      <c r="AC334" s="2">
        <f ca="1">IF(HEVARIM[[#This Row],[בר מצוה]]&gt;0,YEAR(TODAY())+'תקציבים מיוחדים'!$F$5-HEVARIM[[#This Row],[גיל]],0)</f>
        <v>0</v>
      </c>
      <c r="AD334" s="1">
        <f t="shared" si="22"/>
        <v>0</v>
      </c>
      <c r="AE334" s="2">
        <f ca="1">IF(HEVARIM[[#This Row],[בת מצוה]]&gt;0,YEAR(TODAY())+'תקציבים מיוחדים'!$F$5-HEVARIM[[#This Row],[גיל]],0)</f>
        <v>0</v>
      </c>
      <c r="AF334" s="1">
        <f>IF(AND($S334&gt;="רווק",$Z334=1),AF$4*IF(HEVARIM[[#This Row],[גיל]]&gt;$AF$3,1,(($G334-AF$2)/(AF$3-AF$2))),0)</f>
        <v>43223.21428571429</v>
      </c>
      <c r="AG334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34" s="1">
        <f t="shared" si="23"/>
        <v>75420.357142857145</v>
      </c>
      <c r="AI334" s="2">
        <f ca="1">IF(AH334&gt;0,YEAR(TODAY())+'תקציבים מיוחדים'!$F$7-HEVARIM[[#This Row],[גיל]],0)</f>
        <v>2032</v>
      </c>
      <c r="AJ334" s="9">
        <f>IF(AND(ISERROR(VLOOKUP(H334,'[2]ריכוז נתונים'!A:L,1,0)),P334="1     "),1,0)</f>
        <v>0</v>
      </c>
      <c r="AK33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4" s="1">
        <f>IF(AND(VALUE(HEVARIM[[#This Row],[קוד מעמד]])=1,HEVARIM[[#This Row],[ותק מחברה 40]]&lt;25),HEVARIM[[#This Row],[ותק מחברה 40]]/25*הנחות!$C$4,0)</f>
        <v>0</v>
      </c>
      <c r="AM334" s="9" t="str">
        <f ca="1">IF(HEVARIM[[#This Row],[דמי עזיבה 25 שנות ותק]]&gt;0,YEAR(TODAY())+25-ROUNDDOWN(HEVARIM[[#This Row],[ותק מחברה 40]],0),"")</f>
        <v/>
      </c>
      <c r="AN33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4" s="9" t="str">
        <f ca="1">IF(HEVARIM[[#This Row],[דמי עזיבה לגיל 65]]&gt;0,YEAR(TODAY())+64-ROUNDDOWN(HEVARIM[[#This Row],[גיל]],0),"")</f>
        <v/>
      </c>
      <c r="AP334" s="1">
        <f>SUMIF(HEVARIM[קוד תקציב],HEVARIM[[#This Row],[קוד תקציב משפחה מקורי]],HEVARIM[ותק מחברה 40])</f>
        <v>53.58</v>
      </c>
      <c r="AQ3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4" s="9">
        <f>IF(HEVARIM[[#This Row],[קוד מעמד]]="1     ",IFERROR(VLOOKUP(HEVARIM[[#This Row],[קוד תקציב]],'תקציב צביעה - לקראת השינוי'!A:F,4,0),0),0)</f>
        <v>0</v>
      </c>
      <c r="AT334" s="1"/>
    </row>
    <row r="335" spans="1:46">
      <c r="A335" t="s">
        <v>1684</v>
      </c>
      <c r="B335" t="s">
        <v>1685</v>
      </c>
      <c r="C335" t="s">
        <v>1435</v>
      </c>
      <c r="D335" t="s">
        <v>1686</v>
      </c>
      <c r="E335" t="s">
        <v>67</v>
      </c>
      <c r="F335" s="4">
        <v>38746</v>
      </c>
      <c r="G335">
        <v>19</v>
      </c>
      <c r="H335" t="s">
        <v>1669</v>
      </c>
      <c r="I335" t="s">
        <v>1670</v>
      </c>
      <c r="J335" s="4" t="s">
        <v>70</v>
      </c>
      <c r="K335" s="4" t="s">
        <v>71</v>
      </c>
      <c r="L335" t="s">
        <v>1687</v>
      </c>
      <c r="M335" t="s">
        <v>1672</v>
      </c>
      <c r="N335" t="s">
        <v>1673</v>
      </c>
      <c r="O335">
        <f>IFERROR(VLOOKUP(HEVARIM[[#This Row],[קוד תקציב]],[2]תקציבים!A:L,6,0),0)</f>
        <v>2</v>
      </c>
      <c r="P335" s="5" t="s">
        <v>1688</v>
      </c>
      <c r="Q335" t="s">
        <v>20</v>
      </c>
      <c r="R335" s="4">
        <v>45539</v>
      </c>
      <c r="S335" s="4" t="s">
        <v>90</v>
      </c>
      <c r="T335" s="96" t="s">
        <v>1669</v>
      </c>
      <c r="U335" t="str">
        <f>VLOOKUP(HEVARIM[[#This Row],[גיל]],GIL,2,1)</f>
        <v>--</v>
      </c>
      <c r="V335" t="str">
        <f>IF(HEVARIM[[#This Row],[קוד מעמד]]="4     ",IF(HEVARIM[[#This Row],[גיל]]=1,1,IF(HEVARIM[[#This Row],[גיל]]&lt;=5,5,18)),"")</f>
        <v/>
      </c>
      <c r="W335">
        <f t="shared" si="20"/>
        <v>0</v>
      </c>
      <c r="X33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5">
        <f>IF(HEVARIM[[#This Row],[מצב משפחתי2]]="אלמן",'[2]ריכוז נתונים'!$AC$2,0)</f>
        <v>0</v>
      </c>
      <c r="Z335" s="3">
        <f>VLOOKUP(VALUE(HEVARIM[[#This Row],[קוד מעמד]]),הנחות!$I$2:$K$21,3,0)</f>
        <v>1</v>
      </c>
      <c r="AA335" t="b">
        <f>ISERROR(VLOOKUP(HEVARIM[[#This Row],[קוד תקציב]],'[2]ריכוז נתונים'!A:A,1,0))</f>
        <v>0</v>
      </c>
      <c r="AB335" s="1">
        <f t="shared" si="21"/>
        <v>0</v>
      </c>
      <c r="AC335" s="2">
        <f ca="1">IF(HEVARIM[[#This Row],[בר מצוה]]&gt;0,YEAR(TODAY())+'תקציבים מיוחדים'!$F$5-HEVARIM[[#This Row],[גיל]],0)</f>
        <v>0</v>
      </c>
      <c r="AD335" s="1">
        <f t="shared" si="22"/>
        <v>0</v>
      </c>
      <c r="AE335" s="2">
        <f ca="1">IF(HEVARIM[[#This Row],[בת מצוה]]&gt;0,YEAR(TODAY())+'תקציבים מיוחדים'!$F$5-HEVARIM[[#This Row],[גיל]],0)</f>
        <v>0</v>
      </c>
      <c r="AF335" s="1">
        <f>IF(AND($S335&gt;="רווק",$Z335=1),AF$4*IF(HEVARIM[[#This Row],[גיל]]&gt;$AF$3,1,(($G335-AF$2)/(AF$3-AF$2))),0)</f>
        <v>54749.404761904763</v>
      </c>
      <c r="AG335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335" s="1">
        <f t="shared" si="23"/>
        <v>95532.452380952382</v>
      </c>
      <c r="AI335" s="2">
        <f ca="1">IF(AH335&gt;0,YEAR(TODAY())+'תקציבים מיוחדים'!$F$7-HEVARIM[[#This Row],[גיל]],0)</f>
        <v>2028</v>
      </c>
      <c r="AJ335" s="9">
        <f>IF(AND(ISERROR(VLOOKUP(H335,'[2]ריכוז נתונים'!A:L,1,0)),P335="1     "),1,0)</f>
        <v>0</v>
      </c>
      <c r="AK33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5" s="1">
        <f>IF(AND(VALUE(HEVARIM[[#This Row],[קוד מעמד]])=1,HEVARIM[[#This Row],[ותק מחברה 40]]&lt;25),HEVARIM[[#This Row],[ותק מחברה 40]]/25*הנחות!$C$4,0)</f>
        <v>0</v>
      </c>
      <c r="AM335" s="9" t="str">
        <f ca="1">IF(HEVARIM[[#This Row],[דמי עזיבה 25 שנות ותק]]&gt;0,YEAR(TODAY())+25-ROUNDDOWN(HEVARIM[[#This Row],[ותק מחברה 40]],0),"")</f>
        <v/>
      </c>
      <c r="AN3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5" s="9" t="str">
        <f ca="1">IF(HEVARIM[[#This Row],[דמי עזיבה לגיל 65]]&gt;0,YEAR(TODAY())+64-ROUNDDOWN(HEVARIM[[#This Row],[גיל]],0),"")</f>
        <v/>
      </c>
      <c r="AP335" s="1">
        <f>SUMIF(HEVARIM[קוד תקציב],HEVARIM[[#This Row],[קוד תקציב משפחה מקורי]],HEVARIM[ותק מחברה 40])</f>
        <v>53.58</v>
      </c>
      <c r="AQ3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5" s="9">
        <f>IF(HEVARIM[[#This Row],[קוד מעמד]]="1     ",IFERROR(VLOOKUP(HEVARIM[[#This Row],[קוד תקציב]],'תקציב צביעה - לקראת השינוי'!A:F,4,0),0),0)</f>
        <v>0</v>
      </c>
      <c r="AT335" s="1"/>
    </row>
    <row r="336" spans="1:46">
      <c r="A336" t="s">
        <v>1875</v>
      </c>
      <c r="B336" t="s">
        <v>1876</v>
      </c>
      <c r="C336" t="s">
        <v>1691</v>
      </c>
      <c r="D336" t="s">
        <v>1877</v>
      </c>
      <c r="E336" t="s">
        <v>67</v>
      </c>
      <c r="F336" s="4">
        <v>26942</v>
      </c>
      <c r="G336">
        <v>52</v>
      </c>
      <c r="H336" t="s">
        <v>1878</v>
      </c>
      <c r="I336" t="s">
        <v>1879</v>
      </c>
      <c r="J336" s="4" t="s">
        <v>70</v>
      </c>
      <c r="K336" s="4" t="s">
        <v>71</v>
      </c>
      <c r="L336" t="s">
        <v>1880</v>
      </c>
      <c r="M336" t="s">
        <v>1875</v>
      </c>
      <c r="N336" t="s">
        <v>1876</v>
      </c>
      <c r="O336">
        <f>IFERROR(VLOOKUP(HEVARIM[[#This Row],[קוד תקציב]],[2]תקציבים!A:L,6,0),0)</f>
        <v>2</v>
      </c>
      <c r="P336" s="5" t="s">
        <v>104</v>
      </c>
      <c r="Q336" t="s">
        <v>11</v>
      </c>
      <c r="R336" s="4">
        <v>37135</v>
      </c>
      <c r="S336" s="4" t="s">
        <v>74</v>
      </c>
      <c r="T336" s="96" t="s">
        <v>1707</v>
      </c>
      <c r="U336" t="str">
        <f>VLOOKUP(HEVARIM[[#This Row],[גיל]],GIL,2,1)</f>
        <v>--</v>
      </c>
      <c r="V336" t="str">
        <f>IF(HEVARIM[[#This Row],[קוד מעמד]]="4     ",IF(HEVARIM[[#This Row],[גיל]]=1,1,IF(HEVARIM[[#This Row],[גיל]]&lt;=5,5,18)),"")</f>
        <v/>
      </c>
      <c r="W336">
        <f t="shared" si="20"/>
        <v>0</v>
      </c>
      <c r="X33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6">
        <f>IF(HEVARIM[[#This Row],[מצב משפחתי2]]="אלמן",'[2]ריכוז נתונים'!$AC$2,0)</f>
        <v>0</v>
      </c>
      <c r="Z336" s="3">
        <f>VLOOKUP(VALUE(HEVARIM[[#This Row],[קוד מעמד]]),הנחות!$I$2:$K$21,3,0)</f>
        <v>0</v>
      </c>
      <c r="AA336" t="b">
        <f>ISERROR(VLOOKUP(HEVARIM[[#This Row],[קוד תקציב]],'[2]ריכוז נתונים'!A:A,1,0))</f>
        <v>0</v>
      </c>
      <c r="AB336" s="1">
        <f t="shared" si="21"/>
        <v>0</v>
      </c>
      <c r="AC336" s="2">
        <f ca="1">IF(HEVARIM[[#This Row],[בר מצוה]]&gt;0,YEAR(TODAY())+'תקציבים מיוחדים'!$F$5-HEVARIM[[#This Row],[גיל]],0)</f>
        <v>0</v>
      </c>
      <c r="AD336" s="1">
        <f t="shared" si="22"/>
        <v>0</v>
      </c>
      <c r="AE336" s="2">
        <f ca="1">IF(HEVARIM[[#This Row],[בת מצוה]]&gt;0,YEAR(TODAY())+'תקציבים מיוחדים'!$F$5-HEVARIM[[#This Row],[גיל]],0)</f>
        <v>0</v>
      </c>
      <c r="AF336" s="1">
        <f>IF(AND($S336&gt;="רווק",$Z336=1),AF$4*IF(HEVARIM[[#This Row],[גיל]]&gt;$AF$3,1,(($G336-AF$2)/(AF$3-AF$2))),0)</f>
        <v>0</v>
      </c>
      <c r="AG33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6" s="1">
        <f t="shared" si="23"/>
        <v>0</v>
      </c>
      <c r="AI336" s="2">
        <f ca="1">IF(AH336&gt;0,YEAR(TODAY())+'תקציבים מיוחדים'!$F$7-HEVARIM[[#This Row],[גיל]],0)</f>
        <v>0</v>
      </c>
      <c r="AJ336" s="9">
        <f>IF(AND(ISERROR(VLOOKUP(H336,'[2]ריכוז נתונים'!A:L,1,0)),P336="1     "),1,0)</f>
        <v>0</v>
      </c>
      <c r="AK336" s="1">
        <f>IF(VALUE(HEVARIM[[#This Row],[קוד מעמד]])=1,VLOOKUP((IF(LEFT(HEVARIM[[#This Row],[קוד חבר]],1)="0",HEVARIM[[#This Row],[קוד חבר]],VALUE(HEVARIM[[#This Row],[קוד חבר]]))),'ותק חברה 40'!AQ:AW,7,0),"")</f>
        <v>29.82</v>
      </c>
      <c r="AL336" s="1">
        <f>IF(AND(VALUE(HEVARIM[[#This Row],[קוד מעמד]])=1,HEVARIM[[#This Row],[ותק מחברה 40]]&lt;25),HEVARIM[[#This Row],[ותק מחברה 40]]/25*הנחות!$C$4,0)</f>
        <v>0</v>
      </c>
      <c r="AM336" s="9" t="str">
        <f ca="1">IF(HEVARIM[[#This Row],[דמי עזיבה 25 שנות ותק]]&gt;0,YEAR(TODAY())+25-ROUNDDOWN(HEVARIM[[#This Row],[ותק מחברה 40]],0),"")</f>
        <v/>
      </c>
      <c r="AN336" s="1">
        <f>IF(AND(VALUE(HEVARIM[[#This Row],[קוד מעמד]])=1,HEVARIM[[#This Row],[ותק מחברה 40]]&gt;25,HEVARIM[[#This Row],[גיל]]&lt;65),הנחות!$C$14+(HEVARIM[[#This Row],[ותק מחברה 40]]-25)*הנחות!$C$10*0.25,0)</f>
        <v>39733.068375000003</v>
      </c>
      <c r="AO336" s="9">
        <f ca="1">IF(HEVARIM[[#This Row],[דמי עזיבה לגיל 65]]&gt;0,YEAR(TODAY())+64-ROUNDDOWN(HEVARIM[[#This Row],[גיל]],0),"")</f>
        <v>2038</v>
      </c>
      <c r="AP336" s="1">
        <f>SUMIF(HEVARIM[קוד תקציב],HEVARIM[[#This Row],[קוד תקציב משפחה מקורי]],HEVARIM[ותק מחברה 40])</f>
        <v>96</v>
      </c>
      <c r="AQ3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336" s="9">
        <f>IF(HEVARIM[[#This Row],[קוד מעמד]]="1     ",IFERROR(VLOOKUP(HEVARIM[[#This Row],[קוד תקציב]],'תקציב צביעה - לקראת השינוי'!A:F,4,0),0),0)</f>
        <v>2034</v>
      </c>
      <c r="AT336" s="1"/>
    </row>
    <row r="337" spans="1:46">
      <c r="A337" t="s">
        <v>1907</v>
      </c>
      <c r="B337" t="s">
        <v>1908</v>
      </c>
      <c r="C337" t="s">
        <v>1691</v>
      </c>
      <c r="D337" t="s">
        <v>1909</v>
      </c>
      <c r="E337" t="s">
        <v>79</v>
      </c>
      <c r="F337" s="4">
        <v>27667</v>
      </c>
      <c r="G337">
        <v>50</v>
      </c>
      <c r="H337" t="s">
        <v>1910</v>
      </c>
      <c r="I337" t="s">
        <v>1911</v>
      </c>
      <c r="J337" s="4" t="s">
        <v>70</v>
      </c>
      <c r="K337" s="4" t="s">
        <v>71</v>
      </c>
      <c r="L337" t="s">
        <v>1912</v>
      </c>
      <c r="M337" t="s">
        <v>1907</v>
      </c>
      <c r="N337" t="s">
        <v>1908</v>
      </c>
      <c r="O337">
        <f>IFERROR(VLOOKUP(HEVARIM[[#This Row],[קוד תקציב]],[2]תקציבים!A:L,6,0),0)</f>
        <v>0</v>
      </c>
      <c r="P337" s="5" t="s">
        <v>1913</v>
      </c>
      <c r="Q337" t="s">
        <v>32</v>
      </c>
      <c r="R337" s="4">
        <v>42370</v>
      </c>
      <c r="S337" s="4" t="s">
        <v>145</v>
      </c>
      <c r="T337" s="96" t="s">
        <v>1707</v>
      </c>
      <c r="U337" t="str">
        <f>VLOOKUP(HEVARIM[[#This Row],[גיל]],GIL,2,1)</f>
        <v>--</v>
      </c>
      <c r="V337" t="str">
        <f>IF(HEVARIM[[#This Row],[קוד מעמד]]="4     ",IF(HEVARIM[[#This Row],[גיל]]=1,1,IF(HEVARIM[[#This Row],[גיל]]&lt;=5,5,18)),"")</f>
        <v/>
      </c>
      <c r="W337">
        <f t="shared" si="20"/>
        <v>0</v>
      </c>
      <c r="X33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7">
        <f>IF(HEVARIM[[#This Row],[מצב משפחתי2]]="אלמן",'[2]ריכוז נתונים'!$AC$2,0)</f>
        <v>0</v>
      </c>
      <c r="Z337" s="3">
        <f>VLOOKUP(VALUE(HEVARIM[[#This Row],[קוד מעמד]]),הנחות!$I$2:$K$21,3,0)</f>
        <v>0</v>
      </c>
      <c r="AA337" t="b">
        <f>ISERROR(VLOOKUP(HEVARIM[[#This Row],[קוד תקציב]],'[2]ריכוז נתונים'!A:A,1,0))</f>
        <v>1</v>
      </c>
      <c r="AB337" s="1">
        <f t="shared" si="21"/>
        <v>0</v>
      </c>
      <c r="AC337" s="2">
        <f ca="1">IF(HEVARIM[[#This Row],[בר מצוה]]&gt;0,YEAR(TODAY())+'תקציבים מיוחדים'!$F$5-HEVARIM[[#This Row],[גיל]],0)</f>
        <v>0</v>
      </c>
      <c r="AD337" s="1">
        <f t="shared" si="22"/>
        <v>0</v>
      </c>
      <c r="AE337" s="2">
        <f ca="1">IF(HEVARIM[[#This Row],[בת מצוה]]&gt;0,YEAR(TODAY())+'תקציבים מיוחדים'!$F$5-HEVARIM[[#This Row],[גיל]],0)</f>
        <v>0</v>
      </c>
      <c r="AF337" s="1">
        <f>IF(AND($S337&gt;="רווק",$Z337=1),AF$4*IF(HEVARIM[[#This Row],[גיל]]&gt;$AF$3,1,(($G337-AF$2)/(AF$3-AF$2))),0)</f>
        <v>0</v>
      </c>
      <c r="AG33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7" s="1">
        <f t="shared" si="23"/>
        <v>0</v>
      </c>
      <c r="AI337" s="2">
        <f ca="1">IF(AH337&gt;0,YEAR(TODAY())+'תקציבים מיוחדים'!$F$7-HEVARIM[[#This Row],[גיל]],0)</f>
        <v>0</v>
      </c>
      <c r="AJ337" s="9">
        <f>IF(AND(ISERROR(VLOOKUP(H337,'[2]ריכוז נתונים'!A:L,1,0)),P337="1     "),1,0)</f>
        <v>0</v>
      </c>
      <c r="AK33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37" s="1">
        <f>IF(AND(VALUE(HEVARIM[[#This Row],[קוד מעמד]])=1,HEVARIM[[#This Row],[ותק מחברה 40]]&lt;25),HEVARIM[[#This Row],[ותק מחברה 40]]/25*הנחות!$C$4,0)</f>
        <v>0</v>
      </c>
      <c r="AM337" s="9" t="str">
        <f ca="1">IF(HEVARIM[[#This Row],[דמי עזיבה 25 שנות ותק]]&gt;0,YEAR(TODAY())+25-ROUNDDOWN(HEVARIM[[#This Row],[ותק מחברה 40]],0),"")</f>
        <v/>
      </c>
      <c r="AN3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7" s="9" t="str">
        <f ca="1">IF(HEVARIM[[#This Row],[דמי עזיבה לגיל 65]]&gt;0,YEAR(TODAY())+64-ROUNDDOWN(HEVARIM[[#This Row],[גיל]],0),"")</f>
        <v/>
      </c>
      <c r="AP337" s="1">
        <f>SUMIF(HEVARIM[קוד תקציב],HEVARIM[[#This Row],[קוד תקציב משפחה מקורי]],HEVARIM[ותק מחברה 40])</f>
        <v>96</v>
      </c>
      <c r="AQ3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7" s="9">
        <f>IF(HEVARIM[[#This Row],[קוד מעמד]]="1     ",IFERROR(VLOOKUP(HEVARIM[[#This Row],[קוד תקציב]],'תקציב צביעה - לקראת השינוי'!A:F,4,0),0),0)</f>
        <v>0</v>
      </c>
      <c r="AT337" s="1"/>
    </row>
    <row r="338" spans="1:46">
      <c r="A338" t="s">
        <v>1949</v>
      </c>
      <c r="B338" t="s">
        <v>1950</v>
      </c>
      <c r="C338" t="s">
        <v>1691</v>
      </c>
      <c r="D338" t="s">
        <v>1951</v>
      </c>
      <c r="E338" t="s">
        <v>67</v>
      </c>
      <c r="F338" s="4">
        <v>33230</v>
      </c>
      <c r="G338">
        <v>35</v>
      </c>
      <c r="H338" t="s">
        <v>1952</v>
      </c>
      <c r="I338" t="s">
        <v>1953</v>
      </c>
      <c r="J338" s="4" t="s">
        <v>70</v>
      </c>
      <c r="K338" s="4" t="s">
        <v>454</v>
      </c>
      <c r="L338" t="s">
        <v>1954</v>
      </c>
      <c r="M338" t="s">
        <v>1949</v>
      </c>
      <c r="N338" t="s">
        <v>1950</v>
      </c>
      <c r="O338">
        <f>IFERROR(VLOOKUP(HEVARIM[[#This Row],[קוד תקציב]],[2]תקציבים!A:L,6,0),0)</f>
        <v>2</v>
      </c>
      <c r="P338" s="5" t="s">
        <v>104</v>
      </c>
      <c r="Q338" t="s">
        <v>11</v>
      </c>
      <c r="R338" s="4">
        <v>44615</v>
      </c>
      <c r="S338" s="4" t="s">
        <v>74</v>
      </c>
      <c r="T338" s="96" t="s">
        <v>1715</v>
      </c>
      <c r="U338" t="str">
        <f>VLOOKUP(HEVARIM[[#This Row],[גיל]],GIL,2,1)</f>
        <v>--</v>
      </c>
      <c r="V338" t="str">
        <f>IF(HEVARIM[[#This Row],[קוד מעמד]]="4     ",IF(HEVARIM[[#This Row],[גיל]]=1,1,IF(HEVARIM[[#This Row],[גיל]]&lt;=5,5,18)),"")</f>
        <v/>
      </c>
      <c r="W338">
        <f t="shared" si="20"/>
        <v>0</v>
      </c>
      <c r="X3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8">
        <f>IF(HEVARIM[[#This Row],[מצב משפחתי2]]="אלמן",'[2]ריכוז נתונים'!$AC$2,0)</f>
        <v>0</v>
      </c>
      <c r="Z338" s="3">
        <f>VLOOKUP(VALUE(HEVARIM[[#This Row],[קוד מעמד]]),הנחות!$I$2:$K$21,3,0)</f>
        <v>0</v>
      </c>
      <c r="AA338" t="b">
        <f>ISERROR(VLOOKUP(HEVARIM[[#This Row],[קוד תקציב]],'[2]ריכוז נתונים'!A:A,1,0))</f>
        <v>0</v>
      </c>
      <c r="AB338" s="1">
        <f t="shared" si="21"/>
        <v>0</v>
      </c>
      <c r="AC338" s="2">
        <f ca="1">IF(HEVARIM[[#This Row],[בר מצוה]]&gt;0,YEAR(TODAY())+'תקציבים מיוחדים'!$F$5-HEVARIM[[#This Row],[גיל]],0)</f>
        <v>0</v>
      </c>
      <c r="AD338" s="1">
        <f t="shared" si="22"/>
        <v>0</v>
      </c>
      <c r="AE338" s="2">
        <f ca="1">IF(HEVARIM[[#This Row],[בת מצוה]]&gt;0,YEAR(TODAY())+'תקציבים מיוחדים'!$F$5-HEVARIM[[#This Row],[גיל]],0)</f>
        <v>0</v>
      </c>
      <c r="AF338" s="1">
        <f>IF(AND($S338&gt;="רווק",$Z338=1),AF$4*IF(HEVARIM[[#This Row],[גיל]]&gt;$AF$3,1,(($G338-AF$2)/(AF$3-AF$2))),0)</f>
        <v>0</v>
      </c>
      <c r="AG33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8" s="1">
        <f t="shared" si="23"/>
        <v>0</v>
      </c>
      <c r="AI338" s="2">
        <f ca="1">IF(AH338&gt;0,YEAR(TODAY())+'תקציבים מיוחדים'!$F$7-HEVARIM[[#This Row],[גיל]],0)</f>
        <v>0</v>
      </c>
      <c r="AJ338" s="9">
        <f>IF(AND(ISERROR(VLOOKUP(H338,'[2]ריכוז נתונים'!A:L,1,0)),P338="1     "),1,0)</f>
        <v>0</v>
      </c>
      <c r="AK338" s="1">
        <f>IF(VALUE(HEVARIM[[#This Row],[קוד מעמד]])=1,VLOOKUP((IF(LEFT(HEVARIM[[#This Row],[קוד חבר]],1)="0",HEVARIM[[#This Row],[קוד חבר]],VALUE(HEVARIM[[#This Row],[קוד חבר]]))),'ותק חברה 40'!AQ:AW,7,0),"")</f>
        <v>5.5</v>
      </c>
      <c r="AL338" s="1">
        <f>IF(AND(VALUE(HEVARIM[[#This Row],[קוד מעמד]])=1,HEVARIM[[#This Row],[ותק מחברה 40]]&lt;25),HEVARIM[[#This Row],[ותק מחברה 40]]/25*הנחות!$C$4,0)</f>
        <v>8257.6147499999988</v>
      </c>
      <c r="AM338" s="9">
        <f ca="1">IF(HEVARIM[[#This Row],[דמי עזיבה 25 שנות ותק]]&gt;0,YEAR(TODAY())+25-ROUNDDOWN(HEVARIM[[#This Row],[ותק מחברה 40]],0),"")</f>
        <v>2046</v>
      </c>
      <c r="AN3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8" s="9" t="str">
        <f ca="1">IF(HEVARIM[[#This Row],[דמי עזיבה לגיל 65]]&gt;0,YEAR(TODAY())+64-ROUNDDOWN(HEVARIM[[#This Row],[גיל]],0),"")</f>
        <v/>
      </c>
      <c r="AP338" s="1">
        <f>SUMIF(HEVARIM[קוד תקציב],HEVARIM[[#This Row],[קוד תקציב משפחה מקורי]],HEVARIM[ותק מחברה 40])</f>
        <v>96</v>
      </c>
      <c r="AQ3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38" s="9">
        <f>IF(HEVARIM[[#This Row],[קוד מעמד]]="1     ",IFERROR(VLOOKUP(HEVARIM[[#This Row],[קוד תקציב]],'תקציב צביעה - לקראת השינוי'!A:F,4,0),0),0)</f>
        <v>0</v>
      </c>
      <c r="AT338" s="1"/>
    </row>
    <row r="339" spans="1:46">
      <c r="A339" t="s">
        <v>1846</v>
      </c>
      <c r="B339" t="s">
        <v>1847</v>
      </c>
      <c r="C339" t="s">
        <v>1691</v>
      </c>
      <c r="D339" t="s">
        <v>1848</v>
      </c>
      <c r="E339" t="s">
        <v>67</v>
      </c>
      <c r="F339" s="4">
        <v>27132</v>
      </c>
      <c r="G339">
        <v>51</v>
      </c>
      <c r="H339" t="s">
        <v>1849</v>
      </c>
      <c r="I339" t="s">
        <v>1850</v>
      </c>
      <c r="J339" s="4" t="s">
        <v>70</v>
      </c>
      <c r="K339" s="4" t="s">
        <v>71</v>
      </c>
      <c r="L339" t="s">
        <v>1851</v>
      </c>
      <c r="M339" t="s">
        <v>1846</v>
      </c>
      <c r="N339" t="s">
        <v>1847</v>
      </c>
      <c r="O339">
        <f>IFERROR(VLOOKUP(HEVARIM[[#This Row],[קוד תקציב]],[2]תקציבים!A:L,6,0),0)</f>
        <v>2</v>
      </c>
      <c r="P339" s="5" t="s">
        <v>104</v>
      </c>
      <c r="Q339" t="s">
        <v>11</v>
      </c>
      <c r="R339" s="4">
        <v>38991</v>
      </c>
      <c r="S339" s="4" t="s">
        <v>74</v>
      </c>
      <c r="T339" s="96" t="s">
        <v>1715</v>
      </c>
      <c r="U339" t="str">
        <f>VLOOKUP(HEVARIM[[#This Row],[גיל]],GIL,2,1)</f>
        <v>--</v>
      </c>
      <c r="V339" t="str">
        <f>IF(HEVARIM[[#This Row],[קוד מעמד]]="4     ",IF(HEVARIM[[#This Row],[גיל]]=1,1,IF(HEVARIM[[#This Row],[גיל]]&lt;=5,5,18)),"")</f>
        <v/>
      </c>
      <c r="W339">
        <f t="shared" si="20"/>
        <v>0</v>
      </c>
      <c r="X3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39">
        <f>IF(HEVARIM[[#This Row],[מצב משפחתי2]]="אלמן",'[2]ריכוז נתונים'!$AC$2,0)</f>
        <v>0</v>
      </c>
      <c r="Z339" s="3">
        <f>VLOOKUP(VALUE(HEVARIM[[#This Row],[קוד מעמד]]),הנחות!$I$2:$K$21,3,0)</f>
        <v>0</v>
      </c>
      <c r="AA339" t="b">
        <f>ISERROR(VLOOKUP(HEVARIM[[#This Row],[קוד תקציב]],'[2]ריכוז נתונים'!A:A,1,0))</f>
        <v>0</v>
      </c>
      <c r="AB339" s="1">
        <f t="shared" si="21"/>
        <v>0</v>
      </c>
      <c r="AC339" s="2">
        <f ca="1">IF(HEVARIM[[#This Row],[בר מצוה]]&gt;0,YEAR(TODAY())+'תקציבים מיוחדים'!$F$5-HEVARIM[[#This Row],[גיל]],0)</f>
        <v>0</v>
      </c>
      <c r="AD339" s="1">
        <f t="shared" si="22"/>
        <v>0</v>
      </c>
      <c r="AE339" s="2">
        <f ca="1">IF(HEVARIM[[#This Row],[בת מצוה]]&gt;0,YEAR(TODAY())+'תקציבים מיוחדים'!$F$5-HEVARIM[[#This Row],[גיל]],0)</f>
        <v>0</v>
      </c>
      <c r="AF339" s="1">
        <f>IF(AND($S339&gt;="רווק",$Z339=1),AF$4*IF(HEVARIM[[#This Row],[גיל]]&gt;$AF$3,1,(($G339-AF$2)/(AF$3-AF$2))),0)</f>
        <v>0</v>
      </c>
      <c r="AG33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39" s="1">
        <f t="shared" si="23"/>
        <v>0</v>
      </c>
      <c r="AI339" s="2">
        <f ca="1">IF(AH339&gt;0,YEAR(TODAY())+'תקציבים מיוחדים'!$F$7-HEVARIM[[#This Row],[גיל]],0)</f>
        <v>0</v>
      </c>
      <c r="AJ339" s="9">
        <f>IF(AND(ISERROR(VLOOKUP(H339,'[2]ריכוז נתונים'!A:L,1,0)),P339="1     "),1,0)</f>
        <v>0</v>
      </c>
      <c r="AK339" s="1">
        <f>IF(VALUE(HEVARIM[[#This Row],[קוד מעמד]])=1,VLOOKUP((IF(LEFT(HEVARIM[[#This Row],[קוד חבר]],1)="0",HEVARIM[[#This Row],[קוד חבר]],VALUE(HEVARIM[[#This Row],[קוד חבר]]))),'ותק חברה 40'!AQ:AW,7,0),"")</f>
        <v>22.94</v>
      </c>
      <c r="AL339" s="1">
        <f>IF(AND(VALUE(HEVARIM[[#This Row],[קוד מעמד]])=1,HEVARIM[[#This Row],[ותק מחברה 40]]&lt;25),HEVARIM[[#This Row],[ותק מחברה 40]]/25*הנחות!$C$4,0)</f>
        <v>34441.760430000002</v>
      </c>
      <c r="AM339" s="9">
        <f ca="1">IF(HEVARIM[[#This Row],[דמי עזיבה 25 שנות ותק]]&gt;0,YEAR(TODAY())+25-ROUNDDOWN(HEVARIM[[#This Row],[ותק מחברה 40]],0),"")</f>
        <v>2029</v>
      </c>
      <c r="AN3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39" s="9" t="str">
        <f ca="1">IF(HEVARIM[[#This Row],[דמי עזיבה לגיל 65]]&gt;0,YEAR(TODAY())+64-ROUNDDOWN(HEVARIM[[#This Row],[גיל]],0),"")</f>
        <v/>
      </c>
      <c r="AP339" s="1">
        <f>SUMIF(HEVARIM[קוד תקציב],HEVARIM[[#This Row],[קוד תקציב משפחה מקורי]],HEVARIM[ותק מחברה 40])</f>
        <v>96</v>
      </c>
      <c r="AQ3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39" s="9">
        <f>IF(HEVARIM[[#This Row],[קוד מעמד]]="1     ",IFERROR(VLOOKUP(HEVARIM[[#This Row],[קוד תקציב]],'תקציב צביעה - לקראת השינוי'!A:F,4,0),0),0)</f>
        <v>2028</v>
      </c>
      <c r="AT339" s="1"/>
    </row>
    <row r="340" spans="1:46">
      <c r="A340" t="s">
        <v>1769</v>
      </c>
      <c r="B340" t="s">
        <v>1770</v>
      </c>
      <c r="C340" t="s">
        <v>1764</v>
      </c>
      <c r="D340" t="s">
        <v>1771</v>
      </c>
      <c r="E340" t="s">
        <v>79</v>
      </c>
      <c r="F340" s="4">
        <v>31590</v>
      </c>
      <c r="G340">
        <v>39</v>
      </c>
      <c r="H340" t="s">
        <v>1766</v>
      </c>
      <c r="I340" t="s">
        <v>1767</v>
      </c>
      <c r="J340" s="4" t="s">
        <v>70</v>
      </c>
      <c r="K340" s="4" t="s">
        <v>71</v>
      </c>
      <c r="L340" t="s">
        <v>1772</v>
      </c>
      <c r="M340" t="s">
        <v>1762</v>
      </c>
      <c r="N340" t="s">
        <v>1763</v>
      </c>
      <c r="O340">
        <f>IFERROR(VLOOKUP(HEVARIM[[#This Row],[קוד תקציב]],[2]תקציבים!A:L,6,0),0)</f>
        <v>2</v>
      </c>
      <c r="P340" s="5" t="s">
        <v>104</v>
      </c>
      <c r="Q340" t="s">
        <v>11</v>
      </c>
      <c r="R340" s="4">
        <v>43305</v>
      </c>
      <c r="S340" s="4" t="s">
        <v>74</v>
      </c>
      <c r="T340" s="96" t="s">
        <v>1715</v>
      </c>
      <c r="U340" t="str">
        <f>VLOOKUP(HEVARIM[[#This Row],[גיל]],GIL,2,1)</f>
        <v>--</v>
      </c>
      <c r="V340" t="str">
        <f>IF(HEVARIM[[#This Row],[קוד מעמד]]="4     ",IF(HEVARIM[[#This Row],[גיל]]=1,1,IF(HEVARIM[[#This Row],[גיל]]&lt;=5,5,18)),"")</f>
        <v/>
      </c>
      <c r="W340">
        <f t="shared" si="20"/>
        <v>0</v>
      </c>
      <c r="X3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40">
        <f>IF(HEVARIM[[#This Row],[מצב משפחתי2]]="אלמן",'[2]ריכוז נתונים'!$AC$2,0)</f>
        <v>0</v>
      </c>
      <c r="Z340" s="3">
        <f>VLOOKUP(VALUE(HEVARIM[[#This Row],[קוד מעמד]]),הנחות!$I$2:$K$21,3,0)</f>
        <v>0</v>
      </c>
      <c r="AA340" t="b">
        <f>ISERROR(VLOOKUP(HEVARIM[[#This Row],[קוד תקציב]],'[2]ריכוז נתונים'!A:A,1,0))</f>
        <v>0</v>
      </c>
      <c r="AB340" s="1">
        <f t="shared" si="21"/>
        <v>0</v>
      </c>
      <c r="AC340" s="2">
        <f ca="1">IF(HEVARIM[[#This Row],[בר מצוה]]&gt;0,YEAR(TODAY())+'תקציבים מיוחדים'!$F$5-HEVARIM[[#This Row],[גיל]],0)</f>
        <v>0</v>
      </c>
      <c r="AD340" s="1">
        <f t="shared" si="22"/>
        <v>0</v>
      </c>
      <c r="AE340" s="2">
        <f ca="1">IF(HEVARIM[[#This Row],[בת מצוה]]&gt;0,YEAR(TODAY())+'תקציבים מיוחדים'!$F$5-HEVARIM[[#This Row],[גיל]],0)</f>
        <v>0</v>
      </c>
      <c r="AF340" s="1">
        <f>IF(AND($S340&gt;="רווק",$Z340=1),AF$4*IF(HEVARIM[[#This Row],[גיל]]&gt;$AF$3,1,(($G340-AF$2)/(AF$3-AF$2))),0)</f>
        <v>0</v>
      </c>
      <c r="AG34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0" s="1">
        <f t="shared" si="23"/>
        <v>0</v>
      </c>
      <c r="AI340" s="2">
        <f ca="1">IF(AH340&gt;0,YEAR(TODAY())+'תקציבים מיוחדים'!$F$7-HEVARIM[[#This Row],[גיל]],0)</f>
        <v>0</v>
      </c>
      <c r="AJ340" s="9">
        <f>IF(AND(ISERROR(VLOOKUP(H340,'[2]ריכוז נתונים'!A:L,1,0)),P340="1     "),1,0)</f>
        <v>0</v>
      </c>
      <c r="AK340" s="1">
        <f>IF(VALUE(HEVARIM[[#This Row],[קוד מעמד]])=1,VLOOKUP((IF(LEFT(HEVARIM[[#This Row],[קוד חבר]],1)="0",HEVARIM[[#This Row],[קוד חבר]],VALUE(HEVARIM[[#This Row],[קוד חבר]]))),'ותק חברה 40'!AQ:AW,7,0),"")</f>
        <v>9.17</v>
      </c>
      <c r="AL340" s="1">
        <f>IF(AND(VALUE(HEVARIM[[#This Row],[קוד מעמד]])=1,HEVARIM[[#This Row],[ותק מחברה 40]]&lt;25),HEVARIM[[#This Row],[ותק מחברה 40]]/25*הנחות!$C$4,0)</f>
        <v>13767.695865</v>
      </c>
      <c r="AM340" s="9">
        <f ca="1">IF(HEVARIM[[#This Row],[דמי עזיבה 25 שנות ותק]]&gt;0,YEAR(TODAY())+25-ROUNDDOWN(HEVARIM[[#This Row],[ותק מחברה 40]],0),"")</f>
        <v>2042</v>
      </c>
      <c r="AN3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0" s="9" t="str">
        <f ca="1">IF(HEVARIM[[#This Row],[דמי עזיבה לגיל 65]]&gt;0,YEAR(TODAY())+64-ROUNDDOWN(HEVARIM[[#This Row],[גיל]],0),"")</f>
        <v/>
      </c>
      <c r="AP340" s="1">
        <f>SUMIF(HEVARIM[קוד תקציב],HEVARIM[[#This Row],[קוד תקציב משפחה מקורי]],HEVARIM[ותק מחברה 40])</f>
        <v>96</v>
      </c>
      <c r="AQ3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40" s="9">
        <f>IF(HEVARIM[[#This Row],[קוד מעמד]]="1     ",IFERROR(VLOOKUP(HEVARIM[[#This Row],[קוד תקציב]],'תקציב צביעה - לקראת השינוי'!A:F,4,0),0),0)</f>
        <v>0</v>
      </c>
      <c r="AT340" s="1"/>
    </row>
    <row r="341" spans="1:46">
      <c r="A341" t="s">
        <v>1888</v>
      </c>
      <c r="B341" t="s">
        <v>1889</v>
      </c>
      <c r="C341" t="s">
        <v>1723</v>
      </c>
      <c r="D341" t="s">
        <v>383</v>
      </c>
      <c r="E341" t="s">
        <v>67</v>
      </c>
      <c r="F341" s="4">
        <v>29840</v>
      </c>
      <c r="G341">
        <v>44</v>
      </c>
      <c r="H341" t="s">
        <v>1890</v>
      </c>
      <c r="I341" t="s">
        <v>1891</v>
      </c>
      <c r="J341" s="4" t="s">
        <v>70</v>
      </c>
      <c r="K341" s="4" t="s">
        <v>71</v>
      </c>
      <c r="L341" t="s">
        <v>1892</v>
      </c>
      <c r="M341" t="s">
        <v>1888</v>
      </c>
      <c r="N341" t="s">
        <v>1889</v>
      </c>
      <c r="O341">
        <f>IFERROR(VLOOKUP(HEVARIM[[#This Row],[קוד תקציב]],[2]תקציבים!A:L,6,0),0)</f>
        <v>2</v>
      </c>
      <c r="P341" s="5" t="s">
        <v>104</v>
      </c>
      <c r="Q341" t="s">
        <v>11</v>
      </c>
      <c r="R341" s="4">
        <v>42186</v>
      </c>
      <c r="S341" s="4" t="s">
        <v>74</v>
      </c>
      <c r="T341" s="96" t="s">
        <v>1724</v>
      </c>
      <c r="U341" t="str">
        <f>VLOOKUP(HEVARIM[[#This Row],[גיל]],GIL,2,1)</f>
        <v>--</v>
      </c>
      <c r="V341" t="str">
        <f>IF(HEVARIM[[#This Row],[קוד מעמד]]="4     ",IF(HEVARIM[[#This Row],[גיל]]=1,1,IF(HEVARIM[[#This Row],[גיל]]&lt;=5,5,18)),"")</f>
        <v/>
      </c>
      <c r="W341">
        <f t="shared" si="20"/>
        <v>0</v>
      </c>
      <c r="X34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41">
        <f>IF(HEVARIM[[#This Row],[מצב משפחתי2]]="אלמן",'[2]ריכוז נתונים'!$AC$2,0)</f>
        <v>0</v>
      </c>
      <c r="Z341" s="3">
        <f>VLOOKUP(VALUE(HEVARIM[[#This Row],[קוד מעמד]]),הנחות!$I$2:$K$21,3,0)</f>
        <v>0</v>
      </c>
      <c r="AA341" t="b">
        <f>ISERROR(VLOOKUP(HEVARIM[[#This Row],[קוד תקציב]],'[2]ריכוז נתונים'!A:A,1,0))</f>
        <v>0</v>
      </c>
      <c r="AB341" s="1">
        <f t="shared" si="21"/>
        <v>0</v>
      </c>
      <c r="AC341" s="2">
        <f ca="1">IF(HEVARIM[[#This Row],[בר מצוה]]&gt;0,YEAR(TODAY())+'תקציבים מיוחדים'!$F$5-HEVARIM[[#This Row],[גיל]],0)</f>
        <v>0</v>
      </c>
      <c r="AD341" s="1">
        <f t="shared" si="22"/>
        <v>0</v>
      </c>
      <c r="AE341" s="2">
        <f ca="1">IF(HEVARIM[[#This Row],[בת מצוה]]&gt;0,YEAR(TODAY())+'תקציבים מיוחדים'!$F$5-HEVARIM[[#This Row],[גיל]],0)</f>
        <v>0</v>
      </c>
      <c r="AF341" s="1">
        <f>IF(AND($S341&gt;="רווק",$Z341=1),AF$4*IF(HEVARIM[[#This Row],[גיל]]&gt;$AF$3,1,(($G341-AF$2)/(AF$3-AF$2))),0)</f>
        <v>0</v>
      </c>
      <c r="AG34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1" s="1">
        <f t="shared" si="23"/>
        <v>0</v>
      </c>
      <c r="AI341" s="2">
        <f ca="1">IF(AH341&gt;0,YEAR(TODAY())+'תקציבים מיוחדים'!$F$7-HEVARIM[[#This Row],[גיל]],0)</f>
        <v>0</v>
      </c>
      <c r="AJ341" s="9">
        <f>IF(AND(ISERROR(VLOOKUP(H341,'[2]ריכוז נתונים'!A:L,1,0)),P341="1     "),1,0)</f>
        <v>0</v>
      </c>
      <c r="AK341" s="1">
        <f>IF(VALUE(HEVARIM[[#This Row],[קוד מעמד]])=1,VLOOKUP((IF(LEFT(HEVARIM[[#This Row],[קוד חבר]],1)="0",HEVARIM[[#This Row],[קוד חבר]],VALUE(HEVARIM[[#This Row],[קוד חבר]]))),'ותק חברה 40'!AQ:AW,7,0),"")</f>
        <v>15.51</v>
      </c>
      <c r="AL341" s="1">
        <f>IF(AND(VALUE(HEVARIM[[#This Row],[קוד מעמד]])=1,HEVARIM[[#This Row],[ותק מחברה 40]]&lt;25),HEVARIM[[#This Row],[ותק מחברה 40]]/25*הנחות!$C$4,0)</f>
        <v>23286.473594999996</v>
      </c>
      <c r="AM341" s="9">
        <f ca="1">IF(HEVARIM[[#This Row],[דמי עזיבה 25 שנות ותק]]&gt;0,YEAR(TODAY())+25-ROUNDDOWN(HEVARIM[[#This Row],[ותק מחברה 40]],0),"")</f>
        <v>2036</v>
      </c>
      <c r="AN3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1" s="9" t="str">
        <f ca="1">IF(HEVARIM[[#This Row],[דמי עזיבה לגיל 65]]&gt;0,YEAR(TODAY())+64-ROUNDDOWN(HEVARIM[[#This Row],[גיל]],0),"")</f>
        <v/>
      </c>
      <c r="AP341" s="1">
        <f>SUMIF(HEVARIM[קוד תקציב],HEVARIM[[#This Row],[קוד תקציב משפחה מקורי]],HEVARIM[ותק מחברה 40])</f>
        <v>93.9</v>
      </c>
      <c r="AQ3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41" s="9">
        <f>IF(HEVARIM[[#This Row],[קוד מעמד]]="1     ",IFERROR(VLOOKUP(HEVARIM[[#This Row],[קוד תקציב]],'תקציב צביעה - לקראת השינוי'!A:F,4,0),0),0)</f>
        <v>2028</v>
      </c>
      <c r="AT341" s="1"/>
    </row>
    <row r="342" spans="1:46">
      <c r="A342" t="s">
        <v>1727</v>
      </c>
      <c r="B342" t="s">
        <v>1728</v>
      </c>
      <c r="C342" t="s">
        <v>1723</v>
      </c>
      <c r="D342" t="s">
        <v>155</v>
      </c>
      <c r="E342" t="s">
        <v>79</v>
      </c>
      <c r="F342" s="4">
        <v>19137</v>
      </c>
      <c r="G342">
        <v>73</v>
      </c>
      <c r="H342" t="s">
        <v>1724</v>
      </c>
      <c r="I342" t="s">
        <v>1725</v>
      </c>
      <c r="J342" s="4" t="s">
        <v>70</v>
      </c>
      <c r="K342" s="4" t="s">
        <v>71</v>
      </c>
      <c r="L342" t="s">
        <v>1729</v>
      </c>
      <c r="M342" t="s">
        <v>1721</v>
      </c>
      <c r="N342" t="s">
        <v>1722</v>
      </c>
      <c r="O342">
        <f>IFERROR(VLOOKUP(HEVARIM[[#This Row],[קוד תקציב]],[2]תקציבים!A:L,6,0),0)</f>
        <v>2</v>
      </c>
      <c r="P342" s="5" t="s">
        <v>104</v>
      </c>
      <c r="Q342" t="s">
        <v>11</v>
      </c>
      <c r="R342" s="4">
        <v>28125</v>
      </c>
      <c r="S342" s="4" t="s">
        <v>74</v>
      </c>
      <c r="T342" s="96" t="s">
        <v>1724</v>
      </c>
      <c r="U342" t="str">
        <f>VLOOKUP(HEVARIM[[#This Row],[גיל]],GIL,2,1)</f>
        <v>--</v>
      </c>
      <c r="V342" t="str">
        <f>IF(HEVARIM[[#This Row],[קוד מעמד]]="4     ",IF(HEVARIM[[#This Row],[גיל]]=1,1,IF(HEVARIM[[#This Row],[גיל]]&lt;=5,5,18)),"")</f>
        <v/>
      </c>
      <c r="W342">
        <f t="shared" si="20"/>
        <v>2365</v>
      </c>
      <c r="X34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42">
        <f>IF(HEVARIM[[#This Row],[מצב משפחתי2]]="אלמן",'[2]ריכוז נתונים'!$AC$2,0)</f>
        <v>0</v>
      </c>
      <c r="Z342" s="3">
        <f>VLOOKUP(VALUE(HEVARIM[[#This Row],[קוד מעמד]]),הנחות!$I$2:$K$21,3,0)</f>
        <v>0</v>
      </c>
      <c r="AA342" t="b">
        <f>ISERROR(VLOOKUP(HEVARIM[[#This Row],[קוד תקציב]],'[2]ריכוז נתונים'!A:A,1,0))</f>
        <v>0</v>
      </c>
      <c r="AB342" s="1">
        <f t="shared" si="21"/>
        <v>0</v>
      </c>
      <c r="AC342" s="2">
        <f ca="1">IF(HEVARIM[[#This Row],[בר מצוה]]&gt;0,YEAR(TODAY())+'תקציבים מיוחדים'!$F$5-HEVARIM[[#This Row],[גיל]],0)</f>
        <v>0</v>
      </c>
      <c r="AD342" s="1">
        <f t="shared" si="22"/>
        <v>0</v>
      </c>
      <c r="AE342" s="2">
        <f ca="1">IF(HEVARIM[[#This Row],[בת מצוה]]&gt;0,YEAR(TODAY())+'תקציבים מיוחדים'!$F$5-HEVARIM[[#This Row],[גיל]],0)</f>
        <v>0</v>
      </c>
      <c r="AF342" s="1">
        <f>IF(AND($S342&gt;="רווק",$Z342=1),AF$4*IF(HEVARIM[[#This Row],[גיל]]&gt;$AF$3,1,(($G342-AF$2)/(AF$3-AF$2))),0)</f>
        <v>0</v>
      </c>
      <c r="AG34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2" s="1">
        <f t="shared" si="23"/>
        <v>0</v>
      </c>
      <c r="AI342" s="2">
        <f ca="1">IF(AH342&gt;0,YEAR(TODAY())+'תקציבים מיוחדים'!$F$7-HEVARIM[[#This Row],[גיל]],0)</f>
        <v>0</v>
      </c>
      <c r="AJ342" s="9">
        <f>IF(AND(ISERROR(VLOOKUP(H342,'[2]ריכוז נתונים'!A:L,1,0)),P342="1     "),1,0)</f>
        <v>0</v>
      </c>
      <c r="AK342" s="1">
        <f>IF(VALUE(HEVARIM[[#This Row],[קוד מעמד]])=1,VLOOKUP((IF(LEFT(HEVARIM[[#This Row],[קוד חבר]],1)="0",HEVARIM[[#This Row],[קוד חבר]],VALUE(HEVARIM[[#This Row],[קוד חבר]]))),'ותק חברה 40'!AQ:AW,7,0),"")</f>
        <v>45.9</v>
      </c>
      <c r="AL342" s="1">
        <f>IF(AND(VALUE(HEVARIM[[#This Row],[קוד מעמד]])=1,HEVARIM[[#This Row],[ותק מחברה 40]]&lt;25),HEVARIM[[#This Row],[ותק מחברה 40]]/25*הנחות!$C$4,0)</f>
        <v>0</v>
      </c>
      <c r="AM342" s="9" t="str">
        <f ca="1">IF(HEVARIM[[#This Row],[דמי עזיבה 25 שנות ותק]]&gt;0,YEAR(TODAY())+25-ROUNDDOWN(HEVARIM[[#This Row],[ותק מחברה 40]],0),"")</f>
        <v/>
      </c>
      <c r="AN3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2" s="9" t="str">
        <f ca="1">IF(HEVARIM[[#This Row],[דמי עזיבה לגיל 65]]&gt;0,YEAR(TODAY())+64-ROUNDDOWN(HEVARIM[[#This Row],[גיל]],0),"")</f>
        <v/>
      </c>
      <c r="AP342" s="1">
        <f>SUMIF(HEVARIM[קוד תקציב],HEVARIM[[#This Row],[קוד תקציב משפחה מקורי]],HEVARIM[ותק מחברה 40])</f>
        <v>93.9</v>
      </c>
      <c r="AQ3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342" s="9">
        <f>IF(HEVARIM[[#This Row],[קוד מעמד]]="1     ",IFERROR(VLOOKUP(HEVARIM[[#This Row],[קוד תקציב]],'תקציב צביעה - לקראת השינוי'!A:F,4,0),0),0)</f>
        <v>2029</v>
      </c>
      <c r="AT342" s="1"/>
    </row>
    <row r="343" spans="1:46">
      <c r="A343" t="s">
        <v>1932</v>
      </c>
      <c r="B343" t="s">
        <v>1933</v>
      </c>
      <c r="C343" t="s">
        <v>1723</v>
      </c>
      <c r="D343" t="s">
        <v>299</v>
      </c>
      <c r="E343" t="s">
        <v>67</v>
      </c>
      <c r="F343" s="4">
        <v>33302</v>
      </c>
      <c r="G343">
        <v>34</v>
      </c>
      <c r="H343" t="s">
        <v>1934</v>
      </c>
      <c r="I343" t="s">
        <v>1935</v>
      </c>
      <c r="J343" s="4" t="s">
        <v>70</v>
      </c>
      <c r="K343" s="4" t="s">
        <v>81</v>
      </c>
      <c r="L343" t="s">
        <v>1936</v>
      </c>
      <c r="M343" t="s">
        <v>1932</v>
      </c>
      <c r="N343" t="s">
        <v>1933</v>
      </c>
      <c r="O343">
        <f>IFERROR(VLOOKUP(HEVARIM[[#This Row],[קוד תקציב]],[2]תקציבים!A:L,6,0),0)</f>
        <v>0</v>
      </c>
      <c r="P343" s="5" t="s">
        <v>1095</v>
      </c>
      <c r="Q343" t="s">
        <v>12</v>
      </c>
      <c r="R343" s="4">
        <v>45453</v>
      </c>
      <c r="S343" s="4" t="s">
        <v>74</v>
      </c>
      <c r="T343" s="96" t="s">
        <v>1724</v>
      </c>
      <c r="U343" t="str">
        <f>VLOOKUP(HEVARIM[[#This Row],[גיל]],GIL,2,1)</f>
        <v>--</v>
      </c>
      <c r="V343" t="str">
        <f>IF(HEVARIM[[#This Row],[קוד מעמד]]="4     ",IF(HEVARIM[[#This Row],[גיל]]=1,1,IF(HEVARIM[[#This Row],[גיל]]&lt;=5,5,18)),"")</f>
        <v/>
      </c>
      <c r="W343">
        <f t="shared" si="20"/>
        <v>0</v>
      </c>
      <c r="X34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43">
        <f>IF(HEVARIM[[#This Row],[מצב משפחתי2]]="אלמן",'[2]ריכוז נתונים'!$AC$2,0)</f>
        <v>0</v>
      </c>
      <c r="Z343" s="3">
        <f>VLOOKUP(VALUE(HEVARIM[[#This Row],[קוד מעמד]]),הנחות!$I$2:$K$21,3,0)</f>
        <v>0</v>
      </c>
      <c r="AA343" t="b">
        <f>ISERROR(VLOOKUP(HEVARIM[[#This Row],[קוד תקציב]],'[2]ריכוז נתונים'!A:A,1,0))</f>
        <v>1</v>
      </c>
      <c r="AB343" s="1">
        <f t="shared" si="21"/>
        <v>0</v>
      </c>
      <c r="AC343" s="2">
        <f ca="1">IF(HEVARIM[[#This Row],[בר מצוה]]&gt;0,YEAR(TODAY())+'תקציבים מיוחדים'!$F$5-HEVARIM[[#This Row],[גיל]],0)</f>
        <v>0</v>
      </c>
      <c r="AD343" s="1">
        <f t="shared" si="22"/>
        <v>0</v>
      </c>
      <c r="AE343" s="2">
        <f ca="1">IF(HEVARIM[[#This Row],[בת מצוה]]&gt;0,YEAR(TODAY())+'תקציבים מיוחדים'!$F$5-HEVARIM[[#This Row],[גיל]],0)</f>
        <v>0</v>
      </c>
      <c r="AF343" s="1">
        <f>IF(AND($S343&gt;="רווק",$Z343=1),AF$4*IF(HEVARIM[[#This Row],[גיל]]&gt;$AF$3,1,(($G343-AF$2)/(AF$3-AF$2))),0)</f>
        <v>0</v>
      </c>
      <c r="AG34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3" s="1">
        <f t="shared" si="23"/>
        <v>0</v>
      </c>
      <c r="AI343" s="2">
        <f ca="1">IF(AH343&gt;0,YEAR(TODAY())+'תקציבים מיוחדים'!$F$7-HEVARIM[[#This Row],[גיל]],0)</f>
        <v>0</v>
      </c>
      <c r="AJ343" s="9">
        <f>IF(AND(ISERROR(VLOOKUP(H343,'[2]ריכוז נתונים'!A:L,1,0)),P343="1     "),1,0)</f>
        <v>0</v>
      </c>
      <c r="AK34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43" s="1">
        <f>IF(AND(VALUE(HEVARIM[[#This Row],[קוד מעמד]])=1,HEVARIM[[#This Row],[ותק מחברה 40]]&lt;25),HEVARIM[[#This Row],[ותק מחברה 40]]/25*הנחות!$C$4,0)</f>
        <v>0</v>
      </c>
      <c r="AM343" s="9" t="str">
        <f ca="1">IF(HEVARIM[[#This Row],[דמי עזיבה 25 שנות ותק]]&gt;0,YEAR(TODAY())+25-ROUNDDOWN(HEVARIM[[#This Row],[ותק מחברה 40]],0),"")</f>
        <v/>
      </c>
      <c r="AN34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3" s="9" t="str">
        <f ca="1">IF(HEVARIM[[#This Row],[דמי עזיבה לגיל 65]]&gt;0,YEAR(TODAY())+64-ROUNDDOWN(HEVARIM[[#This Row],[גיל]],0),"")</f>
        <v/>
      </c>
      <c r="AP343" s="1">
        <f>SUMIF(HEVARIM[קוד תקציב],HEVARIM[[#This Row],[קוד תקציב משפחה מקורי]],HEVARIM[ותק מחברה 40])</f>
        <v>93.9</v>
      </c>
      <c r="AQ3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43" s="9">
        <f>IF(HEVARIM[[#This Row],[קוד מעמד]]="1     ",IFERROR(VLOOKUP(HEVARIM[[#This Row],[קוד תקציב]],'תקציב צביעה - לקראת השינוי'!A:F,4,0),0),0)</f>
        <v>0</v>
      </c>
      <c r="AT343" s="1"/>
    </row>
    <row r="344" spans="1:46">
      <c r="A344" t="s">
        <v>1730</v>
      </c>
      <c r="B344" t="s">
        <v>1731</v>
      </c>
      <c r="C344" t="s">
        <v>1732</v>
      </c>
      <c r="D344" t="s">
        <v>699</v>
      </c>
      <c r="E344" t="s">
        <v>67</v>
      </c>
      <c r="F344" s="4">
        <v>19010</v>
      </c>
      <c r="G344">
        <v>73</v>
      </c>
      <c r="H344" t="s">
        <v>1733</v>
      </c>
      <c r="I344" t="s">
        <v>1734</v>
      </c>
      <c r="J344" s="4" t="s">
        <v>70</v>
      </c>
      <c r="K344" s="4" t="s">
        <v>71</v>
      </c>
      <c r="L344" t="s">
        <v>1735</v>
      </c>
      <c r="M344" t="s">
        <v>1730</v>
      </c>
      <c r="N344" t="s">
        <v>1731</v>
      </c>
      <c r="O344">
        <f>IFERROR(VLOOKUP(HEVARIM[[#This Row],[קוד תקציב]],[2]תקציבים!A:L,6,0),0)</f>
        <v>2</v>
      </c>
      <c r="P344" s="5" t="s">
        <v>104</v>
      </c>
      <c r="Q344" t="s">
        <v>11</v>
      </c>
      <c r="R344" s="4">
        <v>37408</v>
      </c>
      <c r="S344" s="4" t="s">
        <v>74</v>
      </c>
      <c r="T344" s="96" t="s">
        <v>1733</v>
      </c>
      <c r="U344" t="str">
        <f>VLOOKUP(HEVARIM[[#This Row],[גיל]],GIL,2,1)</f>
        <v>--</v>
      </c>
      <c r="V344" t="str">
        <f>IF(HEVARIM[[#This Row],[קוד מעמד]]="4     ",IF(HEVARIM[[#This Row],[גיל]]=1,1,IF(HEVARIM[[#This Row],[גיל]]&lt;=5,5,18)),"")</f>
        <v/>
      </c>
      <c r="W344">
        <f t="shared" si="20"/>
        <v>2365</v>
      </c>
      <c r="X34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44">
        <f>IF(HEVARIM[[#This Row],[מצב משפחתי2]]="אלמן",'[2]ריכוז נתונים'!$AC$2,0)</f>
        <v>0</v>
      </c>
      <c r="Z344" s="3">
        <f>VLOOKUP(VALUE(HEVARIM[[#This Row],[קוד מעמד]]),הנחות!$I$2:$K$21,3,0)</f>
        <v>0</v>
      </c>
      <c r="AA344" t="b">
        <f>ISERROR(VLOOKUP(HEVARIM[[#This Row],[קוד תקציב]],'[2]ריכוז נתונים'!A:A,1,0))</f>
        <v>0</v>
      </c>
      <c r="AB344" s="1">
        <f t="shared" si="21"/>
        <v>0</v>
      </c>
      <c r="AC344" s="2">
        <f ca="1">IF(HEVARIM[[#This Row],[בר מצוה]]&gt;0,YEAR(TODAY())+'תקציבים מיוחדים'!$F$5-HEVARIM[[#This Row],[גיל]],0)</f>
        <v>0</v>
      </c>
      <c r="AD344" s="1">
        <f t="shared" si="22"/>
        <v>0</v>
      </c>
      <c r="AE344" s="2">
        <f ca="1">IF(HEVARIM[[#This Row],[בת מצוה]]&gt;0,YEAR(TODAY())+'תקציבים מיוחדים'!$F$5-HEVARIM[[#This Row],[גיל]],0)</f>
        <v>0</v>
      </c>
      <c r="AF344" s="1">
        <f>IF(AND($S344&gt;="רווק",$Z344=1),AF$4*IF(HEVARIM[[#This Row],[גיל]]&gt;$AF$3,1,(($G344-AF$2)/(AF$3-AF$2))),0)</f>
        <v>0</v>
      </c>
      <c r="AG34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4" s="1">
        <f t="shared" si="23"/>
        <v>0</v>
      </c>
      <c r="AI344" s="2">
        <f ca="1">IF(AH344&gt;0,YEAR(TODAY())+'תקציבים מיוחדים'!$F$7-HEVARIM[[#This Row],[גיל]],0)</f>
        <v>0</v>
      </c>
      <c r="AJ344" s="9">
        <f>IF(AND(ISERROR(VLOOKUP(H344,'[2]ריכוז נתונים'!A:L,1,0)),P344="1     "),1,0)</f>
        <v>0</v>
      </c>
      <c r="AK344" s="1">
        <f>IF(VALUE(HEVARIM[[#This Row],[קוד מעמד]])=1,VLOOKUP((IF(LEFT(HEVARIM[[#This Row],[קוד חבר]],1)="0",HEVARIM[[#This Row],[קוד חבר]],VALUE(HEVARIM[[#This Row],[קוד חבר]]))),'ותק חברה 40'!AQ:AW,7,0),"")</f>
        <v>42.82</v>
      </c>
      <c r="AL344" s="1">
        <f>IF(AND(VALUE(HEVARIM[[#This Row],[קוד מעמד]])=1,HEVARIM[[#This Row],[ותק מחברה 40]]&lt;25),HEVARIM[[#This Row],[ותק מחברה 40]]/25*הנחות!$C$4,0)</f>
        <v>0</v>
      </c>
      <c r="AM344" s="9" t="str">
        <f ca="1">IF(HEVARIM[[#This Row],[דמי עזיבה 25 שנות ותק]]&gt;0,YEAR(TODAY())+25-ROUNDDOWN(HEVARIM[[#This Row],[ותק מחברה 40]],0),"")</f>
        <v/>
      </c>
      <c r="AN34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4" s="9" t="str">
        <f ca="1">IF(HEVARIM[[#This Row],[דמי עזיבה לגיל 65]]&gt;0,YEAR(TODAY())+64-ROUNDDOWN(HEVARIM[[#This Row],[גיל]],0),"")</f>
        <v/>
      </c>
      <c r="AP344" s="1">
        <f>SUMIF(HEVARIM[קוד תקציב],HEVARIM[[#This Row],[קוד תקציב משפחה מקורי]],HEVARIM[ותק מחברה 40])</f>
        <v>89.259999999999991</v>
      </c>
      <c r="AQ3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344" s="9">
        <f>IF(HEVARIM[[#This Row],[קוד מעמד]]="1     ",IFERROR(VLOOKUP(HEVARIM[[#This Row],[קוד תקציב]],'תקציב צביעה - לקראת השינוי'!A:F,4,0),0),0)</f>
        <v>2031</v>
      </c>
      <c r="AT344" s="1"/>
    </row>
    <row r="345" spans="1:46">
      <c r="A345" t="s">
        <v>1736</v>
      </c>
      <c r="B345" t="s">
        <v>1737</v>
      </c>
      <c r="C345" t="s">
        <v>1732</v>
      </c>
      <c r="D345" t="s">
        <v>1738</v>
      </c>
      <c r="E345" t="s">
        <v>79</v>
      </c>
      <c r="F345" s="4">
        <v>20510</v>
      </c>
      <c r="G345">
        <v>69</v>
      </c>
      <c r="H345" t="s">
        <v>1733</v>
      </c>
      <c r="I345" t="s">
        <v>1734</v>
      </c>
      <c r="J345" s="4" t="s">
        <v>70</v>
      </c>
      <c r="K345" s="4" t="s">
        <v>71</v>
      </c>
      <c r="L345" t="s">
        <v>1739</v>
      </c>
      <c r="M345" t="s">
        <v>1730</v>
      </c>
      <c r="N345" t="s">
        <v>1731</v>
      </c>
      <c r="O345">
        <f>IFERROR(VLOOKUP(HEVARIM[[#This Row],[קוד תקציב]],[2]תקציבים!A:L,6,0),0)</f>
        <v>2</v>
      </c>
      <c r="P345" s="5" t="s">
        <v>104</v>
      </c>
      <c r="Q345" t="s">
        <v>11</v>
      </c>
      <c r="R345" s="4">
        <v>35309</v>
      </c>
      <c r="S345" s="4" t="s">
        <v>74</v>
      </c>
      <c r="T345" s="96" t="s">
        <v>1733</v>
      </c>
      <c r="U345" t="str">
        <f>VLOOKUP(HEVARIM[[#This Row],[גיל]],GIL,2,1)</f>
        <v>--</v>
      </c>
      <c r="V345" t="str">
        <f>IF(HEVARIM[[#This Row],[קוד מעמד]]="4     ",IF(HEVARIM[[#This Row],[גיל]]=1,1,IF(HEVARIM[[#This Row],[גיל]]&lt;=5,5,18)),"")</f>
        <v/>
      </c>
      <c r="W345">
        <f t="shared" si="20"/>
        <v>2365</v>
      </c>
      <c r="X34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45">
        <f>IF(HEVARIM[[#This Row],[מצב משפחתי2]]="אלמן",'[2]ריכוז נתונים'!$AC$2,0)</f>
        <v>0</v>
      </c>
      <c r="Z345" s="3">
        <f>VLOOKUP(VALUE(HEVARIM[[#This Row],[קוד מעמד]]),הנחות!$I$2:$K$21,3,0)</f>
        <v>0</v>
      </c>
      <c r="AA345" t="b">
        <f>ISERROR(VLOOKUP(HEVARIM[[#This Row],[קוד תקציב]],'[2]ריכוז נתונים'!A:A,1,0))</f>
        <v>0</v>
      </c>
      <c r="AB345" s="1">
        <f t="shared" si="21"/>
        <v>0</v>
      </c>
      <c r="AC345" s="2">
        <f ca="1">IF(HEVARIM[[#This Row],[בר מצוה]]&gt;0,YEAR(TODAY())+'תקציבים מיוחדים'!$F$5-HEVARIM[[#This Row],[גיל]],0)</f>
        <v>0</v>
      </c>
      <c r="AD345" s="1">
        <f t="shared" si="22"/>
        <v>0</v>
      </c>
      <c r="AE345" s="2">
        <f ca="1">IF(HEVARIM[[#This Row],[בת מצוה]]&gt;0,YEAR(TODAY())+'תקציבים מיוחדים'!$F$5-HEVARIM[[#This Row],[גיל]],0)</f>
        <v>0</v>
      </c>
      <c r="AF345" s="1">
        <f>IF(AND($S345&gt;="רווק",$Z345=1),AF$4*IF(HEVARIM[[#This Row],[גיל]]&gt;$AF$3,1,(($G345-AF$2)/(AF$3-AF$2))),0)</f>
        <v>0</v>
      </c>
      <c r="AG34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5" s="1">
        <f t="shared" si="23"/>
        <v>0</v>
      </c>
      <c r="AI345" s="2">
        <f ca="1">IF(AH345&gt;0,YEAR(TODAY())+'תקציבים מיוחדים'!$F$7-HEVARIM[[#This Row],[גיל]],0)</f>
        <v>0</v>
      </c>
      <c r="AJ345" s="9">
        <f>IF(AND(ISERROR(VLOOKUP(H345,'[2]ריכוז נתונים'!A:L,1,0)),P345="1     "),1,0)</f>
        <v>0</v>
      </c>
      <c r="AK345" s="1">
        <f>IF(VALUE(HEVARIM[[#This Row],[קוד מעמד]])=1,VLOOKUP((IF(LEFT(HEVARIM[[#This Row],[קוד חבר]],1)="0",HEVARIM[[#This Row],[קוד חבר]],VALUE(HEVARIM[[#This Row],[קוד חבר]]))),'ותק חברה 40'!AQ:AW,7,0),"")</f>
        <v>46.44</v>
      </c>
      <c r="AL345" s="1">
        <f>IF(AND(VALUE(HEVARIM[[#This Row],[קוד מעמד]])=1,HEVARIM[[#This Row],[ותק מחברה 40]]&lt;25),HEVARIM[[#This Row],[ותק מחברה 40]]/25*הנחות!$C$4,0)</f>
        <v>0</v>
      </c>
      <c r="AM345" s="9" t="str">
        <f ca="1">IF(HEVARIM[[#This Row],[דמי עזיבה 25 שנות ותק]]&gt;0,YEAR(TODAY())+25-ROUNDDOWN(HEVARIM[[#This Row],[ותק מחברה 40]],0),"")</f>
        <v/>
      </c>
      <c r="AN3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5" s="9" t="str">
        <f ca="1">IF(HEVARIM[[#This Row],[דמי עזיבה לגיל 65]]&gt;0,YEAR(TODAY())+64-ROUNDDOWN(HEVARIM[[#This Row],[גיל]],0),"")</f>
        <v/>
      </c>
      <c r="AP345" s="1">
        <f>SUMIF(HEVARIM[קוד תקציב],HEVARIM[[#This Row],[קוד תקציב משפחה מקורי]],HEVARIM[ותק מחברה 40])</f>
        <v>89.259999999999991</v>
      </c>
      <c r="AQ3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345" s="9">
        <f>IF(HEVARIM[[#This Row],[קוד מעמד]]="1     ",IFERROR(VLOOKUP(HEVARIM[[#This Row],[קוד תקציב]],'תקציב צביעה - לקראת השינוי'!A:F,4,0),0),0)</f>
        <v>2031</v>
      </c>
      <c r="AT345" s="1"/>
    </row>
    <row r="346" spans="1:46">
      <c r="A346" t="s">
        <v>1599</v>
      </c>
      <c r="B346" t="s">
        <v>1600</v>
      </c>
      <c r="C346" t="s">
        <v>1435</v>
      </c>
      <c r="D346" t="s">
        <v>1425</v>
      </c>
      <c r="E346" t="s">
        <v>79</v>
      </c>
      <c r="F346" s="4">
        <v>29922</v>
      </c>
      <c r="G346">
        <v>44</v>
      </c>
      <c r="H346" t="s">
        <v>1596</v>
      </c>
      <c r="I346" t="s">
        <v>1597</v>
      </c>
      <c r="J346" s="4" t="s">
        <v>70</v>
      </c>
      <c r="K346" s="4" t="s">
        <v>71</v>
      </c>
      <c r="L346" t="s">
        <v>1601</v>
      </c>
      <c r="M346" t="s">
        <v>1593</v>
      </c>
      <c r="N346" t="s">
        <v>1594</v>
      </c>
      <c r="O346">
        <f>IFERROR(VLOOKUP(HEVARIM[[#This Row],[קוד תקציב]],[2]תקציבים!A:L,6,0),0)</f>
        <v>2</v>
      </c>
      <c r="P346" s="5" t="s">
        <v>104</v>
      </c>
      <c r="Q346" t="s">
        <v>11</v>
      </c>
      <c r="R346" s="4">
        <v>44046</v>
      </c>
      <c r="S346" s="4" t="s">
        <v>74</v>
      </c>
      <c r="T346" s="96" t="s">
        <v>1733</v>
      </c>
      <c r="U346" t="str">
        <f>VLOOKUP(HEVARIM[[#This Row],[גיל]],GIL,2,1)</f>
        <v>--</v>
      </c>
      <c r="V346" t="str">
        <f>IF(HEVARIM[[#This Row],[קוד מעמד]]="4     ",IF(HEVARIM[[#This Row],[גיל]]=1,1,IF(HEVARIM[[#This Row],[גיל]]&lt;=5,5,18)),"")</f>
        <v/>
      </c>
      <c r="W346">
        <f t="shared" si="20"/>
        <v>0</v>
      </c>
      <c r="X3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46">
        <f>IF(HEVARIM[[#This Row],[מצב משפחתי2]]="אלמן",'[2]ריכוז נתונים'!$AC$2,0)</f>
        <v>0</v>
      </c>
      <c r="Z346" s="3">
        <f>VLOOKUP(VALUE(HEVARIM[[#This Row],[קוד מעמד]]),הנחות!$I$2:$K$21,3,0)</f>
        <v>0</v>
      </c>
      <c r="AA346" t="b">
        <f>ISERROR(VLOOKUP(HEVARIM[[#This Row],[קוד תקציב]],'[2]ריכוז נתונים'!A:A,1,0))</f>
        <v>0</v>
      </c>
      <c r="AB346" s="1">
        <f t="shared" si="21"/>
        <v>0</v>
      </c>
      <c r="AC346" s="2">
        <f ca="1">IF(HEVARIM[[#This Row],[בר מצוה]]&gt;0,YEAR(TODAY())+'תקציבים מיוחדים'!$F$5-HEVARIM[[#This Row],[גיל]],0)</f>
        <v>0</v>
      </c>
      <c r="AD346" s="1">
        <f t="shared" si="22"/>
        <v>0</v>
      </c>
      <c r="AE346" s="2">
        <f ca="1">IF(HEVARIM[[#This Row],[בת מצוה]]&gt;0,YEAR(TODAY())+'תקציבים מיוחדים'!$F$5-HEVARIM[[#This Row],[גיל]],0)</f>
        <v>0</v>
      </c>
      <c r="AF346" s="1">
        <f>IF(AND($S346&gt;="רווק",$Z346=1),AF$4*IF(HEVARIM[[#This Row],[גיל]]&gt;$AF$3,1,(($G346-AF$2)/(AF$3-AF$2))),0)</f>
        <v>0</v>
      </c>
      <c r="AG34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6" s="1">
        <f t="shared" si="23"/>
        <v>0</v>
      </c>
      <c r="AI346" s="2">
        <f ca="1">IF(AH346&gt;0,YEAR(TODAY())+'תקציבים מיוחדים'!$F$7-HEVARIM[[#This Row],[גיל]],0)</f>
        <v>0</v>
      </c>
      <c r="AJ346" s="9">
        <f>IF(AND(ISERROR(VLOOKUP(H346,'[2]ריכוז נתונים'!A:L,1,0)),P346="1     "),1,0)</f>
        <v>0</v>
      </c>
      <c r="AK346" s="1">
        <f>IF(VALUE(HEVARIM[[#This Row],[קוד מעמד]])=1,VLOOKUP((IF(LEFT(HEVARIM[[#This Row],[קוד חבר]],1)="0",HEVARIM[[#This Row],[קוד חבר]],VALUE(HEVARIM[[#This Row],[קוד חבר]]))),'ותק חברה 40'!AQ:AW,7,0),"")</f>
        <v>18.489999999999998</v>
      </c>
      <c r="AL346" s="1">
        <f>IF(AND(VALUE(HEVARIM[[#This Row],[קוד מעמד]])=1,HEVARIM[[#This Row],[ותק מחברה 40]]&lt;25),HEVARIM[[#This Row],[ותק מחברה 40]]/25*הנחות!$C$4,0)</f>
        <v>27760.599404999994</v>
      </c>
      <c r="AM346" s="9">
        <f ca="1">IF(HEVARIM[[#This Row],[דמי עזיבה 25 שנות ותק]]&gt;0,YEAR(TODAY())+25-ROUNDDOWN(HEVARIM[[#This Row],[ותק מחברה 40]],0),"")</f>
        <v>2033</v>
      </c>
      <c r="AN3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6" s="9" t="str">
        <f ca="1">IF(HEVARIM[[#This Row],[דמי עזיבה לגיל 65]]&gt;0,YEAR(TODAY())+64-ROUNDDOWN(HEVARIM[[#This Row],[גיל]],0),"")</f>
        <v/>
      </c>
      <c r="AP346" s="1">
        <f>SUMIF(HEVARIM[קוד תקציב],HEVARIM[[#This Row],[קוד תקציב משפחה מקורי]],HEVARIM[ותק מחברה 40])</f>
        <v>89.259999999999991</v>
      </c>
      <c r="AQ3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346" s="9">
        <f>IF(HEVARIM[[#This Row],[קוד מעמד]]="1     ",IFERROR(VLOOKUP(HEVARIM[[#This Row],[קוד תקציב]],'תקציב צביעה - לקראת השינוי'!A:F,4,0),0),0)</f>
        <v>2034</v>
      </c>
      <c r="AT346" s="1"/>
    </row>
    <row r="347" spans="1:46">
      <c r="A347" t="s">
        <v>2994</v>
      </c>
      <c r="B347" t="s">
        <v>2995</v>
      </c>
      <c r="C347" t="s">
        <v>2958</v>
      </c>
      <c r="D347" t="s">
        <v>2996</v>
      </c>
      <c r="E347" t="s">
        <v>79</v>
      </c>
      <c r="F347" s="4">
        <v>28551</v>
      </c>
      <c r="G347">
        <v>47</v>
      </c>
      <c r="H347" t="s">
        <v>2959</v>
      </c>
      <c r="I347" t="s">
        <v>2960</v>
      </c>
      <c r="J347" s="4" t="s">
        <v>70</v>
      </c>
      <c r="K347" s="4" t="s">
        <v>71</v>
      </c>
      <c r="L347" t="s">
        <v>2997</v>
      </c>
      <c r="M347" t="s">
        <v>2962</v>
      </c>
      <c r="N347" t="s">
        <v>2963</v>
      </c>
      <c r="O347">
        <f>IFERROR(VLOOKUP(HEVARIM[[#This Row],[קוד תקציב]],[2]תקציבים!A:L,6,0),0)</f>
        <v>2</v>
      </c>
      <c r="P347" s="5" t="s">
        <v>104</v>
      </c>
      <c r="Q347" t="s">
        <v>11</v>
      </c>
      <c r="R347" s="4">
        <v>41275</v>
      </c>
      <c r="S347" s="4" t="s">
        <v>74</v>
      </c>
      <c r="T347" s="96" t="s">
        <v>1733</v>
      </c>
      <c r="U347" t="str">
        <f>VLOOKUP(HEVARIM[[#This Row],[גיל]],GIL,2,1)</f>
        <v>--</v>
      </c>
      <c r="V347" t="str">
        <f>IF(HEVARIM[[#This Row],[קוד מעמד]]="4     ",IF(HEVARIM[[#This Row],[גיל]]=1,1,IF(HEVARIM[[#This Row],[גיל]]&lt;=5,5,18)),"")</f>
        <v/>
      </c>
      <c r="W347">
        <f t="shared" si="20"/>
        <v>0</v>
      </c>
      <c r="X3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47">
        <f>IF(HEVARIM[[#This Row],[מצב משפחתי2]]="אלמן",'[2]ריכוז נתונים'!$AC$2,0)</f>
        <v>0</v>
      </c>
      <c r="Z347" s="3">
        <f>VLOOKUP(VALUE(HEVARIM[[#This Row],[קוד מעמד]]),הנחות!$I$2:$K$21,3,0)</f>
        <v>0</v>
      </c>
      <c r="AA347" t="b">
        <f>ISERROR(VLOOKUP(HEVARIM[[#This Row],[קוד תקציב]],'[2]ריכוז נתונים'!A:A,1,0))</f>
        <v>0</v>
      </c>
      <c r="AB347" s="1">
        <f t="shared" si="21"/>
        <v>0</v>
      </c>
      <c r="AC347" s="2">
        <f ca="1">IF(HEVARIM[[#This Row],[בר מצוה]]&gt;0,YEAR(TODAY())+'תקציבים מיוחדים'!$F$5-HEVARIM[[#This Row],[גיל]],0)</f>
        <v>0</v>
      </c>
      <c r="AD347" s="1">
        <f t="shared" si="22"/>
        <v>0</v>
      </c>
      <c r="AE347" s="2">
        <f ca="1">IF(HEVARIM[[#This Row],[בת מצוה]]&gt;0,YEAR(TODAY())+'תקציבים מיוחדים'!$F$5-HEVARIM[[#This Row],[גיל]],0)</f>
        <v>0</v>
      </c>
      <c r="AF347" s="1">
        <f>IF(AND($S347&gt;="רווק",$Z347=1),AF$4*IF(HEVARIM[[#This Row],[גיל]]&gt;$AF$3,1,(($G347-AF$2)/(AF$3-AF$2))),0)</f>
        <v>0</v>
      </c>
      <c r="AG34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7" s="1">
        <f t="shared" si="23"/>
        <v>0</v>
      </c>
      <c r="AI347" s="2">
        <f ca="1">IF(AH347&gt;0,YEAR(TODAY())+'תקציבים מיוחדים'!$F$7-HEVARIM[[#This Row],[גיל]],0)</f>
        <v>0</v>
      </c>
      <c r="AJ347" s="9">
        <f>IF(AND(ISERROR(VLOOKUP(H347,'[2]ריכוז נתונים'!A:L,1,0)),P347="1     "),1,0)</f>
        <v>0</v>
      </c>
      <c r="AK347" s="1">
        <f>IF(VALUE(HEVARIM[[#This Row],[קוד מעמד]])=1,VLOOKUP((IF(LEFT(HEVARIM[[#This Row],[קוד חבר]],1)="0",HEVARIM[[#This Row],[קוד חבר]],VALUE(HEVARIM[[#This Row],[קוד חבר]]))),'ותק חברה 40'!AQ:AW,7,0),"")</f>
        <v>19.03</v>
      </c>
      <c r="AL347" s="1">
        <f>IF(AND(VALUE(HEVARIM[[#This Row],[קוד מעמד]])=1,HEVARIM[[#This Row],[ותק מחברה 40]]&lt;25),HEVARIM[[#This Row],[ותק מחברה 40]]/25*הנחות!$C$4,0)</f>
        <v>28571.347034999999</v>
      </c>
      <c r="AM347" s="9">
        <f ca="1">IF(HEVARIM[[#This Row],[דמי עזיבה 25 שנות ותק]]&gt;0,YEAR(TODAY())+25-ROUNDDOWN(HEVARIM[[#This Row],[ותק מחברה 40]],0),"")</f>
        <v>2032</v>
      </c>
      <c r="AN34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7" s="9" t="str">
        <f ca="1">IF(HEVARIM[[#This Row],[דמי עזיבה לגיל 65]]&gt;0,YEAR(TODAY())+64-ROUNDDOWN(HEVARIM[[#This Row],[גיל]],0),"")</f>
        <v/>
      </c>
      <c r="AP347" s="1">
        <f>SUMIF(HEVARIM[קוד תקציב],HEVARIM[[#This Row],[קוד תקציב משפחה מקורי]],HEVARIM[ותק מחברה 40])</f>
        <v>89.259999999999991</v>
      </c>
      <c r="AQ3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47" s="9">
        <f>IF(HEVARIM[[#This Row],[קוד מעמד]]="1     ",IFERROR(VLOOKUP(HEVARIM[[#This Row],[קוד תקציב]],'תקציב צביעה - לקראת השינוי'!A:F,4,0),0),0)</f>
        <v>0</v>
      </c>
      <c r="AT347" s="1"/>
    </row>
    <row r="348" spans="1:46">
      <c r="A348" t="s">
        <v>1740</v>
      </c>
      <c r="B348" t="s">
        <v>1741</v>
      </c>
      <c r="C348" t="s">
        <v>1742</v>
      </c>
      <c r="D348" t="s">
        <v>1743</v>
      </c>
      <c r="E348" t="s">
        <v>67</v>
      </c>
      <c r="F348" s="4">
        <v>14969</v>
      </c>
      <c r="G348">
        <v>85</v>
      </c>
      <c r="H348" t="s">
        <v>1744</v>
      </c>
      <c r="I348" t="s">
        <v>1745</v>
      </c>
      <c r="J348" s="4" t="s">
        <v>70</v>
      </c>
      <c r="K348" s="4" t="s">
        <v>71</v>
      </c>
      <c r="L348" t="s">
        <v>1746</v>
      </c>
      <c r="M348" t="s">
        <v>1740</v>
      </c>
      <c r="N348" t="s">
        <v>1741</v>
      </c>
      <c r="O348">
        <f>IFERROR(VLOOKUP(HEVARIM[[#This Row],[קוד תקציב]],[2]תקציבים!A:L,6,0),0)</f>
        <v>2</v>
      </c>
      <c r="P348" s="5" t="s">
        <v>104</v>
      </c>
      <c r="Q348" t="s">
        <v>11</v>
      </c>
      <c r="R348" s="4">
        <v>24107</v>
      </c>
      <c r="S348" s="4" t="s">
        <v>74</v>
      </c>
      <c r="T348" s="96" t="s">
        <v>1744</v>
      </c>
      <c r="U348" t="str">
        <f>VLOOKUP(HEVARIM[[#This Row],[גיל]],GIL,2,1)</f>
        <v>--</v>
      </c>
      <c r="V348" t="str">
        <f>IF(HEVARIM[[#This Row],[קוד מעמד]]="4     ",IF(HEVARIM[[#This Row],[גיל]]=1,1,IF(HEVARIM[[#This Row],[גיל]]&lt;=5,5,18)),"")</f>
        <v/>
      </c>
      <c r="W348">
        <f t="shared" si="20"/>
        <v>2567</v>
      </c>
      <c r="X34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48">
        <f>IF(HEVARIM[[#This Row],[מצב משפחתי2]]="אלמן",'[2]ריכוז נתונים'!$AC$2,0)</f>
        <v>0</v>
      </c>
      <c r="Z348" s="3">
        <f>VLOOKUP(VALUE(HEVARIM[[#This Row],[קוד מעמד]]),הנחות!$I$2:$K$21,3,0)</f>
        <v>0</v>
      </c>
      <c r="AA348" t="b">
        <f>ISERROR(VLOOKUP(HEVARIM[[#This Row],[קוד תקציב]],'[2]ריכוז נתונים'!A:A,1,0))</f>
        <v>0</v>
      </c>
      <c r="AB348" s="1">
        <f t="shared" si="21"/>
        <v>0</v>
      </c>
      <c r="AC348" s="2">
        <f ca="1">IF(HEVARIM[[#This Row],[בר מצוה]]&gt;0,YEAR(TODAY())+'תקציבים מיוחדים'!$F$5-HEVARIM[[#This Row],[גיל]],0)</f>
        <v>0</v>
      </c>
      <c r="AD348" s="1">
        <f t="shared" si="22"/>
        <v>0</v>
      </c>
      <c r="AE348" s="2">
        <f ca="1">IF(HEVARIM[[#This Row],[בת מצוה]]&gt;0,YEAR(TODAY())+'תקציבים מיוחדים'!$F$5-HEVARIM[[#This Row],[גיל]],0)</f>
        <v>0</v>
      </c>
      <c r="AF348" s="1">
        <f>IF(AND($S348&gt;="רווק",$Z348=1),AF$4*IF(HEVARIM[[#This Row],[גיל]]&gt;$AF$3,1,(($G348-AF$2)/(AF$3-AF$2))),0)</f>
        <v>0</v>
      </c>
      <c r="AG34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8" s="1">
        <f t="shared" si="23"/>
        <v>0</v>
      </c>
      <c r="AI348" s="2">
        <f ca="1">IF(AH348&gt;0,YEAR(TODAY())+'תקציבים מיוחדים'!$F$7-HEVARIM[[#This Row],[גיל]],0)</f>
        <v>0</v>
      </c>
      <c r="AJ348" s="9">
        <f>IF(AND(ISERROR(VLOOKUP(H348,'[2]ריכוז נתונים'!A:L,1,0)),P348="1     "),1,0)</f>
        <v>0</v>
      </c>
      <c r="AK348" s="1">
        <f>IF(VALUE(HEVARIM[[#This Row],[קוד מעמד]])=1,VLOOKUP((IF(LEFT(HEVARIM[[#This Row],[קוד חבר]],1)="0",HEVARIM[[#This Row],[קוד חבר]],VALUE(HEVARIM[[#This Row],[קוד חבר]]))),'ותק חברה 40'!AQ:AW,7,0),"")</f>
        <v>45.5</v>
      </c>
      <c r="AL348" s="1">
        <f>IF(AND(VALUE(HEVARIM[[#This Row],[קוד מעמד]])=1,HEVARIM[[#This Row],[ותק מחברה 40]]&lt;25),HEVARIM[[#This Row],[ותק מחברה 40]]/25*הנחות!$C$4,0)</f>
        <v>0</v>
      </c>
      <c r="AM348" s="9" t="str">
        <f ca="1">IF(HEVARIM[[#This Row],[דמי עזיבה 25 שנות ותק]]&gt;0,YEAR(TODAY())+25-ROUNDDOWN(HEVARIM[[#This Row],[ותק מחברה 40]],0),"")</f>
        <v/>
      </c>
      <c r="AN34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8" s="9" t="str">
        <f ca="1">IF(HEVARIM[[#This Row],[דמי עזיבה לגיל 65]]&gt;0,YEAR(TODAY())+64-ROUNDDOWN(HEVARIM[[#This Row],[גיל]],0),"")</f>
        <v/>
      </c>
      <c r="AP348" s="1">
        <f>SUMIF(HEVARIM[קוד תקציב],HEVARIM[[#This Row],[קוד תקציב משפחה מקורי]],HEVARIM[ותק מחברה 40])</f>
        <v>92.97</v>
      </c>
      <c r="AQ3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48" s="9">
        <f>IF(HEVARIM[[#This Row],[קוד מעמד]]="1     ",IFERROR(VLOOKUP(HEVARIM[[#This Row],[קוד תקציב]],'תקציב צביעה - לקראת השינוי'!A:F,4,0),0),0)</f>
        <v>2032</v>
      </c>
      <c r="AT348" s="1"/>
    </row>
    <row r="349" spans="1:46">
      <c r="A349" t="s">
        <v>1747</v>
      </c>
      <c r="B349" t="s">
        <v>1748</v>
      </c>
      <c r="C349" t="s">
        <v>1742</v>
      </c>
      <c r="D349" t="s">
        <v>1749</v>
      </c>
      <c r="E349" t="s">
        <v>79</v>
      </c>
      <c r="F349" s="4">
        <v>15685</v>
      </c>
      <c r="G349">
        <v>83</v>
      </c>
      <c r="H349" t="s">
        <v>1744</v>
      </c>
      <c r="I349" t="s">
        <v>1745</v>
      </c>
      <c r="J349" s="4" t="s">
        <v>70</v>
      </c>
      <c r="K349" s="4" t="s">
        <v>71</v>
      </c>
      <c r="L349" t="s">
        <v>1750</v>
      </c>
      <c r="M349" t="s">
        <v>1740</v>
      </c>
      <c r="N349" t="s">
        <v>1741</v>
      </c>
      <c r="O349">
        <f>IFERROR(VLOOKUP(HEVARIM[[#This Row],[קוד תקציב]],[2]תקציבים!A:L,6,0),0)</f>
        <v>2</v>
      </c>
      <c r="P349" s="5" t="s">
        <v>104</v>
      </c>
      <c r="Q349" t="s">
        <v>11</v>
      </c>
      <c r="R349" s="4">
        <v>24107</v>
      </c>
      <c r="S349" s="4" t="s">
        <v>74</v>
      </c>
      <c r="T349" s="96" t="s">
        <v>1744</v>
      </c>
      <c r="U349" t="str">
        <f>VLOOKUP(HEVARIM[[#This Row],[גיל]],GIL,2,1)</f>
        <v>--</v>
      </c>
      <c r="V349" t="str">
        <f>IF(HEVARIM[[#This Row],[קוד מעמד]]="4     ",IF(HEVARIM[[#This Row],[גיל]]=1,1,IF(HEVARIM[[#This Row],[גיל]]&lt;=5,5,18)),"")</f>
        <v/>
      </c>
      <c r="W349">
        <f t="shared" si="20"/>
        <v>2567</v>
      </c>
      <c r="X34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49">
        <f>IF(HEVARIM[[#This Row],[מצב משפחתי2]]="אלמן",'[2]ריכוז נתונים'!$AC$2,0)</f>
        <v>0</v>
      </c>
      <c r="Z349" s="3">
        <f>VLOOKUP(VALUE(HEVARIM[[#This Row],[קוד מעמד]]),הנחות!$I$2:$K$21,3,0)</f>
        <v>0</v>
      </c>
      <c r="AA349" t="b">
        <f>ISERROR(VLOOKUP(HEVARIM[[#This Row],[קוד תקציב]],'[2]ריכוז נתונים'!A:A,1,0))</f>
        <v>0</v>
      </c>
      <c r="AB349" s="1">
        <f t="shared" si="21"/>
        <v>0</v>
      </c>
      <c r="AC349" s="2">
        <f ca="1">IF(HEVARIM[[#This Row],[בר מצוה]]&gt;0,YEAR(TODAY())+'תקציבים מיוחדים'!$F$5-HEVARIM[[#This Row],[גיל]],0)</f>
        <v>0</v>
      </c>
      <c r="AD349" s="1">
        <f t="shared" si="22"/>
        <v>0</v>
      </c>
      <c r="AE349" s="2">
        <f ca="1">IF(HEVARIM[[#This Row],[בת מצוה]]&gt;0,YEAR(TODAY())+'תקציבים מיוחדים'!$F$5-HEVARIM[[#This Row],[גיל]],0)</f>
        <v>0</v>
      </c>
      <c r="AF349" s="1">
        <f>IF(AND($S349&gt;="רווק",$Z349=1),AF$4*IF(HEVARIM[[#This Row],[גיל]]&gt;$AF$3,1,(($G349-AF$2)/(AF$3-AF$2))),0)</f>
        <v>0</v>
      </c>
      <c r="AG34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49" s="1">
        <f t="shared" si="23"/>
        <v>0</v>
      </c>
      <c r="AI349" s="2">
        <f ca="1">IF(AH349&gt;0,YEAR(TODAY())+'תקציבים מיוחדים'!$F$7-HEVARIM[[#This Row],[גיל]],0)</f>
        <v>0</v>
      </c>
      <c r="AJ349" s="9">
        <f>IF(AND(ISERROR(VLOOKUP(H349,'[2]ריכוז נתונים'!A:L,1,0)),P349="1     "),1,0)</f>
        <v>0</v>
      </c>
      <c r="AK349" s="1">
        <f>IF(VALUE(HEVARIM[[#This Row],[קוד מעמד]])=1,VLOOKUP((IF(LEFT(HEVARIM[[#This Row],[קוד חבר]],1)="0",HEVARIM[[#This Row],[קוד חבר]],VALUE(HEVARIM[[#This Row],[קוד חבר]]))),'ותק חברה 40'!AQ:AW,7,0),"")</f>
        <v>47.47</v>
      </c>
      <c r="AL349" s="1">
        <f>IF(AND(VALUE(HEVARIM[[#This Row],[קוד מעמד]])=1,HEVARIM[[#This Row],[ותק מחברה 40]]&lt;25),HEVARIM[[#This Row],[ותק מחברה 40]]/25*הנחות!$C$4,0)</f>
        <v>0</v>
      </c>
      <c r="AM349" s="9" t="str">
        <f ca="1">IF(HEVARIM[[#This Row],[דמי עזיבה 25 שנות ותק]]&gt;0,YEAR(TODAY())+25-ROUNDDOWN(HEVARIM[[#This Row],[ותק מחברה 40]],0),"")</f>
        <v/>
      </c>
      <c r="AN34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49" s="9" t="str">
        <f ca="1">IF(HEVARIM[[#This Row],[דמי עזיבה לגיל 65]]&gt;0,YEAR(TODAY())+64-ROUNDDOWN(HEVARIM[[#This Row],[גיל]],0),"")</f>
        <v/>
      </c>
      <c r="AP349" s="1">
        <f>SUMIF(HEVARIM[קוד תקציב],HEVARIM[[#This Row],[קוד תקציב משפחה מקורי]],HEVARIM[ותק מחברה 40])</f>
        <v>92.97</v>
      </c>
      <c r="AQ3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49" s="9">
        <f>IF(HEVARIM[[#This Row],[קוד מעמד]]="1     ",IFERROR(VLOOKUP(HEVARIM[[#This Row],[קוד תקציב]],'תקציב צביעה - לקראת השינוי'!A:F,4,0),0),0)</f>
        <v>2032</v>
      </c>
      <c r="AT349" s="1"/>
    </row>
    <row r="350" spans="1:46">
      <c r="A350" t="s">
        <v>1921</v>
      </c>
      <c r="B350" t="s">
        <v>1922</v>
      </c>
      <c r="C350" t="s">
        <v>1923</v>
      </c>
      <c r="D350" t="s">
        <v>1924</v>
      </c>
      <c r="E350" t="s">
        <v>79</v>
      </c>
      <c r="F350" s="4">
        <v>28474</v>
      </c>
      <c r="G350">
        <v>48</v>
      </c>
      <c r="H350" t="s">
        <v>1925</v>
      </c>
      <c r="I350" t="s">
        <v>1922</v>
      </c>
      <c r="J350" s="4" t="s">
        <v>70</v>
      </c>
      <c r="K350" s="4" t="s">
        <v>71</v>
      </c>
      <c r="L350" t="s">
        <v>1926</v>
      </c>
      <c r="M350" t="s">
        <v>1921</v>
      </c>
      <c r="N350" t="s">
        <v>1922</v>
      </c>
      <c r="O350">
        <f>IFERROR(VLOOKUP(HEVARIM[[#This Row],[קוד תקציב]],[2]תקציבים!A:L,6,0),0)</f>
        <v>1</v>
      </c>
      <c r="P350" s="5" t="s">
        <v>104</v>
      </c>
      <c r="Q350" t="s">
        <v>11</v>
      </c>
      <c r="R350" s="4">
        <v>37488</v>
      </c>
      <c r="S350" s="4" t="s">
        <v>90</v>
      </c>
      <c r="T350" s="96" t="s">
        <v>1744</v>
      </c>
      <c r="U350" t="str">
        <f>VLOOKUP(HEVARIM[[#This Row],[גיל]],GIL,2,1)</f>
        <v>--</v>
      </c>
      <c r="V350" t="str">
        <f>IF(HEVARIM[[#This Row],[קוד מעמד]]="4     ",IF(HEVARIM[[#This Row],[גיל]]=1,1,IF(HEVARIM[[#This Row],[גיל]]&lt;=5,5,18)),"")</f>
        <v/>
      </c>
      <c r="W350">
        <f t="shared" si="20"/>
        <v>0</v>
      </c>
      <c r="X3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0">
        <f>IF(HEVARIM[[#This Row],[מצב משפחתי2]]="אלמן",'[2]ריכוז נתונים'!$AC$2,0)</f>
        <v>0</v>
      </c>
      <c r="Z350" s="3">
        <f>VLOOKUP(VALUE(HEVARIM[[#This Row],[קוד מעמד]]),הנחות!$I$2:$K$21,3,0)</f>
        <v>0</v>
      </c>
      <c r="AA350" t="b">
        <f>ISERROR(VLOOKUP(HEVARIM[[#This Row],[קוד תקציב]],'[2]ריכוז נתונים'!A:A,1,0))</f>
        <v>0</v>
      </c>
      <c r="AB350" s="1">
        <f t="shared" si="21"/>
        <v>0</v>
      </c>
      <c r="AC350" s="2">
        <f ca="1">IF(HEVARIM[[#This Row],[בר מצוה]]&gt;0,YEAR(TODAY())+'תקציבים מיוחדים'!$F$5-HEVARIM[[#This Row],[גיל]],0)</f>
        <v>0</v>
      </c>
      <c r="AD350" s="1">
        <f t="shared" si="22"/>
        <v>0</v>
      </c>
      <c r="AE350" s="2">
        <f ca="1">IF(HEVARIM[[#This Row],[בת מצוה]]&gt;0,YEAR(TODAY())+'תקציבים מיוחדים'!$F$5-HEVARIM[[#This Row],[גיל]],0)</f>
        <v>0</v>
      </c>
      <c r="AF350" s="1">
        <f>IF(AND($S350&gt;="רווק",$Z350=1),AF$4*IF(HEVARIM[[#This Row],[גיל]]&gt;$AF$3,1,(($G350-AF$2)/(AF$3-AF$2))),0)</f>
        <v>0</v>
      </c>
      <c r="AG35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50" s="1">
        <f t="shared" si="23"/>
        <v>0</v>
      </c>
      <c r="AI350" s="2">
        <f ca="1">IF(AH350&gt;0,YEAR(TODAY())+'תקציבים מיוחדים'!$F$7-HEVARIM[[#This Row],[גיל]],0)</f>
        <v>0</v>
      </c>
      <c r="AJ350" s="9">
        <f>IF(AND(ISERROR(VLOOKUP(H350,'[2]ריכוז נתונים'!A:L,1,0)),P350="1     "),1,0)</f>
        <v>0</v>
      </c>
      <c r="AK350" s="1">
        <f>IF(VALUE(HEVARIM[[#This Row],[קוד מעמד]])=1,VLOOKUP((IF(LEFT(HEVARIM[[#This Row],[קוד חבר]],1)="0",HEVARIM[[#This Row],[קוד חבר]],VALUE(HEVARIM[[#This Row],[קוד חבר]]))),'ותק חברה 40'!AQ:AW,7,0),"")</f>
        <v>25.56</v>
      </c>
      <c r="AL350" s="1">
        <f>IF(AND(VALUE(HEVARIM[[#This Row],[קוד מעמד]])=1,HEVARIM[[#This Row],[ותק מחברה 40]]&lt;25),HEVARIM[[#This Row],[ותק מחברה 40]]/25*הנחות!$C$4,0)</f>
        <v>0</v>
      </c>
      <c r="AM350" s="9" t="str">
        <f ca="1">IF(HEVARIM[[#This Row],[דמי עזיבה 25 שנות ותק]]&gt;0,YEAR(TODAY())+25-ROUNDDOWN(HEVARIM[[#This Row],[ותק מחברה 40]],0),"")</f>
        <v/>
      </c>
      <c r="AN350" s="1">
        <f>IF(AND(VALUE(HEVARIM[[#This Row],[קוד מעמד]])=1,HEVARIM[[#This Row],[ותק מחברה 40]]&gt;25,HEVARIM[[#This Row],[גיל]]&lt;65),הנחות!$C$14+(HEVARIM[[#This Row],[ותק מחברה 40]]-25)*הנחות!$C$10*0.25,0)</f>
        <v>28311.821999999996</v>
      </c>
      <c r="AO350" s="9">
        <f ca="1">IF(HEVARIM[[#This Row],[דמי עזיבה לגיל 65]]&gt;0,YEAR(TODAY())+64-ROUNDDOWN(HEVARIM[[#This Row],[גיל]],0),"")</f>
        <v>2042</v>
      </c>
      <c r="AP350" s="1">
        <f>SUMIF(HEVARIM[קוד תקציב],HEVARIM[[#This Row],[קוד תקציב משפחה מקורי]],HEVARIM[ותק מחברה 40])</f>
        <v>92.97</v>
      </c>
      <c r="AQ3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350" s="9">
        <f>IF(HEVARIM[[#This Row],[קוד מעמד]]="1     ",IFERROR(VLOOKUP(HEVARIM[[#This Row],[קוד תקציב]],'תקציב צביעה - לקראת השינוי'!A:F,4,0),0),0)</f>
        <v>2032</v>
      </c>
      <c r="AT350" s="1"/>
    </row>
    <row r="351" spans="1:46">
      <c r="A351" t="s">
        <v>1751</v>
      </c>
      <c r="B351" t="s">
        <v>1752</v>
      </c>
      <c r="C351" t="s">
        <v>1753</v>
      </c>
      <c r="D351" t="s">
        <v>1156</v>
      </c>
      <c r="E351" t="s">
        <v>79</v>
      </c>
      <c r="F351" s="4">
        <v>11209</v>
      </c>
      <c r="G351">
        <v>95</v>
      </c>
      <c r="H351" t="s">
        <v>1754</v>
      </c>
      <c r="I351" t="s">
        <v>1752</v>
      </c>
      <c r="J351" s="4" t="s">
        <v>70</v>
      </c>
      <c r="K351" s="4" t="s">
        <v>71</v>
      </c>
      <c r="L351" t="s">
        <v>1755</v>
      </c>
      <c r="M351" t="s">
        <v>1751</v>
      </c>
      <c r="N351" t="s">
        <v>1752</v>
      </c>
      <c r="O351">
        <f>IFERROR(VLOOKUP(HEVARIM[[#This Row],[קוד תקציב]],[2]תקציבים!A:L,6,0),0)</f>
        <v>1</v>
      </c>
      <c r="P351" s="5" t="s">
        <v>104</v>
      </c>
      <c r="Q351" t="s">
        <v>11</v>
      </c>
      <c r="R351" s="4">
        <v>24472</v>
      </c>
      <c r="S351" s="4" t="s">
        <v>449</v>
      </c>
      <c r="T351" s="96" t="s">
        <v>1754</v>
      </c>
      <c r="U351" t="str">
        <f>VLOOKUP(HEVARIM[[#This Row],[גיל]],GIL,2,1)</f>
        <v>--</v>
      </c>
      <c r="V351" t="str">
        <f>IF(HEVARIM[[#This Row],[קוד מעמד]]="4     ",IF(HEVARIM[[#This Row],[גיל]]=1,1,IF(HEVARIM[[#This Row],[גיל]]&lt;=5,5,18)),"")</f>
        <v/>
      </c>
      <c r="W351">
        <f t="shared" si="20"/>
        <v>1665</v>
      </c>
      <c r="X35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51">
        <f>IF(HEVARIM[[#This Row],[מצב משפחתי2]]="אלמן",'[2]ריכוז נתונים'!$AC$2,0)</f>
        <v>4900</v>
      </c>
      <c r="Z351" s="3">
        <f>VLOOKUP(VALUE(HEVARIM[[#This Row],[קוד מעמד]]),הנחות!$I$2:$K$21,3,0)</f>
        <v>0</v>
      </c>
      <c r="AA351" t="b">
        <f>ISERROR(VLOOKUP(HEVARIM[[#This Row],[קוד תקציב]],'[2]ריכוז נתונים'!A:A,1,0))</f>
        <v>0</v>
      </c>
      <c r="AB351" s="1">
        <f t="shared" si="21"/>
        <v>0</v>
      </c>
      <c r="AC351" s="2">
        <f ca="1">IF(HEVARIM[[#This Row],[בר מצוה]]&gt;0,YEAR(TODAY())+'תקציבים מיוחדים'!$F$5-HEVARIM[[#This Row],[גיל]],0)</f>
        <v>0</v>
      </c>
      <c r="AD351" s="1">
        <f t="shared" si="22"/>
        <v>0</v>
      </c>
      <c r="AE351" s="2">
        <f ca="1">IF(HEVARIM[[#This Row],[בת מצוה]]&gt;0,YEAR(TODAY())+'תקציבים מיוחדים'!$F$5-HEVARIM[[#This Row],[גיל]],0)</f>
        <v>0</v>
      </c>
      <c r="AF351" s="1">
        <f>IF(AND($S351&gt;="רווק",$Z351=1),AF$4*IF(HEVARIM[[#This Row],[גיל]]&gt;$AF$3,1,(($G351-AF$2)/(AF$3-AF$2))),0)</f>
        <v>0</v>
      </c>
      <c r="AG35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51" s="1">
        <f t="shared" si="23"/>
        <v>0</v>
      </c>
      <c r="AI351" s="2">
        <f ca="1">IF(AH351&gt;0,YEAR(TODAY())+'תקציבים מיוחדים'!$F$7-HEVARIM[[#This Row],[גיל]],0)</f>
        <v>0</v>
      </c>
      <c r="AJ351" s="9">
        <f>IF(AND(ISERROR(VLOOKUP(H351,'[2]ריכוז נתונים'!A:L,1,0)),P351="1     "),1,0)</f>
        <v>0</v>
      </c>
      <c r="AK351" s="1">
        <f>IF(VALUE(HEVARIM[[#This Row],[קוד מעמד]])=1,VLOOKUP((IF(LEFT(HEVARIM[[#This Row],[קוד חבר]],1)="0",HEVARIM[[#This Row],[קוד חבר]],VALUE(HEVARIM[[#This Row],[קוד חבר]]))),'ותק חברה 40'!AQ:AW,7,0),"")</f>
        <v>34.229999999999997</v>
      </c>
      <c r="AL351" s="1">
        <f>IF(AND(VALUE(HEVARIM[[#This Row],[קוד מעמד]])=1,HEVARIM[[#This Row],[ותק מחברה 40]]&lt;25),HEVARIM[[#This Row],[ותק מחברה 40]]/25*הנחות!$C$4,0)</f>
        <v>0</v>
      </c>
      <c r="AM351" s="9" t="str">
        <f ca="1">IF(HEVARIM[[#This Row],[דמי עזיבה 25 שנות ותק]]&gt;0,YEAR(TODAY())+25-ROUNDDOWN(HEVARIM[[#This Row],[ותק מחברה 40]],0),"")</f>
        <v/>
      </c>
      <c r="AN3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1" s="9" t="str">
        <f ca="1">IF(HEVARIM[[#This Row],[דמי עזיבה לגיל 65]]&gt;0,YEAR(TODAY())+64-ROUNDDOWN(HEVARIM[[#This Row],[גיל]],0),"")</f>
        <v/>
      </c>
      <c r="AP351" s="1">
        <f>SUMIF(HEVARIM[קוד תקציב],HEVARIM[[#This Row],[קוד תקציב משפחה מקורי]],HEVARIM[ותק מחברה 40])</f>
        <v>34.229999999999997</v>
      </c>
      <c r="AQ3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351" s="9">
        <f>IF(HEVARIM[[#This Row],[קוד מעמד]]="1     ",IFERROR(VLOOKUP(HEVARIM[[#This Row],[קוד תקציב]],'תקציב צביעה - לקראת השינוי'!A:F,4,0),0),0)</f>
        <v>2034</v>
      </c>
      <c r="AT351" s="1"/>
    </row>
    <row r="352" spans="1:46">
      <c r="A352" t="s">
        <v>1866</v>
      </c>
      <c r="B352" t="s">
        <v>1867</v>
      </c>
      <c r="C352" t="s">
        <v>1753</v>
      </c>
      <c r="D352" t="s">
        <v>826</v>
      </c>
      <c r="E352" t="s">
        <v>67</v>
      </c>
      <c r="F352" s="4">
        <v>24031</v>
      </c>
      <c r="G352">
        <v>60</v>
      </c>
      <c r="H352" t="s">
        <v>1868</v>
      </c>
      <c r="I352" t="s">
        <v>1869</v>
      </c>
      <c r="J352" s="4" t="s">
        <v>70</v>
      </c>
      <c r="K352" s="4" t="s">
        <v>71</v>
      </c>
      <c r="L352" t="s">
        <v>1870</v>
      </c>
      <c r="M352" t="s">
        <v>1866</v>
      </c>
      <c r="N352" t="s">
        <v>1867</v>
      </c>
      <c r="O352">
        <f>IFERROR(VLOOKUP(HEVARIM[[#This Row],[קוד תקציב]],[2]תקציבים!A:L,6,0),0)</f>
        <v>2</v>
      </c>
      <c r="P352" s="5" t="s">
        <v>104</v>
      </c>
      <c r="Q352" t="s">
        <v>11</v>
      </c>
      <c r="R352" s="4">
        <v>37851</v>
      </c>
      <c r="S352" s="4" t="s">
        <v>74</v>
      </c>
      <c r="T352" s="96" t="s">
        <v>1754</v>
      </c>
      <c r="U352" t="str">
        <f>VLOOKUP(HEVARIM[[#This Row],[גיל]],GIL,2,1)</f>
        <v>--</v>
      </c>
      <c r="V352" t="str">
        <f>IF(HEVARIM[[#This Row],[קוד מעמד]]="4     ",IF(HEVARIM[[#This Row],[גיל]]=1,1,IF(HEVARIM[[#This Row],[גיל]]&lt;=5,5,18)),"")</f>
        <v/>
      </c>
      <c r="W352">
        <f t="shared" si="20"/>
        <v>0</v>
      </c>
      <c r="X3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2">
        <f>IF(HEVARIM[[#This Row],[מצב משפחתי2]]="אלמן",'[2]ריכוז נתונים'!$AC$2,0)</f>
        <v>0</v>
      </c>
      <c r="Z352" s="3">
        <f>VLOOKUP(VALUE(HEVARIM[[#This Row],[קוד מעמד]]),הנחות!$I$2:$K$21,3,0)</f>
        <v>0</v>
      </c>
      <c r="AA352" t="b">
        <f>ISERROR(VLOOKUP(HEVARIM[[#This Row],[קוד תקציב]],'[2]ריכוז נתונים'!A:A,1,0))</f>
        <v>0</v>
      </c>
      <c r="AB352" s="1">
        <f t="shared" si="21"/>
        <v>0</v>
      </c>
      <c r="AC352" s="2">
        <f ca="1">IF(HEVARIM[[#This Row],[בר מצוה]]&gt;0,YEAR(TODAY())+'תקציבים מיוחדים'!$F$5-HEVARIM[[#This Row],[גיל]],0)</f>
        <v>0</v>
      </c>
      <c r="AD352" s="1">
        <f t="shared" si="22"/>
        <v>0</v>
      </c>
      <c r="AE352" s="2">
        <f ca="1">IF(HEVARIM[[#This Row],[בת מצוה]]&gt;0,YEAR(TODAY())+'תקציבים מיוחדים'!$F$5-HEVARIM[[#This Row],[גיל]],0)</f>
        <v>0</v>
      </c>
      <c r="AF352" s="1">
        <f>IF(AND($S352&gt;="רווק",$Z352=1),AF$4*IF(HEVARIM[[#This Row],[גיל]]&gt;$AF$3,1,(($G352-AF$2)/(AF$3-AF$2))),0)</f>
        <v>0</v>
      </c>
      <c r="AG35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52" s="1">
        <f t="shared" si="23"/>
        <v>0</v>
      </c>
      <c r="AI352" s="2">
        <f ca="1">IF(AH352&gt;0,YEAR(TODAY())+'תקציבים מיוחדים'!$F$7-HEVARIM[[#This Row],[גיל]],0)</f>
        <v>0</v>
      </c>
      <c r="AJ352" s="9">
        <f>IF(AND(ISERROR(VLOOKUP(H352,'[2]ריכוז נתונים'!A:L,1,0)),P352="1     "),1,0)</f>
        <v>0</v>
      </c>
      <c r="AK352" s="1">
        <f>IF(VALUE(HEVARIM[[#This Row],[קוד מעמד]])=1,VLOOKUP((IF(LEFT(HEVARIM[[#This Row],[קוד חבר]],1)="0",HEVARIM[[#This Row],[קוד חבר]],VALUE(HEVARIM[[#This Row],[קוד חבר]]))),'ותק חברה 40'!AQ:AW,7,0),"")</f>
        <v>39.909999999999997</v>
      </c>
      <c r="AL352" s="1">
        <f>IF(AND(VALUE(HEVARIM[[#This Row],[קוד מעמד]])=1,HEVARIM[[#This Row],[ותק מחברה 40]]&lt;25),HEVARIM[[#This Row],[ותק מחברה 40]]/25*הנחות!$C$4,0)</f>
        <v>0</v>
      </c>
      <c r="AM352" s="9" t="str">
        <f ca="1">IF(HEVARIM[[#This Row],[דמי עזיבה 25 שנות ותק]]&gt;0,YEAR(TODAY())+25-ROUNDDOWN(HEVARIM[[#This Row],[ותק מחברה 40]],0),"")</f>
        <v/>
      </c>
      <c r="AN352" s="1">
        <f>IF(AND(VALUE(HEVARIM[[#This Row],[קוד מעמד]])=1,HEVARIM[[#This Row],[ותק מחברה 40]]&gt;25,HEVARIM[[#This Row],[גיל]]&lt;65),הנחות!$C$14+(HEVARIM[[#This Row],[ותק מחברה 40]]-25)*הנחות!$C$10*0.25,0)</f>
        <v>66784.799812499987</v>
      </c>
      <c r="AO352" s="9">
        <f ca="1">IF(HEVARIM[[#This Row],[דמי עזיבה לגיל 65]]&gt;0,YEAR(TODAY())+64-ROUNDDOWN(HEVARIM[[#This Row],[גיל]],0),"")</f>
        <v>2030</v>
      </c>
      <c r="AP352" s="1">
        <f>SUMIF(HEVARIM[קוד תקציב],HEVARIM[[#This Row],[קוד תקציב משפחה מקורי]],HEVARIM[ותק מחברה 40])</f>
        <v>34.229999999999997</v>
      </c>
      <c r="AQ3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52" s="9">
        <f>IF(HEVARIM[[#This Row],[קוד מעמד]]="1     ",IFERROR(VLOOKUP(HEVARIM[[#This Row],[קוד תקציב]],'תקציב צביעה - לקראת השינוי'!A:F,4,0),0),0)</f>
        <v>2028</v>
      </c>
      <c r="AT352" s="1"/>
    </row>
    <row r="353" spans="1:46">
      <c r="A353" t="s">
        <v>1762</v>
      </c>
      <c r="B353" t="s">
        <v>1763</v>
      </c>
      <c r="C353" t="s">
        <v>1764</v>
      </c>
      <c r="D353" t="s">
        <v>1765</v>
      </c>
      <c r="E353" t="s">
        <v>67</v>
      </c>
      <c r="F353" s="4">
        <v>31768</v>
      </c>
      <c r="G353">
        <v>39</v>
      </c>
      <c r="H353" t="s">
        <v>1766</v>
      </c>
      <c r="I353" t="s">
        <v>1767</v>
      </c>
      <c r="J353" s="4" t="s">
        <v>70</v>
      </c>
      <c r="K353" s="4" t="s">
        <v>71</v>
      </c>
      <c r="L353" t="s">
        <v>1768</v>
      </c>
      <c r="M353" t="s">
        <v>1762</v>
      </c>
      <c r="N353" t="s">
        <v>1763</v>
      </c>
      <c r="O353">
        <f>IFERROR(VLOOKUP(HEVARIM[[#This Row],[קוד תקציב]],[2]תקציבים!A:L,6,0),0)</f>
        <v>2</v>
      </c>
      <c r="P353" s="5" t="s">
        <v>104</v>
      </c>
      <c r="Q353" t="s">
        <v>11</v>
      </c>
      <c r="R353" s="4">
        <v>43305</v>
      </c>
      <c r="S353" s="4" t="s">
        <v>74</v>
      </c>
      <c r="T353" s="96" t="s">
        <v>1766</v>
      </c>
      <c r="U353" t="str">
        <f>VLOOKUP(HEVARIM[[#This Row],[גיל]],GIL,2,1)</f>
        <v>--</v>
      </c>
      <c r="V353" t="str">
        <f>IF(HEVARIM[[#This Row],[קוד מעמד]]="4     ",IF(HEVARIM[[#This Row],[גיל]]=1,1,IF(HEVARIM[[#This Row],[גיל]]&lt;=5,5,18)),"")</f>
        <v/>
      </c>
      <c r="W353">
        <f t="shared" si="20"/>
        <v>0</v>
      </c>
      <c r="X3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3">
        <f>IF(HEVARIM[[#This Row],[מצב משפחתי2]]="אלמן",'[2]ריכוז נתונים'!$AC$2,0)</f>
        <v>0</v>
      </c>
      <c r="Z353" s="3">
        <f>VLOOKUP(VALUE(HEVARIM[[#This Row],[קוד מעמד]]),הנחות!$I$2:$K$21,3,0)</f>
        <v>0</v>
      </c>
      <c r="AA353" t="b">
        <f>ISERROR(VLOOKUP(HEVARIM[[#This Row],[קוד תקציב]],'[2]ריכוז נתונים'!A:A,1,0))</f>
        <v>0</v>
      </c>
      <c r="AB353" s="1">
        <f t="shared" si="21"/>
        <v>0</v>
      </c>
      <c r="AC353" s="2">
        <f ca="1">IF(HEVARIM[[#This Row],[בר מצוה]]&gt;0,YEAR(TODAY())+'תקציבים מיוחדים'!$F$5-HEVARIM[[#This Row],[גיל]],0)</f>
        <v>0</v>
      </c>
      <c r="AD353" s="1">
        <f t="shared" si="22"/>
        <v>0</v>
      </c>
      <c r="AE353" s="2">
        <f ca="1">IF(HEVARIM[[#This Row],[בת מצוה]]&gt;0,YEAR(TODAY())+'תקציבים מיוחדים'!$F$5-HEVARIM[[#This Row],[גיל]],0)</f>
        <v>0</v>
      </c>
      <c r="AF353" s="1">
        <f>IF(AND($S353&gt;="רווק",$Z353=1),AF$4*IF(HEVARIM[[#This Row],[גיל]]&gt;$AF$3,1,(($G353-AF$2)/(AF$3-AF$2))),0)</f>
        <v>0</v>
      </c>
      <c r="AG35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53" s="1">
        <f t="shared" si="23"/>
        <v>0</v>
      </c>
      <c r="AI353" s="2">
        <f ca="1">IF(AH353&gt;0,YEAR(TODAY())+'תקציבים מיוחדים'!$F$7-HEVARIM[[#This Row],[גיל]],0)</f>
        <v>0</v>
      </c>
      <c r="AJ353" s="9">
        <f>IF(AND(ISERROR(VLOOKUP(H353,'[2]ריכוז נתונים'!A:L,1,0)),P353="1     "),1,0)</f>
        <v>0</v>
      </c>
      <c r="AK353" s="1">
        <f>IF(VALUE(HEVARIM[[#This Row],[קוד מעמד]])=1,VLOOKUP((IF(LEFT(HEVARIM[[#This Row],[קוד חבר]],1)="0",HEVARIM[[#This Row],[קוד חבר]],VALUE(HEVARIM[[#This Row],[קוד חבר]]))),'ותק חברה 40'!AQ:AW,7,0),"")</f>
        <v>9.17</v>
      </c>
      <c r="AL353" s="1">
        <f>IF(AND(VALUE(HEVARIM[[#This Row],[קוד מעמד]])=1,HEVARIM[[#This Row],[ותק מחברה 40]]&lt;25),HEVARIM[[#This Row],[ותק מחברה 40]]/25*הנחות!$C$4,0)</f>
        <v>13767.695865</v>
      </c>
      <c r="AM353" s="9">
        <f ca="1">IF(HEVARIM[[#This Row],[דמי עזיבה 25 שנות ותק]]&gt;0,YEAR(TODAY())+25-ROUNDDOWN(HEVARIM[[#This Row],[ותק מחברה 40]],0),"")</f>
        <v>2042</v>
      </c>
      <c r="AN3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3" s="9" t="str">
        <f ca="1">IF(HEVARIM[[#This Row],[דמי עזיבה לגיל 65]]&gt;0,YEAR(TODAY())+64-ROUNDDOWN(HEVARIM[[#This Row],[גיל]],0),"")</f>
        <v/>
      </c>
      <c r="AP353" s="1">
        <f>SUMIF(HEVARIM[קוד תקציב],HEVARIM[[#This Row],[קוד תקציב משפחה מקורי]],HEVARIM[ותק מחברה 40])</f>
        <v>18.34</v>
      </c>
      <c r="AQ3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3" s="9">
        <f>IF(HEVARIM[[#This Row],[קוד מעמד]]="1     ",IFERROR(VLOOKUP(HEVARIM[[#This Row],[קוד תקציב]],'תקציב צביעה - לקראת השינוי'!A:F,4,0),0),0)</f>
        <v>0</v>
      </c>
      <c r="AT353" s="1"/>
    </row>
    <row r="354" spans="1:46">
      <c r="A354" t="s">
        <v>1773</v>
      </c>
      <c r="B354" t="s">
        <v>1774</v>
      </c>
      <c r="C354" t="s">
        <v>1764</v>
      </c>
      <c r="D354" t="s">
        <v>924</v>
      </c>
      <c r="E354" t="s">
        <v>79</v>
      </c>
      <c r="F354" s="4">
        <v>41469</v>
      </c>
      <c r="G354">
        <v>12</v>
      </c>
      <c r="H354" t="s">
        <v>1766</v>
      </c>
      <c r="I354" t="s">
        <v>1767</v>
      </c>
      <c r="J354" s="4" t="s">
        <v>70</v>
      </c>
      <c r="K354" s="4" t="s">
        <v>71</v>
      </c>
      <c r="L354" t="s">
        <v>1775</v>
      </c>
      <c r="M354" t="s">
        <v>1762</v>
      </c>
      <c r="N354" t="s">
        <v>1763</v>
      </c>
      <c r="O354">
        <f>IFERROR(VLOOKUP(HEVARIM[[#This Row],[קוד תקציב]],[2]תקציבים!A:L,6,0),0)</f>
        <v>2</v>
      </c>
      <c r="P354" s="5" t="s">
        <v>227</v>
      </c>
      <c r="Q354" t="s">
        <v>14</v>
      </c>
      <c r="R354" s="4">
        <v>42552</v>
      </c>
      <c r="S354" s="4" t="s">
        <v>90</v>
      </c>
      <c r="T354" s="96" t="s">
        <v>1766</v>
      </c>
      <c r="U354" t="str">
        <f>VLOOKUP(HEVARIM[[#This Row],[גיל]],GIL,2,1)</f>
        <v>יסודי</v>
      </c>
      <c r="V354">
        <f>IF(HEVARIM[[#This Row],[קוד מעמד]]="4     ",IF(HEVARIM[[#This Row],[גיל]]=1,1,IF(HEVARIM[[#This Row],[גיל]]&lt;=5,5,18)),"")</f>
        <v>18</v>
      </c>
      <c r="W354">
        <f t="shared" si="20"/>
        <v>0</v>
      </c>
      <c r="X3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4">
        <f>IF(HEVARIM[[#This Row],[מצב משפחתי2]]="אלמן",'[2]ריכוז נתונים'!$AC$2,0)</f>
        <v>0</v>
      </c>
      <c r="Z354" s="3">
        <f>VLOOKUP(VALUE(HEVARIM[[#This Row],[קוד מעמד]]),הנחות!$I$2:$K$21,3,0)</f>
        <v>1</v>
      </c>
      <c r="AA354" t="b">
        <f>ISERROR(VLOOKUP(HEVARIM[[#This Row],[קוד תקציב]],'[2]ריכוז נתונים'!A:A,1,0))</f>
        <v>0</v>
      </c>
      <c r="AB354" s="1">
        <f t="shared" si="21"/>
        <v>0</v>
      </c>
      <c r="AC354" s="2">
        <f ca="1">IF(HEVARIM[[#This Row],[בר מצוה]]&gt;0,YEAR(TODAY())+'תקציבים מיוחדים'!$F$5-HEVARIM[[#This Row],[גיל]],0)</f>
        <v>0</v>
      </c>
      <c r="AD354" s="1">
        <f t="shared" si="22"/>
        <v>6613.8461538461543</v>
      </c>
      <c r="AE354" s="2">
        <f ca="1">IF(HEVARIM[[#This Row],[בת מצוה]]&gt;0,YEAR(TODAY())+'תקציבים מיוחדים'!$F$5-HEVARIM[[#This Row],[גיל]],0)</f>
        <v>2027</v>
      </c>
      <c r="AF354" s="1">
        <f>IF(AND($S354&gt;="רווק",$Z354=1),AF$4*IF(HEVARIM[[#This Row],[גיל]]&gt;$AF$3,1,(($G354-AF$2)/(AF$3-AF$2))),0)</f>
        <v>34578.571428571428</v>
      </c>
      <c r="AG354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354" s="1">
        <f t="shared" si="23"/>
        <v>60336.28571428571</v>
      </c>
      <c r="AI354" s="2">
        <f ca="1">IF(AH354&gt;0,YEAR(TODAY())+'תקציבים מיוחדים'!$F$7-HEVARIM[[#This Row],[גיל]],0)</f>
        <v>2035</v>
      </c>
      <c r="AJ354" s="9">
        <f>IF(AND(ISERROR(VLOOKUP(H354,'[2]ריכוז נתונים'!A:L,1,0)),P354="1     "),1,0)</f>
        <v>0</v>
      </c>
      <c r="AK35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54" s="1">
        <f>IF(AND(VALUE(HEVARIM[[#This Row],[קוד מעמד]])=1,HEVARIM[[#This Row],[ותק מחברה 40]]&lt;25),HEVARIM[[#This Row],[ותק מחברה 40]]/25*הנחות!$C$4,0)</f>
        <v>0</v>
      </c>
      <c r="AM354" s="9" t="str">
        <f ca="1">IF(HEVARIM[[#This Row],[דמי עזיבה 25 שנות ותק]]&gt;0,YEAR(TODAY())+25-ROUNDDOWN(HEVARIM[[#This Row],[ותק מחברה 40]],0),"")</f>
        <v/>
      </c>
      <c r="AN3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4" s="9" t="str">
        <f ca="1">IF(HEVARIM[[#This Row],[דמי עזיבה לגיל 65]]&gt;0,YEAR(TODAY())+64-ROUNDDOWN(HEVARIM[[#This Row],[גיל]],0),"")</f>
        <v/>
      </c>
      <c r="AP354" s="1">
        <f>SUMIF(HEVARIM[קוד תקציב],HEVARIM[[#This Row],[קוד תקציב משפחה מקורי]],HEVARIM[ותק מחברה 40])</f>
        <v>18.34</v>
      </c>
      <c r="AQ3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4" s="9">
        <f>IF(HEVARIM[[#This Row],[קוד מעמד]]="1     ",IFERROR(VLOOKUP(HEVARIM[[#This Row],[קוד תקציב]],'תקציב צביעה - לקראת השינוי'!A:F,4,0),0),0)</f>
        <v>0</v>
      </c>
      <c r="AT354" s="1"/>
    </row>
    <row r="355" spans="1:46">
      <c r="A355" t="s">
        <v>1776</v>
      </c>
      <c r="B355" t="s">
        <v>1777</v>
      </c>
      <c r="C355" t="s">
        <v>1764</v>
      </c>
      <c r="D355" t="s">
        <v>1255</v>
      </c>
      <c r="E355" t="s">
        <v>67</v>
      </c>
      <c r="F355" s="4">
        <v>42326</v>
      </c>
      <c r="G355">
        <v>10</v>
      </c>
      <c r="H355" t="s">
        <v>1766</v>
      </c>
      <c r="I355" t="s">
        <v>1767</v>
      </c>
      <c r="J355" s="4" t="s">
        <v>70</v>
      </c>
      <c r="K355" s="4" t="s">
        <v>71</v>
      </c>
      <c r="L355" t="s">
        <v>1778</v>
      </c>
      <c r="M355" t="s">
        <v>1762</v>
      </c>
      <c r="N355" t="s">
        <v>1763</v>
      </c>
      <c r="O355">
        <f>IFERROR(VLOOKUP(HEVARIM[[#This Row],[קוד תקציב]],[2]תקציבים!A:L,6,0),0)</f>
        <v>2</v>
      </c>
      <c r="P355" s="5" t="s">
        <v>227</v>
      </c>
      <c r="Q355" t="s">
        <v>14</v>
      </c>
      <c r="R355" s="4">
        <v>42552</v>
      </c>
      <c r="S355" s="4" t="s">
        <v>90</v>
      </c>
      <c r="T355" s="96" t="s">
        <v>1766</v>
      </c>
      <c r="U355" t="str">
        <f>VLOOKUP(HEVARIM[[#This Row],[גיל]],GIL,2,1)</f>
        <v>יסודי</v>
      </c>
      <c r="V355">
        <f>IF(HEVARIM[[#This Row],[קוד מעמד]]="4     ",IF(HEVARIM[[#This Row],[גיל]]=1,1,IF(HEVARIM[[#This Row],[גיל]]&lt;=5,5,18)),"")</f>
        <v>18</v>
      </c>
      <c r="W355">
        <f t="shared" si="20"/>
        <v>0</v>
      </c>
      <c r="X3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5">
        <f>IF(HEVARIM[[#This Row],[מצב משפחתי2]]="אלמן",'[2]ריכוז נתונים'!$AC$2,0)</f>
        <v>0</v>
      </c>
      <c r="Z355" s="3">
        <f>VLOOKUP(VALUE(HEVARIM[[#This Row],[קוד מעמד]]),הנחות!$I$2:$K$21,3,0)</f>
        <v>1</v>
      </c>
      <c r="AA355" t="b">
        <f>ISERROR(VLOOKUP(HEVARIM[[#This Row],[קוד תקציב]],'[2]ריכוז נתונים'!A:A,1,0))</f>
        <v>0</v>
      </c>
      <c r="AB355" s="1">
        <f t="shared" si="21"/>
        <v>5511.5384615384619</v>
      </c>
      <c r="AC355" s="2">
        <f ca="1">IF(HEVARIM[[#This Row],[בר מצוה]]&gt;0,YEAR(TODAY())+'תקציבים מיוחדים'!$F$5-HEVARIM[[#This Row],[גיל]],0)</f>
        <v>2029</v>
      </c>
      <c r="AD355" s="1">
        <f t="shared" si="22"/>
        <v>0</v>
      </c>
      <c r="AE355" s="2">
        <f ca="1">IF(HEVARIM[[#This Row],[בת מצוה]]&gt;0,YEAR(TODAY())+'תקציבים מיוחדים'!$F$5-HEVARIM[[#This Row],[גיל]],0)</f>
        <v>0</v>
      </c>
      <c r="AF355" s="1">
        <f>IF(AND($S355&gt;="רווק",$Z355=1),AF$4*IF(HEVARIM[[#This Row],[גיל]]&gt;$AF$3,1,(($G355-AF$2)/(AF$3-AF$2))),0)</f>
        <v>28815.476190476187</v>
      </c>
      <c r="AG355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355" s="1">
        <f t="shared" si="23"/>
        <v>50280.238095238092</v>
      </c>
      <c r="AI355" s="2">
        <f ca="1">IF(AH355&gt;0,YEAR(TODAY())+'תקציבים מיוחדים'!$F$7-HEVARIM[[#This Row],[גיל]],0)</f>
        <v>2037</v>
      </c>
      <c r="AJ355" s="9">
        <f>IF(AND(ISERROR(VLOOKUP(H355,'[2]ריכוז נתונים'!A:L,1,0)),P355="1     "),1,0)</f>
        <v>0</v>
      </c>
      <c r="AK35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55" s="1">
        <f>IF(AND(VALUE(HEVARIM[[#This Row],[קוד מעמד]])=1,HEVARIM[[#This Row],[ותק מחברה 40]]&lt;25),HEVARIM[[#This Row],[ותק מחברה 40]]/25*הנחות!$C$4,0)</f>
        <v>0</v>
      </c>
      <c r="AM355" s="9" t="str">
        <f ca="1">IF(HEVARIM[[#This Row],[דמי עזיבה 25 שנות ותק]]&gt;0,YEAR(TODAY())+25-ROUNDDOWN(HEVARIM[[#This Row],[ותק מחברה 40]],0),"")</f>
        <v/>
      </c>
      <c r="AN3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5" s="9" t="str">
        <f ca="1">IF(HEVARIM[[#This Row],[דמי עזיבה לגיל 65]]&gt;0,YEAR(TODAY())+64-ROUNDDOWN(HEVARIM[[#This Row],[גיל]],0),"")</f>
        <v/>
      </c>
      <c r="AP355" s="1">
        <f>SUMIF(HEVARIM[קוד תקציב],HEVARIM[[#This Row],[קוד תקציב משפחה מקורי]],HEVARIM[ותק מחברה 40])</f>
        <v>18.34</v>
      </c>
      <c r="AQ3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5" s="9">
        <f>IF(HEVARIM[[#This Row],[קוד מעמד]]="1     ",IFERROR(VLOOKUP(HEVARIM[[#This Row],[קוד תקציב]],'תקציב צביעה - לקראת השינוי'!A:F,4,0),0),0)</f>
        <v>0</v>
      </c>
      <c r="AT355" s="1"/>
    </row>
    <row r="356" spans="1:46">
      <c r="A356" t="s">
        <v>1779</v>
      </c>
      <c r="B356" t="s">
        <v>1780</v>
      </c>
      <c r="C356" t="s">
        <v>1764</v>
      </c>
      <c r="D356" t="s">
        <v>817</v>
      </c>
      <c r="E356" t="s">
        <v>79</v>
      </c>
      <c r="F356" s="4">
        <v>43067</v>
      </c>
      <c r="G356">
        <v>8</v>
      </c>
      <c r="H356" t="s">
        <v>1766</v>
      </c>
      <c r="I356" t="s">
        <v>1767</v>
      </c>
      <c r="J356" s="4" t="s">
        <v>70</v>
      </c>
      <c r="K356" s="4" t="s">
        <v>71</v>
      </c>
      <c r="L356" t="s">
        <v>1781</v>
      </c>
      <c r="M356" t="s">
        <v>1762</v>
      </c>
      <c r="N356" t="s">
        <v>1763</v>
      </c>
      <c r="O356">
        <f>IFERROR(VLOOKUP(HEVARIM[[#This Row],[קוד תקציב]],[2]תקציבים!A:L,6,0),0)</f>
        <v>2</v>
      </c>
      <c r="P356" s="5" t="s">
        <v>227</v>
      </c>
      <c r="Q356" t="s">
        <v>14</v>
      </c>
      <c r="R356" s="4">
        <v>43067</v>
      </c>
      <c r="S356" s="4" t="s">
        <v>90</v>
      </c>
      <c r="T356" s="96" t="s">
        <v>1766</v>
      </c>
      <c r="U356" t="str">
        <f>VLOOKUP(HEVARIM[[#This Row],[גיל]],GIL,2,1)</f>
        <v>יסודי</v>
      </c>
      <c r="V356">
        <f>IF(HEVARIM[[#This Row],[קוד מעמד]]="4     ",IF(HEVARIM[[#This Row],[גיל]]=1,1,IF(HEVARIM[[#This Row],[גיל]]&lt;=5,5,18)),"")</f>
        <v>18</v>
      </c>
      <c r="W356">
        <f t="shared" si="20"/>
        <v>0</v>
      </c>
      <c r="X3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6">
        <f>IF(HEVARIM[[#This Row],[מצב משפחתי2]]="אלמן",'[2]ריכוז נתונים'!$AC$2,0)</f>
        <v>0</v>
      </c>
      <c r="Z356" s="3">
        <f>VLOOKUP(VALUE(HEVARIM[[#This Row],[קוד מעמד]]),הנחות!$I$2:$K$21,3,0)</f>
        <v>1</v>
      </c>
      <c r="AA356" t="b">
        <f>ISERROR(VLOOKUP(HEVARIM[[#This Row],[קוד תקציב]],'[2]ריכוז נתונים'!A:A,1,0))</f>
        <v>0</v>
      </c>
      <c r="AB356" s="1">
        <f t="shared" si="21"/>
        <v>0</v>
      </c>
      <c r="AC356" s="2">
        <f ca="1">IF(HEVARIM[[#This Row],[בר מצוה]]&gt;0,YEAR(TODAY())+'תקציבים מיוחדים'!$F$5-HEVARIM[[#This Row],[גיל]],0)</f>
        <v>0</v>
      </c>
      <c r="AD356" s="1">
        <f t="shared" si="22"/>
        <v>4409.2307692307695</v>
      </c>
      <c r="AE356" s="2">
        <f ca="1">IF(HEVARIM[[#This Row],[בת מצוה]]&gt;0,YEAR(TODAY())+'תקציבים מיוחדים'!$F$5-HEVARIM[[#This Row],[גיל]],0)</f>
        <v>2031</v>
      </c>
      <c r="AF356" s="1">
        <f>IF(AND($S356&gt;="רווק",$Z356=1),AF$4*IF(HEVARIM[[#This Row],[גיל]]&gt;$AF$3,1,(($G356-AF$2)/(AF$3-AF$2))),0)</f>
        <v>23052.38095238095</v>
      </c>
      <c r="AG356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356" s="1">
        <f t="shared" si="23"/>
        <v>40224.190476190473</v>
      </c>
      <c r="AI356" s="2">
        <f ca="1">IF(AH356&gt;0,YEAR(TODAY())+'תקציבים מיוחדים'!$F$7-HEVARIM[[#This Row],[גיל]],0)</f>
        <v>2039</v>
      </c>
      <c r="AJ356" s="9">
        <f>IF(AND(ISERROR(VLOOKUP(H356,'[2]ריכוז נתונים'!A:L,1,0)),P356="1     "),1,0)</f>
        <v>0</v>
      </c>
      <c r="AK3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56" s="1">
        <f>IF(AND(VALUE(HEVARIM[[#This Row],[קוד מעמד]])=1,HEVARIM[[#This Row],[ותק מחברה 40]]&lt;25),HEVARIM[[#This Row],[ותק מחברה 40]]/25*הנחות!$C$4,0)</f>
        <v>0</v>
      </c>
      <c r="AM356" s="9" t="str">
        <f ca="1">IF(HEVARIM[[#This Row],[דמי עזיבה 25 שנות ותק]]&gt;0,YEAR(TODAY())+25-ROUNDDOWN(HEVARIM[[#This Row],[ותק מחברה 40]],0),"")</f>
        <v/>
      </c>
      <c r="AN3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6" s="9" t="str">
        <f ca="1">IF(HEVARIM[[#This Row],[דמי עזיבה לגיל 65]]&gt;0,YEAR(TODAY())+64-ROUNDDOWN(HEVARIM[[#This Row],[גיל]],0),"")</f>
        <v/>
      </c>
      <c r="AP356" s="1">
        <f>SUMIF(HEVARIM[קוד תקציב],HEVARIM[[#This Row],[קוד תקציב משפחה מקורי]],HEVARIM[ותק מחברה 40])</f>
        <v>18.34</v>
      </c>
      <c r="AQ3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6" s="9">
        <f>IF(HEVARIM[[#This Row],[קוד מעמד]]="1     ",IFERROR(VLOOKUP(HEVARIM[[#This Row],[קוד תקציב]],'תקציב צביעה - לקראת השינוי'!A:F,4,0),0),0)</f>
        <v>0</v>
      </c>
      <c r="AT356" s="1"/>
    </row>
    <row r="357" spans="1:46">
      <c r="A357" t="s">
        <v>1782</v>
      </c>
      <c r="B357" t="s">
        <v>1783</v>
      </c>
      <c r="C357" t="s">
        <v>1764</v>
      </c>
      <c r="D357" t="s">
        <v>1425</v>
      </c>
      <c r="E357" t="s">
        <v>79</v>
      </c>
      <c r="F357" s="4">
        <v>44016</v>
      </c>
      <c r="G357">
        <v>5</v>
      </c>
      <c r="H357" t="s">
        <v>1766</v>
      </c>
      <c r="I357" t="s">
        <v>1767</v>
      </c>
      <c r="J357" s="4" t="s">
        <v>70</v>
      </c>
      <c r="K357" s="4" t="s">
        <v>71</v>
      </c>
      <c r="L357" t="s">
        <v>1784</v>
      </c>
      <c r="M357" t="s">
        <v>1762</v>
      </c>
      <c r="N357" t="s">
        <v>1763</v>
      </c>
      <c r="O357">
        <f>IFERROR(VLOOKUP(HEVARIM[[#This Row],[קוד תקציב]],[2]תקציבים!A:L,6,0),0)</f>
        <v>2</v>
      </c>
      <c r="P357" s="5" t="s">
        <v>227</v>
      </c>
      <c r="Q357" t="s">
        <v>14</v>
      </c>
      <c r="R357" s="4">
        <v>44016</v>
      </c>
      <c r="S357" s="4" t="s">
        <v>90</v>
      </c>
      <c r="T357" s="96" t="s">
        <v>1766</v>
      </c>
      <c r="U357" t="str">
        <f>VLOOKUP(HEVARIM[[#This Row],[גיל]],GIL,2,1)</f>
        <v>גנים</v>
      </c>
      <c r="V357">
        <f>IF(HEVARIM[[#This Row],[קוד מעמד]]="4     ",IF(HEVARIM[[#This Row],[גיל]]=1,1,IF(HEVARIM[[#This Row],[גיל]]&lt;=5,5,18)),"")</f>
        <v>5</v>
      </c>
      <c r="W357">
        <f t="shared" si="20"/>
        <v>0</v>
      </c>
      <c r="X3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7">
        <f>IF(HEVARIM[[#This Row],[מצב משפחתי2]]="אלמן",'[2]ריכוז נתונים'!$AC$2,0)</f>
        <v>0</v>
      </c>
      <c r="Z357" s="3">
        <f>VLOOKUP(VALUE(HEVARIM[[#This Row],[קוד מעמד]]),הנחות!$I$2:$K$21,3,0)</f>
        <v>1</v>
      </c>
      <c r="AA357" t="b">
        <f>ISERROR(VLOOKUP(HEVARIM[[#This Row],[קוד תקציב]],'[2]ריכוז נתונים'!A:A,1,0))</f>
        <v>0</v>
      </c>
      <c r="AB357" s="1">
        <f t="shared" si="21"/>
        <v>0</v>
      </c>
      <c r="AC357" s="2">
        <f ca="1">IF(HEVARIM[[#This Row],[בר מצוה]]&gt;0,YEAR(TODAY())+'תקציבים מיוחדים'!$F$5-HEVARIM[[#This Row],[גיל]],0)</f>
        <v>0</v>
      </c>
      <c r="AD357" s="1">
        <f t="shared" si="22"/>
        <v>2755.7692307692309</v>
      </c>
      <c r="AE357" s="2">
        <f ca="1">IF(HEVARIM[[#This Row],[בת מצוה]]&gt;0,YEAR(TODAY())+'תקציבים מיוחדים'!$F$5-HEVARIM[[#This Row],[גיל]],0)</f>
        <v>2034</v>
      </c>
      <c r="AF357" s="1">
        <f>IF(AND($S357&gt;="רווק",$Z357=1),AF$4*IF(HEVARIM[[#This Row],[גיל]]&gt;$AF$3,1,(($G357-AF$2)/(AF$3-AF$2))),0)</f>
        <v>14407.738095238094</v>
      </c>
      <c r="AG357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357" s="1">
        <f t="shared" si="23"/>
        <v>25140.119047619046</v>
      </c>
      <c r="AI357" s="2">
        <f ca="1">IF(AH357&gt;0,YEAR(TODAY())+'תקציבים מיוחדים'!$F$7-HEVARIM[[#This Row],[גיל]],0)</f>
        <v>2042</v>
      </c>
      <c r="AJ357" s="9">
        <f>IF(AND(ISERROR(VLOOKUP(H357,'[2]ריכוז נתונים'!A:L,1,0)),P357="1     "),1,0)</f>
        <v>0</v>
      </c>
      <c r="AK35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57" s="1">
        <f>IF(AND(VALUE(HEVARIM[[#This Row],[קוד מעמד]])=1,HEVARIM[[#This Row],[ותק מחברה 40]]&lt;25),HEVARIM[[#This Row],[ותק מחברה 40]]/25*הנחות!$C$4,0)</f>
        <v>0</v>
      </c>
      <c r="AM357" s="9" t="str">
        <f ca="1">IF(HEVARIM[[#This Row],[דמי עזיבה 25 שנות ותק]]&gt;0,YEAR(TODAY())+25-ROUNDDOWN(HEVARIM[[#This Row],[ותק מחברה 40]],0),"")</f>
        <v/>
      </c>
      <c r="AN3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7" s="9" t="str">
        <f ca="1">IF(HEVARIM[[#This Row],[דמי עזיבה לגיל 65]]&gt;0,YEAR(TODAY())+64-ROUNDDOWN(HEVARIM[[#This Row],[גיל]],0),"")</f>
        <v/>
      </c>
      <c r="AP357" s="1">
        <f>SUMIF(HEVARIM[קוד תקציב],HEVARIM[[#This Row],[קוד תקציב משפחה מקורי]],HEVARIM[ותק מחברה 40])</f>
        <v>18.34</v>
      </c>
      <c r="AQ3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7" s="9">
        <f>IF(HEVARIM[[#This Row],[קוד מעמד]]="1     ",IFERROR(VLOOKUP(HEVARIM[[#This Row],[קוד תקציב]],'תקציב צביעה - לקראת השינוי'!A:F,4,0),0),0)</f>
        <v>0</v>
      </c>
      <c r="AT357" s="1"/>
    </row>
    <row r="358" spans="1:46">
      <c r="A358" t="s">
        <v>1785</v>
      </c>
      <c r="B358" t="s">
        <v>1786</v>
      </c>
      <c r="C358" t="s">
        <v>1764</v>
      </c>
      <c r="D358" t="s">
        <v>462</v>
      </c>
      <c r="E358" t="s">
        <v>67</v>
      </c>
      <c r="F358" s="4">
        <v>45260</v>
      </c>
      <c r="G358">
        <v>2</v>
      </c>
      <c r="H358" t="s">
        <v>1766</v>
      </c>
      <c r="I358" t="s">
        <v>1767</v>
      </c>
      <c r="J358" s="4" t="s">
        <v>70</v>
      </c>
      <c r="K358" s="4" t="s">
        <v>71</v>
      </c>
      <c r="L358" t="s">
        <v>1787</v>
      </c>
      <c r="M358" t="s">
        <v>1762</v>
      </c>
      <c r="N358" t="s">
        <v>1763</v>
      </c>
      <c r="O358">
        <f>IFERROR(VLOOKUP(HEVARIM[[#This Row],[קוד תקציב]],[2]תקציבים!A:L,6,0),0)</f>
        <v>2</v>
      </c>
      <c r="P358" s="5" t="s">
        <v>227</v>
      </c>
      <c r="Q358" t="s">
        <v>14</v>
      </c>
      <c r="R358" s="4">
        <v>45260</v>
      </c>
      <c r="S358" s="4" t="s">
        <v>90</v>
      </c>
      <c r="T358" s="96" t="s">
        <v>1766</v>
      </c>
      <c r="U358" t="str">
        <f>VLOOKUP(HEVARIM[[#This Row],[גיל]],GIL,2,1)</f>
        <v>פעוט</v>
      </c>
      <c r="V358">
        <f>IF(HEVARIM[[#This Row],[קוד מעמד]]="4     ",IF(HEVARIM[[#This Row],[גיל]]=1,1,IF(HEVARIM[[#This Row],[גיל]]&lt;=5,5,18)),"")</f>
        <v>5</v>
      </c>
      <c r="W358">
        <f t="shared" si="20"/>
        <v>0</v>
      </c>
      <c r="X3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58">
        <f>IF(HEVARIM[[#This Row],[מצב משפחתי2]]="אלמן",'[2]ריכוז נתונים'!$AC$2,0)</f>
        <v>0</v>
      </c>
      <c r="Z358" s="3">
        <f>VLOOKUP(VALUE(HEVARIM[[#This Row],[קוד מעמד]]),הנחות!$I$2:$K$21,3,0)</f>
        <v>1</v>
      </c>
      <c r="AA358" t="b">
        <f>ISERROR(VLOOKUP(HEVARIM[[#This Row],[קוד תקציב]],'[2]ריכוז נתונים'!A:A,1,0))</f>
        <v>0</v>
      </c>
      <c r="AB358" s="1">
        <f t="shared" si="21"/>
        <v>1102.3076923076924</v>
      </c>
      <c r="AC358" s="2">
        <f ca="1">IF(HEVARIM[[#This Row],[בר מצוה]]&gt;0,YEAR(TODAY())+'תקציבים מיוחדים'!$F$5-HEVARIM[[#This Row],[גיל]],0)</f>
        <v>2037</v>
      </c>
      <c r="AD358" s="1">
        <f t="shared" si="22"/>
        <v>0</v>
      </c>
      <c r="AE358" s="2">
        <f ca="1">IF(HEVARIM[[#This Row],[בת מצוה]]&gt;0,YEAR(TODAY())+'תקציבים מיוחדים'!$F$5-HEVARIM[[#This Row],[גיל]],0)</f>
        <v>0</v>
      </c>
      <c r="AF358" s="1">
        <f>IF(AND($S358&gt;="רווק",$Z358=1),AF$4*IF(HEVARIM[[#This Row],[גיל]]&gt;$AF$3,1,(($G358-AF$2)/(AF$3-AF$2))),0)</f>
        <v>5763.0952380952376</v>
      </c>
      <c r="AG358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358" s="1">
        <f t="shared" si="23"/>
        <v>10056.047619047618</v>
      </c>
      <c r="AI358" s="2">
        <f ca="1">IF(AH358&gt;0,YEAR(TODAY())+'תקציבים מיוחדים'!$F$7-HEVARIM[[#This Row],[גיל]],0)</f>
        <v>2045</v>
      </c>
      <c r="AJ358" s="9">
        <f>IF(AND(ISERROR(VLOOKUP(H358,'[2]ריכוז נתונים'!A:L,1,0)),P358="1     "),1,0)</f>
        <v>0</v>
      </c>
      <c r="AK35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58" s="1">
        <f>IF(AND(VALUE(HEVARIM[[#This Row],[קוד מעמד]])=1,HEVARIM[[#This Row],[ותק מחברה 40]]&lt;25),HEVARIM[[#This Row],[ותק מחברה 40]]/25*הנחות!$C$4,0)</f>
        <v>0</v>
      </c>
      <c r="AM358" s="9" t="str">
        <f ca="1">IF(HEVARIM[[#This Row],[דמי עזיבה 25 שנות ותק]]&gt;0,YEAR(TODAY())+25-ROUNDDOWN(HEVARIM[[#This Row],[ותק מחברה 40]],0),"")</f>
        <v/>
      </c>
      <c r="AN35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8" s="9" t="str">
        <f ca="1">IF(HEVARIM[[#This Row],[דמי עזיבה לגיל 65]]&gt;0,YEAR(TODAY())+64-ROUNDDOWN(HEVARIM[[#This Row],[גיל]],0),"")</f>
        <v/>
      </c>
      <c r="AP358" s="1">
        <f>SUMIF(HEVARIM[קוד תקציב],HEVARIM[[#This Row],[קוד תקציב משפחה מקורי]],HEVARIM[ותק מחברה 40])</f>
        <v>18.34</v>
      </c>
      <c r="AQ3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58" s="9">
        <f>IF(HEVARIM[[#This Row],[קוד מעמד]]="1     ",IFERROR(VLOOKUP(HEVARIM[[#This Row],[קוד תקציב]],'תקציב צביעה - לקראת השינוי'!A:F,4,0),0),0)</f>
        <v>0</v>
      </c>
      <c r="AT358" s="1"/>
    </row>
    <row r="359" spans="1:46">
      <c r="A359" t="s">
        <v>1788</v>
      </c>
      <c r="B359" t="s">
        <v>1789</v>
      </c>
      <c r="C359" t="s">
        <v>1790</v>
      </c>
      <c r="D359" t="s">
        <v>1791</v>
      </c>
      <c r="E359" t="s">
        <v>67</v>
      </c>
      <c r="F359" s="4">
        <v>20384</v>
      </c>
      <c r="G359">
        <v>70</v>
      </c>
      <c r="H359" t="s">
        <v>1792</v>
      </c>
      <c r="I359" t="s">
        <v>1793</v>
      </c>
      <c r="J359" s="4" t="s">
        <v>70</v>
      </c>
      <c r="K359" s="4" t="s">
        <v>71</v>
      </c>
      <c r="L359" t="s">
        <v>1794</v>
      </c>
      <c r="M359" t="s">
        <v>1788</v>
      </c>
      <c r="N359" t="s">
        <v>1789</v>
      </c>
      <c r="O359">
        <f>IFERROR(VLOOKUP(HEVARIM[[#This Row],[קוד תקציב]],[2]תקציבים!A:L,6,0),0)</f>
        <v>2</v>
      </c>
      <c r="P359" s="5" t="s">
        <v>104</v>
      </c>
      <c r="Q359" t="s">
        <v>11</v>
      </c>
      <c r="R359" s="4">
        <v>27029</v>
      </c>
      <c r="S359" s="4" t="s">
        <v>74</v>
      </c>
      <c r="T359" s="96" t="s">
        <v>1792</v>
      </c>
      <c r="U359" t="str">
        <f>VLOOKUP(HEVARIM[[#This Row],[גיל]],GIL,2,1)</f>
        <v>--</v>
      </c>
      <c r="V359" t="str">
        <f>IF(HEVARIM[[#This Row],[קוד מעמד]]="4     ",IF(HEVARIM[[#This Row],[גיל]]=1,1,IF(HEVARIM[[#This Row],[גיל]]&lt;=5,5,18)),"")</f>
        <v/>
      </c>
      <c r="W359">
        <f t="shared" si="20"/>
        <v>2365</v>
      </c>
      <c r="X35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59">
        <f>IF(HEVARIM[[#This Row],[מצב משפחתי2]]="אלמן",'[2]ריכוז נתונים'!$AC$2,0)</f>
        <v>0</v>
      </c>
      <c r="Z359" s="3">
        <f>VLOOKUP(VALUE(HEVARIM[[#This Row],[קוד מעמד]]),הנחות!$I$2:$K$21,3,0)</f>
        <v>0</v>
      </c>
      <c r="AA359" t="b">
        <f>ISERROR(VLOOKUP(HEVARIM[[#This Row],[קוד תקציב]],'[2]ריכוז נתונים'!A:A,1,0))</f>
        <v>0</v>
      </c>
      <c r="AB359" s="1">
        <f t="shared" si="21"/>
        <v>0</v>
      </c>
      <c r="AC359" s="2">
        <f ca="1">IF(HEVARIM[[#This Row],[בר מצוה]]&gt;0,YEAR(TODAY())+'תקציבים מיוחדים'!$F$5-HEVARIM[[#This Row],[גיל]],0)</f>
        <v>0</v>
      </c>
      <c r="AD359" s="1">
        <f t="shared" si="22"/>
        <v>0</v>
      </c>
      <c r="AE359" s="2">
        <f ca="1">IF(HEVARIM[[#This Row],[בת מצוה]]&gt;0,YEAR(TODAY())+'תקציבים מיוחדים'!$F$5-HEVARIM[[#This Row],[גיל]],0)</f>
        <v>0</v>
      </c>
      <c r="AF359" s="1">
        <f>IF(AND($S359&gt;="רווק",$Z359=1),AF$4*IF(HEVARIM[[#This Row],[גיל]]&gt;$AF$3,1,(($G359-AF$2)/(AF$3-AF$2))),0)</f>
        <v>0</v>
      </c>
      <c r="AG35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59" s="1">
        <f t="shared" si="23"/>
        <v>0</v>
      </c>
      <c r="AI359" s="2">
        <f ca="1">IF(AH359&gt;0,YEAR(TODAY())+'תקציבים מיוחדים'!$F$7-HEVARIM[[#This Row],[גיל]],0)</f>
        <v>0</v>
      </c>
      <c r="AJ359" s="9">
        <f>IF(AND(ISERROR(VLOOKUP(H359,'[2]ריכוז נתונים'!A:L,1,0)),P359="1     "),1,0)</f>
        <v>0</v>
      </c>
      <c r="AK359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359" s="1">
        <f>IF(AND(VALUE(HEVARIM[[#This Row],[קוד מעמד]])=1,HEVARIM[[#This Row],[ותק מחברה 40]]&lt;25),HEVARIM[[#This Row],[ותק מחברה 40]]/25*הנחות!$C$4,0)</f>
        <v>0</v>
      </c>
      <c r="AM359" s="9" t="str">
        <f ca="1">IF(HEVARIM[[#This Row],[דמי עזיבה 25 שנות ותק]]&gt;0,YEAR(TODAY())+25-ROUNDDOWN(HEVARIM[[#This Row],[ותק מחברה 40]],0),"")</f>
        <v/>
      </c>
      <c r="AN3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59" s="9" t="str">
        <f ca="1">IF(HEVARIM[[#This Row],[דמי עזיבה לגיל 65]]&gt;0,YEAR(TODAY())+64-ROUNDDOWN(HEVARIM[[#This Row],[גיל]],0),"")</f>
        <v/>
      </c>
      <c r="AP359" s="1">
        <f>SUMIF(HEVARIM[קוד תקציב],HEVARIM[[#This Row],[קוד תקציב משפחה מקורי]],HEVARIM[ותק מחברה 40])</f>
        <v>92.78</v>
      </c>
      <c r="AQ3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359" s="9">
        <f>IF(HEVARIM[[#This Row],[קוד מעמד]]="1     ",IFERROR(VLOOKUP(HEVARIM[[#This Row],[קוד תקציב]],'תקציב צביעה - לקראת השינוי'!A:F,4,0),0),0)</f>
        <v>2029</v>
      </c>
      <c r="AT359" s="1"/>
    </row>
    <row r="360" spans="1:46">
      <c r="A360" t="s">
        <v>1798</v>
      </c>
      <c r="B360" t="s">
        <v>1799</v>
      </c>
      <c r="C360" t="s">
        <v>1790</v>
      </c>
      <c r="D360" t="s">
        <v>1800</v>
      </c>
      <c r="E360" t="s">
        <v>67</v>
      </c>
      <c r="F360" s="4">
        <v>39483</v>
      </c>
      <c r="G360">
        <v>17</v>
      </c>
      <c r="H360" t="s">
        <v>1792</v>
      </c>
      <c r="I360" t="s">
        <v>1793</v>
      </c>
      <c r="J360" s="4" t="s">
        <v>70</v>
      </c>
      <c r="K360" s="4" t="s">
        <v>71</v>
      </c>
      <c r="L360" t="s">
        <v>1801</v>
      </c>
      <c r="M360" t="s">
        <v>1788</v>
      </c>
      <c r="N360" t="s">
        <v>1789</v>
      </c>
      <c r="O360">
        <f>IFERROR(VLOOKUP(HEVARIM[[#This Row],[קוד תקציב]],[2]תקציבים!A:L,6,0),0)</f>
        <v>2</v>
      </c>
      <c r="P360" s="5" t="s">
        <v>227</v>
      </c>
      <c r="Q360" t="s">
        <v>14</v>
      </c>
      <c r="R360" s="4">
        <v>39483</v>
      </c>
      <c r="S360" s="4" t="s">
        <v>90</v>
      </c>
      <c r="T360" s="96" t="s">
        <v>1792</v>
      </c>
      <c r="U360" t="str">
        <f>VLOOKUP(HEVARIM[[#This Row],[גיל]],GIL,2,1)</f>
        <v>תיכון</v>
      </c>
      <c r="V360">
        <f>IF(HEVARIM[[#This Row],[קוד מעמד]]="4     ",IF(HEVARIM[[#This Row],[גיל]]=1,1,IF(HEVARIM[[#This Row],[גיל]]&lt;=5,5,18)),"")</f>
        <v>18</v>
      </c>
      <c r="W360">
        <f t="shared" si="20"/>
        <v>0</v>
      </c>
      <c r="X3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0">
        <f>IF(HEVARIM[[#This Row],[מצב משפחתי2]]="אלמן",'[2]ריכוז נתונים'!$AC$2,0)</f>
        <v>0</v>
      </c>
      <c r="Z360" s="3">
        <f>VLOOKUP(VALUE(HEVARIM[[#This Row],[קוד מעמד]]),הנחות!$I$2:$K$21,3,0)</f>
        <v>1</v>
      </c>
      <c r="AA360" t="b">
        <f>ISERROR(VLOOKUP(HEVARIM[[#This Row],[קוד תקציב]],'[2]ריכוז נתונים'!A:A,1,0))</f>
        <v>0</v>
      </c>
      <c r="AB360" s="1">
        <f t="shared" si="21"/>
        <v>0</v>
      </c>
      <c r="AC360" s="2">
        <f ca="1">IF(HEVARIM[[#This Row],[בר מצוה]]&gt;0,YEAR(TODAY())+'תקציבים מיוחדים'!$F$5-HEVARIM[[#This Row],[גיל]],0)</f>
        <v>0</v>
      </c>
      <c r="AD360" s="1">
        <f t="shared" si="22"/>
        <v>0</v>
      </c>
      <c r="AE360" s="2">
        <f ca="1">IF(HEVARIM[[#This Row],[בת מצוה]]&gt;0,YEAR(TODAY())+'תקציבים מיוחדים'!$F$5-HEVARIM[[#This Row],[גיל]],0)</f>
        <v>0</v>
      </c>
      <c r="AF360" s="1">
        <f>IF(AND($S360&gt;="רווק",$Z360=1),AF$4*IF(HEVARIM[[#This Row],[גיל]]&gt;$AF$3,1,(($G360-AF$2)/(AF$3-AF$2))),0)</f>
        <v>48986.309523809527</v>
      </c>
      <c r="AG360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360" s="1">
        <f t="shared" si="23"/>
        <v>85476.404761904763</v>
      </c>
      <c r="AI360" s="2">
        <f ca="1">IF(AH360&gt;0,YEAR(TODAY())+'תקציבים מיוחדים'!$F$7-HEVARIM[[#This Row],[גיל]],0)</f>
        <v>2030</v>
      </c>
      <c r="AJ360" s="9">
        <f>IF(AND(ISERROR(VLOOKUP(H360,'[2]ריכוז נתונים'!A:L,1,0)),P360="1     "),1,0)</f>
        <v>0</v>
      </c>
      <c r="AK3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60" s="1">
        <f>IF(AND(VALUE(HEVARIM[[#This Row],[קוד מעמד]])=1,HEVARIM[[#This Row],[ותק מחברה 40]]&lt;25),HEVARIM[[#This Row],[ותק מחברה 40]]/25*הנחות!$C$4,0)</f>
        <v>0</v>
      </c>
      <c r="AM360" s="9" t="str">
        <f ca="1">IF(HEVARIM[[#This Row],[דמי עזיבה 25 שנות ותק]]&gt;0,YEAR(TODAY())+25-ROUNDDOWN(HEVARIM[[#This Row],[ותק מחברה 40]],0),"")</f>
        <v/>
      </c>
      <c r="AN3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0" s="9" t="str">
        <f ca="1">IF(HEVARIM[[#This Row],[דמי עזיבה לגיל 65]]&gt;0,YEAR(TODAY())+64-ROUNDDOWN(HEVARIM[[#This Row],[גיל]],0),"")</f>
        <v/>
      </c>
      <c r="AP360" s="1">
        <f>SUMIF(HEVARIM[קוד תקציב],HEVARIM[[#This Row],[קוד תקציב משפחה מקורי]],HEVARIM[ותק מחברה 40])</f>
        <v>92.78</v>
      </c>
      <c r="AQ3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60" s="9">
        <f>IF(HEVARIM[[#This Row],[קוד מעמד]]="1     ",IFERROR(VLOOKUP(HEVARIM[[#This Row],[קוד תקציב]],'תקציב צביעה - לקראת השינוי'!A:F,4,0),0),0)</f>
        <v>0</v>
      </c>
      <c r="AT360" s="1"/>
    </row>
    <row r="361" spans="1:46">
      <c r="A361" t="s">
        <v>1802</v>
      </c>
      <c r="B361" t="s">
        <v>1803</v>
      </c>
      <c r="C361" t="s">
        <v>1790</v>
      </c>
      <c r="D361" t="s">
        <v>1804</v>
      </c>
      <c r="E361" t="s">
        <v>79</v>
      </c>
      <c r="F361" s="4">
        <v>40352</v>
      </c>
      <c r="G361">
        <v>15</v>
      </c>
      <c r="H361" t="s">
        <v>1792</v>
      </c>
      <c r="I361" t="s">
        <v>1793</v>
      </c>
      <c r="J361" s="4" t="s">
        <v>70</v>
      </c>
      <c r="K361" s="4" t="s">
        <v>71</v>
      </c>
      <c r="L361" t="s">
        <v>1805</v>
      </c>
      <c r="M361" t="s">
        <v>1788</v>
      </c>
      <c r="N361" t="s">
        <v>1789</v>
      </c>
      <c r="O361">
        <f>IFERROR(VLOOKUP(HEVARIM[[#This Row],[קוד תקציב]],[2]תקציבים!A:L,6,0),0)</f>
        <v>2</v>
      </c>
      <c r="P361" s="5" t="s">
        <v>227</v>
      </c>
      <c r="Q361" t="s">
        <v>14</v>
      </c>
      <c r="R361" s="4">
        <v>40352</v>
      </c>
      <c r="S361" s="4" t="s">
        <v>90</v>
      </c>
      <c r="T361" s="96" t="s">
        <v>1792</v>
      </c>
      <c r="U361" t="str">
        <f>VLOOKUP(HEVARIM[[#This Row],[גיל]],GIL,2,1)</f>
        <v>תיכון</v>
      </c>
      <c r="V361">
        <f>IF(HEVARIM[[#This Row],[קוד מעמד]]="4     ",IF(HEVARIM[[#This Row],[גיל]]=1,1,IF(HEVARIM[[#This Row],[גיל]]&lt;=5,5,18)),"")</f>
        <v>18</v>
      </c>
      <c r="W361">
        <f t="shared" si="20"/>
        <v>0</v>
      </c>
      <c r="X3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1">
        <f>IF(HEVARIM[[#This Row],[מצב משפחתי2]]="אלמן",'[2]ריכוז נתונים'!$AC$2,0)</f>
        <v>0</v>
      </c>
      <c r="Z361" s="3">
        <f>VLOOKUP(VALUE(HEVARIM[[#This Row],[קוד מעמד]]),הנחות!$I$2:$K$21,3,0)</f>
        <v>1</v>
      </c>
      <c r="AA361" t="b">
        <f>ISERROR(VLOOKUP(HEVARIM[[#This Row],[קוד תקציב]],'[2]ריכוז נתונים'!A:A,1,0))</f>
        <v>0</v>
      </c>
      <c r="AB361" s="1">
        <f t="shared" si="21"/>
        <v>0</v>
      </c>
      <c r="AC361" s="2">
        <f ca="1">IF(HEVARIM[[#This Row],[בר מצוה]]&gt;0,YEAR(TODAY())+'תקציבים מיוחדים'!$F$5-HEVARIM[[#This Row],[גיל]],0)</f>
        <v>0</v>
      </c>
      <c r="AD361" s="1">
        <f t="shared" si="22"/>
        <v>0</v>
      </c>
      <c r="AE361" s="2">
        <f ca="1">IF(HEVARIM[[#This Row],[בת מצוה]]&gt;0,YEAR(TODAY())+'תקציבים מיוחדים'!$F$5-HEVARIM[[#This Row],[גיל]],0)</f>
        <v>0</v>
      </c>
      <c r="AF361" s="1">
        <f>IF(AND($S361&gt;="רווק",$Z361=1),AF$4*IF(HEVARIM[[#This Row],[גיל]]&gt;$AF$3,1,(($G361-AF$2)/(AF$3-AF$2))),0)</f>
        <v>43223.21428571429</v>
      </c>
      <c r="AG361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61" s="1">
        <f t="shared" si="23"/>
        <v>75420.357142857145</v>
      </c>
      <c r="AI361" s="2">
        <f ca="1">IF(AH361&gt;0,YEAR(TODAY())+'תקציבים מיוחדים'!$F$7-HEVARIM[[#This Row],[גיל]],0)</f>
        <v>2032</v>
      </c>
      <c r="AJ361" s="9">
        <f>IF(AND(ISERROR(VLOOKUP(H361,'[2]ריכוז נתונים'!A:L,1,0)),P361="1     "),1,0)</f>
        <v>0</v>
      </c>
      <c r="AK36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61" s="1">
        <f>IF(AND(VALUE(HEVARIM[[#This Row],[קוד מעמד]])=1,HEVARIM[[#This Row],[ותק מחברה 40]]&lt;25),HEVARIM[[#This Row],[ותק מחברה 40]]/25*הנחות!$C$4,0)</f>
        <v>0</v>
      </c>
      <c r="AM361" s="9" t="str">
        <f ca="1">IF(HEVARIM[[#This Row],[דמי עזיבה 25 שנות ותק]]&gt;0,YEAR(TODAY())+25-ROUNDDOWN(HEVARIM[[#This Row],[ותק מחברה 40]],0),"")</f>
        <v/>
      </c>
      <c r="AN3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1" s="9" t="str">
        <f ca="1">IF(HEVARIM[[#This Row],[דמי עזיבה לגיל 65]]&gt;0,YEAR(TODAY())+64-ROUNDDOWN(HEVARIM[[#This Row],[גיל]],0),"")</f>
        <v/>
      </c>
      <c r="AP361" s="1">
        <f>SUMIF(HEVARIM[קוד תקציב],HEVARIM[[#This Row],[קוד תקציב משפחה מקורי]],HEVARIM[ותק מחברה 40])</f>
        <v>92.78</v>
      </c>
      <c r="AQ3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61" s="9">
        <f>IF(HEVARIM[[#This Row],[קוד מעמד]]="1     ",IFERROR(VLOOKUP(HEVARIM[[#This Row],[קוד תקציב]],'תקציב צביעה - לקראת השינוי'!A:F,4,0),0),0)</f>
        <v>0</v>
      </c>
      <c r="AT361" s="1"/>
    </row>
    <row r="362" spans="1:46">
      <c r="A362" t="s">
        <v>1806</v>
      </c>
      <c r="B362" t="s">
        <v>1807</v>
      </c>
      <c r="C362" t="s">
        <v>1790</v>
      </c>
      <c r="D362" t="s">
        <v>195</v>
      </c>
      <c r="E362" t="s">
        <v>67</v>
      </c>
      <c r="F362" s="4">
        <v>40352</v>
      </c>
      <c r="G362">
        <v>15</v>
      </c>
      <c r="H362" t="s">
        <v>1792</v>
      </c>
      <c r="I362" t="s">
        <v>1793</v>
      </c>
      <c r="J362" s="4" t="s">
        <v>70</v>
      </c>
      <c r="K362" s="4" t="s">
        <v>71</v>
      </c>
      <c r="L362" t="s">
        <v>1808</v>
      </c>
      <c r="M362" t="s">
        <v>1788</v>
      </c>
      <c r="N362" t="s">
        <v>1789</v>
      </c>
      <c r="O362">
        <f>IFERROR(VLOOKUP(HEVARIM[[#This Row],[קוד תקציב]],[2]תקציבים!A:L,6,0),0)</f>
        <v>2</v>
      </c>
      <c r="P362" s="5" t="s">
        <v>227</v>
      </c>
      <c r="Q362" t="s">
        <v>14</v>
      </c>
      <c r="R362" s="4">
        <v>40352</v>
      </c>
      <c r="S362" s="4" t="s">
        <v>90</v>
      </c>
      <c r="T362" s="96" t="s">
        <v>1792</v>
      </c>
      <c r="U362" t="str">
        <f>VLOOKUP(HEVARIM[[#This Row],[גיל]],GIL,2,1)</f>
        <v>תיכון</v>
      </c>
      <c r="V362">
        <f>IF(HEVARIM[[#This Row],[קוד מעמד]]="4     ",IF(HEVARIM[[#This Row],[גיל]]=1,1,IF(HEVARIM[[#This Row],[גיל]]&lt;=5,5,18)),"")</f>
        <v>18</v>
      </c>
      <c r="W362">
        <f t="shared" si="20"/>
        <v>0</v>
      </c>
      <c r="X3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2">
        <f>IF(HEVARIM[[#This Row],[מצב משפחתי2]]="אלמן",'[2]ריכוז נתונים'!$AC$2,0)</f>
        <v>0</v>
      </c>
      <c r="Z362" s="3">
        <f>VLOOKUP(VALUE(HEVARIM[[#This Row],[קוד מעמד]]),הנחות!$I$2:$K$21,3,0)</f>
        <v>1</v>
      </c>
      <c r="AA362" t="b">
        <f>ISERROR(VLOOKUP(HEVARIM[[#This Row],[קוד תקציב]],'[2]ריכוז נתונים'!A:A,1,0))</f>
        <v>0</v>
      </c>
      <c r="AB362" s="1">
        <f t="shared" si="21"/>
        <v>0</v>
      </c>
      <c r="AC362" s="2">
        <f ca="1">IF(HEVARIM[[#This Row],[בר מצוה]]&gt;0,YEAR(TODAY())+'תקציבים מיוחדים'!$F$5-HEVARIM[[#This Row],[גיל]],0)</f>
        <v>0</v>
      </c>
      <c r="AD362" s="1">
        <f t="shared" si="22"/>
        <v>0</v>
      </c>
      <c r="AE362" s="2">
        <f ca="1">IF(HEVARIM[[#This Row],[בת מצוה]]&gt;0,YEAR(TODAY())+'תקציבים מיוחדים'!$F$5-HEVARIM[[#This Row],[גיל]],0)</f>
        <v>0</v>
      </c>
      <c r="AF362" s="1">
        <f>IF(AND($S362&gt;="רווק",$Z362=1),AF$4*IF(HEVARIM[[#This Row],[גיל]]&gt;$AF$3,1,(($G362-AF$2)/(AF$3-AF$2))),0)</f>
        <v>43223.21428571429</v>
      </c>
      <c r="AG362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62" s="1">
        <f t="shared" si="23"/>
        <v>75420.357142857145</v>
      </c>
      <c r="AI362" s="2">
        <f ca="1">IF(AH362&gt;0,YEAR(TODAY())+'תקציבים מיוחדים'!$F$7-HEVARIM[[#This Row],[גיל]],0)</f>
        <v>2032</v>
      </c>
      <c r="AJ362" s="9">
        <f>IF(AND(ISERROR(VLOOKUP(H362,'[2]ריכוז נתונים'!A:L,1,0)),P362="1     "),1,0)</f>
        <v>0</v>
      </c>
      <c r="AK3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62" s="1">
        <f>IF(AND(VALUE(HEVARIM[[#This Row],[קוד מעמד]])=1,HEVARIM[[#This Row],[ותק מחברה 40]]&lt;25),HEVARIM[[#This Row],[ותק מחברה 40]]/25*הנחות!$C$4,0)</f>
        <v>0</v>
      </c>
      <c r="AM362" s="9" t="str">
        <f ca="1">IF(HEVARIM[[#This Row],[דמי עזיבה 25 שנות ותק]]&gt;0,YEAR(TODAY())+25-ROUNDDOWN(HEVARIM[[#This Row],[ותק מחברה 40]],0),"")</f>
        <v/>
      </c>
      <c r="AN3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2" s="9" t="str">
        <f ca="1">IF(HEVARIM[[#This Row],[דמי עזיבה לגיל 65]]&gt;0,YEAR(TODAY())+64-ROUNDDOWN(HEVARIM[[#This Row],[גיל]],0),"")</f>
        <v/>
      </c>
      <c r="AP362" s="1">
        <f>SUMIF(HEVARIM[קוד תקציב],HEVARIM[[#This Row],[קוד תקציב משפחה מקורי]],HEVARIM[ותק מחברה 40])</f>
        <v>92.78</v>
      </c>
      <c r="AQ3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62" s="9">
        <f>IF(HEVARIM[[#This Row],[קוד מעמד]]="1     ",IFERROR(VLOOKUP(HEVARIM[[#This Row],[קוד תקציב]],'תקציב צביעה - לקראת השינוי'!A:F,4,0),0),0)</f>
        <v>0</v>
      </c>
      <c r="AT362" s="1"/>
    </row>
    <row r="363" spans="1:46">
      <c r="A363" t="s">
        <v>1809</v>
      </c>
      <c r="B363" t="s">
        <v>1810</v>
      </c>
      <c r="C363" t="s">
        <v>1811</v>
      </c>
      <c r="D363" t="s">
        <v>699</v>
      </c>
      <c r="E363" t="s">
        <v>67</v>
      </c>
      <c r="F363" s="4">
        <v>19119</v>
      </c>
      <c r="G363">
        <v>73</v>
      </c>
      <c r="H363" t="s">
        <v>1812</v>
      </c>
      <c r="I363" t="s">
        <v>1813</v>
      </c>
      <c r="J363" s="4" t="s">
        <v>70</v>
      </c>
      <c r="K363" s="4" t="s">
        <v>71</v>
      </c>
      <c r="L363" t="s">
        <v>1814</v>
      </c>
      <c r="M363" t="s">
        <v>1809</v>
      </c>
      <c r="N363" t="s">
        <v>1810</v>
      </c>
      <c r="O363">
        <f>IFERROR(VLOOKUP(HEVARIM[[#This Row],[קוד תקציב]],[2]תקציבים!A:L,6,0),0)</f>
        <v>2</v>
      </c>
      <c r="P363" s="5" t="s">
        <v>104</v>
      </c>
      <c r="Q363" t="s">
        <v>11</v>
      </c>
      <c r="R363" s="4">
        <v>27394</v>
      </c>
      <c r="S363" s="4" t="s">
        <v>74</v>
      </c>
      <c r="T363" s="96" t="s">
        <v>1812</v>
      </c>
      <c r="U363" t="str">
        <f>VLOOKUP(HEVARIM[[#This Row],[גיל]],GIL,2,1)</f>
        <v>--</v>
      </c>
      <c r="V363" t="str">
        <f>IF(HEVARIM[[#This Row],[קוד מעמד]]="4     ",IF(HEVARIM[[#This Row],[גיל]]=1,1,IF(HEVARIM[[#This Row],[גיל]]&lt;=5,5,18)),"")</f>
        <v/>
      </c>
      <c r="W363">
        <f t="shared" si="20"/>
        <v>2365</v>
      </c>
      <c r="X36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63">
        <f>IF(HEVARIM[[#This Row],[מצב משפחתי2]]="אלמן",'[2]ריכוז נתונים'!$AC$2,0)</f>
        <v>0</v>
      </c>
      <c r="Z363" s="3">
        <f>VLOOKUP(VALUE(HEVARIM[[#This Row],[קוד מעמד]]),הנחות!$I$2:$K$21,3,0)</f>
        <v>0</v>
      </c>
      <c r="AA363" t="b">
        <f>ISERROR(VLOOKUP(HEVARIM[[#This Row],[קוד תקציב]],'[2]ריכוז נתונים'!A:A,1,0))</f>
        <v>0</v>
      </c>
      <c r="AB363" s="1">
        <f t="shared" si="21"/>
        <v>0</v>
      </c>
      <c r="AC363" s="2">
        <f ca="1">IF(HEVARIM[[#This Row],[בר מצוה]]&gt;0,YEAR(TODAY())+'תקציבים מיוחדים'!$F$5-HEVARIM[[#This Row],[גיל]],0)</f>
        <v>0</v>
      </c>
      <c r="AD363" s="1">
        <f t="shared" si="22"/>
        <v>0</v>
      </c>
      <c r="AE363" s="2">
        <f ca="1">IF(HEVARIM[[#This Row],[בת מצוה]]&gt;0,YEAR(TODAY())+'תקציבים מיוחדים'!$F$5-HEVARIM[[#This Row],[גיל]],0)</f>
        <v>0</v>
      </c>
      <c r="AF363" s="1">
        <f>IF(AND($S363&gt;="רווק",$Z363=1),AF$4*IF(HEVARIM[[#This Row],[גיל]]&gt;$AF$3,1,(($G363-AF$2)/(AF$3-AF$2))),0)</f>
        <v>0</v>
      </c>
      <c r="AG36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63" s="1">
        <f t="shared" si="23"/>
        <v>0</v>
      </c>
      <c r="AI363" s="2">
        <f ca="1">IF(AH363&gt;0,YEAR(TODAY())+'תקציבים מיוחדים'!$F$7-HEVARIM[[#This Row],[גיל]],0)</f>
        <v>0</v>
      </c>
      <c r="AJ363" s="9">
        <f>IF(AND(ISERROR(VLOOKUP(H363,'[2]ריכוז נתונים'!A:L,1,0)),P363="1     "),1,0)</f>
        <v>0</v>
      </c>
      <c r="AK363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363" s="1">
        <f>IF(AND(VALUE(HEVARIM[[#This Row],[קוד מעמד]])=1,HEVARIM[[#This Row],[ותק מחברה 40]]&lt;25),HEVARIM[[#This Row],[ותק מחברה 40]]/25*הנחות!$C$4,0)</f>
        <v>0</v>
      </c>
      <c r="AM363" s="9" t="str">
        <f ca="1">IF(HEVARIM[[#This Row],[דמי עזיבה 25 שנות ותק]]&gt;0,YEAR(TODAY())+25-ROUNDDOWN(HEVARIM[[#This Row],[ותק מחברה 40]],0),"")</f>
        <v/>
      </c>
      <c r="AN3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3" s="9" t="str">
        <f ca="1">IF(HEVARIM[[#This Row],[דמי עזיבה לגיל 65]]&gt;0,YEAR(TODAY())+64-ROUNDDOWN(HEVARIM[[#This Row],[גיל]],0),"")</f>
        <v/>
      </c>
      <c r="AP363" s="1">
        <f>SUMIF(HEVARIM[קוד תקציב],HEVARIM[[#This Row],[קוד תקציב משפחה מקורי]],HEVARIM[ותק מחברה 40])</f>
        <v>96</v>
      </c>
      <c r="AQ3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63" s="9">
        <f>IF(HEVARIM[[#This Row],[קוד מעמד]]="1     ",IFERROR(VLOOKUP(HEVARIM[[#This Row],[קוד תקציב]],'תקציב צביעה - לקראת השינוי'!A:F,4,0),0),0)</f>
        <v>2032</v>
      </c>
      <c r="AT363" s="1"/>
    </row>
    <row r="364" spans="1:46">
      <c r="A364" t="s">
        <v>1815</v>
      </c>
      <c r="B364" t="s">
        <v>1816</v>
      </c>
      <c r="C364" t="s">
        <v>1811</v>
      </c>
      <c r="D364" t="s">
        <v>1817</v>
      </c>
      <c r="E364" t="s">
        <v>79</v>
      </c>
      <c r="F364" s="4">
        <v>19272</v>
      </c>
      <c r="G364">
        <v>73</v>
      </c>
      <c r="H364" t="s">
        <v>1812</v>
      </c>
      <c r="I364" t="s">
        <v>1813</v>
      </c>
      <c r="J364" s="4" t="s">
        <v>70</v>
      </c>
      <c r="K364" s="4" t="s">
        <v>71</v>
      </c>
      <c r="L364" t="s">
        <v>1818</v>
      </c>
      <c r="M364" t="s">
        <v>1809</v>
      </c>
      <c r="N364" t="s">
        <v>1810</v>
      </c>
      <c r="O364">
        <f>IFERROR(VLOOKUP(HEVARIM[[#This Row],[קוד תקציב]],[2]תקציבים!A:L,6,0),0)</f>
        <v>2</v>
      </c>
      <c r="P364" s="5" t="s">
        <v>104</v>
      </c>
      <c r="Q364" t="s">
        <v>11</v>
      </c>
      <c r="R364" s="4">
        <v>25933</v>
      </c>
      <c r="S364" s="4" t="s">
        <v>74</v>
      </c>
      <c r="T364" s="96" t="s">
        <v>1812</v>
      </c>
      <c r="U364" t="str">
        <f>VLOOKUP(HEVARIM[[#This Row],[גיל]],GIL,2,1)</f>
        <v>--</v>
      </c>
      <c r="V364" t="str">
        <f>IF(HEVARIM[[#This Row],[קוד מעמד]]="4     ",IF(HEVARIM[[#This Row],[גיל]]=1,1,IF(HEVARIM[[#This Row],[גיל]]&lt;=5,5,18)),"")</f>
        <v/>
      </c>
      <c r="W364">
        <f t="shared" si="20"/>
        <v>2365</v>
      </c>
      <c r="X36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64">
        <f>IF(HEVARIM[[#This Row],[מצב משפחתי2]]="אלמן",'[2]ריכוז נתונים'!$AC$2,0)</f>
        <v>0</v>
      </c>
      <c r="Z364" s="3">
        <f>VLOOKUP(VALUE(HEVARIM[[#This Row],[קוד מעמד]]),הנחות!$I$2:$K$21,3,0)</f>
        <v>0</v>
      </c>
      <c r="AA364" t="b">
        <f>ISERROR(VLOOKUP(HEVARIM[[#This Row],[קוד תקציב]],'[2]ריכוז נתונים'!A:A,1,0))</f>
        <v>0</v>
      </c>
      <c r="AB364" s="1">
        <f t="shared" si="21"/>
        <v>0</v>
      </c>
      <c r="AC364" s="2">
        <f ca="1">IF(HEVARIM[[#This Row],[בר מצוה]]&gt;0,YEAR(TODAY())+'תקציבים מיוחדים'!$F$5-HEVARIM[[#This Row],[גיל]],0)</f>
        <v>0</v>
      </c>
      <c r="AD364" s="1">
        <f t="shared" si="22"/>
        <v>0</v>
      </c>
      <c r="AE364" s="2">
        <f ca="1">IF(HEVARIM[[#This Row],[בת מצוה]]&gt;0,YEAR(TODAY())+'תקציבים מיוחדים'!$F$5-HEVARIM[[#This Row],[גיל]],0)</f>
        <v>0</v>
      </c>
      <c r="AF364" s="1">
        <f>IF(AND($S364&gt;="רווק",$Z364=1),AF$4*IF(HEVARIM[[#This Row],[גיל]]&gt;$AF$3,1,(($G364-AF$2)/(AF$3-AF$2))),0)</f>
        <v>0</v>
      </c>
      <c r="AG36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64" s="1">
        <f t="shared" si="23"/>
        <v>0</v>
      </c>
      <c r="AI364" s="2">
        <f ca="1">IF(AH364&gt;0,YEAR(TODAY())+'תקציבים מיוחדים'!$F$7-HEVARIM[[#This Row],[גיל]],0)</f>
        <v>0</v>
      </c>
      <c r="AJ364" s="9">
        <f>IF(AND(ISERROR(VLOOKUP(H364,'[2]ריכוז נתונים'!A:L,1,0)),P364="1     "),1,0)</f>
        <v>0</v>
      </c>
      <c r="AK364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364" s="1">
        <f>IF(AND(VALUE(HEVARIM[[#This Row],[קוד מעמד]])=1,HEVARIM[[#This Row],[ותק מחברה 40]]&lt;25),HEVARIM[[#This Row],[ותק מחברה 40]]/25*הנחות!$C$4,0)</f>
        <v>0</v>
      </c>
      <c r="AM364" s="9" t="str">
        <f ca="1">IF(HEVARIM[[#This Row],[דמי עזיבה 25 שנות ותק]]&gt;0,YEAR(TODAY())+25-ROUNDDOWN(HEVARIM[[#This Row],[ותק מחברה 40]],0),"")</f>
        <v/>
      </c>
      <c r="AN3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4" s="9" t="str">
        <f ca="1">IF(HEVARIM[[#This Row],[דמי עזיבה לגיל 65]]&gt;0,YEAR(TODAY())+64-ROUNDDOWN(HEVARIM[[#This Row],[גיל]],0),"")</f>
        <v/>
      </c>
      <c r="AP364" s="1">
        <f>SUMIF(HEVARIM[קוד תקציב],HEVARIM[[#This Row],[קוד תקציב משפחה מקורי]],HEVARIM[ותק מחברה 40])</f>
        <v>96</v>
      </c>
      <c r="AQ3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64" s="9">
        <f>IF(HEVARIM[[#This Row],[קוד מעמד]]="1     ",IFERROR(VLOOKUP(HEVARIM[[#This Row],[קוד תקציב]],'תקציב צביעה - לקראת השינוי'!A:F,4,0),0),0)</f>
        <v>2032</v>
      </c>
      <c r="AT364" s="1"/>
    </row>
    <row r="365" spans="1:46">
      <c r="A365" t="s">
        <v>1819</v>
      </c>
      <c r="B365" t="s">
        <v>1820</v>
      </c>
      <c r="C365" t="s">
        <v>1790</v>
      </c>
      <c r="D365" t="s">
        <v>1171</v>
      </c>
      <c r="E365" t="s">
        <v>67</v>
      </c>
      <c r="F365" s="4">
        <v>19136</v>
      </c>
      <c r="G365">
        <v>73</v>
      </c>
      <c r="H365" t="s">
        <v>1821</v>
      </c>
      <c r="I365" t="s">
        <v>1822</v>
      </c>
      <c r="J365" s="4" t="s">
        <v>70</v>
      </c>
      <c r="K365" s="4" t="s">
        <v>71</v>
      </c>
      <c r="L365" t="s">
        <v>1823</v>
      </c>
      <c r="M365" t="s">
        <v>1819</v>
      </c>
      <c r="N365" t="s">
        <v>1820</v>
      </c>
      <c r="O365">
        <f>IFERROR(VLOOKUP(HEVARIM[[#This Row],[קוד תקציב]],[2]תקציבים!A:L,6,0),0)</f>
        <v>2</v>
      </c>
      <c r="P365" s="5" t="s">
        <v>104</v>
      </c>
      <c r="Q365" t="s">
        <v>11</v>
      </c>
      <c r="R365" s="4">
        <v>25933</v>
      </c>
      <c r="S365" s="4" t="s">
        <v>74</v>
      </c>
      <c r="T365" s="96" t="s">
        <v>1821</v>
      </c>
      <c r="U365" t="str">
        <f>VLOOKUP(HEVARIM[[#This Row],[גיל]],GIL,2,1)</f>
        <v>--</v>
      </c>
      <c r="V365" t="str">
        <f>IF(HEVARIM[[#This Row],[קוד מעמד]]="4     ",IF(HEVARIM[[#This Row],[גיל]]=1,1,IF(HEVARIM[[#This Row],[גיל]]&lt;=5,5,18)),"")</f>
        <v/>
      </c>
      <c r="W365">
        <f t="shared" si="20"/>
        <v>2365</v>
      </c>
      <c r="X36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65">
        <f>IF(HEVARIM[[#This Row],[מצב משפחתי2]]="אלמן",'[2]ריכוז נתונים'!$AC$2,0)</f>
        <v>0</v>
      </c>
      <c r="Z365" s="3">
        <f>VLOOKUP(VALUE(HEVARIM[[#This Row],[קוד מעמד]]),הנחות!$I$2:$K$21,3,0)</f>
        <v>0</v>
      </c>
      <c r="AA365" t="b">
        <f>ISERROR(VLOOKUP(HEVARIM[[#This Row],[קוד תקציב]],'[2]ריכוז נתונים'!A:A,1,0))</f>
        <v>0</v>
      </c>
      <c r="AB365" s="1">
        <f t="shared" si="21"/>
        <v>0</v>
      </c>
      <c r="AC365" s="2">
        <f ca="1">IF(HEVARIM[[#This Row],[בר מצוה]]&gt;0,YEAR(TODAY())+'תקציבים מיוחדים'!$F$5-HEVARIM[[#This Row],[גיל]],0)</f>
        <v>0</v>
      </c>
      <c r="AD365" s="1">
        <f t="shared" si="22"/>
        <v>0</v>
      </c>
      <c r="AE365" s="2">
        <f ca="1">IF(HEVARIM[[#This Row],[בת מצוה]]&gt;0,YEAR(TODAY())+'תקציבים מיוחדים'!$F$5-HEVARIM[[#This Row],[גיל]],0)</f>
        <v>0</v>
      </c>
      <c r="AF365" s="1">
        <f>IF(AND($S365&gt;="רווק",$Z365=1),AF$4*IF(HEVARIM[[#This Row],[גיל]]&gt;$AF$3,1,(($G365-AF$2)/(AF$3-AF$2))),0)</f>
        <v>0</v>
      </c>
      <c r="AG36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65" s="1">
        <f t="shared" si="23"/>
        <v>0</v>
      </c>
      <c r="AI365" s="2">
        <f ca="1">IF(AH365&gt;0,YEAR(TODAY())+'תקציבים מיוחדים'!$F$7-HEVARIM[[#This Row],[גיל]],0)</f>
        <v>0</v>
      </c>
      <c r="AJ365" s="9">
        <f>IF(AND(ISERROR(VLOOKUP(H365,'[2]ריכוז נתונים'!A:L,1,0)),P365="1     "),1,0)</f>
        <v>0</v>
      </c>
      <c r="AK365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365" s="1">
        <f>IF(AND(VALUE(HEVARIM[[#This Row],[קוד מעמד]])=1,HEVARIM[[#This Row],[ותק מחברה 40]]&lt;25),HEVARIM[[#This Row],[ותק מחברה 40]]/25*הנחות!$C$4,0)</f>
        <v>0</v>
      </c>
      <c r="AM365" s="9" t="str">
        <f ca="1">IF(HEVARIM[[#This Row],[דמי עזיבה 25 שנות ותק]]&gt;0,YEAR(TODAY())+25-ROUNDDOWN(HEVARIM[[#This Row],[ותק מחברה 40]],0),"")</f>
        <v/>
      </c>
      <c r="AN3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5" s="9" t="str">
        <f ca="1">IF(HEVARIM[[#This Row],[דמי עזיבה לגיל 65]]&gt;0,YEAR(TODAY())+64-ROUNDDOWN(HEVARIM[[#This Row],[גיל]],0),"")</f>
        <v/>
      </c>
      <c r="AP365" s="1">
        <f>SUMIF(HEVARIM[קוד תקציב],HEVARIM[[#This Row],[קוד תקציב משפחה מקורי]],HEVARIM[ותק מחברה 40])</f>
        <v>96</v>
      </c>
      <c r="AQ3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365" s="9">
        <f>IF(HEVARIM[[#This Row],[קוד מעמד]]="1     ",IFERROR(VLOOKUP(HEVARIM[[#This Row],[קוד תקציב]],'תקציב צביעה - לקראת השינוי'!A:F,4,0),0),0)</f>
        <v>2033</v>
      </c>
      <c r="AT365" s="1"/>
    </row>
    <row r="366" spans="1:46">
      <c r="A366" t="s">
        <v>1824</v>
      </c>
      <c r="B366" t="s">
        <v>1825</v>
      </c>
      <c r="C366" t="s">
        <v>1790</v>
      </c>
      <c r="D366" t="s">
        <v>201</v>
      </c>
      <c r="E366" t="s">
        <v>79</v>
      </c>
      <c r="F366" s="4">
        <v>19009</v>
      </c>
      <c r="G366">
        <v>73</v>
      </c>
      <c r="H366" t="s">
        <v>1821</v>
      </c>
      <c r="I366" t="s">
        <v>1822</v>
      </c>
      <c r="J366" s="4" t="s">
        <v>70</v>
      </c>
      <c r="K366" s="4" t="s">
        <v>71</v>
      </c>
      <c r="L366" t="s">
        <v>1826</v>
      </c>
      <c r="M366" t="s">
        <v>1819</v>
      </c>
      <c r="N366" t="s">
        <v>1820</v>
      </c>
      <c r="O366">
        <f>IFERROR(VLOOKUP(HEVARIM[[#This Row],[קוד תקציב]],[2]תקציבים!A:L,6,0),0)</f>
        <v>2</v>
      </c>
      <c r="P366" s="5" t="s">
        <v>104</v>
      </c>
      <c r="Q366" t="s">
        <v>11</v>
      </c>
      <c r="R366" s="4">
        <v>25872</v>
      </c>
      <c r="S366" s="4" t="s">
        <v>74</v>
      </c>
      <c r="T366" s="96" t="s">
        <v>1821</v>
      </c>
      <c r="U366" t="str">
        <f>VLOOKUP(HEVARIM[[#This Row],[גיל]],GIL,2,1)</f>
        <v>--</v>
      </c>
      <c r="V366" t="str">
        <f>IF(HEVARIM[[#This Row],[קוד מעמד]]="4     ",IF(HEVARIM[[#This Row],[גיל]]=1,1,IF(HEVARIM[[#This Row],[גיל]]&lt;=5,5,18)),"")</f>
        <v/>
      </c>
      <c r="W366">
        <f t="shared" si="20"/>
        <v>2365</v>
      </c>
      <c r="X36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366">
        <f>IF(HEVARIM[[#This Row],[מצב משפחתי2]]="אלמן",'[2]ריכוז נתונים'!$AC$2,0)</f>
        <v>0</v>
      </c>
      <c r="Z366" s="3">
        <f>VLOOKUP(VALUE(HEVARIM[[#This Row],[קוד מעמד]]),הנחות!$I$2:$K$21,3,0)</f>
        <v>0</v>
      </c>
      <c r="AA366" t="b">
        <f>ISERROR(VLOOKUP(HEVARIM[[#This Row],[קוד תקציב]],'[2]ריכוז נתונים'!A:A,1,0))</f>
        <v>0</v>
      </c>
      <c r="AB366" s="1">
        <f t="shared" si="21"/>
        <v>0</v>
      </c>
      <c r="AC366" s="2">
        <f ca="1">IF(HEVARIM[[#This Row],[בר מצוה]]&gt;0,YEAR(TODAY())+'תקציבים מיוחדים'!$F$5-HEVARIM[[#This Row],[גיל]],0)</f>
        <v>0</v>
      </c>
      <c r="AD366" s="1">
        <f t="shared" si="22"/>
        <v>0</v>
      </c>
      <c r="AE366" s="2">
        <f ca="1">IF(HEVARIM[[#This Row],[בת מצוה]]&gt;0,YEAR(TODAY())+'תקציבים מיוחדים'!$F$5-HEVARIM[[#This Row],[גיל]],0)</f>
        <v>0</v>
      </c>
      <c r="AF366" s="1">
        <f>IF(AND($S366&gt;="רווק",$Z366=1),AF$4*IF(HEVARIM[[#This Row],[גיל]]&gt;$AF$3,1,(($G366-AF$2)/(AF$3-AF$2))),0)</f>
        <v>0</v>
      </c>
      <c r="AG36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66" s="1">
        <f t="shared" si="23"/>
        <v>0</v>
      </c>
      <c r="AI366" s="2">
        <f ca="1">IF(AH366&gt;0,YEAR(TODAY())+'תקציבים מיוחדים'!$F$7-HEVARIM[[#This Row],[גיל]],0)</f>
        <v>0</v>
      </c>
      <c r="AJ366" s="9">
        <f>IF(AND(ISERROR(VLOOKUP(H366,'[2]ריכוז נתונים'!A:L,1,0)),P366="1     "),1,0)</f>
        <v>0</v>
      </c>
      <c r="AK366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366" s="1">
        <f>IF(AND(VALUE(HEVARIM[[#This Row],[קוד מעמד]])=1,HEVARIM[[#This Row],[ותק מחברה 40]]&lt;25),HEVARIM[[#This Row],[ותק מחברה 40]]/25*הנחות!$C$4,0)</f>
        <v>0</v>
      </c>
      <c r="AM366" s="9" t="str">
        <f ca="1">IF(HEVARIM[[#This Row],[דמי עזיבה 25 שנות ותק]]&gt;0,YEAR(TODAY())+25-ROUNDDOWN(HEVARIM[[#This Row],[ותק מחברה 40]],0),"")</f>
        <v/>
      </c>
      <c r="AN36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6" s="9" t="str">
        <f ca="1">IF(HEVARIM[[#This Row],[דמי עזיבה לגיל 65]]&gt;0,YEAR(TODAY())+64-ROUNDDOWN(HEVARIM[[#This Row],[גיל]],0),"")</f>
        <v/>
      </c>
      <c r="AP366" s="1">
        <f>SUMIF(HEVARIM[קוד תקציב],HEVARIM[[#This Row],[קוד תקציב משפחה מקורי]],HEVARIM[ותק מחברה 40])</f>
        <v>96</v>
      </c>
      <c r="AQ3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366" s="9">
        <f>IF(HEVARIM[[#This Row],[קוד מעמד]]="1     ",IFERROR(VLOOKUP(HEVARIM[[#This Row],[קוד תקציב]],'תקציב צביעה - לקראת השינוי'!A:F,4,0),0),0)</f>
        <v>2033</v>
      </c>
      <c r="AT366" s="1"/>
    </row>
    <row r="367" spans="1:46">
      <c r="A367" t="s">
        <v>1836</v>
      </c>
      <c r="B367" t="s">
        <v>1837</v>
      </c>
      <c r="C367" t="s">
        <v>1753</v>
      </c>
      <c r="D367" t="s">
        <v>205</v>
      </c>
      <c r="E367" t="s">
        <v>67</v>
      </c>
      <c r="F367" s="4">
        <v>40186</v>
      </c>
      <c r="G367">
        <v>15</v>
      </c>
      <c r="H367" t="s">
        <v>1829</v>
      </c>
      <c r="I367" t="s">
        <v>1830</v>
      </c>
      <c r="J367" s="4" t="s">
        <v>70</v>
      </c>
      <c r="K367" s="4" t="s">
        <v>71</v>
      </c>
      <c r="L367" t="s">
        <v>1838</v>
      </c>
      <c r="M367" t="s">
        <v>1827</v>
      </c>
      <c r="N367" t="s">
        <v>1828</v>
      </c>
      <c r="O367">
        <f>IFERROR(VLOOKUP(HEVARIM[[#This Row],[קוד תקציב]],[2]תקציבים!A:L,6,0),0)</f>
        <v>2</v>
      </c>
      <c r="P367" s="5" t="s">
        <v>227</v>
      </c>
      <c r="Q367" t="s">
        <v>14</v>
      </c>
      <c r="R367" s="4">
        <v>40186</v>
      </c>
      <c r="S367" s="4" t="s">
        <v>90</v>
      </c>
      <c r="T367" s="96" t="s">
        <v>1829</v>
      </c>
      <c r="U367" t="str">
        <f>VLOOKUP(HEVARIM[[#This Row],[גיל]],GIL,2,1)</f>
        <v>תיכון</v>
      </c>
      <c r="V367">
        <f>IF(HEVARIM[[#This Row],[קוד מעמד]]="4     ",IF(HEVARIM[[#This Row],[גיל]]=1,1,IF(HEVARIM[[#This Row],[גיל]]&lt;=5,5,18)),"")</f>
        <v>18</v>
      </c>
      <c r="W367">
        <f t="shared" si="20"/>
        <v>0</v>
      </c>
      <c r="X36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7">
        <f>IF(HEVARIM[[#This Row],[מצב משפחתי2]]="אלמן",'[2]ריכוז נתונים'!$AC$2,0)</f>
        <v>0</v>
      </c>
      <c r="Z367" s="3">
        <f>VLOOKUP(VALUE(HEVARIM[[#This Row],[קוד מעמד]]),הנחות!$I$2:$K$21,3,0)</f>
        <v>1</v>
      </c>
      <c r="AA367" t="b">
        <f>ISERROR(VLOOKUP(HEVARIM[[#This Row],[קוד תקציב]],'[2]ריכוז נתונים'!A:A,1,0))</f>
        <v>0</v>
      </c>
      <c r="AB367" s="1">
        <f t="shared" si="21"/>
        <v>0</v>
      </c>
      <c r="AC367" s="2">
        <f ca="1">IF(HEVARIM[[#This Row],[בר מצוה]]&gt;0,YEAR(TODAY())+'תקציבים מיוחדים'!$F$5-HEVARIM[[#This Row],[גיל]],0)</f>
        <v>0</v>
      </c>
      <c r="AD367" s="1">
        <f t="shared" si="22"/>
        <v>0</v>
      </c>
      <c r="AE367" s="2">
        <f ca="1">IF(HEVARIM[[#This Row],[בת מצוה]]&gt;0,YEAR(TODAY())+'תקציבים מיוחדים'!$F$5-HEVARIM[[#This Row],[גיל]],0)</f>
        <v>0</v>
      </c>
      <c r="AF367" s="1">
        <f>IF(AND($S367&gt;="רווק",$Z367=1),AF$4*IF(HEVARIM[[#This Row],[גיל]]&gt;$AF$3,1,(($G367-AF$2)/(AF$3-AF$2))),0)</f>
        <v>43223.21428571429</v>
      </c>
      <c r="AG367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67" s="1">
        <f t="shared" si="23"/>
        <v>75420.357142857145</v>
      </c>
      <c r="AI367" s="2">
        <f ca="1">IF(AH367&gt;0,YEAR(TODAY())+'תקציבים מיוחדים'!$F$7-HEVARIM[[#This Row],[גיל]],0)</f>
        <v>2032</v>
      </c>
      <c r="AJ367" s="9">
        <f>IF(AND(ISERROR(VLOOKUP(H367,'[2]ריכוז נתונים'!A:L,1,0)),P367="1     "),1,0)</f>
        <v>0</v>
      </c>
      <c r="AK36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67" s="1">
        <f>IF(AND(VALUE(HEVARIM[[#This Row],[קוד מעמד]])=1,HEVARIM[[#This Row],[ותק מחברה 40]]&lt;25),HEVARIM[[#This Row],[ותק מחברה 40]]/25*הנחות!$C$4,0)</f>
        <v>0</v>
      </c>
      <c r="AM367" s="9" t="str">
        <f ca="1">IF(HEVARIM[[#This Row],[דמי עזיבה 25 שנות ותק]]&gt;0,YEAR(TODAY())+25-ROUNDDOWN(HEVARIM[[#This Row],[ותק מחברה 40]],0),"")</f>
        <v/>
      </c>
      <c r="AN3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7" s="9" t="str">
        <f ca="1">IF(HEVARIM[[#This Row],[דמי עזיבה לגיל 65]]&gt;0,YEAR(TODAY())+64-ROUNDDOWN(HEVARIM[[#This Row],[גיל]],0),"")</f>
        <v/>
      </c>
      <c r="AP367" s="1">
        <f>SUMIF(HEVARIM[קוד תקציב],HEVARIM[[#This Row],[קוד תקציב משפחה מקורי]],HEVARIM[ותק מחברה 40])</f>
        <v>66.67</v>
      </c>
      <c r="AQ3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67" s="9">
        <f>IF(HEVARIM[[#This Row],[קוד מעמד]]="1     ",IFERROR(VLOOKUP(HEVARIM[[#This Row],[קוד תקציב]],'תקציב צביעה - לקראת השינוי'!A:F,4,0),0),0)</f>
        <v>0</v>
      </c>
      <c r="AT367" s="1"/>
    </row>
    <row r="368" spans="1:46">
      <c r="A368" t="s">
        <v>1839</v>
      </c>
      <c r="B368" t="s">
        <v>1840</v>
      </c>
      <c r="C368" t="s">
        <v>1753</v>
      </c>
      <c r="D368" t="s">
        <v>1295</v>
      </c>
      <c r="E368" t="s">
        <v>79</v>
      </c>
      <c r="F368" s="4">
        <v>40917</v>
      </c>
      <c r="G368">
        <v>13</v>
      </c>
      <c r="H368" t="s">
        <v>1829</v>
      </c>
      <c r="I368" t="s">
        <v>1830</v>
      </c>
      <c r="J368" s="4" t="s">
        <v>70</v>
      </c>
      <c r="K368" s="4" t="s">
        <v>71</v>
      </c>
      <c r="L368" t="s">
        <v>1841</v>
      </c>
      <c r="M368" t="s">
        <v>1827</v>
      </c>
      <c r="N368" t="s">
        <v>1828</v>
      </c>
      <c r="O368">
        <f>IFERROR(VLOOKUP(HEVARIM[[#This Row],[קוד תקציב]],[2]תקציבים!A:L,6,0),0)</f>
        <v>2</v>
      </c>
      <c r="P368" s="5" t="s">
        <v>227</v>
      </c>
      <c r="Q368" t="s">
        <v>14</v>
      </c>
      <c r="R368" s="4">
        <v>40917</v>
      </c>
      <c r="S368" s="4" t="s">
        <v>90</v>
      </c>
      <c r="T368" s="96" t="s">
        <v>1829</v>
      </c>
      <c r="U368" t="str">
        <f>VLOOKUP(HEVARIM[[#This Row],[גיל]],GIL,2,1)</f>
        <v>חטיבה</v>
      </c>
      <c r="V368">
        <f>IF(HEVARIM[[#This Row],[קוד מעמד]]="4     ",IF(HEVARIM[[#This Row],[גיל]]=1,1,IF(HEVARIM[[#This Row],[גיל]]&lt;=5,5,18)),"")</f>
        <v>18</v>
      </c>
      <c r="W368">
        <f t="shared" si="20"/>
        <v>0</v>
      </c>
      <c r="X36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8">
        <f>IF(HEVARIM[[#This Row],[מצב משפחתי2]]="אלמן",'[2]ריכוז נתונים'!$AC$2,0)</f>
        <v>0</v>
      </c>
      <c r="Z368" s="3">
        <f>VLOOKUP(VALUE(HEVARIM[[#This Row],[קוד מעמד]]),הנחות!$I$2:$K$21,3,0)</f>
        <v>1</v>
      </c>
      <c r="AA368" t="b">
        <f>ISERROR(VLOOKUP(HEVARIM[[#This Row],[קוד תקציב]],'[2]ריכוז נתונים'!A:A,1,0))</f>
        <v>0</v>
      </c>
      <c r="AB368" s="1">
        <f t="shared" si="21"/>
        <v>0</v>
      </c>
      <c r="AC368" s="2">
        <f ca="1">IF(HEVARIM[[#This Row],[בר מצוה]]&gt;0,YEAR(TODAY())+'תקציבים מיוחדים'!$F$5-HEVARIM[[#This Row],[גיל]],0)</f>
        <v>0</v>
      </c>
      <c r="AD368" s="1">
        <f t="shared" si="22"/>
        <v>7165</v>
      </c>
      <c r="AE368" s="2">
        <f ca="1">IF(HEVARIM[[#This Row],[בת מצוה]]&gt;0,YEAR(TODAY())+'תקציבים מיוחדים'!$F$5-HEVARIM[[#This Row],[גיל]],0)</f>
        <v>2026</v>
      </c>
      <c r="AF368" s="1">
        <f>IF(AND($S368&gt;="רווק",$Z368=1),AF$4*IF(HEVARIM[[#This Row],[גיל]]&gt;$AF$3,1,(($G368-AF$2)/(AF$3-AF$2))),0)</f>
        <v>37460.119047619046</v>
      </c>
      <c r="AG368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368" s="1">
        <f t="shared" si="23"/>
        <v>65364.309523809527</v>
      </c>
      <c r="AI368" s="2">
        <f ca="1">IF(AH368&gt;0,YEAR(TODAY())+'תקציבים מיוחדים'!$F$7-HEVARIM[[#This Row],[גיל]],0)</f>
        <v>2034</v>
      </c>
      <c r="AJ368" s="9">
        <f>IF(AND(ISERROR(VLOOKUP(H368,'[2]ריכוז נתונים'!A:L,1,0)),P368="1     "),1,0)</f>
        <v>0</v>
      </c>
      <c r="AK36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68" s="1">
        <f>IF(AND(VALUE(HEVARIM[[#This Row],[קוד מעמד]])=1,HEVARIM[[#This Row],[ותק מחברה 40]]&lt;25),HEVARIM[[#This Row],[ותק מחברה 40]]/25*הנחות!$C$4,0)</f>
        <v>0</v>
      </c>
      <c r="AM368" s="9" t="str">
        <f ca="1">IF(HEVARIM[[#This Row],[דמי עזיבה 25 שנות ותק]]&gt;0,YEAR(TODAY())+25-ROUNDDOWN(HEVARIM[[#This Row],[ותק מחברה 40]],0),"")</f>
        <v/>
      </c>
      <c r="AN3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8" s="9" t="str">
        <f ca="1">IF(HEVARIM[[#This Row],[דמי עזיבה לגיל 65]]&gt;0,YEAR(TODAY())+64-ROUNDDOWN(HEVARIM[[#This Row],[גיל]],0),"")</f>
        <v/>
      </c>
      <c r="AP368" s="1">
        <f>SUMIF(HEVARIM[קוד תקציב],HEVARIM[[#This Row],[קוד תקציב משפחה מקורי]],HEVARIM[ותק מחברה 40])</f>
        <v>66.67</v>
      </c>
      <c r="AQ3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68" s="9">
        <f>IF(HEVARIM[[#This Row],[קוד מעמד]]="1     ",IFERROR(VLOOKUP(HEVARIM[[#This Row],[קוד תקציב]],'תקציב צביעה - לקראת השינוי'!A:F,4,0),0),0)</f>
        <v>0</v>
      </c>
      <c r="AT368" s="1"/>
    </row>
    <row r="369" spans="1:46">
      <c r="A369" t="s">
        <v>1842</v>
      </c>
      <c r="B369" t="s">
        <v>1843</v>
      </c>
      <c r="C369" t="s">
        <v>1753</v>
      </c>
      <c r="D369" t="s">
        <v>1844</v>
      </c>
      <c r="E369" t="s">
        <v>79</v>
      </c>
      <c r="F369" s="4">
        <v>41497</v>
      </c>
      <c r="G369">
        <v>12</v>
      </c>
      <c r="H369" t="s">
        <v>1829</v>
      </c>
      <c r="I369" t="s">
        <v>1830</v>
      </c>
      <c r="J369" s="4" t="s">
        <v>70</v>
      </c>
      <c r="K369" s="4" t="s">
        <v>71</v>
      </c>
      <c r="L369" t="s">
        <v>1845</v>
      </c>
      <c r="M369" t="s">
        <v>1827</v>
      </c>
      <c r="N369" t="s">
        <v>1828</v>
      </c>
      <c r="O369">
        <f>IFERROR(VLOOKUP(HEVARIM[[#This Row],[קוד תקציב]],[2]תקציבים!A:L,6,0),0)</f>
        <v>2</v>
      </c>
      <c r="P369" s="5" t="s">
        <v>227</v>
      </c>
      <c r="Q369" t="s">
        <v>14</v>
      </c>
      <c r="R369" s="4">
        <v>41497</v>
      </c>
      <c r="S369" s="4" t="s">
        <v>90</v>
      </c>
      <c r="T369" s="96" t="s">
        <v>1829</v>
      </c>
      <c r="U369" t="str">
        <f>VLOOKUP(HEVARIM[[#This Row],[גיל]],GIL,2,1)</f>
        <v>יסודי</v>
      </c>
      <c r="V369">
        <f>IF(HEVARIM[[#This Row],[קוד מעמד]]="4     ",IF(HEVARIM[[#This Row],[גיל]]=1,1,IF(HEVARIM[[#This Row],[גיל]]&lt;=5,5,18)),"")</f>
        <v>18</v>
      </c>
      <c r="W369">
        <f t="shared" si="20"/>
        <v>0</v>
      </c>
      <c r="X36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69">
        <f>IF(HEVARIM[[#This Row],[מצב משפחתי2]]="אלמן",'[2]ריכוז נתונים'!$AC$2,0)</f>
        <v>0</v>
      </c>
      <c r="Z369" s="3">
        <f>VLOOKUP(VALUE(HEVARIM[[#This Row],[קוד מעמד]]),הנחות!$I$2:$K$21,3,0)</f>
        <v>1</v>
      </c>
      <c r="AA369" t="b">
        <f>ISERROR(VLOOKUP(HEVARIM[[#This Row],[קוד תקציב]],'[2]ריכוז נתונים'!A:A,1,0))</f>
        <v>0</v>
      </c>
      <c r="AB369" s="1">
        <f t="shared" si="21"/>
        <v>0</v>
      </c>
      <c r="AC369" s="2">
        <f ca="1">IF(HEVARIM[[#This Row],[בר מצוה]]&gt;0,YEAR(TODAY())+'תקציבים מיוחדים'!$F$5-HEVARIM[[#This Row],[גיל]],0)</f>
        <v>0</v>
      </c>
      <c r="AD369" s="1">
        <f t="shared" si="22"/>
        <v>6613.8461538461543</v>
      </c>
      <c r="AE369" s="2">
        <f ca="1">IF(HEVARIM[[#This Row],[בת מצוה]]&gt;0,YEAR(TODAY())+'תקציבים מיוחדים'!$F$5-HEVARIM[[#This Row],[גיל]],0)</f>
        <v>2027</v>
      </c>
      <c r="AF369" s="1">
        <f>IF(AND($S369&gt;="רווק",$Z369=1),AF$4*IF(HEVARIM[[#This Row],[גיל]]&gt;$AF$3,1,(($G369-AF$2)/(AF$3-AF$2))),0)</f>
        <v>34578.571428571428</v>
      </c>
      <c r="AG369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369" s="1">
        <f t="shared" si="23"/>
        <v>60336.28571428571</v>
      </c>
      <c r="AI369" s="2">
        <f ca="1">IF(AH369&gt;0,YEAR(TODAY())+'תקציבים מיוחדים'!$F$7-HEVARIM[[#This Row],[גיל]],0)</f>
        <v>2035</v>
      </c>
      <c r="AJ369" s="9">
        <f>IF(AND(ISERROR(VLOOKUP(H369,'[2]ריכוז נתונים'!A:L,1,0)),P369="1     "),1,0)</f>
        <v>0</v>
      </c>
      <c r="AK36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69" s="1">
        <f>IF(AND(VALUE(HEVARIM[[#This Row],[קוד מעמד]])=1,HEVARIM[[#This Row],[ותק מחברה 40]]&lt;25),HEVARIM[[#This Row],[ותק מחברה 40]]/25*הנחות!$C$4,0)</f>
        <v>0</v>
      </c>
      <c r="AM369" s="9" t="str">
        <f ca="1">IF(HEVARIM[[#This Row],[דמי עזיבה 25 שנות ותק]]&gt;0,YEAR(TODAY())+25-ROUNDDOWN(HEVARIM[[#This Row],[ותק מחברה 40]],0),"")</f>
        <v/>
      </c>
      <c r="AN3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69" s="9" t="str">
        <f ca="1">IF(HEVARIM[[#This Row],[דמי עזיבה לגיל 65]]&gt;0,YEAR(TODAY())+64-ROUNDDOWN(HEVARIM[[#This Row],[גיל]],0),"")</f>
        <v/>
      </c>
      <c r="AP369" s="1">
        <f>SUMIF(HEVARIM[קוד תקציב],HEVARIM[[#This Row],[קוד תקציב משפחה מקורי]],HEVARIM[ותק מחברה 40])</f>
        <v>66.67</v>
      </c>
      <c r="AQ3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69" s="9">
        <f>IF(HEVARIM[[#This Row],[קוד מעמד]]="1     ",IFERROR(VLOOKUP(HEVARIM[[#This Row],[קוד תקציב]],'תקציב צביעה - לקראת השינוי'!A:F,4,0),0),0)</f>
        <v>0</v>
      </c>
      <c r="AT369" s="1"/>
    </row>
    <row r="370" spans="1:46">
      <c r="A370" t="s">
        <v>1927</v>
      </c>
      <c r="B370" t="s">
        <v>1928</v>
      </c>
      <c r="C370" t="s">
        <v>1753</v>
      </c>
      <c r="D370" t="s">
        <v>1929</v>
      </c>
      <c r="E370" t="s">
        <v>67</v>
      </c>
      <c r="F370" s="4">
        <v>35325</v>
      </c>
      <c r="G370">
        <v>29</v>
      </c>
      <c r="H370" t="s">
        <v>1930</v>
      </c>
      <c r="I370" t="s">
        <v>1928</v>
      </c>
      <c r="J370" s="4" t="s">
        <v>70</v>
      </c>
      <c r="K370" s="4" t="s">
        <v>81</v>
      </c>
      <c r="L370" t="s">
        <v>1931</v>
      </c>
      <c r="M370" t="s">
        <v>1927</v>
      </c>
      <c r="N370" t="s">
        <v>1928</v>
      </c>
      <c r="O370">
        <f>IFERROR(VLOOKUP(HEVARIM[[#This Row],[קוד תקציב]],[2]תקציבים!A:L,6,0),0)</f>
        <v>0</v>
      </c>
      <c r="P370" s="5" t="s">
        <v>129</v>
      </c>
      <c r="Q370" t="s">
        <v>26</v>
      </c>
      <c r="R370" s="4">
        <v>44743</v>
      </c>
      <c r="S370" s="4" t="s">
        <v>90</v>
      </c>
      <c r="T370" s="96" t="s">
        <v>1829</v>
      </c>
      <c r="U370" t="str">
        <f>VLOOKUP(HEVARIM[[#This Row],[גיל]],GIL,2,1)</f>
        <v>--</v>
      </c>
      <c r="V370" t="str">
        <f>IF(HEVARIM[[#This Row],[קוד מעמד]]="4     ",IF(HEVARIM[[#This Row],[גיל]]=1,1,IF(HEVARIM[[#This Row],[גיל]]&lt;=5,5,18)),"")</f>
        <v/>
      </c>
      <c r="W370">
        <f t="shared" si="20"/>
        <v>0</v>
      </c>
      <c r="X37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0">
        <f>IF(HEVARIM[[#This Row],[מצב משפחתי2]]="אלמן",'[2]ריכוז נתונים'!$AC$2,0)</f>
        <v>0</v>
      </c>
      <c r="Z370" s="3">
        <f>VLOOKUP(VALUE(HEVARIM[[#This Row],[קוד מעמד]]),הנחות!$I$2:$K$21,3,0)</f>
        <v>1</v>
      </c>
      <c r="AA370" t="b">
        <f>ISERROR(VLOOKUP(HEVARIM[[#This Row],[קוד תקציב]],'[2]ריכוז נתונים'!A:A,1,0))</f>
        <v>1</v>
      </c>
      <c r="AB370" s="1">
        <f t="shared" si="21"/>
        <v>0</v>
      </c>
      <c r="AC370" s="2">
        <f ca="1">IF(HEVARIM[[#This Row],[בר מצוה]]&gt;0,YEAR(TODAY())+'תקציבים מיוחדים'!$F$5-HEVARIM[[#This Row],[גיל]],0)</f>
        <v>0</v>
      </c>
      <c r="AD370" s="1">
        <f t="shared" si="22"/>
        <v>0</v>
      </c>
      <c r="AE370" s="2">
        <f ca="1">IF(HEVARIM[[#This Row],[בת מצוה]]&gt;0,YEAR(TODAY())+'תקציבים מיוחדים'!$F$5-HEVARIM[[#This Row],[גיל]],0)</f>
        <v>0</v>
      </c>
      <c r="AF370" s="1">
        <f>IF(AND($S370&gt;="רווק",$Z370=1),AF$4*IF(HEVARIM[[#This Row],[גיל]]&gt;$AF$3,1,(($G370-AF$2)/(AF$3-AF$2))),0)</f>
        <v>60512.5</v>
      </c>
      <c r="AG370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70" s="1">
        <f t="shared" si="23"/>
        <v>0</v>
      </c>
      <c r="AI370" s="2">
        <f ca="1">IF(AH370&gt;0,YEAR(TODAY())+'תקציבים מיוחדים'!$F$7-HEVARIM[[#This Row],[גיל]],0)</f>
        <v>0</v>
      </c>
      <c r="AJ370" s="9">
        <f>IF(AND(ISERROR(VLOOKUP(H370,'[2]ריכוז נתונים'!A:L,1,0)),P370="1     "),1,0)</f>
        <v>0</v>
      </c>
      <c r="AK37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0" s="1">
        <f>IF(AND(VALUE(HEVARIM[[#This Row],[קוד מעמד]])=1,HEVARIM[[#This Row],[ותק מחברה 40]]&lt;25),HEVARIM[[#This Row],[ותק מחברה 40]]/25*הנחות!$C$4,0)</f>
        <v>0</v>
      </c>
      <c r="AM370" s="9" t="str">
        <f ca="1">IF(HEVARIM[[#This Row],[דמי עזיבה 25 שנות ותק]]&gt;0,YEAR(TODAY())+25-ROUNDDOWN(HEVARIM[[#This Row],[ותק מחברה 40]],0),"")</f>
        <v/>
      </c>
      <c r="AN37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0" s="9" t="str">
        <f ca="1">IF(HEVARIM[[#This Row],[דמי עזיבה לגיל 65]]&gt;0,YEAR(TODAY())+64-ROUNDDOWN(HEVARIM[[#This Row],[גיל]],0),"")</f>
        <v/>
      </c>
      <c r="AP370" s="1">
        <f>SUMIF(HEVARIM[קוד תקציב],HEVARIM[[#This Row],[קוד תקציב משפחה מקורי]],HEVARIM[ותק מחברה 40])</f>
        <v>66.67</v>
      </c>
      <c r="AQ3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0" s="9">
        <f>IF(HEVARIM[[#This Row],[קוד מעמד]]="1     ",IFERROR(VLOOKUP(HEVARIM[[#This Row],[קוד תקציב]],'תקציב צביעה - לקראת השינוי'!A:F,4,0),0),0)</f>
        <v>0</v>
      </c>
      <c r="AT370" s="1"/>
    </row>
    <row r="371" spans="1:46">
      <c r="A371" t="s">
        <v>1918</v>
      </c>
      <c r="B371" t="s">
        <v>1919</v>
      </c>
      <c r="C371" t="s">
        <v>1691</v>
      </c>
      <c r="D371" t="s">
        <v>781</v>
      </c>
      <c r="E371" t="s">
        <v>79</v>
      </c>
      <c r="F371" s="4">
        <v>39091</v>
      </c>
      <c r="G371">
        <v>18</v>
      </c>
      <c r="H371" t="s">
        <v>1849</v>
      </c>
      <c r="I371" t="s">
        <v>1850</v>
      </c>
      <c r="J371" s="4" t="s">
        <v>70</v>
      </c>
      <c r="K371" s="4" t="s">
        <v>71</v>
      </c>
      <c r="L371" t="s">
        <v>1920</v>
      </c>
      <c r="M371" t="s">
        <v>1846</v>
      </c>
      <c r="N371" t="s">
        <v>1847</v>
      </c>
      <c r="O371">
        <f>IFERROR(VLOOKUP(HEVARIM[[#This Row],[קוד תקציב]],[2]תקציבים!A:L,6,0),0)</f>
        <v>2</v>
      </c>
      <c r="P371" s="5" t="s">
        <v>1688</v>
      </c>
      <c r="Q371" t="s">
        <v>20</v>
      </c>
      <c r="R371" s="4">
        <v>45901</v>
      </c>
      <c r="S371" s="4" t="s">
        <v>90</v>
      </c>
      <c r="T371" s="96" t="s">
        <v>1849</v>
      </c>
      <c r="U371" t="str">
        <f>VLOOKUP(HEVARIM[[#This Row],[גיל]],GIL,2,1)</f>
        <v>--</v>
      </c>
      <c r="V371" t="str">
        <f>IF(HEVARIM[[#This Row],[קוד מעמד]]="4     ",IF(HEVARIM[[#This Row],[גיל]]=1,1,IF(HEVARIM[[#This Row],[גיל]]&lt;=5,5,18)),"")</f>
        <v/>
      </c>
      <c r="W371">
        <f t="shared" si="20"/>
        <v>0</v>
      </c>
      <c r="X37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1">
        <f>IF(HEVARIM[[#This Row],[מצב משפחתי2]]="אלמן",'[2]ריכוז נתונים'!$AC$2,0)</f>
        <v>0</v>
      </c>
      <c r="Z371" s="3">
        <f>VLOOKUP(VALUE(HEVARIM[[#This Row],[קוד מעמד]]),הנחות!$I$2:$K$21,3,0)</f>
        <v>1</v>
      </c>
      <c r="AA371" t="b">
        <f>ISERROR(VLOOKUP(HEVARIM[[#This Row],[קוד תקציב]],'[2]ריכוז נתונים'!A:A,1,0))</f>
        <v>0</v>
      </c>
      <c r="AB371" s="1">
        <f t="shared" si="21"/>
        <v>0</v>
      </c>
      <c r="AC371" s="2">
        <f ca="1">IF(HEVARIM[[#This Row],[בר מצוה]]&gt;0,YEAR(TODAY())+'תקציבים מיוחדים'!$F$5-HEVARIM[[#This Row],[גיל]],0)</f>
        <v>0</v>
      </c>
      <c r="AD371" s="1">
        <f t="shared" si="22"/>
        <v>0</v>
      </c>
      <c r="AE371" s="2">
        <f ca="1">IF(HEVARIM[[#This Row],[בת מצוה]]&gt;0,YEAR(TODAY())+'תקציבים מיוחדים'!$F$5-HEVARIM[[#This Row],[גיל]],0)</f>
        <v>0</v>
      </c>
      <c r="AF371" s="1">
        <f>IF(AND($S371&gt;="רווק",$Z371=1),AF$4*IF(HEVARIM[[#This Row],[גיל]]&gt;$AF$3,1,(($G371-AF$2)/(AF$3-AF$2))),0)</f>
        <v>51867.857142857138</v>
      </c>
      <c r="AG371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371" s="1">
        <f t="shared" si="23"/>
        <v>90504.428571428565</v>
      </c>
      <c r="AI371" s="2">
        <f ca="1">IF(AH371&gt;0,YEAR(TODAY())+'תקציבים מיוחדים'!$F$7-HEVARIM[[#This Row],[גיל]],0)</f>
        <v>2029</v>
      </c>
      <c r="AJ371" s="9">
        <f>IF(AND(ISERROR(VLOOKUP(H371,'[2]ריכוז נתונים'!A:L,1,0)),P371="1     "),1,0)</f>
        <v>0</v>
      </c>
      <c r="AK37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1" s="1">
        <f>IF(AND(VALUE(HEVARIM[[#This Row],[קוד מעמד]])=1,HEVARIM[[#This Row],[ותק מחברה 40]]&lt;25),HEVARIM[[#This Row],[ותק מחברה 40]]/25*הנחות!$C$4,0)</f>
        <v>0</v>
      </c>
      <c r="AM371" s="9" t="str">
        <f ca="1">IF(HEVARIM[[#This Row],[דמי עזיבה 25 שנות ותק]]&gt;0,YEAR(TODAY())+25-ROUNDDOWN(HEVARIM[[#This Row],[ותק מחברה 40]],0),"")</f>
        <v/>
      </c>
      <c r="AN3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1" s="9" t="str">
        <f ca="1">IF(HEVARIM[[#This Row],[דמי עזיבה לגיל 65]]&gt;0,YEAR(TODAY())+64-ROUNDDOWN(HEVARIM[[#This Row],[גיל]],0),"")</f>
        <v/>
      </c>
      <c r="AP371" s="1">
        <f>SUMIF(HEVARIM[קוד תקציב],HEVARIM[[#This Row],[קוד תקציב משפחה מקורי]],HEVARIM[ותק מחברה 40])</f>
        <v>43.870000000000005</v>
      </c>
      <c r="AQ3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1" s="9">
        <f>IF(HEVARIM[[#This Row],[קוד מעמד]]="1     ",IFERROR(VLOOKUP(HEVARIM[[#This Row],[קוד תקציב]],'תקציב צביעה - לקראת השינוי'!A:F,4,0),0),0)</f>
        <v>0</v>
      </c>
      <c r="AT371" s="1"/>
    </row>
    <row r="372" spans="1:46">
      <c r="A372" t="s">
        <v>1852</v>
      </c>
      <c r="B372" t="s">
        <v>1853</v>
      </c>
      <c r="C372" t="s">
        <v>1691</v>
      </c>
      <c r="D372" t="s">
        <v>1854</v>
      </c>
      <c r="E372" t="s">
        <v>79</v>
      </c>
      <c r="F372" s="4">
        <v>28640</v>
      </c>
      <c r="G372">
        <v>47</v>
      </c>
      <c r="H372" t="s">
        <v>1849</v>
      </c>
      <c r="I372" t="s">
        <v>1850</v>
      </c>
      <c r="J372" s="4" t="s">
        <v>70</v>
      </c>
      <c r="K372" s="4" t="s">
        <v>71</v>
      </c>
      <c r="L372" t="s">
        <v>1855</v>
      </c>
      <c r="M372" t="s">
        <v>1846</v>
      </c>
      <c r="N372" t="s">
        <v>1847</v>
      </c>
      <c r="O372">
        <f>IFERROR(VLOOKUP(HEVARIM[[#This Row],[קוד תקציב]],[2]תקציבים!A:L,6,0),0)</f>
        <v>2</v>
      </c>
      <c r="P372" s="5" t="s">
        <v>104</v>
      </c>
      <c r="Q372" t="s">
        <v>11</v>
      </c>
      <c r="R372" s="4">
        <v>38991</v>
      </c>
      <c r="S372" s="4" t="s">
        <v>74</v>
      </c>
      <c r="T372" s="96" t="s">
        <v>1849</v>
      </c>
      <c r="U372" t="str">
        <f>VLOOKUP(HEVARIM[[#This Row],[גיל]],GIL,2,1)</f>
        <v>--</v>
      </c>
      <c r="V372" t="str">
        <f>IF(HEVARIM[[#This Row],[קוד מעמד]]="4     ",IF(HEVARIM[[#This Row],[גיל]]=1,1,IF(HEVARIM[[#This Row],[גיל]]&lt;=5,5,18)),"")</f>
        <v/>
      </c>
      <c r="W372">
        <f t="shared" si="20"/>
        <v>0</v>
      </c>
      <c r="X37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2">
        <f>IF(HEVARIM[[#This Row],[מצב משפחתי2]]="אלמן",'[2]ריכוז נתונים'!$AC$2,0)</f>
        <v>0</v>
      </c>
      <c r="Z372" s="3">
        <f>VLOOKUP(VALUE(HEVARIM[[#This Row],[קוד מעמד]]),הנחות!$I$2:$K$21,3,0)</f>
        <v>0</v>
      </c>
      <c r="AA372" t="b">
        <f>ISERROR(VLOOKUP(HEVARIM[[#This Row],[קוד תקציב]],'[2]ריכוז נתונים'!A:A,1,0))</f>
        <v>0</v>
      </c>
      <c r="AB372" s="1">
        <f t="shared" si="21"/>
        <v>0</v>
      </c>
      <c r="AC372" s="2">
        <f ca="1">IF(HEVARIM[[#This Row],[בר מצוה]]&gt;0,YEAR(TODAY())+'תקציבים מיוחדים'!$F$5-HEVARIM[[#This Row],[גיל]],0)</f>
        <v>0</v>
      </c>
      <c r="AD372" s="1">
        <f t="shared" si="22"/>
        <v>0</v>
      </c>
      <c r="AE372" s="2">
        <f ca="1">IF(HEVARIM[[#This Row],[בת מצוה]]&gt;0,YEAR(TODAY())+'תקציבים מיוחדים'!$F$5-HEVARIM[[#This Row],[גיל]],0)</f>
        <v>0</v>
      </c>
      <c r="AF372" s="1">
        <f>IF(AND($S372&gt;="רווק",$Z372=1),AF$4*IF(HEVARIM[[#This Row],[גיל]]&gt;$AF$3,1,(($G372-AF$2)/(AF$3-AF$2))),0)</f>
        <v>0</v>
      </c>
      <c r="AG37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72" s="1">
        <f t="shared" si="23"/>
        <v>0</v>
      </c>
      <c r="AI372" s="2">
        <f ca="1">IF(AH372&gt;0,YEAR(TODAY())+'תקציבים מיוחדים'!$F$7-HEVARIM[[#This Row],[גיל]],0)</f>
        <v>0</v>
      </c>
      <c r="AJ372" s="9">
        <f>IF(AND(ISERROR(VLOOKUP(H372,'[2]ריכוז נתונים'!A:L,1,0)),P372="1     "),1,0)</f>
        <v>0</v>
      </c>
      <c r="AK372" s="1">
        <f>IF(VALUE(HEVARIM[[#This Row],[קוד מעמד]])=1,VLOOKUP((IF(LEFT(HEVARIM[[#This Row],[קוד חבר]],1)="0",HEVARIM[[#This Row],[קוד חבר]],VALUE(HEVARIM[[#This Row],[קוד חבר]]))),'ותק חברה 40'!AQ:AW,7,0),"")</f>
        <v>20.93</v>
      </c>
      <c r="AL372" s="1">
        <f>IF(AND(VALUE(HEVARIM[[#This Row],[קוד מעמד]])=1,HEVARIM[[#This Row],[ותק מחברה 40]]&lt;25),HEVARIM[[#This Row],[ותק מחברה 40]]/25*הנחות!$C$4,0)</f>
        <v>31423.977584999993</v>
      </c>
      <c r="AM372" s="9">
        <f ca="1">IF(HEVARIM[[#This Row],[דמי עזיבה 25 שנות ותק]]&gt;0,YEAR(TODAY())+25-ROUNDDOWN(HEVARIM[[#This Row],[ותק מחברה 40]],0),"")</f>
        <v>2031</v>
      </c>
      <c r="AN3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2" s="9" t="str">
        <f ca="1">IF(HEVARIM[[#This Row],[דמי עזיבה לגיל 65]]&gt;0,YEAR(TODAY())+64-ROUNDDOWN(HEVARIM[[#This Row],[גיל]],0),"")</f>
        <v/>
      </c>
      <c r="AP372" s="1">
        <f>SUMIF(HEVARIM[קוד תקציב],HEVARIM[[#This Row],[קוד תקציב משפחה מקורי]],HEVARIM[ותק מחברה 40])</f>
        <v>43.870000000000005</v>
      </c>
      <c r="AQ3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72" s="9">
        <f>IF(HEVARIM[[#This Row],[קוד מעמד]]="1     ",IFERROR(VLOOKUP(HEVARIM[[#This Row],[קוד תקציב]],'תקציב צביעה - לקראת השינוי'!A:F,4,0),0),0)</f>
        <v>2028</v>
      </c>
      <c r="AT372" s="1"/>
    </row>
    <row r="373" spans="1:46">
      <c r="A373" t="s">
        <v>1856</v>
      </c>
      <c r="B373" t="s">
        <v>1857</v>
      </c>
      <c r="C373" t="s">
        <v>1691</v>
      </c>
      <c r="D373" t="s">
        <v>1506</v>
      </c>
      <c r="E373" t="s">
        <v>67</v>
      </c>
      <c r="F373" s="4">
        <v>39729</v>
      </c>
      <c r="G373">
        <v>17</v>
      </c>
      <c r="H373" t="s">
        <v>1849</v>
      </c>
      <c r="I373" t="s">
        <v>1850</v>
      </c>
      <c r="J373" s="4" t="s">
        <v>70</v>
      </c>
      <c r="K373" s="4" t="s">
        <v>71</v>
      </c>
      <c r="L373" t="s">
        <v>1858</v>
      </c>
      <c r="M373" t="s">
        <v>1846</v>
      </c>
      <c r="N373" t="s">
        <v>1847</v>
      </c>
      <c r="O373">
        <f>IFERROR(VLOOKUP(HEVARIM[[#This Row],[קוד תקציב]],[2]תקציבים!A:L,6,0),0)</f>
        <v>2</v>
      </c>
      <c r="P373" s="5" t="s">
        <v>227</v>
      </c>
      <c r="Q373" t="s">
        <v>14</v>
      </c>
      <c r="R373" s="4">
        <v>39729</v>
      </c>
      <c r="S373" s="4" t="s">
        <v>90</v>
      </c>
      <c r="T373" s="96" t="s">
        <v>1849</v>
      </c>
      <c r="U373" t="str">
        <f>VLOOKUP(HEVARIM[[#This Row],[גיל]],GIL,2,1)</f>
        <v>תיכון</v>
      </c>
      <c r="V373">
        <f>IF(HEVARIM[[#This Row],[קוד מעמד]]="4     ",IF(HEVARIM[[#This Row],[גיל]]=1,1,IF(HEVARIM[[#This Row],[גיל]]&lt;=5,5,18)),"")</f>
        <v>18</v>
      </c>
      <c r="W373">
        <f t="shared" si="20"/>
        <v>0</v>
      </c>
      <c r="X37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3">
        <f>IF(HEVARIM[[#This Row],[מצב משפחתי2]]="אלמן",'[2]ריכוז נתונים'!$AC$2,0)</f>
        <v>0</v>
      </c>
      <c r="Z373" s="3">
        <f>VLOOKUP(VALUE(HEVARIM[[#This Row],[קוד מעמד]]),הנחות!$I$2:$K$21,3,0)</f>
        <v>1</v>
      </c>
      <c r="AA373" t="b">
        <f>ISERROR(VLOOKUP(HEVARIM[[#This Row],[קוד תקציב]],'[2]ריכוז נתונים'!A:A,1,0))</f>
        <v>0</v>
      </c>
      <c r="AB373" s="1">
        <f t="shared" si="21"/>
        <v>0</v>
      </c>
      <c r="AC373" s="2">
        <f ca="1">IF(HEVARIM[[#This Row],[בר מצוה]]&gt;0,YEAR(TODAY())+'תקציבים מיוחדים'!$F$5-HEVARIM[[#This Row],[גיל]],0)</f>
        <v>0</v>
      </c>
      <c r="AD373" s="1">
        <f t="shared" si="22"/>
        <v>0</v>
      </c>
      <c r="AE373" s="2">
        <f ca="1">IF(HEVARIM[[#This Row],[בת מצוה]]&gt;0,YEAR(TODAY())+'תקציבים מיוחדים'!$F$5-HEVARIM[[#This Row],[גיל]],0)</f>
        <v>0</v>
      </c>
      <c r="AF373" s="1">
        <f>IF(AND($S373&gt;="רווק",$Z373=1),AF$4*IF(HEVARIM[[#This Row],[גיל]]&gt;$AF$3,1,(($G373-AF$2)/(AF$3-AF$2))),0)</f>
        <v>48986.309523809527</v>
      </c>
      <c r="AG373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373" s="1">
        <f t="shared" si="23"/>
        <v>85476.404761904763</v>
      </c>
      <c r="AI373" s="2">
        <f ca="1">IF(AH373&gt;0,YEAR(TODAY())+'תקציבים מיוחדים'!$F$7-HEVARIM[[#This Row],[גיל]],0)</f>
        <v>2030</v>
      </c>
      <c r="AJ373" s="9">
        <f>IF(AND(ISERROR(VLOOKUP(H373,'[2]ריכוז נתונים'!A:L,1,0)),P373="1     "),1,0)</f>
        <v>0</v>
      </c>
      <c r="AK37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3" s="1">
        <f>IF(AND(VALUE(HEVARIM[[#This Row],[קוד מעמד]])=1,HEVARIM[[#This Row],[ותק מחברה 40]]&lt;25),HEVARIM[[#This Row],[ותק מחברה 40]]/25*הנחות!$C$4,0)</f>
        <v>0</v>
      </c>
      <c r="AM373" s="9" t="str">
        <f ca="1">IF(HEVARIM[[#This Row],[דמי עזיבה 25 שנות ותק]]&gt;0,YEAR(TODAY())+25-ROUNDDOWN(HEVARIM[[#This Row],[ותק מחברה 40]],0),"")</f>
        <v/>
      </c>
      <c r="AN3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3" s="9" t="str">
        <f ca="1">IF(HEVARIM[[#This Row],[דמי עזיבה לגיל 65]]&gt;0,YEAR(TODAY())+64-ROUNDDOWN(HEVARIM[[#This Row],[גיל]],0),"")</f>
        <v/>
      </c>
      <c r="AP373" s="1">
        <f>SUMIF(HEVARIM[קוד תקציב],HEVARIM[[#This Row],[קוד תקציב משפחה מקורי]],HEVARIM[ותק מחברה 40])</f>
        <v>43.870000000000005</v>
      </c>
      <c r="AQ3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3" s="9">
        <f>IF(HEVARIM[[#This Row],[קוד מעמד]]="1     ",IFERROR(VLOOKUP(HEVARIM[[#This Row],[קוד תקציב]],'תקציב צביעה - לקראת השינוי'!A:F,4,0),0),0)</f>
        <v>0</v>
      </c>
      <c r="AT373" s="1"/>
    </row>
    <row r="374" spans="1:46">
      <c r="A374" t="s">
        <v>1859</v>
      </c>
      <c r="B374" t="s">
        <v>1860</v>
      </c>
      <c r="C374" t="s">
        <v>1691</v>
      </c>
      <c r="D374" t="s">
        <v>1861</v>
      </c>
      <c r="E374" t="s">
        <v>67</v>
      </c>
      <c r="F374" s="4">
        <v>40361</v>
      </c>
      <c r="G374">
        <v>15</v>
      </c>
      <c r="H374" t="s">
        <v>1849</v>
      </c>
      <c r="I374" t="s">
        <v>1850</v>
      </c>
      <c r="J374" s="4" t="s">
        <v>70</v>
      </c>
      <c r="K374" s="4" t="s">
        <v>71</v>
      </c>
      <c r="L374" t="s">
        <v>1862</v>
      </c>
      <c r="M374" t="s">
        <v>1846</v>
      </c>
      <c r="N374" t="s">
        <v>1847</v>
      </c>
      <c r="O374">
        <f>IFERROR(VLOOKUP(HEVARIM[[#This Row],[קוד תקציב]],[2]תקציבים!A:L,6,0),0)</f>
        <v>2</v>
      </c>
      <c r="P374" s="5" t="s">
        <v>227</v>
      </c>
      <c r="Q374" t="s">
        <v>14</v>
      </c>
      <c r="R374" s="4">
        <v>40361</v>
      </c>
      <c r="S374" s="4" t="s">
        <v>90</v>
      </c>
      <c r="T374" s="96" t="s">
        <v>1849</v>
      </c>
      <c r="U374" t="str">
        <f>VLOOKUP(HEVARIM[[#This Row],[גיל]],GIL,2,1)</f>
        <v>תיכון</v>
      </c>
      <c r="V374">
        <f>IF(HEVARIM[[#This Row],[קוד מעמד]]="4     ",IF(HEVARIM[[#This Row],[גיל]]=1,1,IF(HEVARIM[[#This Row],[גיל]]&lt;=5,5,18)),"")</f>
        <v>18</v>
      </c>
      <c r="W374">
        <f t="shared" si="20"/>
        <v>0</v>
      </c>
      <c r="X37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4">
        <f>IF(HEVARIM[[#This Row],[מצב משפחתי2]]="אלמן",'[2]ריכוז נתונים'!$AC$2,0)</f>
        <v>0</v>
      </c>
      <c r="Z374" s="3">
        <f>VLOOKUP(VALUE(HEVARIM[[#This Row],[קוד מעמד]]),הנחות!$I$2:$K$21,3,0)</f>
        <v>1</v>
      </c>
      <c r="AA374" t="b">
        <f>ISERROR(VLOOKUP(HEVARIM[[#This Row],[קוד תקציב]],'[2]ריכוז נתונים'!A:A,1,0))</f>
        <v>0</v>
      </c>
      <c r="AB374" s="1">
        <f t="shared" si="21"/>
        <v>0</v>
      </c>
      <c r="AC374" s="2">
        <f ca="1">IF(HEVARIM[[#This Row],[בר מצוה]]&gt;0,YEAR(TODAY())+'תקציבים מיוחדים'!$F$5-HEVARIM[[#This Row],[גיל]],0)</f>
        <v>0</v>
      </c>
      <c r="AD374" s="1">
        <f t="shared" si="22"/>
        <v>0</v>
      </c>
      <c r="AE374" s="2">
        <f ca="1">IF(HEVARIM[[#This Row],[בת מצוה]]&gt;0,YEAR(TODAY())+'תקציבים מיוחדים'!$F$5-HEVARIM[[#This Row],[גיל]],0)</f>
        <v>0</v>
      </c>
      <c r="AF374" s="1">
        <f>IF(AND($S374&gt;="רווק",$Z374=1),AF$4*IF(HEVARIM[[#This Row],[גיל]]&gt;$AF$3,1,(($G374-AF$2)/(AF$3-AF$2))),0)</f>
        <v>43223.21428571429</v>
      </c>
      <c r="AG374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374" s="1">
        <f t="shared" si="23"/>
        <v>75420.357142857145</v>
      </c>
      <c r="AI374" s="2">
        <f ca="1">IF(AH374&gt;0,YEAR(TODAY())+'תקציבים מיוחדים'!$F$7-HEVARIM[[#This Row],[גיל]],0)</f>
        <v>2032</v>
      </c>
      <c r="AJ374" s="9">
        <f>IF(AND(ISERROR(VLOOKUP(H374,'[2]ריכוז נתונים'!A:L,1,0)),P374="1     "),1,0)</f>
        <v>0</v>
      </c>
      <c r="AK37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4" s="1">
        <f>IF(AND(VALUE(HEVARIM[[#This Row],[קוד מעמד]])=1,HEVARIM[[#This Row],[ותק מחברה 40]]&lt;25),HEVARIM[[#This Row],[ותק מחברה 40]]/25*הנחות!$C$4,0)</f>
        <v>0</v>
      </c>
      <c r="AM374" s="9" t="str">
        <f ca="1">IF(HEVARIM[[#This Row],[דמי עזיבה 25 שנות ותק]]&gt;0,YEAR(TODAY())+25-ROUNDDOWN(HEVARIM[[#This Row],[ותק מחברה 40]],0),"")</f>
        <v/>
      </c>
      <c r="AN37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4" s="9" t="str">
        <f ca="1">IF(HEVARIM[[#This Row],[דמי עזיבה לגיל 65]]&gt;0,YEAR(TODAY())+64-ROUNDDOWN(HEVARIM[[#This Row],[גיל]],0),"")</f>
        <v/>
      </c>
      <c r="AP374" s="1">
        <f>SUMIF(HEVARIM[קוד תקציב],HEVARIM[[#This Row],[קוד תקציב משפחה מקורי]],HEVARIM[ותק מחברה 40])</f>
        <v>43.870000000000005</v>
      </c>
      <c r="AQ3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4" s="9">
        <f>IF(HEVARIM[[#This Row],[קוד מעמד]]="1     ",IFERROR(VLOOKUP(HEVARIM[[#This Row],[קוד תקציב]],'תקציב צביעה - לקראת השינוי'!A:F,4,0),0),0)</f>
        <v>0</v>
      </c>
      <c r="AT374" s="1"/>
    </row>
    <row r="375" spans="1:46">
      <c r="A375" t="s">
        <v>1863</v>
      </c>
      <c r="B375" t="s">
        <v>1864</v>
      </c>
      <c r="C375" t="s">
        <v>1691</v>
      </c>
      <c r="D375" t="s">
        <v>421</v>
      </c>
      <c r="E375" t="s">
        <v>79</v>
      </c>
      <c r="F375" s="4">
        <v>41249</v>
      </c>
      <c r="G375">
        <v>13</v>
      </c>
      <c r="H375" t="s">
        <v>1849</v>
      </c>
      <c r="I375" t="s">
        <v>1850</v>
      </c>
      <c r="J375" s="4" t="s">
        <v>70</v>
      </c>
      <c r="K375" s="4" t="s">
        <v>71</v>
      </c>
      <c r="L375" t="s">
        <v>1865</v>
      </c>
      <c r="M375" t="s">
        <v>1846</v>
      </c>
      <c r="N375" t="s">
        <v>1847</v>
      </c>
      <c r="O375">
        <f>IFERROR(VLOOKUP(HEVARIM[[#This Row],[קוד תקציב]],[2]תקציבים!A:L,6,0),0)</f>
        <v>2</v>
      </c>
      <c r="P375" s="5" t="s">
        <v>227</v>
      </c>
      <c r="Q375" t="s">
        <v>14</v>
      </c>
      <c r="R375" s="4">
        <v>41249</v>
      </c>
      <c r="S375" s="4" t="s">
        <v>90</v>
      </c>
      <c r="T375" s="96" t="s">
        <v>1849</v>
      </c>
      <c r="U375" t="str">
        <f>VLOOKUP(HEVARIM[[#This Row],[גיל]],GIL,2,1)</f>
        <v>חטיבה</v>
      </c>
      <c r="V375">
        <f>IF(HEVARIM[[#This Row],[קוד מעמד]]="4     ",IF(HEVARIM[[#This Row],[גיל]]=1,1,IF(HEVARIM[[#This Row],[גיל]]&lt;=5,5,18)),"")</f>
        <v>18</v>
      </c>
      <c r="W375">
        <f t="shared" si="20"/>
        <v>0</v>
      </c>
      <c r="X37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5">
        <f>IF(HEVARIM[[#This Row],[מצב משפחתי2]]="אלמן",'[2]ריכוז נתונים'!$AC$2,0)</f>
        <v>0</v>
      </c>
      <c r="Z375" s="3">
        <f>VLOOKUP(VALUE(HEVARIM[[#This Row],[קוד מעמד]]),הנחות!$I$2:$K$21,3,0)</f>
        <v>1</v>
      </c>
      <c r="AA375" t="b">
        <f>ISERROR(VLOOKUP(HEVARIM[[#This Row],[קוד תקציב]],'[2]ריכוז נתונים'!A:A,1,0))</f>
        <v>0</v>
      </c>
      <c r="AB375" s="1">
        <f t="shared" si="21"/>
        <v>0</v>
      </c>
      <c r="AC375" s="2">
        <f ca="1">IF(HEVARIM[[#This Row],[בר מצוה]]&gt;0,YEAR(TODAY())+'תקציבים מיוחדים'!$F$5-HEVARIM[[#This Row],[גיל]],0)</f>
        <v>0</v>
      </c>
      <c r="AD375" s="1">
        <f t="shared" si="22"/>
        <v>7165</v>
      </c>
      <c r="AE375" s="2">
        <f ca="1">IF(HEVARIM[[#This Row],[בת מצוה]]&gt;0,YEAR(TODAY())+'תקציבים מיוחדים'!$F$5-HEVARIM[[#This Row],[גיל]],0)</f>
        <v>2026</v>
      </c>
      <c r="AF375" s="1">
        <f>IF(AND($S375&gt;="רווק",$Z375=1),AF$4*IF(HEVARIM[[#This Row],[גיל]]&gt;$AF$3,1,(($G375-AF$2)/(AF$3-AF$2))),0)</f>
        <v>37460.119047619046</v>
      </c>
      <c r="AG375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375" s="1">
        <f t="shared" si="23"/>
        <v>65364.309523809527</v>
      </c>
      <c r="AI375" s="2">
        <f ca="1">IF(AH375&gt;0,YEAR(TODAY())+'תקציבים מיוחדים'!$F$7-HEVARIM[[#This Row],[גיל]],0)</f>
        <v>2034</v>
      </c>
      <c r="AJ375" s="9">
        <f>IF(AND(ISERROR(VLOOKUP(H375,'[2]ריכוז נתונים'!A:L,1,0)),P375="1     "),1,0)</f>
        <v>0</v>
      </c>
      <c r="AK37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5" s="1">
        <f>IF(AND(VALUE(HEVARIM[[#This Row],[קוד מעמד]])=1,HEVARIM[[#This Row],[ותק מחברה 40]]&lt;25),HEVARIM[[#This Row],[ותק מחברה 40]]/25*הנחות!$C$4,0)</f>
        <v>0</v>
      </c>
      <c r="AM375" s="9" t="str">
        <f ca="1">IF(HEVARIM[[#This Row],[דמי עזיבה 25 שנות ותק]]&gt;0,YEAR(TODAY())+25-ROUNDDOWN(HEVARIM[[#This Row],[ותק מחברה 40]],0),"")</f>
        <v/>
      </c>
      <c r="AN37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5" s="9" t="str">
        <f ca="1">IF(HEVARIM[[#This Row],[דמי עזיבה לגיל 65]]&gt;0,YEAR(TODAY())+64-ROUNDDOWN(HEVARIM[[#This Row],[גיל]],0),"")</f>
        <v/>
      </c>
      <c r="AP375" s="1">
        <f>SUMIF(HEVARIM[קוד תקציב],HEVARIM[[#This Row],[קוד תקציב משפחה מקורי]],HEVARIM[ותק מחברה 40])</f>
        <v>43.870000000000005</v>
      </c>
      <c r="AQ3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5" s="9">
        <f>IF(HEVARIM[[#This Row],[קוד מעמד]]="1     ",IFERROR(VLOOKUP(HEVARIM[[#This Row],[קוד תקציב]],'תקציב צביעה - לקראת השינוי'!A:F,4,0),0),0)</f>
        <v>0</v>
      </c>
      <c r="AT375" s="1"/>
    </row>
    <row r="376" spans="1:46">
      <c r="A376" t="s">
        <v>1689</v>
      </c>
      <c r="B376" t="s">
        <v>1690</v>
      </c>
      <c r="C376" t="s">
        <v>1691</v>
      </c>
      <c r="D376" t="s">
        <v>387</v>
      </c>
      <c r="E376" t="s">
        <v>79</v>
      </c>
      <c r="F376" s="4">
        <v>38252</v>
      </c>
      <c r="G376">
        <v>21</v>
      </c>
      <c r="H376" t="s">
        <v>1692</v>
      </c>
      <c r="I376" t="s">
        <v>1690</v>
      </c>
      <c r="J376" s="4" t="s">
        <v>70</v>
      </c>
      <c r="K376" s="4" t="s">
        <v>71</v>
      </c>
      <c r="L376" t="s">
        <v>1693</v>
      </c>
      <c r="M376" t="s">
        <v>1689</v>
      </c>
      <c r="N376" t="s">
        <v>1690</v>
      </c>
      <c r="O376">
        <f>IFERROR(VLOOKUP(HEVARIM[[#This Row],[קוד תקציב]],[2]תקציבים!A:L,6,0),0)</f>
        <v>0</v>
      </c>
      <c r="P376" s="5" t="s">
        <v>73</v>
      </c>
      <c r="Q376" t="s">
        <v>27</v>
      </c>
      <c r="R376" s="4">
        <v>45536</v>
      </c>
      <c r="S376" s="4" t="s">
        <v>90</v>
      </c>
      <c r="T376" s="96" t="s">
        <v>1849</v>
      </c>
      <c r="U376" t="str">
        <f>VLOOKUP(HEVARIM[[#This Row],[גיל]],GIL,2,1)</f>
        <v>--</v>
      </c>
      <c r="V376" t="str">
        <f>IF(HEVARIM[[#This Row],[קוד מעמד]]="4     ",IF(HEVARIM[[#This Row],[גיל]]=1,1,IF(HEVARIM[[#This Row],[גיל]]&lt;=5,5,18)),"")</f>
        <v/>
      </c>
      <c r="W376">
        <f t="shared" si="20"/>
        <v>0</v>
      </c>
      <c r="X37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6">
        <f>IF(HEVARIM[[#This Row],[מצב משפחתי2]]="אלמן",'[2]ריכוז נתונים'!$AC$2,0)</f>
        <v>0</v>
      </c>
      <c r="Z376" s="3">
        <f>VLOOKUP(VALUE(HEVARIM[[#This Row],[קוד מעמד]]),הנחות!$I$2:$K$21,3,0)</f>
        <v>1</v>
      </c>
      <c r="AA376" t="b">
        <f>ISERROR(VLOOKUP(HEVARIM[[#This Row],[קוד תקציב]],'[2]ריכוז נתונים'!A:A,1,0))</f>
        <v>1</v>
      </c>
      <c r="AB376" s="1">
        <f t="shared" si="21"/>
        <v>0</v>
      </c>
      <c r="AC376" s="2">
        <f ca="1">IF(HEVARIM[[#This Row],[בר מצוה]]&gt;0,YEAR(TODAY())+'תקציבים מיוחדים'!$F$5-HEVARIM[[#This Row],[גיל]],0)</f>
        <v>0</v>
      </c>
      <c r="AD376" s="1">
        <f t="shared" si="22"/>
        <v>0</v>
      </c>
      <c r="AE376" s="2">
        <f ca="1">IF(HEVARIM[[#This Row],[בת מצוה]]&gt;0,YEAR(TODAY())+'תקציבים מיוחדים'!$F$5-HEVARIM[[#This Row],[גיל]],0)</f>
        <v>0</v>
      </c>
      <c r="AF376" s="1">
        <f>IF(AND($S376&gt;="רווק",$Z376=1),AF$4*IF(HEVARIM[[#This Row],[גיל]]&gt;$AF$3,1,(($G376-AF$2)/(AF$3-AF$2))),0)</f>
        <v>60512.5</v>
      </c>
      <c r="AG376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376" s="1">
        <f t="shared" si="23"/>
        <v>105588.5</v>
      </c>
      <c r="AI376" s="2">
        <f ca="1">IF(AH376&gt;0,YEAR(TODAY())+'תקציבים מיוחדים'!$F$7-HEVARIM[[#This Row],[גיל]],0)</f>
        <v>2026</v>
      </c>
      <c r="AJ376" s="9">
        <f>IF(AND(ISERROR(VLOOKUP(H376,'[2]ריכוז נתונים'!A:L,1,0)),P376="1     "),1,0)</f>
        <v>0</v>
      </c>
      <c r="AK37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6" s="1">
        <f>IF(AND(VALUE(HEVARIM[[#This Row],[קוד מעמד]])=1,HEVARIM[[#This Row],[ותק מחברה 40]]&lt;25),HEVARIM[[#This Row],[ותק מחברה 40]]/25*הנחות!$C$4,0)</f>
        <v>0</v>
      </c>
      <c r="AM376" s="9" t="str">
        <f ca="1">IF(HEVARIM[[#This Row],[דמי עזיבה 25 שנות ותק]]&gt;0,YEAR(TODAY())+25-ROUNDDOWN(HEVARIM[[#This Row],[ותק מחברה 40]],0),"")</f>
        <v/>
      </c>
      <c r="AN3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6" s="9" t="str">
        <f ca="1">IF(HEVARIM[[#This Row],[דמי עזיבה לגיל 65]]&gt;0,YEAR(TODAY())+64-ROUNDDOWN(HEVARIM[[#This Row],[גיל]],0),"")</f>
        <v/>
      </c>
      <c r="AP376" s="1">
        <f>SUMIF(HEVARIM[קוד תקציב],HEVARIM[[#This Row],[קוד תקציב משפחה מקורי]],HEVARIM[ותק מחברה 40])</f>
        <v>43.870000000000005</v>
      </c>
      <c r="AQ3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6" s="9">
        <f>IF(HEVARIM[[#This Row],[קוד מעמד]]="1     ",IFERROR(VLOOKUP(HEVARIM[[#This Row],[קוד תקציב]],'תקציב צביעה - לקראת השינוי'!A:F,4,0),0),0)</f>
        <v>0</v>
      </c>
      <c r="AT376" s="1"/>
    </row>
    <row r="377" spans="1:46">
      <c r="A377" t="s">
        <v>1871</v>
      </c>
      <c r="B377" t="s">
        <v>1872</v>
      </c>
      <c r="C377" t="s">
        <v>1753</v>
      </c>
      <c r="D377" t="s">
        <v>1873</v>
      </c>
      <c r="E377" t="s">
        <v>79</v>
      </c>
      <c r="F377" s="4">
        <v>24875</v>
      </c>
      <c r="G377">
        <v>57</v>
      </c>
      <c r="H377" t="s">
        <v>1868</v>
      </c>
      <c r="I377" t="s">
        <v>1869</v>
      </c>
      <c r="J377" s="4" t="s">
        <v>70</v>
      </c>
      <c r="K377" s="4" t="s">
        <v>71</v>
      </c>
      <c r="L377" t="s">
        <v>1874</v>
      </c>
      <c r="M377" t="s">
        <v>1866</v>
      </c>
      <c r="N377" t="s">
        <v>1867</v>
      </c>
      <c r="O377">
        <f>IFERROR(VLOOKUP(HEVARIM[[#This Row],[קוד תקציב]],[2]תקציבים!A:L,6,0),0)</f>
        <v>2</v>
      </c>
      <c r="P377" s="5" t="s">
        <v>104</v>
      </c>
      <c r="Q377" t="s">
        <v>11</v>
      </c>
      <c r="R377" s="4">
        <v>37851</v>
      </c>
      <c r="S377" s="4" t="s">
        <v>74</v>
      </c>
      <c r="T377" s="96" t="s">
        <v>1868</v>
      </c>
      <c r="U377" t="str">
        <f>VLOOKUP(HEVARIM[[#This Row],[גיל]],GIL,2,1)</f>
        <v>--</v>
      </c>
      <c r="V377" t="str">
        <f>IF(HEVARIM[[#This Row],[קוד מעמד]]="4     ",IF(HEVARIM[[#This Row],[גיל]]=1,1,IF(HEVARIM[[#This Row],[גיל]]&lt;=5,5,18)),"")</f>
        <v/>
      </c>
      <c r="W377">
        <f t="shared" si="20"/>
        <v>0</v>
      </c>
      <c r="X37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7">
        <f>IF(HEVARIM[[#This Row],[מצב משפחתי2]]="אלמן",'[2]ריכוז נתונים'!$AC$2,0)</f>
        <v>0</v>
      </c>
      <c r="Z377" s="3">
        <f>VLOOKUP(VALUE(HEVARIM[[#This Row],[קוד מעמד]]),הנחות!$I$2:$K$21,3,0)</f>
        <v>0</v>
      </c>
      <c r="AA377" t="b">
        <f>ISERROR(VLOOKUP(HEVARIM[[#This Row],[קוד תקציב]],'[2]ריכוז נתונים'!A:A,1,0))</f>
        <v>0</v>
      </c>
      <c r="AB377" s="1">
        <f t="shared" si="21"/>
        <v>0</v>
      </c>
      <c r="AC377" s="2">
        <f ca="1">IF(HEVARIM[[#This Row],[בר מצוה]]&gt;0,YEAR(TODAY())+'תקציבים מיוחדים'!$F$5-HEVARIM[[#This Row],[גיל]],0)</f>
        <v>0</v>
      </c>
      <c r="AD377" s="1">
        <f t="shared" si="22"/>
        <v>0</v>
      </c>
      <c r="AE377" s="2">
        <f ca="1">IF(HEVARIM[[#This Row],[בת מצוה]]&gt;0,YEAR(TODAY())+'תקציבים מיוחדים'!$F$5-HEVARIM[[#This Row],[גיל]],0)</f>
        <v>0</v>
      </c>
      <c r="AF377" s="1">
        <f>IF(AND($S377&gt;="רווק",$Z377=1),AF$4*IF(HEVARIM[[#This Row],[גיל]]&gt;$AF$3,1,(($G377-AF$2)/(AF$3-AF$2))),0)</f>
        <v>0</v>
      </c>
      <c r="AG37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77" s="1">
        <f t="shared" si="23"/>
        <v>0</v>
      </c>
      <c r="AI377" s="2">
        <f ca="1">IF(AH377&gt;0,YEAR(TODAY())+'תקציבים מיוחדים'!$F$7-HEVARIM[[#This Row],[גיל]],0)</f>
        <v>0</v>
      </c>
      <c r="AJ377" s="9">
        <f>IF(AND(ISERROR(VLOOKUP(H377,'[2]ריכוז נתונים'!A:L,1,0)),P377="1     "),1,0)</f>
        <v>0</v>
      </c>
      <c r="AK377" s="1">
        <f>IF(VALUE(HEVARIM[[#This Row],[קוד מעמד]])=1,VLOOKUP((IF(LEFT(HEVARIM[[#This Row],[קוד חבר]],1)="0",HEVARIM[[#This Row],[קוד חבר]],VALUE(HEVARIM[[#This Row],[קוד חבר]]))),'ותק חברה 40'!AQ:AW,7,0),"")</f>
        <v>33.15</v>
      </c>
      <c r="AL377" s="1">
        <f>IF(AND(VALUE(HEVARIM[[#This Row],[קוד מעמד]])=1,HEVARIM[[#This Row],[ותק מחברה 40]]&lt;25),HEVARIM[[#This Row],[ותק מחברה 40]]/25*הנחות!$C$4,0)</f>
        <v>0</v>
      </c>
      <c r="AM377" s="9" t="str">
        <f ca="1">IF(HEVARIM[[#This Row],[דמי עזיבה 25 שנות ותק]]&gt;0,YEAR(TODAY())+25-ROUNDDOWN(HEVARIM[[#This Row],[ותק מחברה 40]],0),"")</f>
        <v/>
      </c>
      <c r="AN377" s="1">
        <f>IF(AND(VALUE(HEVARIM[[#This Row],[קוד מעמד]])=1,HEVARIM[[#This Row],[ותק מחברה 40]]&gt;25,HEVARIM[[#This Row],[גיל]]&lt;65),הנחות!$C$14+(HEVARIM[[#This Row],[ותק מחברה 40]]-25)*הנחות!$C$10*0.25,0)</f>
        <v>48660.944062499999</v>
      </c>
      <c r="AO377" s="9">
        <f ca="1">IF(HEVARIM[[#This Row],[דמי עזיבה לגיל 65]]&gt;0,YEAR(TODAY())+64-ROUNDDOWN(HEVARIM[[#This Row],[גיל]],0),"")</f>
        <v>2033</v>
      </c>
      <c r="AP377" s="1">
        <f>SUMIF(HEVARIM[קוד תקציב],HEVARIM[[#This Row],[קוד תקציב משפחה מקורי]],HEVARIM[ותק מחברה 40])</f>
        <v>73.06</v>
      </c>
      <c r="AQ3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77" s="9">
        <f>IF(HEVARIM[[#This Row],[קוד מעמד]]="1     ",IFERROR(VLOOKUP(HEVARIM[[#This Row],[קוד תקציב]],'תקציב צביעה - לקראת השינוי'!A:F,4,0),0),0)</f>
        <v>2028</v>
      </c>
      <c r="AT377" s="1"/>
    </row>
    <row r="378" spans="1:46">
      <c r="A378" t="s">
        <v>1971</v>
      </c>
      <c r="B378" t="s">
        <v>1972</v>
      </c>
      <c r="C378" t="s">
        <v>1753</v>
      </c>
      <c r="D378" t="s">
        <v>1973</v>
      </c>
      <c r="E378" t="s">
        <v>67</v>
      </c>
      <c r="F378" s="4">
        <v>35594</v>
      </c>
      <c r="G378">
        <v>28</v>
      </c>
      <c r="H378" t="s">
        <v>1974</v>
      </c>
      <c r="I378" t="s">
        <v>1975</v>
      </c>
      <c r="J378" s="4" t="s">
        <v>70</v>
      </c>
      <c r="K378" s="4" t="s">
        <v>81</v>
      </c>
      <c r="L378" t="s">
        <v>1976</v>
      </c>
      <c r="M378" t="s">
        <v>1971</v>
      </c>
      <c r="N378" t="s">
        <v>1972</v>
      </c>
      <c r="O378">
        <f>IFERROR(VLOOKUP(HEVARIM[[#This Row],[קוד תקציב]],[2]תקציבים!A:L,6,0),0)</f>
        <v>0</v>
      </c>
      <c r="P378" s="5" t="s">
        <v>129</v>
      </c>
      <c r="Q378" t="s">
        <v>26</v>
      </c>
      <c r="R378" s="4">
        <v>45170</v>
      </c>
      <c r="S378" s="4" t="s">
        <v>90</v>
      </c>
      <c r="T378" s="96" t="s">
        <v>1868</v>
      </c>
      <c r="U378" t="str">
        <f>VLOOKUP(HEVARIM[[#This Row],[גיל]],GIL,2,1)</f>
        <v>--</v>
      </c>
      <c r="V378" t="str">
        <f>IF(HEVARIM[[#This Row],[קוד מעמד]]="4     ",IF(HEVARIM[[#This Row],[גיל]]=1,1,IF(HEVARIM[[#This Row],[גיל]]&lt;=5,5,18)),"")</f>
        <v/>
      </c>
      <c r="W378">
        <f t="shared" si="20"/>
        <v>0</v>
      </c>
      <c r="X37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8">
        <f>IF(HEVARIM[[#This Row],[מצב משפחתי2]]="אלמן",'[2]ריכוז נתונים'!$AC$2,0)</f>
        <v>0</v>
      </c>
      <c r="Z378" s="3">
        <f>VLOOKUP(VALUE(HEVARIM[[#This Row],[קוד מעמד]]),הנחות!$I$2:$K$21,3,0)</f>
        <v>1</v>
      </c>
      <c r="AA378" t="b">
        <f>ISERROR(VLOOKUP(HEVARIM[[#This Row],[קוד תקציב]],'[2]ריכוז נתונים'!A:A,1,0))</f>
        <v>1</v>
      </c>
      <c r="AB378" s="1">
        <f t="shared" si="21"/>
        <v>0</v>
      </c>
      <c r="AC378" s="2">
        <f ca="1">IF(HEVARIM[[#This Row],[בר מצוה]]&gt;0,YEAR(TODAY())+'תקציבים מיוחדים'!$F$5-HEVARIM[[#This Row],[גיל]],0)</f>
        <v>0</v>
      </c>
      <c r="AD378" s="1">
        <f t="shared" si="22"/>
        <v>0</v>
      </c>
      <c r="AE378" s="2">
        <f ca="1">IF(HEVARIM[[#This Row],[בת מצוה]]&gt;0,YEAR(TODAY())+'תקציבים מיוחדים'!$F$5-HEVARIM[[#This Row],[גיל]],0)</f>
        <v>0</v>
      </c>
      <c r="AF378" s="1">
        <f>IF(AND($S378&gt;="רווק",$Z378=1),AF$4*IF(HEVARIM[[#This Row],[גיל]]&gt;$AF$3,1,(($G378-AF$2)/(AF$3-AF$2))),0)</f>
        <v>60512.5</v>
      </c>
      <c r="AG378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78" s="1">
        <f t="shared" si="23"/>
        <v>0</v>
      </c>
      <c r="AI378" s="2">
        <f ca="1">IF(AH378&gt;0,YEAR(TODAY())+'תקציבים מיוחדים'!$F$7-HEVARIM[[#This Row],[גיל]],0)</f>
        <v>0</v>
      </c>
      <c r="AJ378" s="9">
        <f>IF(AND(ISERROR(VLOOKUP(H378,'[2]ריכוז נתונים'!A:L,1,0)),P378="1     "),1,0)</f>
        <v>0</v>
      </c>
      <c r="AK37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8" s="1">
        <f>IF(AND(VALUE(HEVARIM[[#This Row],[קוד מעמד]])=1,HEVARIM[[#This Row],[ותק מחברה 40]]&lt;25),HEVARIM[[#This Row],[ותק מחברה 40]]/25*הנחות!$C$4,0)</f>
        <v>0</v>
      </c>
      <c r="AM378" s="9" t="str">
        <f ca="1">IF(HEVARIM[[#This Row],[דמי עזיבה 25 שנות ותק]]&gt;0,YEAR(TODAY())+25-ROUNDDOWN(HEVARIM[[#This Row],[ותק מחברה 40]],0),"")</f>
        <v/>
      </c>
      <c r="AN3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8" s="9" t="str">
        <f ca="1">IF(HEVARIM[[#This Row],[דמי עזיבה לגיל 65]]&gt;0,YEAR(TODAY())+64-ROUNDDOWN(HEVARIM[[#This Row],[גיל]],0),"")</f>
        <v/>
      </c>
      <c r="AP378" s="1">
        <f>SUMIF(HEVARIM[קוד תקציב],HEVARIM[[#This Row],[קוד תקציב משפחה מקורי]],HEVARIM[ותק מחברה 40])</f>
        <v>73.06</v>
      </c>
      <c r="AQ3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8" s="9">
        <f>IF(HEVARIM[[#This Row],[קוד מעמד]]="1     ",IFERROR(VLOOKUP(HEVARIM[[#This Row],[קוד תקציב]],'תקציב צביעה - לקראת השינוי'!A:F,4,0),0),0)</f>
        <v>0</v>
      </c>
      <c r="AT378" s="1"/>
    </row>
    <row r="379" spans="1:46">
      <c r="A379" t="s">
        <v>1914</v>
      </c>
      <c r="B379" t="s">
        <v>1915</v>
      </c>
      <c r="C379" t="s">
        <v>1691</v>
      </c>
      <c r="D379" t="s">
        <v>1916</v>
      </c>
      <c r="E379" t="s">
        <v>67</v>
      </c>
      <c r="F379" s="4">
        <v>37673</v>
      </c>
      <c r="G379">
        <v>22</v>
      </c>
      <c r="H379" t="s">
        <v>1878</v>
      </c>
      <c r="I379" t="s">
        <v>1879</v>
      </c>
      <c r="J379" s="4" t="s">
        <v>70</v>
      </c>
      <c r="K379" s="4" t="s">
        <v>71</v>
      </c>
      <c r="L379" t="s">
        <v>1917</v>
      </c>
      <c r="M379" t="s">
        <v>1875</v>
      </c>
      <c r="N379" t="s">
        <v>1876</v>
      </c>
      <c r="O379">
        <f>IFERROR(VLOOKUP(HEVARIM[[#This Row],[קוד תקציב]],[2]תקציבים!A:L,6,0),0)</f>
        <v>2</v>
      </c>
      <c r="P379" s="5" t="s">
        <v>545</v>
      </c>
      <c r="Q379" t="s">
        <v>13</v>
      </c>
      <c r="R379" s="4">
        <v>45302</v>
      </c>
      <c r="S379" s="4" t="s">
        <v>90</v>
      </c>
      <c r="T379" s="96" t="s">
        <v>1878</v>
      </c>
      <c r="U379" t="str">
        <f>VLOOKUP(HEVARIM[[#This Row],[גיל]],GIL,2,1)</f>
        <v>--</v>
      </c>
      <c r="V379" t="str">
        <f>IF(HEVARIM[[#This Row],[קוד מעמד]]="4     ",IF(HEVARIM[[#This Row],[גיל]]=1,1,IF(HEVARIM[[#This Row],[גיל]]&lt;=5,5,18)),"")</f>
        <v/>
      </c>
      <c r="W379">
        <f t="shared" si="20"/>
        <v>0</v>
      </c>
      <c r="X37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79">
        <f>IF(HEVARIM[[#This Row],[מצב משפחתי2]]="אלמן",'[2]ריכוז נתונים'!$AC$2,0)</f>
        <v>0</v>
      </c>
      <c r="Z379" s="3">
        <f>VLOOKUP(VALUE(HEVARIM[[#This Row],[קוד מעמד]]),הנחות!$I$2:$K$21,3,0)</f>
        <v>1</v>
      </c>
      <c r="AA379" t="b">
        <f>ISERROR(VLOOKUP(HEVARIM[[#This Row],[קוד תקציב]],'[2]ריכוז נתונים'!A:A,1,0))</f>
        <v>0</v>
      </c>
      <c r="AB379" s="1">
        <f t="shared" si="21"/>
        <v>0</v>
      </c>
      <c r="AC379" s="2">
        <f ca="1">IF(HEVARIM[[#This Row],[בר מצוה]]&gt;0,YEAR(TODAY())+'תקציבים מיוחדים'!$F$5-HEVARIM[[#This Row],[גיל]],0)</f>
        <v>0</v>
      </c>
      <c r="AD379" s="1">
        <f t="shared" si="22"/>
        <v>0</v>
      </c>
      <c r="AE379" s="2">
        <f ca="1">IF(HEVARIM[[#This Row],[בת מצוה]]&gt;0,YEAR(TODAY())+'תקציבים מיוחדים'!$F$5-HEVARIM[[#This Row],[גיל]],0)</f>
        <v>0</v>
      </c>
      <c r="AF379" s="1">
        <f>IF(AND($S379&gt;="רווק",$Z379=1),AF$4*IF(HEVARIM[[#This Row],[גיל]]&gt;$AF$3,1,(($G379-AF$2)/(AF$3-AF$2))),0)</f>
        <v>60512.5</v>
      </c>
      <c r="AG379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379" s="1">
        <f t="shared" si="23"/>
        <v>0</v>
      </c>
      <c r="AI379" s="2">
        <f ca="1">IF(AH379&gt;0,YEAR(TODAY())+'תקציבים מיוחדים'!$F$7-HEVARIM[[#This Row],[גיל]],0)</f>
        <v>0</v>
      </c>
      <c r="AJ379" s="9">
        <f>IF(AND(ISERROR(VLOOKUP(H379,'[2]ריכוז נתונים'!A:L,1,0)),P379="1     "),1,0)</f>
        <v>0</v>
      </c>
      <c r="AK37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79" s="1">
        <f>IF(AND(VALUE(HEVARIM[[#This Row],[קוד מעמד]])=1,HEVARIM[[#This Row],[ותק מחברה 40]]&lt;25),HEVARIM[[#This Row],[ותק מחברה 40]]/25*הנחות!$C$4,0)</f>
        <v>0</v>
      </c>
      <c r="AM379" s="9" t="str">
        <f ca="1">IF(HEVARIM[[#This Row],[דמי עזיבה 25 שנות ותק]]&gt;0,YEAR(TODAY())+25-ROUNDDOWN(HEVARIM[[#This Row],[ותק מחברה 40]],0),"")</f>
        <v/>
      </c>
      <c r="AN3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79" s="9" t="str">
        <f ca="1">IF(HEVARIM[[#This Row],[דמי עזיבה לגיל 65]]&gt;0,YEAR(TODAY())+64-ROUNDDOWN(HEVARIM[[#This Row],[גיל]],0),"")</f>
        <v/>
      </c>
      <c r="AP379" s="1">
        <f>SUMIF(HEVARIM[קוד תקציב],HEVARIM[[#This Row],[קוד תקציב משפחה מקורי]],HEVARIM[ותק מחברה 40])</f>
        <v>53.84</v>
      </c>
      <c r="AQ3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79" s="9">
        <f>IF(HEVARIM[[#This Row],[קוד מעמד]]="1     ",IFERROR(VLOOKUP(HEVARIM[[#This Row],[קוד תקציב]],'תקציב צביעה - לקראת השינוי'!A:F,4,0),0),0)</f>
        <v>0</v>
      </c>
      <c r="AT379" s="1"/>
    </row>
    <row r="380" spans="1:46">
      <c r="A380" t="s">
        <v>1904</v>
      </c>
      <c r="B380" t="s">
        <v>3831</v>
      </c>
      <c r="C380" t="s">
        <v>1691</v>
      </c>
      <c r="D380" t="s">
        <v>1905</v>
      </c>
      <c r="E380" t="s">
        <v>67</v>
      </c>
      <c r="F380" s="4">
        <v>38565</v>
      </c>
      <c r="G380">
        <v>20</v>
      </c>
      <c r="H380" t="s">
        <v>1878</v>
      </c>
      <c r="I380" t="s">
        <v>1879</v>
      </c>
      <c r="J380" s="4" t="s">
        <v>70</v>
      </c>
      <c r="K380" s="4" t="s">
        <v>71</v>
      </c>
      <c r="L380" t="s">
        <v>1906</v>
      </c>
      <c r="M380" t="s">
        <v>1875</v>
      </c>
      <c r="N380" t="s">
        <v>1876</v>
      </c>
      <c r="O380">
        <f>IFERROR(VLOOKUP(HEVARIM[[#This Row],[קוד תקציב]],[2]תקציבים!A:L,6,0),0)</f>
        <v>2</v>
      </c>
      <c r="P380" s="5" t="s">
        <v>545</v>
      </c>
      <c r="Q380" t="s">
        <v>13</v>
      </c>
      <c r="R380" s="4">
        <v>45610</v>
      </c>
      <c r="S380" s="4" t="s">
        <v>90</v>
      </c>
      <c r="T380" s="96" t="s">
        <v>1878</v>
      </c>
      <c r="U380" t="str">
        <f>VLOOKUP(HEVARIM[[#This Row],[גיל]],GIL,2,1)</f>
        <v>--</v>
      </c>
      <c r="V380" t="str">
        <f>IF(HEVARIM[[#This Row],[קוד מעמד]]="4     ",IF(HEVARIM[[#This Row],[גיל]]=1,1,IF(HEVARIM[[#This Row],[גיל]]&lt;=5,5,18)),"")</f>
        <v/>
      </c>
      <c r="W380">
        <f t="shared" si="20"/>
        <v>0</v>
      </c>
      <c r="X38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0">
        <f>IF(HEVARIM[[#This Row],[מצב משפחתי2]]="אלמן",'[2]ריכוז נתונים'!$AC$2,0)</f>
        <v>0</v>
      </c>
      <c r="Z380" s="3">
        <f>VLOOKUP(VALUE(HEVARIM[[#This Row],[קוד מעמד]]),הנחות!$I$2:$K$21,3,0)</f>
        <v>1</v>
      </c>
      <c r="AA380" t="b">
        <f>ISERROR(VLOOKUP(HEVARIM[[#This Row],[קוד תקציב]],'[2]ריכוז נתונים'!A:A,1,0))</f>
        <v>0</v>
      </c>
      <c r="AB380" s="1">
        <f t="shared" si="21"/>
        <v>0</v>
      </c>
      <c r="AC380" s="2">
        <f ca="1">IF(HEVARIM[[#This Row],[בר מצוה]]&gt;0,YEAR(TODAY())+'תקציבים מיוחדים'!$F$5-HEVARIM[[#This Row],[גיל]],0)</f>
        <v>0</v>
      </c>
      <c r="AD380" s="1">
        <f t="shared" si="22"/>
        <v>0</v>
      </c>
      <c r="AE380" s="2">
        <f ca="1">IF(HEVARIM[[#This Row],[בת מצוה]]&gt;0,YEAR(TODAY())+'תקציבים מיוחדים'!$F$5-HEVARIM[[#This Row],[גיל]],0)</f>
        <v>0</v>
      </c>
      <c r="AF380" s="1">
        <f>IF(AND($S380&gt;="רווק",$Z380=1),AF$4*IF(HEVARIM[[#This Row],[גיל]]&gt;$AF$3,1,(($G380-AF$2)/(AF$3-AF$2))),0)</f>
        <v>57630.952380952374</v>
      </c>
      <c r="AG380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380" s="1">
        <f t="shared" si="23"/>
        <v>100560.47619047618</v>
      </c>
      <c r="AI380" s="2">
        <f ca="1">IF(AH380&gt;0,YEAR(TODAY())+'תקציבים מיוחדים'!$F$7-HEVARIM[[#This Row],[גיל]],0)</f>
        <v>2027</v>
      </c>
      <c r="AJ380" s="9">
        <f>IF(AND(ISERROR(VLOOKUP(H380,'[2]ריכוז נתונים'!A:L,1,0)),P380="1     "),1,0)</f>
        <v>0</v>
      </c>
      <c r="AK38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0" s="1">
        <f>IF(AND(VALUE(HEVARIM[[#This Row],[קוד מעמד]])=1,HEVARIM[[#This Row],[ותק מחברה 40]]&lt;25),HEVARIM[[#This Row],[ותק מחברה 40]]/25*הנחות!$C$4,0)</f>
        <v>0</v>
      </c>
      <c r="AM380" s="9" t="str">
        <f ca="1">IF(HEVARIM[[#This Row],[דמי עזיבה 25 שנות ותק]]&gt;0,YEAR(TODAY())+25-ROUNDDOWN(HEVARIM[[#This Row],[ותק מחברה 40]],0),"")</f>
        <v/>
      </c>
      <c r="AN3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0" s="9" t="str">
        <f ca="1">IF(HEVARIM[[#This Row],[דמי עזיבה לגיל 65]]&gt;0,YEAR(TODAY())+64-ROUNDDOWN(HEVARIM[[#This Row],[גיל]],0),"")</f>
        <v/>
      </c>
      <c r="AP380" s="1">
        <f>SUMIF(HEVARIM[קוד תקציב],HEVARIM[[#This Row],[קוד תקציב משפחה מקורי]],HEVARIM[ותק מחברה 40])</f>
        <v>53.84</v>
      </c>
      <c r="AQ3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0" s="9">
        <f>IF(HEVARIM[[#This Row],[קוד מעמד]]="1     ",IFERROR(VLOOKUP(HEVARIM[[#This Row],[קוד תקציב]],'תקציב צביעה - לקראת השינוי'!A:F,4,0),0),0)</f>
        <v>0</v>
      </c>
      <c r="AT380" s="1"/>
    </row>
    <row r="381" spans="1:46">
      <c r="A381" t="s">
        <v>1881</v>
      </c>
      <c r="B381" t="s">
        <v>1882</v>
      </c>
      <c r="C381" t="s">
        <v>1691</v>
      </c>
      <c r="D381" t="s">
        <v>1462</v>
      </c>
      <c r="E381" t="s">
        <v>79</v>
      </c>
      <c r="F381" s="4">
        <v>27956</v>
      </c>
      <c r="G381">
        <v>49</v>
      </c>
      <c r="H381" t="s">
        <v>1878</v>
      </c>
      <c r="I381" t="s">
        <v>1879</v>
      </c>
      <c r="J381" s="4" t="s">
        <v>70</v>
      </c>
      <c r="K381" s="4" t="s">
        <v>71</v>
      </c>
      <c r="L381" t="s">
        <v>1883</v>
      </c>
      <c r="M381" t="s">
        <v>1875</v>
      </c>
      <c r="N381" t="s">
        <v>1876</v>
      </c>
      <c r="O381">
        <f>IFERROR(VLOOKUP(HEVARIM[[#This Row],[קוד תקציב]],[2]תקציבים!A:L,6,0),0)</f>
        <v>2</v>
      </c>
      <c r="P381" s="5" t="s">
        <v>104</v>
      </c>
      <c r="Q381" t="s">
        <v>11</v>
      </c>
      <c r="R381" s="4">
        <v>37724</v>
      </c>
      <c r="S381" s="4" t="s">
        <v>74</v>
      </c>
      <c r="T381" s="96" t="s">
        <v>1878</v>
      </c>
      <c r="U381" t="str">
        <f>VLOOKUP(HEVARIM[[#This Row],[גיל]],GIL,2,1)</f>
        <v>--</v>
      </c>
      <c r="V381" t="str">
        <f>IF(HEVARIM[[#This Row],[קוד מעמד]]="4     ",IF(HEVARIM[[#This Row],[גיל]]=1,1,IF(HEVARIM[[#This Row],[גיל]]&lt;=5,5,18)),"")</f>
        <v/>
      </c>
      <c r="W381">
        <f t="shared" si="20"/>
        <v>0</v>
      </c>
      <c r="X38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1">
        <f>IF(HEVARIM[[#This Row],[מצב משפחתי2]]="אלמן",'[2]ריכוז נתונים'!$AC$2,0)</f>
        <v>0</v>
      </c>
      <c r="Z381" s="3">
        <f>VLOOKUP(VALUE(HEVARIM[[#This Row],[קוד מעמד]]),הנחות!$I$2:$K$21,3,0)</f>
        <v>0</v>
      </c>
      <c r="AA381" t="b">
        <f>ISERROR(VLOOKUP(HEVARIM[[#This Row],[קוד תקציב]],'[2]ריכוז נתונים'!A:A,1,0))</f>
        <v>0</v>
      </c>
      <c r="AB381" s="1">
        <f t="shared" si="21"/>
        <v>0</v>
      </c>
      <c r="AC381" s="2">
        <f ca="1">IF(HEVARIM[[#This Row],[בר מצוה]]&gt;0,YEAR(TODAY())+'תקציבים מיוחדים'!$F$5-HEVARIM[[#This Row],[גיל]],0)</f>
        <v>0</v>
      </c>
      <c r="AD381" s="1">
        <f t="shared" si="22"/>
        <v>0</v>
      </c>
      <c r="AE381" s="2">
        <f ca="1">IF(HEVARIM[[#This Row],[בת מצוה]]&gt;0,YEAR(TODAY())+'תקציבים מיוחדים'!$F$5-HEVARIM[[#This Row],[גיל]],0)</f>
        <v>0</v>
      </c>
      <c r="AF381" s="1">
        <f>IF(AND($S381&gt;="רווק",$Z381=1),AF$4*IF(HEVARIM[[#This Row],[גיל]]&gt;$AF$3,1,(($G381-AF$2)/(AF$3-AF$2))),0)</f>
        <v>0</v>
      </c>
      <c r="AG38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81" s="1">
        <f t="shared" si="23"/>
        <v>0</v>
      </c>
      <c r="AI381" s="2">
        <f ca="1">IF(AH381&gt;0,YEAR(TODAY())+'תקציבים מיוחדים'!$F$7-HEVARIM[[#This Row],[גיל]],0)</f>
        <v>0</v>
      </c>
      <c r="AJ381" s="9">
        <f>IF(AND(ISERROR(VLOOKUP(H381,'[2]ריכוז נתונים'!A:L,1,0)),P381="1     "),1,0)</f>
        <v>0</v>
      </c>
      <c r="AK381" s="216">
        <f>IF(VALUE(HEVARIM[[#This Row],[קוד מעמד]])=1,VLOOKUP((IF(LEFT(HEVARIM[[#This Row],[קוד חבר]],1)="0",HEVARIM[[#This Row],[קוד חבר]],VALUE(HEVARIM[[#This Row],[קוד חבר]]))),'ותק חברה 40'!AQ:AW,7,0),"")</f>
        <v>24.02</v>
      </c>
      <c r="AL381" s="1">
        <f>IF(AND(VALUE(HEVARIM[[#This Row],[קוד מעמד]])=1,HEVARIM[[#This Row],[ותק מחברה 40]]&lt;25),HEVARIM[[#This Row],[ותק מחברה 40]]/25*הנחות!$C$4,0)</f>
        <v>36063.255689999998</v>
      </c>
      <c r="AM381" s="9">
        <f ca="1">IF(HEVARIM[[#This Row],[דמי עזיבה 25 שנות ותק]]&gt;0,YEAR(TODAY())+25-ROUNDDOWN(HEVARIM[[#This Row],[ותק מחברה 40]],0),"")</f>
        <v>2027</v>
      </c>
      <c r="AN3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1" s="9" t="str">
        <f ca="1">IF(HEVARIM[[#This Row],[דמי עזיבה לגיל 65]]&gt;0,YEAR(TODAY())+64-ROUNDDOWN(HEVARIM[[#This Row],[גיל]],0),"")</f>
        <v/>
      </c>
      <c r="AP381" s="1">
        <f>SUMIF(HEVARIM[קוד תקציב],HEVARIM[[#This Row],[קוד תקציב משפחה מקורי]],HEVARIM[ותק מחברה 40])</f>
        <v>53.84</v>
      </c>
      <c r="AQ3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381" s="9">
        <f>IF(HEVARIM[[#This Row],[קוד מעמד]]="1     ",IFERROR(VLOOKUP(HEVARIM[[#This Row],[קוד תקציב]],'תקציב צביעה - לקראת השינוי'!A:F,4,0),0),0)</f>
        <v>2034</v>
      </c>
      <c r="AT381" s="1"/>
    </row>
    <row r="382" spans="1:46">
      <c r="A382" t="s">
        <v>1884</v>
      </c>
      <c r="B382" t="s">
        <v>1885</v>
      </c>
      <c r="C382" t="s">
        <v>1691</v>
      </c>
      <c r="D382" t="s">
        <v>1886</v>
      </c>
      <c r="E382" t="s">
        <v>79</v>
      </c>
      <c r="F382" s="4">
        <v>39702</v>
      </c>
      <c r="G382">
        <v>17</v>
      </c>
      <c r="H382" t="s">
        <v>1878</v>
      </c>
      <c r="I382" t="s">
        <v>1879</v>
      </c>
      <c r="J382" s="4" t="s">
        <v>70</v>
      </c>
      <c r="K382" s="4" t="s">
        <v>71</v>
      </c>
      <c r="L382" t="s">
        <v>1887</v>
      </c>
      <c r="M382" t="s">
        <v>1875</v>
      </c>
      <c r="N382" t="s">
        <v>1876</v>
      </c>
      <c r="O382">
        <f>IFERROR(VLOOKUP(HEVARIM[[#This Row],[קוד תקציב]],[2]תקציבים!A:L,6,0),0)</f>
        <v>2</v>
      </c>
      <c r="P382" s="5" t="s">
        <v>227</v>
      </c>
      <c r="Q382" t="s">
        <v>14</v>
      </c>
      <c r="R382" s="4">
        <v>39702</v>
      </c>
      <c r="S382" s="4" t="s">
        <v>90</v>
      </c>
      <c r="T382" s="96" t="s">
        <v>1878</v>
      </c>
      <c r="U382" t="str">
        <f>VLOOKUP(HEVARIM[[#This Row],[גיל]],GIL,2,1)</f>
        <v>תיכון</v>
      </c>
      <c r="V382">
        <f>IF(HEVARIM[[#This Row],[קוד מעמד]]="4     ",IF(HEVARIM[[#This Row],[גיל]]=1,1,IF(HEVARIM[[#This Row],[גיל]]&lt;=5,5,18)),"")</f>
        <v>18</v>
      </c>
      <c r="W382">
        <f t="shared" si="20"/>
        <v>0</v>
      </c>
      <c r="X38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2">
        <f>IF(HEVARIM[[#This Row],[מצב משפחתי2]]="אלמן",'[2]ריכוז נתונים'!$AC$2,0)</f>
        <v>0</v>
      </c>
      <c r="Z382" s="3">
        <f>VLOOKUP(VALUE(HEVARIM[[#This Row],[קוד מעמד]]),הנחות!$I$2:$K$21,3,0)</f>
        <v>1</v>
      </c>
      <c r="AA382" t="b">
        <f>ISERROR(VLOOKUP(HEVARIM[[#This Row],[קוד תקציב]],'[2]ריכוז נתונים'!A:A,1,0))</f>
        <v>0</v>
      </c>
      <c r="AB382" s="1">
        <f t="shared" si="21"/>
        <v>0</v>
      </c>
      <c r="AC382" s="2">
        <f ca="1">IF(HEVARIM[[#This Row],[בר מצוה]]&gt;0,YEAR(TODAY())+'תקציבים מיוחדים'!$F$5-HEVARIM[[#This Row],[גיל]],0)</f>
        <v>0</v>
      </c>
      <c r="AD382" s="1">
        <f t="shared" si="22"/>
        <v>0</v>
      </c>
      <c r="AE382" s="2">
        <f ca="1">IF(HEVARIM[[#This Row],[בת מצוה]]&gt;0,YEAR(TODAY())+'תקציבים מיוחדים'!$F$5-HEVARIM[[#This Row],[גיל]],0)</f>
        <v>0</v>
      </c>
      <c r="AF382" s="1">
        <f>IF(AND($S382&gt;="רווק",$Z382=1),AF$4*IF(HEVARIM[[#This Row],[גיל]]&gt;$AF$3,1,(($G382-AF$2)/(AF$3-AF$2))),0)</f>
        <v>48986.309523809527</v>
      </c>
      <c r="AG382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382" s="1">
        <f t="shared" si="23"/>
        <v>85476.404761904763</v>
      </c>
      <c r="AI382" s="2">
        <f ca="1">IF(AH382&gt;0,YEAR(TODAY())+'תקציבים מיוחדים'!$F$7-HEVARIM[[#This Row],[גיל]],0)</f>
        <v>2030</v>
      </c>
      <c r="AJ382" s="9">
        <f>IF(AND(ISERROR(VLOOKUP(H382,'[2]ריכוז נתונים'!A:L,1,0)),P382="1     "),1,0)</f>
        <v>0</v>
      </c>
      <c r="AK38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2" s="1">
        <f>IF(AND(VALUE(HEVARIM[[#This Row],[קוד מעמד]])=1,HEVARIM[[#This Row],[ותק מחברה 40]]&lt;25),HEVARIM[[#This Row],[ותק מחברה 40]]/25*הנחות!$C$4,0)</f>
        <v>0</v>
      </c>
      <c r="AM382" s="9" t="str">
        <f ca="1">IF(HEVARIM[[#This Row],[דמי עזיבה 25 שנות ותק]]&gt;0,YEAR(TODAY())+25-ROUNDDOWN(HEVARIM[[#This Row],[ותק מחברה 40]],0),"")</f>
        <v/>
      </c>
      <c r="AN3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2" s="9" t="str">
        <f ca="1">IF(HEVARIM[[#This Row],[דמי עזיבה לגיל 65]]&gt;0,YEAR(TODAY())+64-ROUNDDOWN(HEVARIM[[#This Row],[גיל]],0),"")</f>
        <v/>
      </c>
      <c r="AP382" s="1">
        <f>SUMIF(HEVARIM[קוד תקציב],HEVARIM[[#This Row],[קוד תקציב משפחה מקורי]],HEVARIM[ותק מחברה 40])</f>
        <v>53.84</v>
      </c>
      <c r="AQ3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2" s="9">
        <f>IF(HEVARIM[[#This Row],[קוד מעמד]]="1     ",IFERROR(VLOOKUP(HEVARIM[[#This Row],[קוד תקציב]],'תקציב צביעה - לקראת השינוי'!A:F,4,0),0),0)</f>
        <v>0</v>
      </c>
      <c r="AT382" s="1"/>
    </row>
    <row r="383" spans="1:46">
      <c r="A383" t="s">
        <v>1756</v>
      </c>
      <c r="B383" t="s">
        <v>1757</v>
      </c>
      <c r="C383" t="s">
        <v>1691</v>
      </c>
      <c r="D383" t="s">
        <v>1758</v>
      </c>
      <c r="E383" t="s">
        <v>67</v>
      </c>
      <c r="F383" s="4">
        <v>36175</v>
      </c>
      <c r="G383">
        <v>26</v>
      </c>
      <c r="H383" t="s">
        <v>1759</v>
      </c>
      <c r="I383" t="s">
        <v>1757</v>
      </c>
      <c r="J383" s="4" t="s">
        <v>70</v>
      </c>
      <c r="K383" s="4" t="s">
        <v>81</v>
      </c>
      <c r="L383" t="s">
        <v>1760</v>
      </c>
      <c r="M383" t="s">
        <v>1756</v>
      </c>
      <c r="N383" t="s">
        <v>1757</v>
      </c>
      <c r="O383">
        <f>IFERROR(VLOOKUP(HEVARIM[[#This Row],[קוד תקציב]],[2]תקציבים!A:L,6,0),0)</f>
        <v>0</v>
      </c>
      <c r="P383" s="5" t="s">
        <v>1761</v>
      </c>
      <c r="Q383" t="s">
        <v>33</v>
      </c>
      <c r="R383" s="4">
        <v>45901</v>
      </c>
      <c r="S383" s="4" t="s">
        <v>74</v>
      </c>
      <c r="T383" s="96" t="s">
        <v>1878</v>
      </c>
      <c r="U383" t="str">
        <f>VLOOKUP(HEVARIM[[#This Row],[גיל]],GIL,2,1)</f>
        <v>--</v>
      </c>
      <c r="V383" t="str">
        <f>IF(HEVARIM[[#This Row],[קוד מעמד]]="4     ",IF(HEVARIM[[#This Row],[גיל]]=1,1,IF(HEVARIM[[#This Row],[גיל]]&lt;=5,5,18)),"")</f>
        <v/>
      </c>
      <c r="W383">
        <f t="shared" si="20"/>
        <v>0</v>
      </c>
      <c r="X38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3">
        <f>IF(HEVARIM[[#This Row],[מצב משפחתי2]]="אלמן",'[2]ריכוז נתונים'!$AC$2,0)</f>
        <v>0</v>
      </c>
      <c r="Z383" s="3">
        <f>VLOOKUP(VALUE(HEVARIM[[#This Row],[קוד מעמד]]),הנחות!$I$2:$K$21,3,0)</f>
        <v>1</v>
      </c>
      <c r="AA383" t="b">
        <f>ISERROR(VLOOKUP(HEVARIM[[#This Row],[קוד תקציב]],'[2]ריכוז נתונים'!A:A,1,0))</f>
        <v>1</v>
      </c>
      <c r="AB383" s="1">
        <f t="shared" si="21"/>
        <v>0</v>
      </c>
      <c r="AC383" s="2">
        <f ca="1">IF(HEVARIM[[#This Row],[בר מצוה]]&gt;0,YEAR(TODAY())+'תקציבים מיוחדים'!$F$5-HEVARIM[[#This Row],[גיל]],0)</f>
        <v>0</v>
      </c>
      <c r="AD383" s="1">
        <f t="shared" si="22"/>
        <v>0</v>
      </c>
      <c r="AE383" s="2">
        <f ca="1">IF(HEVARIM[[#This Row],[בת מצוה]]&gt;0,YEAR(TODAY())+'תקציבים מיוחדים'!$F$5-HEVARIM[[#This Row],[גיל]],0)</f>
        <v>0</v>
      </c>
      <c r="AF383" s="1">
        <f>IF(AND($S383&gt;="רווק",$Z383=1),AF$4*IF(HEVARIM[[#This Row],[גיל]]&gt;$AF$3,1,(($G383-AF$2)/(AF$3-AF$2))),0)</f>
        <v>0</v>
      </c>
      <c r="AG38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83" s="1">
        <f t="shared" si="23"/>
        <v>0</v>
      </c>
      <c r="AI383" s="2">
        <f ca="1">IF(AH383&gt;0,YEAR(TODAY())+'תקציבים מיוחדים'!$F$7-HEVARIM[[#This Row],[גיל]],0)</f>
        <v>0</v>
      </c>
      <c r="AJ383" s="9">
        <f>IF(AND(ISERROR(VLOOKUP(H383,'[2]ריכוז נתונים'!A:L,1,0)),P383="1     "),1,0)</f>
        <v>0</v>
      </c>
      <c r="AK38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3" s="1">
        <f>IF(AND(VALUE(HEVARIM[[#This Row],[קוד מעמד]])=1,HEVARIM[[#This Row],[ותק מחברה 40]]&lt;25),HEVARIM[[#This Row],[ותק מחברה 40]]/25*הנחות!$C$4,0)</f>
        <v>0</v>
      </c>
      <c r="AM383" s="9" t="str">
        <f ca="1">IF(HEVARIM[[#This Row],[דמי עזיבה 25 שנות ותק]]&gt;0,YEAR(TODAY())+25-ROUNDDOWN(HEVARIM[[#This Row],[ותק מחברה 40]],0),"")</f>
        <v/>
      </c>
      <c r="AN3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3" s="9" t="str">
        <f ca="1">IF(HEVARIM[[#This Row],[דמי עזיבה לגיל 65]]&gt;0,YEAR(TODAY())+64-ROUNDDOWN(HEVARIM[[#This Row],[גיל]],0),"")</f>
        <v/>
      </c>
      <c r="AP383" s="1">
        <f>SUMIF(HEVARIM[קוד תקציב],HEVARIM[[#This Row],[קוד תקציב משפחה מקורי]],HEVARIM[ותק מחברה 40])</f>
        <v>53.84</v>
      </c>
      <c r="AQ3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3" s="9">
        <f>IF(HEVARIM[[#This Row],[קוד מעמד]]="1     ",IFERROR(VLOOKUP(HEVARIM[[#This Row],[קוד תקציב]],'תקציב צביעה - לקראת השינוי'!A:F,4,0),0),0)</f>
        <v>0</v>
      </c>
      <c r="AT383" s="1"/>
    </row>
    <row r="384" spans="1:46">
      <c r="A384" t="s">
        <v>1699</v>
      </c>
      <c r="B384" t="s">
        <v>1700</v>
      </c>
      <c r="C384" t="s">
        <v>1691</v>
      </c>
      <c r="D384" t="s">
        <v>1701</v>
      </c>
      <c r="E384" t="s">
        <v>67</v>
      </c>
      <c r="F384" s="4">
        <v>36626</v>
      </c>
      <c r="G384">
        <v>25</v>
      </c>
      <c r="H384" t="s">
        <v>1702</v>
      </c>
      <c r="I384" t="s">
        <v>1700</v>
      </c>
      <c r="J384" s="4" t="s">
        <v>70</v>
      </c>
      <c r="K384" s="4" t="s">
        <v>81</v>
      </c>
      <c r="L384" t="s">
        <v>1703</v>
      </c>
      <c r="M384" t="s">
        <v>1699</v>
      </c>
      <c r="N384" t="s">
        <v>1700</v>
      </c>
      <c r="O384">
        <f>IFERROR(VLOOKUP(HEVARIM[[#This Row],[קוד תקציב]],[2]תקציבים!A:L,6,0),0)</f>
        <v>0</v>
      </c>
      <c r="P384" s="5" t="s">
        <v>860</v>
      </c>
      <c r="Q384" t="s">
        <v>34</v>
      </c>
      <c r="R384" s="4">
        <v>45627</v>
      </c>
      <c r="S384" s="4" t="s">
        <v>74</v>
      </c>
      <c r="T384" s="96" t="s">
        <v>1878</v>
      </c>
      <c r="U384" t="str">
        <f>VLOOKUP(HEVARIM[[#This Row],[גיל]],GIL,2,1)</f>
        <v>--</v>
      </c>
      <c r="V384" t="str">
        <f>IF(HEVARIM[[#This Row],[קוד מעמד]]="4     ",IF(HEVARIM[[#This Row],[גיל]]=1,1,IF(HEVARIM[[#This Row],[גיל]]&lt;=5,5,18)),"")</f>
        <v/>
      </c>
      <c r="W384">
        <f t="shared" si="20"/>
        <v>0</v>
      </c>
      <c r="X38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4">
        <f>IF(HEVARIM[[#This Row],[מצב משפחתי2]]="אלמן",'[2]ריכוז נתונים'!$AC$2,0)</f>
        <v>0</v>
      </c>
      <c r="Z384" s="3">
        <f>VLOOKUP(VALUE(HEVARIM[[#This Row],[קוד מעמד]]),הנחות!$I$2:$K$21,3,0)</f>
        <v>1</v>
      </c>
      <c r="AA384" t="b">
        <f>ISERROR(VLOOKUP(HEVARIM[[#This Row],[קוד תקציב]],'[2]ריכוז נתונים'!A:A,1,0))</f>
        <v>1</v>
      </c>
      <c r="AB384" s="1">
        <f t="shared" si="21"/>
        <v>0</v>
      </c>
      <c r="AC384" s="2">
        <f ca="1">IF(HEVARIM[[#This Row],[בר מצוה]]&gt;0,YEAR(TODAY())+'תקציבים מיוחדים'!$F$5-HEVARIM[[#This Row],[גיל]],0)</f>
        <v>0</v>
      </c>
      <c r="AD384" s="1">
        <f t="shared" si="22"/>
        <v>0</v>
      </c>
      <c r="AE384" s="2">
        <f ca="1">IF(HEVARIM[[#This Row],[בת מצוה]]&gt;0,YEAR(TODAY())+'תקציבים מיוחדים'!$F$5-HEVARIM[[#This Row],[גיל]],0)</f>
        <v>0</v>
      </c>
      <c r="AF384" s="1">
        <f>IF(AND($S384&gt;="רווק",$Z384=1),AF$4*IF(HEVARIM[[#This Row],[גיל]]&gt;$AF$3,1,(($G384-AF$2)/(AF$3-AF$2))),0)</f>
        <v>0</v>
      </c>
      <c r="AG38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84" s="1">
        <f t="shared" si="23"/>
        <v>0</v>
      </c>
      <c r="AI384" s="2">
        <f ca="1">IF(AH384&gt;0,YEAR(TODAY())+'תקציבים מיוחדים'!$F$7-HEVARIM[[#This Row],[גיל]],0)</f>
        <v>0</v>
      </c>
      <c r="AJ384" s="9">
        <f>IF(AND(ISERROR(VLOOKUP(H384,'[2]ריכוז נתונים'!A:L,1,0)),P384="1     "),1,0)</f>
        <v>0</v>
      </c>
      <c r="AK38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4" s="1">
        <f>IF(AND(VALUE(HEVARIM[[#This Row],[קוד מעמד]])=1,HEVARIM[[#This Row],[ותק מחברה 40]]&lt;25),HEVARIM[[#This Row],[ותק מחברה 40]]/25*הנחות!$C$4,0)</f>
        <v>0</v>
      </c>
      <c r="AM384" s="9" t="str">
        <f ca="1">IF(HEVARIM[[#This Row],[דמי עזיבה 25 שנות ותק]]&gt;0,YEAR(TODAY())+25-ROUNDDOWN(HEVARIM[[#This Row],[ותק מחברה 40]],0),"")</f>
        <v/>
      </c>
      <c r="AN38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4" s="9" t="str">
        <f ca="1">IF(HEVARIM[[#This Row],[דמי עזיבה לגיל 65]]&gt;0,YEAR(TODAY())+64-ROUNDDOWN(HEVARIM[[#This Row],[גיל]],0),"")</f>
        <v/>
      </c>
      <c r="AP384" s="1">
        <f>SUMIF(HEVARIM[קוד תקציב],HEVARIM[[#This Row],[קוד תקציב משפחה מקורי]],HEVARIM[ותק מחברה 40])</f>
        <v>53.84</v>
      </c>
      <c r="AQ3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4" s="9">
        <f>IF(HEVARIM[[#This Row],[קוד מעמד]]="1     ",IFERROR(VLOOKUP(HEVARIM[[#This Row],[קוד תקציב]],'תקציב צביעה - לקראת השינוי'!A:F,4,0),0),0)</f>
        <v>0</v>
      </c>
      <c r="AT384" s="1"/>
    </row>
    <row r="385" spans="1:46">
      <c r="A385" t="s">
        <v>1893</v>
      </c>
      <c r="B385" t="s">
        <v>1894</v>
      </c>
      <c r="C385" t="s">
        <v>1723</v>
      </c>
      <c r="D385" t="s">
        <v>1895</v>
      </c>
      <c r="E385" t="s">
        <v>79</v>
      </c>
      <c r="F385" s="4">
        <v>29508</v>
      </c>
      <c r="G385">
        <v>45</v>
      </c>
      <c r="H385" t="s">
        <v>1890</v>
      </c>
      <c r="I385" t="s">
        <v>1891</v>
      </c>
      <c r="J385" s="4" t="s">
        <v>70</v>
      </c>
      <c r="K385" s="4" t="s">
        <v>71</v>
      </c>
      <c r="L385" t="s">
        <v>1896</v>
      </c>
      <c r="M385" t="s">
        <v>1888</v>
      </c>
      <c r="N385" t="s">
        <v>1889</v>
      </c>
      <c r="O385">
        <f>IFERROR(VLOOKUP(HEVARIM[[#This Row],[קוד תקציב]],[2]תקציבים!A:L,6,0),0)</f>
        <v>2</v>
      </c>
      <c r="P385" s="5" t="s">
        <v>104</v>
      </c>
      <c r="Q385" t="s">
        <v>11</v>
      </c>
      <c r="R385" s="4">
        <v>42186</v>
      </c>
      <c r="S385" s="4" t="s">
        <v>74</v>
      </c>
      <c r="T385" s="96" t="s">
        <v>1890</v>
      </c>
      <c r="U385" t="str">
        <f>VLOOKUP(HEVARIM[[#This Row],[גיל]],GIL,2,1)</f>
        <v>--</v>
      </c>
      <c r="V385" t="str">
        <f>IF(HEVARIM[[#This Row],[קוד מעמד]]="4     ",IF(HEVARIM[[#This Row],[גיל]]=1,1,IF(HEVARIM[[#This Row],[גיל]]&lt;=5,5,18)),"")</f>
        <v/>
      </c>
      <c r="W385">
        <f t="shared" si="20"/>
        <v>0</v>
      </c>
      <c r="X38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5">
        <f>IF(HEVARIM[[#This Row],[מצב משפחתי2]]="אלמן",'[2]ריכוז נתונים'!$AC$2,0)</f>
        <v>0</v>
      </c>
      <c r="Z385" s="3">
        <f>VLOOKUP(VALUE(HEVARIM[[#This Row],[קוד מעמד]]),הנחות!$I$2:$K$21,3,0)</f>
        <v>0</v>
      </c>
      <c r="AA385" t="b">
        <f>ISERROR(VLOOKUP(HEVARIM[[#This Row],[קוד תקציב]],'[2]ריכוז נתונים'!A:A,1,0))</f>
        <v>0</v>
      </c>
      <c r="AB385" s="1">
        <f t="shared" si="21"/>
        <v>0</v>
      </c>
      <c r="AC385" s="2">
        <f ca="1">IF(HEVARIM[[#This Row],[בר מצוה]]&gt;0,YEAR(TODAY())+'תקציבים מיוחדים'!$F$5-HEVARIM[[#This Row],[גיל]],0)</f>
        <v>0</v>
      </c>
      <c r="AD385" s="1">
        <f t="shared" si="22"/>
        <v>0</v>
      </c>
      <c r="AE385" s="2">
        <f ca="1">IF(HEVARIM[[#This Row],[בת מצוה]]&gt;0,YEAR(TODAY())+'תקציבים מיוחדים'!$F$5-HEVARIM[[#This Row],[גיל]],0)</f>
        <v>0</v>
      </c>
      <c r="AF385" s="1">
        <f>IF(AND($S385&gt;="רווק",$Z385=1),AF$4*IF(HEVARIM[[#This Row],[גיל]]&gt;$AF$3,1,(($G385-AF$2)/(AF$3-AF$2))),0)</f>
        <v>0</v>
      </c>
      <c r="AG38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85" s="1">
        <f t="shared" si="23"/>
        <v>0</v>
      </c>
      <c r="AI385" s="2">
        <f ca="1">IF(AH385&gt;0,YEAR(TODAY())+'תקציבים מיוחדים'!$F$7-HEVARIM[[#This Row],[גיל]],0)</f>
        <v>0</v>
      </c>
      <c r="AJ385" s="9">
        <f>IF(AND(ISERROR(VLOOKUP(H385,'[2]ריכוז נתונים'!A:L,1,0)),P385="1     "),1,0)</f>
        <v>0</v>
      </c>
      <c r="AK385" s="1">
        <f>IF(VALUE(HEVARIM[[#This Row],[קוד מעמד]])=1,VLOOKUP((IF(LEFT(HEVARIM[[#This Row],[קוד חבר]],1)="0",HEVARIM[[#This Row],[קוד חבר]],VALUE(HEVARIM[[#This Row],[קוד חבר]]))),'ותק חברה 40'!AQ:AW,7,0),"")</f>
        <v>12.51</v>
      </c>
      <c r="AL385" s="1">
        <f>IF(AND(VALUE(HEVARIM[[#This Row],[קוד מעמד]])=1,HEVARIM[[#This Row],[ותק מחברה 40]]&lt;25),HEVARIM[[#This Row],[ותק מחברה 40]]/25*הנחות!$C$4,0)</f>
        <v>18782.320094999995</v>
      </c>
      <c r="AM385" s="9">
        <f ca="1">IF(HEVARIM[[#This Row],[דמי עזיבה 25 שנות ותק]]&gt;0,YEAR(TODAY())+25-ROUNDDOWN(HEVARIM[[#This Row],[ותק מחברה 40]],0),"")</f>
        <v>2039</v>
      </c>
      <c r="AN38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5" s="9" t="str">
        <f ca="1">IF(HEVARIM[[#This Row],[דמי עזיבה לגיל 65]]&gt;0,YEAR(TODAY())+64-ROUNDDOWN(HEVARIM[[#This Row],[גיל]],0),"")</f>
        <v/>
      </c>
      <c r="AP385" s="1">
        <f>SUMIF(HEVARIM[קוד תקציב],HEVARIM[[#This Row],[קוד תקציב משפחה מקורי]],HEVARIM[ותק מחברה 40])</f>
        <v>28.02</v>
      </c>
      <c r="AQ3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385" s="9">
        <f>IF(HEVARIM[[#This Row],[קוד מעמד]]="1     ",IFERROR(VLOOKUP(HEVARIM[[#This Row],[קוד תקציב]],'תקציב צביעה - לקראת השינוי'!A:F,4,0),0),0)</f>
        <v>2028</v>
      </c>
      <c r="AT385" s="1"/>
    </row>
    <row r="386" spans="1:46">
      <c r="A386" t="s">
        <v>1897</v>
      </c>
      <c r="B386" t="s">
        <v>1898</v>
      </c>
      <c r="C386" t="s">
        <v>1723</v>
      </c>
      <c r="D386" t="s">
        <v>556</v>
      </c>
      <c r="E386" t="s">
        <v>67</v>
      </c>
      <c r="F386" s="4">
        <v>40735</v>
      </c>
      <c r="G386">
        <v>14</v>
      </c>
      <c r="H386" t="s">
        <v>1890</v>
      </c>
      <c r="I386" t="s">
        <v>1891</v>
      </c>
      <c r="J386" s="4" t="s">
        <v>70</v>
      </c>
      <c r="K386" s="4" t="s">
        <v>71</v>
      </c>
      <c r="L386" t="s">
        <v>1899</v>
      </c>
      <c r="M386" t="s">
        <v>1888</v>
      </c>
      <c r="N386" t="s">
        <v>1889</v>
      </c>
      <c r="O386">
        <f>IFERROR(VLOOKUP(HEVARIM[[#This Row],[קוד תקציב]],[2]תקציבים!A:L,6,0),0)</f>
        <v>2</v>
      </c>
      <c r="P386" s="5" t="s">
        <v>227</v>
      </c>
      <c r="Q386" t="s">
        <v>14</v>
      </c>
      <c r="R386" s="4">
        <v>41334</v>
      </c>
      <c r="S386" s="4" t="s">
        <v>90</v>
      </c>
      <c r="T386" s="96" t="s">
        <v>1890</v>
      </c>
      <c r="U386" t="str">
        <f>VLOOKUP(HEVARIM[[#This Row],[גיל]],GIL,2,1)</f>
        <v>חטיבה</v>
      </c>
      <c r="V386">
        <f>IF(HEVARIM[[#This Row],[קוד מעמד]]="4     ",IF(HEVARIM[[#This Row],[גיל]]=1,1,IF(HEVARIM[[#This Row],[גיל]]&lt;=5,5,18)),"")</f>
        <v>18</v>
      </c>
      <c r="W386">
        <f t="shared" si="20"/>
        <v>0</v>
      </c>
      <c r="X38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6">
        <f>IF(HEVARIM[[#This Row],[מצב משפחתי2]]="אלמן",'[2]ריכוז נתונים'!$AC$2,0)</f>
        <v>0</v>
      </c>
      <c r="Z386" s="3">
        <f>VLOOKUP(VALUE(HEVARIM[[#This Row],[קוד מעמד]]),הנחות!$I$2:$K$21,3,0)</f>
        <v>1</v>
      </c>
      <c r="AA386" t="b">
        <f>ISERROR(VLOOKUP(HEVARIM[[#This Row],[קוד תקציב]],'[2]ריכוז נתונים'!A:A,1,0))</f>
        <v>0</v>
      </c>
      <c r="AB386" s="1">
        <f t="shared" si="21"/>
        <v>0</v>
      </c>
      <c r="AC386" s="2">
        <f ca="1">IF(HEVARIM[[#This Row],[בר מצוה]]&gt;0,YEAR(TODAY())+'תקציבים מיוחדים'!$F$5-HEVARIM[[#This Row],[גיל]],0)</f>
        <v>0</v>
      </c>
      <c r="AD386" s="1">
        <f t="shared" si="22"/>
        <v>0</v>
      </c>
      <c r="AE386" s="2">
        <f ca="1">IF(HEVARIM[[#This Row],[בת מצוה]]&gt;0,YEAR(TODAY())+'תקציבים מיוחדים'!$F$5-HEVARIM[[#This Row],[גיל]],0)</f>
        <v>0</v>
      </c>
      <c r="AF386" s="1">
        <f>IF(AND($S386&gt;="רווק",$Z386=1),AF$4*IF(HEVARIM[[#This Row],[גיל]]&gt;$AF$3,1,(($G386-AF$2)/(AF$3-AF$2))),0)</f>
        <v>40341.666666666664</v>
      </c>
      <c r="AG386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386" s="1">
        <f t="shared" si="23"/>
        <v>70392.333333333328</v>
      </c>
      <c r="AI386" s="2">
        <f ca="1">IF(AH386&gt;0,YEAR(TODAY())+'תקציבים מיוחדים'!$F$7-HEVARIM[[#This Row],[גיל]],0)</f>
        <v>2033</v>
      </c>
      <c r="AJ386" s="9">
        <f>IF(AND(ISERROR(VLOOKUP(H386,'[2]ריכוז נתונים'!A:L,1,0)),P386="1     "),1,0)</f>
        <v>0</v>
      </c>
      <c r="AK38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6" s="1">
        <f>IF(AND(VALUE(HEVARIM[[#This Row],[קוד מעמד]])=1,HEVARIM[[#This Row],[ותק מחברה 40]]&lt;25),HEVARIM[[#This Row],[ותק מחברה 40]]/25*הנחות!$C$4,0)</f>
        <v>0</v>
      </c>
      <c r="AM386" s="9" t="str">
        <f ca="1">IF(HEVARIM[[#This Row],[דמי עזיבה 25 שנות ותק]]&gt;0,YEAR(TODAY())+25-ROUNDDOWN(HEVARIM[[#This Row],[ותק מחברה 40]],0),"")</f>
        <v/>
      </c>
      <c r="AN3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6" s="9" t="str">
        <f ca="1">IF(HEVARIM[[#This Row],[דמי עזיבה לגיל 65]]&gt;0,YEAR(TODAY())+64-ROUNDDOWN(HEVARIM[[#This Row],[גיל]],0),"")</f>
        <v/>
      </c>
      <c r="AP386" s="1">
        <f>SUMIF(HEVARIM[קוד תקציב],HEVARIM[[#This Row],[קוד תקציב משפחה מקורי]],HEVARIM[ותק מחברה 40])</f>
        <v>28.02</v>
      </c>
      <c r="AQ3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6" s="9">
        <f>IF(HEVARIM[[#This Row],[קוד מעמד]]="1     ",IFERROR(VLOOKUP(HEVARIM[[#This Row],[קוד תקציב]],'תקציב צביעה - לקראת השינוי'!A:F,4,0),0),0)</f>
        <v>0</v>
      </c>
      <c r="AT386" s="1"/>
    </row>
    <row r="387" spans="1:46">
      <c r="A387" t="s">
        <v>1900</v>
      </c>
      <c r="B387" t="s">
        <v>1901</v>
      </c>
      <c r="C387" t="s">
        <v>1723</v>
      </c>
      <c r="D387" t="s">
        <v>1902</v>
      </c>
      <c r="E387" t="s">
        <v>79</v>
      </c>
      <c r="F387" s="4">
        <v>42514</v>
      </c>
      <c r="G387">
        <v>9</v>
      </c>
      <c r="H387" t="s">
        <v>1890</v>
      </c>
      <c r="I387" t="s">
        <v>1891</v>
      </c>
      <c r="J387" s="4" t="s">
        <v>70</v>
      </c>
      <c r="K387" s="4" t="s">
        <v>71</v>
      </c>
      <c r="L387" t="s">
        <v>1903</v>
      </c>
      <c r="M387" t="s">
        <v>1888</v>
      </c>
      <c r="N387" t="s">
        <v>1889</v>
      </c>
      <c r="O387">
        <f>IFERROR(VLOOKUP(HEVARIM[[#This Row],[קוד תקציב]],[2]תקציבים!A:L,6,0),0)</f>
        <v>2</v>
      </c>
      <c r="P387" s="5" t="s">
        <v>227</v>
      </c>
      <c r="Q387" t="s">
        <v>14</v>
      </c>
      <c r="R387" s="4">
        <v>42514</v>
      </c>
      <c r="S387" s="4" t="s">
        <v>90</v>
      </c>
      <c r="T387" s="96" t="s">
        <v>1890</v>
      </c>
      <c r="U387" t="str">
        <f>VLOOKUP(HEVARIM[[#This Row],[גיל]],GIL,2,1)</f>
        <v>יסודי</v>
      </c>
      <c r="V387">
        <f>IF(HEVARIM[[#This Row],[קוד מעמד]]="4     ",IF(HEVARIM[[#This Row],[גיל]]=1,1,IF(HEVARIM[[#This Row],[גיל]]&lt;=5,5,18)),"")</f>
        <v>18</v>
      </c>
      <c r="W387">
        <f t="shared" si="20"/>
        <v>0</v>
      </c>
      <c r="X38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7">
        <f>IF(HEVARIM[[#This Row],[מצב משפחתי2]]="אלמן",'[2]ריכוז נתונים'!$AC$2,0)</f>
        <v>0</v>
      </c>
      <c r="Z387" s="3">
        <f>VLOOKUP(VALUE(HEVARIM[[#This Row],[קוד מעמד]]),הנחות!$I$2:$K$21,3,0)</f>
        <v>1</v>
      </c>
      <c r="AA387" t="b">
        <f>ISERROR(VLOOKUP(HEVARIM[[#This Row],[קוד תקציב]],'[2]ריכוז נתונים'!A:A,1,0))</f>
        <v>0</v>
      </c>
      <c r="AB387" s="1">
        <f t="shared" si="21"/>
        <v>0</v>
      </c>
      <c r="AC387" s="2">
        <f ca="1">IF(HEVARIM[[#This Row],[בר מצוה]]&gt;0,YEAR(TODAY())+'תקציבים מיוחדים'!$F$5-HEVARIM[[#This Row],[גיל]],0)</f>
        <v>0</v>
      </c>
      <c r="AD387" s="1">
        <f t="shared" si="22"/>
        <v>4960.3846153846152</v>
      </c>
      <c r="AE387" s="2">
        <f ca="1">IF(HEVARIM[[#This Row],[בת מצוה]]&gt;0,YEAR(TODAY())+'תקציבים מיוחדים'!$F$5-HEVARIM[[#This Row],[גיל]],0)</f>
        <v>2030</v>
      </c>
      <c r="AF387" s="1">
        <f>IF(AND($S387&gt;="רווק",$Z387=1),AF$4*IF(HEVARIM[[#This Row],[גיל]]&gt;$AF$3,1,(($G387-AF$2)/(AF$3-AF$2))),0)</f>
        <v>25933.928571428569</v>
      </c>
      <c r="AG387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387" s="1">
        <f t="shared" si="23"/>
        <v>45252.214285714283</v>
      </c>
      <c r="AI387" s="2">
        <f ca="1">IF(AH387&gt;0,YEAR(TODAY())+'תקציבים מיוחדים'!$F$7-HEVARIM[[#This Row],[גיל]],0)</f>
        <v>2038</v>
      </c>
      <c r="AJ387" s="9">
        <f>IF(AND(ISERROR(VLOOKUP(H387,'[2]ריכוז נתונים'!A:L,1,0)),P387="1     "),1,0)</f>
        <v>0</v>
      </c>
      <c r="AK38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7" s="1">
        <f>IF(AND(VALUE(HEVARIM[[#This Row],[קוד מעמד]])=1,HEVARIM[[#This Row],[ותק מחברה 40]]&lt;25),HEVARIM[[#This Row],[ותק מחברה 40]]/25*הנחות!$C$4,0)</f>
        <v>0</v>
      </c>
      <c r="AM387" s="9" t="str">
        <f ca="1">IF(HEVARIM[[#This Row],[דמי עזיבה 25 שנות ותק]]&gt;0,YEAR(TODAY())+25-ROUNDDOWN(HEVARIM[[#This Row],[ותק מחברה 40]],0),"")</f>
        <v/>
      </c>
      <c r="AN3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7" s="9" t="str">
        <f ca="1">IF(HEVARIM[[#This Row],[דמי עזיבה לגיל 65]]&gt;0,YEAR(TODAY())+64-ROUNDDOWN(HEVARIM[[#This Row],[גיל]],0),"")</f>
        <v/>
      </c>
      <c r="AP387" s="1">
        <f>SUMIF(HEVARIM[קוד תקציב],HEVARIM[[#This Row],[קוד תקציב משפחה מקורי]],HEVARIM[ותק מחברה 40])</f>
        <v>28.02</v>
      </c>
      <c r="AQ3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7" s="9">
        <f>IF(HEVARIM[[#This Row],[קוד מעמד]]="1     ",IFERROR(VLOOKUP(HEVARIM[[#This Row],[קוד תקציב]],'תקציב צביעה - לקראת השינוי'!A:F,4,0),0),0)</f>
        <v>0</v>
      </c>
      <c r="AT387" s="1"/>
    </row>
    <row r="388" spans="1:46">
      <c r="A388" t="s">
        <v>1937</v>
      </c>
      <c r="B388" t="s">
        <v>1938</v>
      </c>
      <c r="C388" t="s">
        <v>1723</v>
      </c>
      <c r="D388" t="s">
        <v>1939</v>
      </c>
      <c r="E388" t="s">
        <v>79</v>
      </c>
      <c r="F388" s="4">
        <v>33897</v>
      </c>
      <c r="G388">
        <v>33</v>
      </c>
      <c r="H388" t="s">
        <v>1934</v>
      </c>
      <c r="I388" t="s">
        <v>1935</v>
      </c>
      <c r="J388" s="4" t="s">
        <v>70</v>
      </c>
      <c r="K388" s="4" t="s">
        <v>81</v>
      </c>
      <c r="L388" t="s">
        <v>1940</v>
      </c>
      <c r="M388" t="s">
        <v>1932</v>
      </c>
      <c r="N388" t="s">
        <v>1933</v>
      </c>
      <c r="O388">
        <f>IFERROR(VLOOKUP(HEVARIM[[#This Row],[קוד תקציב]],[2]תקציבים!A:L,6,0),0)</f>
        <v>0</v>
      </c>
      <c r="P388" s="5" t="s">
        <v>1095</v>
      </c>
      <c r="Q388" t="s">
        <v>12</v>
      </c>
      <c r="R388" s="4">
        <v>45453</v>
      </c>
      <c r="S388" s="4" t="s">
        <v>74</v>
      </c>
      <c r="T388" s="96" t="s">
        <v>1934</v>
      </c>
      <c r="U388" t="str">
        <f>VLOOKUP(HEVARIM[[#This Row],[גיל]],GIL,2,1)</f>
        <v>--</v>
      </c>
      <c r="V388" t="str">
        <f>IF(HEVARIM[[#This Row],[קוד מעמד]]="4     ",IF(HEVARIM[[#This Row],[גיל]]=1,1,IF(HEVARIM[[#This Row],[גיל]]&lt;=5,5,18)),"")</f>
        <v/>
      </c>
      <c r="W388">
        <f t="shared" si="20"/>
        <v>0</v>
      </c>
      <c r="X38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8">
        <f>IF(HEVARIM[[#This Row],[מצב משפחתי2]]="אלמן",'[2]ריכוז נתונים'!$AC$2,0)</f>
        <v>0</v>
      </c>
      <c r="Z388" s="3">
        <f>VLOOKUP(VALUE(HEVARIM[[#This Row],[קוד מעמד]]),הנחות!$I$2:$K$21,3,0)</f>
        <v>0</v>
      </c>
      <c r="AA388" t="b">
        <f>ISERROR(VLOOKUP(HEVARIM[[#This Row],[קוד תקציב]],'[2]ריכוז נתונים'!A:A,1,0))</f>
        <v>1</v>
      </c>
      <c r="AB388" s="1">
        <f t="shared" si="21"/>
        <v>0</v>
      </c>
      <c r="AC388" s="2">
        <f ca="1">IF(HEVARIM[[#This Row],[בר מצוה]]&gt;0,YEAR(TODAY())+'תקציבים מיוחדים'!$F$5-HEVARIM[[#This Row],[גיל]],0)</f>
        <v>0</v>
      </c>
      <c r="AD388" s="1">
        <f t="shared" si="22"/>
        <v>0</v>
      </c>
      <c r="AE388" s="2">
        <f ca="1">IF(HEVARIM[[#This Row],[בת מצוה]]&gt;0,YEAR(TODAY())+'תקציבים מיוחדים'!$F$5-HEVARIM[[#This Row],[גיל]],0)</f>
        <v>0</v>
      </c>
      <c r="AF388" s="1">
        <f>IF(AND($S388&gt;="רווק",$Z388=1),AF$4*IF(HEVARIM[[#This Row],[גיל]]&gt;$AF$3,1,(($G388-AF$2)/(AF$3-AF$2))),0)</f>
        <v>0</v>
      </c>
      <c r="AG38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88" s="1">
        <f t="shared" si="23"/>
        <v>0</v>
      </c>
      <c r="AI388" s="2">
        <f ca="1">IF(AH388&gt;0,YEAR(TODAY())+'תקציבים מיוחדים'!$F$7-HEVARIM[[#This Row],[גיל]],0)</f>
        <v>0</v>
      </c>
      <c r="AJ388" s="9">
        <f>IF(AND(ISERROR(VLOOKUP(H388,'[2]ריכוז נתונים'!A:L,1,0)),P388="1     "),1,0)</f>
        <v>0</v>
      </c>
      <c r="AK38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8" s="1">
        <f>IF(AND(VALUE(HEVARIM[[#This Row],[קוד מעמד]])=1,HEVARIM[[#This Row],[ותק מחברה 40]]&lt;25),HEVARIM[[#This Row],[ותק מחברה 40]]/25*הנחות!$C$4,0)</f>
        <v>0</v>
      </c>
      <c r="AM388" s="9" t="str">
        <f ca="1">IF(HEVARIM[[#This Row],[דמי עזיבה 25 שנות ותק]]&gt;0,YEAR(TODAY())+25-ROUNDDOWN(HEVARIM[[#This Row],[ותק מחברה 40]],0),"")</f>
        <v/>
      </c>
      <c r="AN3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8" s="9" t="str">
        <f ca="1">IF(HEVARIM[[#This Row],[דמי עזיבה לגיל 65]]&gt;0,YEAR(TODAY())+64-ROUNDDOWN(HEVARIM[[#This Row],[גיל]],0),"")</f>
        <v/>
      </c>
      <c r="AP388" s="1">
        <f>SUMIF(HEVARIM[קוד תקציב],HEVARIM[[#This Row],[קוד תקציב משפחה מקורי]],HEVARIM[ותק מחברה 40])</f>
        <v>0</v>
      </c>
      <c r="AQ3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8" s="9">
        <f>IF(HEVARIM[[#This Row],[קוד מעמד]]="1     ",IFERROR(VLOOKUP(HEVARIM[[#This Row],[קוד תקציב]],'תקציב צביעה - לקראת השינוי'!A:F,4,0),0),0)</f>
        <v>0</v>
      </c>
      <c r="AT388" s="1"/>
    </row>
    <row r="389" spans="1:46">
      <c r="A389" t="s">
        <v>1941</v>
      </c>
      <c r="B389" t="s">
        <v>1942</v>
      </c>
      <c r="C389" t="s">
        <v>1723</v>
      </c>
      <c r="D389" t="s">
        <v>1943</v>
      </c>
      <c r="E389" t="s">
        <v>67</v>
      </c>
      <c r="F389" s="4">
        <v>45043</v>
      </c>
      <c r="G389">
        <v>2</v>
      </c>
      <c r="H389" t="s">
        <v>1934</v>
      </c>
      <c r="I389" t="s">
        <v>1935</v>
      </c>
      <c r="J389" s="4" t="s">
        <v>70</v>
      </c>
      <c r="K389" s="4" t="s">
        <v>81</v>
      </c>
      <c r="L389" t="s">
        <v>1944</v>
      </c>
      <c r="M389" t="s">
        <v>1932</v>
      </c>
      <c r="N389" t="s">
        <v>1933</v>
      </c>
      <c r="O389">
        <f>IFERROR(VLOOKUP(HEVARIM[[#This Row],[קוד תקציב]],[2]תקציבים!A:L,6,0),0)</f>
        <v>0</v>
      </c>
      <c r="P389" s="5" t="s">
        <v>227</v>
      </c>
      <c r="Q389" t="s">
        <v>14</v>
      </c>
      <c r="R389" s="4">
        <v>45453</v>
      </c>
      <c r="S389" s="4" t="s">
        <v>90</v>
      </c>
      <c r="T389" s="96" t="s">
        <v>1934</v>
      </c>
      <c r="U389" t="str">
        <f>VLOOKUP(HEVARIM[[#This Row],[גיל]],GIL,2,1)</f>
        <v>פעוט</v>
      </c>
      <c r="V389">
        <f>IF(HEVARIM[[#This Row],[קוד מעמד]]="4     ",IF(HEVARIM[[#This Row],[גיל]]=1,1,IF(HEVARIM[[#This Row],[גיל]]&lt;=5,5,18)),"")</f>
        <v>5</v>
      </c>
      <c r="W389">
        <f t="shared" si="20"/>
        <v>0</v>
      </c>
      <c r="X38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89">
        <f>IF(HEVARIM[[#This Row],[מצב משפחתי2]]="אלמן",'[2]ריכוז נתונים'!$AC$2,0)</f>
        <v>0</v>
      </c>
      <c r="Z389" s="3">
        <f>VLOOKUP(VALUE(HEVARIM[[#This Row],[קוד מעמד]]),הנחות!$I$2:$K$21,3,0)</f>
        <v>1</v>
      </c>
      <c r="AA389" t="b">
        <f>ISERROR(VLOOKUP(HEVARIM[[#This Row],[קוד תקציב]],'[2]ריכוז נתונים'!A:A,1,0))</f>
        <v>1</v>
      </c>
      <c r="AB389" s="1">
        <f t="shared" si="21"/>
        <v>1102.3076923076924</v>
      </c>
      <c r="AC389" s="2">
        <f ca="1">IF(HEVARIM[[#This Row],[בר מצוה]]&gt;0,YEAR(TODAY())+'תקציבים מיוחדים'!$F$5-HEVARIM[[#This Row],[גיל]],0)</f>
        <v>2037</v>
      </c>
      <c r="AD389" s="1">
        <f t="shared" si="22"/>
        <v>0</v>
      </c>
      <c r="AE389" s="2">
        <f ca="1">IF(HEVARIM[[#This Row],[בת מצוה]]&gt;0,YEAR(TODAY())+'תקציבים מיוחדים'!$F$5-HEVARIM[[#This Row],[גיל]],0)</f>
        <v>0</v>
      </c>
      <c r="AF389" s="1">
        <f>IF(AND($S389&gt;="רווק",$Z389=1),AF$4*IF(HEVARIM[[#This Row],[גיל]]&gt;$AF$3,1,(($G389-AF$2)/(AF$3-AF$2))),0)</f>
        <v>5763.0952380952376</v>
      </c>
      <c r="AG389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389" s="1">
        <f t="shared" si="23"/>
        <v>10056.047619047618</v>
      </c>
      <c r="AI389" s="2">
        <f ca="1">IF(AH389&gt;0,YEAR(TODAY())+'תקציבים מיוחדים'!$F$7-HEVARIM[[#This Row],[גיל]],0)</f>
        <v>2045</v>
      </c>
      <c r="AJ389" s="9">
        <f>IF(AND(ISERROR(VLOOKUP(H389,'[2]ריכוז נתונים'!A:L,1,0)),P389="1     "),1,0)</f>
        <v>0</v>
      </c>
      <c r="AK38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89" s="1">
        <f>IF(AND(VALUE(HEVARIM[[#This Row],[קוד מעמד]])=1,HEVARIM[[#This Row],[ותק מחברה 40]]&lt;25),HEVARIM[[#This Row],[ותק מחברה 40]]/25*הנחות!$C$4,0)</f>
        <v>0</v>
      </c>
      <c r="AM389" s="9" t="str">
        <f ca="1">IF(HEVARIM[[#This Row],[דמי עזיבה 25 שנות ותק]]&gt;0,YEAR(TODAY())+25-ROUNDDOWN(HEVARIM[[#This Row],[ותק מחברה 40]],0),"")</f>
        <v/>
      </c>
      <c r="AN38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89" s="9" t="str">
        <f ca="1">IF(HEVARIM[[#This Row],[דמי עזיבה לגיל 65]]&gt;0,YEAR(TODAY())+64-ROUNDDOWN(HEVARIM[[#This Row],[גיל]],0),"")</f>
        <v/>
      </c>
      <c r="AP389" s="1">
        <f>SUMIF(HEVARIM[קוד תקציב],HEVARIM[[#This Row],[קוד תקציב משפחה מקורי]],HEVARIM[ותק מחברה 40])</f>
        <v>0</v>
      </c>
      <c r="AQ3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3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89" s="9">
        <f>IF(HEVARIM[[#This Row],[קוד מעמד]]="1     ",IFERROR(VLOOKUP(HEVARIM[[#This Row],[קוד תקציב]],'תקציב צביעה - לקראת השינוי'!A:F,4,0),0),0)</f>
        <v>0</v>
      </c>
      <c r="AT389" s="1"/>
    </row>
    <row r="390" spans="1:46">
      <c r="A390" t="s">
        <v>1945</v>
      </c>
      <c r="B390" t="s">
        <v>1946</v>
      </c>
      <c r="C390" t="s">
        <v>1723</v>
      </c>
      <c r="D390" t="s">
        <v>1947</v>
      </c>
      <c r="E390" t="s">
        <v>67</v>
      </c>
      <c r="F390" s="4">
        <v>45637</v>
      </c>
      <c r="G390">
        <v>1</v>
      </c>
      <c r="H390" t="s">
        <v>1934</v>
      </c>
      <c r="I390" t="s">
        <v>1935</v>
      </c>
      <c r="J390" s="4" t="s">
        <v>70</v>
      </c>
      <c r="K390" s="4" t="s">
        <v>81</v>
      </c>
      <c r="L390" t="s">
        <v>1948</v>
      </c>
      <c r="M390" t="s">
        <v>1932</v>
      </c>
      <c r="N390" t="s">
        <v>1933</v>
      </c>
      <c r="O390">
        <f>IFERROR(VLOOKUP(HEVARIM[[#This Row],[קוד תקציב]],[2]תקציבים!A:L,6,0),0)</f>
        <v>0</v>
      </c>
      <c r="P390" s="5" t="s">
        <v>227</v>
      </c>
      <c r="Q390" t="s">
        <v>14</v>
      </c>
      <c r="R390" s="4">
        <v>45637</v>
      </c>
      <c r="S390" s="4" t="s">
        <v>90</v>
      </c>
      <c r="T390" s="96" t="s">
        <v>1934</v>
      </c>
      <c r="U390" t="str">
        <f>VLOOKUP(HEVARIM[[#This Row],[גיל]],GIL,2,1)</f>
        <v>פעוט</v>
      </c>
      <c r="V390">
        <f>IF(HEVARIM[[#This Row],[קוד מעמד]]="4     ",IF(HEVARIM[[#This Row],[גיל]]=1,1,IF(HEVARIM[[#This Row],[גיל]]&lt;=5,5,18)),"")</f>
        <v>1</v>
      </c>
      <c r="W390">
        <f t="shared" ref="W390:W453" si="24">IF(G390&lt;67,0,
 IF(O390=1,
   IF(G390&gt;=80,1896-231,1795-231),
 IF(O390=2,
   IF(G390&gt;=80,2899-332,2697-332),
 0))
)</f>
        <v>0</v>
      </c>
      <c r="X39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0">
        <f>IF(HEVARIM[[#This Row],[מצב משפחתי2]]="אלמן",'[2]ריכוז נתונים'!$AC$2,0)</f>
        <v>0</v>
      </c>
      <c r="Z390" s="3">
        <f>VLOOKUP(VALUE(HEVARIM[[#This Row],[קוד מעמד]]),הנחות!$I$2:$K$21,3,0)</f>
        <v>1</v>
      </c>
      <c r="AA390" t="b">
        <f>ISERROR(VLOOKUP(HEVARIM[[#This Row],[קוד תקציב]],'[2]ריכוז נתונים'!A:A,1,0))</f>
        <v>1</v>
      </c>
      <c r="AB390" s="1">
        <f t="shared" ref="AB390:AB453" si="25">IF(AND($G390&gt;=AC$2,$G390&lt;=AC$3,$E390="ז ",$Z390=1),AC$4*(($G390-AC$2)/(AC$3-AC$2)),0)</f>
        <v>551.15384615384619</v>
      </c>
      <c r="AC390" s="2">
        <f ca="1">IF(HEVARIM[[#This Row],[בר מצוה]]&gt;0,YEAR(TODAY())+'תקציבים מיוחדים'!$F$5-HEVARIM[[#This Row],[גיל]],0)</f>
        <v>2038</v>
      </c>
      <c r="AD390" s="1">
        <f t="shared" ref="AD390:AD453" si="26">IF(AND($G390&gt;=AE$2,$G390&lt;=AE$3,$E390="נ ",$Z390=1),AE$4*(($G390-AE$2)/(AE$3-AE$2)),0)</f>
        <v>0</v>
      </c>
      <c r="AE390" s="2">
        <f ca="1">IF(HEVARIM[[#This Row],[בת מצוה]]&gt;0,YEAR(TODAY())+'תקציבים מיוחדים'!$F$5-HEVARIM[[#This Row],[גיל]],0)</f>
        <v>0</v>
      </c>
      <c r="AF390" s="1">
        <f>IF(AND($S390&gt;="רווק",$Z390=1),AF$4*IF(HEVARIM[[#This Row],[גיל]]&gt;$AF$3,1,(($G390-AF$2)/(AF$3-AF$2))),0)</f>
        <v>2881.5476190476188</v>
      </c>
      <c r="AG390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390" s="1">
        <f t="shared" ref="AH390:AH453" si="27">IF(AND($G390&gt;=AI$2,$G390&lt;=AI$3,$Z390=1),AI$4*(($G390-AI$2)/(AI$3-AI$2)),0)</f>
        <v>5028.0238095238092</v>
      </c>
      <c r="AI390" s="2">
        <f ca="1">IF(AH390&gt;0,YEAR(TODAY())+'תקציבים מיוחדים'!$F$7-HEVARIM[[#This Row],[גיל]],0)</f>
        <v>2046</v>
      </c>
      <c r="AJ390" s="9">
        <f>IF(AND(ISERROR(VLOOKUP(H390,'[2]ריכוז נתונים'!A:L,1,0)),P390="1     "),1,0)</f>
        <v>0</v>
      </c>
      <c r="AK39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0" s="1">
        <f>IF(AND(VALUE(HEVARIM[[#This Row],[קוד מעמד]])=1,HEVARIM[[#This Row],[ותק מחברה 40]]&lt;25),HEVARIM[[#This Row],[ותק מחברה 40]]/25*הנחות!$C$4,0)</f>
        <v>0</v>
      </c>
      <c r="AM390" s="9" t="str">
        <f ca="1">IF(HEVARIM[[#This Row],[דמי עזיבה 25 שנות ותק]]&gt;0,YEAR(TODAY())+25-ROUNDDOWN(HEVARIM[[#This Row],[ותק מחברה 40]],0),"")</f>
        <v/>
      </c>
      <c r="AN3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0" s="9" t="str">
        <f ca="1">IF(HEVARIM[[#This Row],[דמי עזיבה לגיל 65]]&gt;0,YEAR(TODAY())+64-ROUNDDOWN(HEVARIM[[#This Row],[גיל]],0),"")</f>
        <v/>
      </c>
      <c r="AP390" s="1">
        <f>SUMIF(HEVARIM[קוד תקציב],HEVARIM[[#This Row],[קוד תקציב משפחה מקורי]],HEVARIM[ותק מחברה 40])</f>
        <v>0</v>
      </c>
      <c r="AQ3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3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0" s="9">
        <f>IF(HEVARIM[[#This Row],[קוד מעמד]]="1     ",IFERROR(VLOOKUP(HEVARIM[[#This Row],[קוד תקציב]],'תקציב צביעה - לקראת השינוי'!A:F,4,0),0),0)</f>
        <v>0</v>
      </c>
      <c r="AT390" s="1"/>
    </row>
    <row r="391" spans="1:46">
      <c r="A391" t="s">
        <v>1955</v>
      </c>
      <c r="B391" t="s">
        <v>1956</v>
      </c>
      <c r="C391" t="s">
        <v>1691</v>
      </c>
      <c r="D391" t="s">
        <v>1957</v>
      </c>
      <c r="E391" t="s">
        <v>79</v>
      </c>
      <c r="F391" s="4">
        <v>33329</v>
      </c>
      <c r="G391">
        <v>34</v>
      </c>
      <c r="H391" t="s">
        <v>1952</v>
      </c>
      <c r="I391" t="s">
        <v>1953</v>
      </c>
      <c r="J391" s="4" t="s">
        <v>70</v>
      </c>
      <c r="K391" s="4" t="s">
        <v>454</v>
      </c>
      <c r="L391" t="s">
        <v>1958</v>
      </c>
      <c r="M391" t="s">
        <v>1949</v>
      </c>
      <c r="N391" t="s">
        <v>1950</v>
      </c>
      <c r="O391">
        <f>IFERROR(VLOOKUP(HEVARIM[[#This Row],[קוד תקציב]],[2]תקציבים!A:L,6,0),0)</f>
        <v>2</v>
      </c>
      <c r="P391" s="5" t="s">
        <v>104</v>
      </c>
      <c r="Q391" t="s">
        <v>11</v>
      </c>
      <c r="R391" s="4">
        <v>44615</v>
      </c>
      <c r="S391" s="4" t="s">
        <v>74</v>
      </c>
      <c r="T391" s="96" t="s">
        <v>1952</v>
      </c>
      <c r="U391" t="str">
        <f>VLOOKUP(HEVARIM[[#This Row],[גיל]],GIL,2,1)</f>
        <v>--</v>
      </c>
      <c r="V391" t="str">
        <f>IF(HEVARIM[[#This Row],[קוד מעמד]]="4     ",IF(HEVARIM[[#This Row],[גיל]]=1,1,IF(HEVARIM[[#This Row],[גיל]]&lt;=5,5,18)),"")</f>
        <v/>
      </c>
      <c r="W391">
        <f t="shared" si="24"/>
        <v>0</v>
      </c>
      <c r="X39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1">
        <f>IF(HEVARIM[[#This Row],[מצב משפחתי2]]="אלמן",'[2]ריכוז נתונים'!$AC$2,0)</f>
        <v>0</v>
      </c>
      <c r="Z391" s="3">
        <f>VLOOKUP(VALUE(HEVARIM[[#This Row],[קוד מעמד]]),הנחות!$I$2:$K$21,3,0)</f>
        <v>0</v>
      </c>
      <c r="AA391" t="b">
        <f>ISERROR(VLOOKUP(HEVARIM[[#This Row],[קוד תקציב]],'[2]ריכוז נתונים'!A:A,1,0))</f>
        <v>0</v>
      </c>
      <c r="AB391" s="1">
        <f t="shared" si="25"/>
        <v>0</v>
      </c>
      <c r="AC391" s="2">
        <f ca="1">IF(HEVARIM[[#This Row],[בר מצוה]]&gt;0,YEAR(TODAY())+'תקציבים מיוחדים'!$F$5-HEVARIM[[#This Row],[גיל]],0)</f>
        <v>0</v>
      </c>
      <c r="AD391" s="1">
        <f t="shared" si="26"/>
        <v>0</v>
      </c>
      <c r="AE391" s="2">
        <f ca="1">IF(HEVARIM[[#This Row],[בת מצוה]]&gt;0,YEAR(TODAY())+'תקציבים מיוחדים'!$F$5-HEVARIM[[#This Row],[גיל]],0)</f>
        <v>0</v>
      </c>
      <c r="AF391" s="1">
        <f>IF(AND($S391&gt;="רווק",$Z391=1),AF$4*IF(HEVARIM[[#This Row],[גיל]]&gt;$AF$3,1,(($G391-AF$2)/(AF$3-AF$2))),0)</f>
        <v>0</v>
      </c>
      <c r="AG39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91" s="1">
        <f t="shared" si="27"/>
        <v>0</v>
      </c>
      <c r="AI391" s="2">
        <f ca="1">IF(AH391&gt;0,YEAR(TODAY())+'תקציבים מיוחדים'!$F$7-HEVARIM[[#This Row],[גיל]],0)</f>
        <v>0</v>
      </c>
      <c r="AJ391" s="9">
        <f>IF(AND(ISERROR(VLOOKUP(H391,'[2]ריכוז נתונים'!A:L,1,0)),P391="1     "),1,0)</f>
        <v>0</v>
      </c>
      <c r="AK391" s="1">
        <f>IF(VALUE(HEVARIM[[#This Row],[קוד מעמד]])=1,VLOOKUP((IF(LEFT(HEVARIM[[#This Row],[קוד חבר]],1)="0",HEVARIM[[#This Row],[קוד חבר]],VALUE(HEVARIM[[#This Row],[קוד חבר]]))),'ותק חברה 40'!AQ:AW,7,0),"")</f>
        <v>5.5</v>
      </c>
      <c r="AL391" s="1">
        <f>IF(AND(VALUE(HEVARIM[[#This Row],[קוד מעמד]])=1,HEVARIM[[#This Row],[ותק מחברה 40]]&lt;25),HEVARIM[[#This Row],[ותק מחברה 40]]/25*הנחות!$C$4,0)</f>
        <v>8257.6147499999988</v>
      </c>
      <c r="AM391" s="9">
        <f ca="1">IF(HEVARIM[[#This Row],[דמי עזיבה 25 שנות ותק]]&gt;0,YEAR(TODAY())+25-ROUNDDOWN(HEVARIM[[#This Row],[ותק מחברה 40]],0),"")</f>
        <v>2046</v>
      </c>
      <c r="AN39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1" s="9" t="str">
        <f ca="1">IF(HEVARIM[[#This Row],[דמי עזיבה לגיל 65]]&gt;0,YEAR(TODAY())+64-ROUNDDOWN(HEVARIM[[#This Row],[גיל]],0),"")</f>
        <v/>
      </c>
      <c r="AP391" s="1">
        <f>SUMIF(HEVARIM[קוד תקציב],HEVARIM[[#This Row],[קוד תקציב משפחה מקורי]],HEVARIM[ותק מחברה 40])</f>
        <v>11</v>
      </c>
      <c r="AQ3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1" s="9">
        <f>IF(HEVARIM[[#This Row],[קוד מעמד]]="1     ",IFERROR(VLOOKUP(HEVARIM[[#This Row],[קוד תקציב]],'תקציב צביעה - לקראת השינוי'!A:F,4,0),0),0)</f>
        <v>0</v>
      </c>
      <c r="AT391" s="1"/>
    </row>
    <row r="392" spans="1:46">
      <c r="A392" t="s">
        <v>1959</v>
      </c>
      <c r="B392" t="s">
        <v>1960</v>
      </c>
      <c r="C392" t="s">
        <v>1691</v>
      </c>
      <c r="D392" t="s">
        <v>1961</v>
      </c>
      <c r="E392" t="s">
        <v>67</v>
      </c>
      <c r="F392" s="4">
        <v>43212</v>
      </c>
      <c r="G392">
        <v>7</v>
      </c>
      <c r="H392" t="s">
        <v>1952</v>
      </c>
      <c r="I392" t="s">
        <v>1953</v>
      </c>
      <c r="J392" s="4" t="s">
        <v>70</v>
      </c>
      <c r="K392" s="4" t="s">
        <v>454</v>
      </c>
      <c r="L392" t="s">
        <v>1962</v>
      </c>
      <c r="M392" t="s">
        <v>1949</v>
      </c>
      <c r="N392" t="s">
        <v>1950</v>
      </c>
      <c r="O392">
        <f>IFERROR(VLOOKUP(HEVARIM[[#This Row],[קוד תקציב]],[2]תקציבים!A:L,6,0),0)</f>
        <v>2</v>
      </c>
      <c r="P392" s="5" t="s">
        <v>227</v>
      </c>
      <c r="Q392" t="s">
        <v>14</v>
      </c>
      <c r="R392" s="4">
        <v>43891</v>
      </c>
      <c r="S392" s="4" t="s">
        <v>90</v>
      </c>
      <c r="T392" s="96" t="s">
        <v>1952</v>
      </c>
      <c r="U392" t="str">
        <f>VLOOKUP(HEVARIM[[#This Row],[גיל]],GIL,2,1)</f>
        <v>יסודי</v>
      </c>
      <c r="V392">
        <f>IF(HEVARIM[[#This Row],[קוד מעמד]]="4     ",IF(HEVARIM[[#This Row],[גיל]]=1,1,IF(HEVARIM[[#This Row],[גיל]]&lt;=5,5,18)),"")</f>
        <v>18</v>
      </c>
      <c r="W392">
        <f t="shared" si="24"/>
        <v>0</v>
      </c>
      <c r="X39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2">
        <f>IF(HEVARIM[[#This Row],[מצב משפחתי2]]="אלמן",'[2]ריכוז נתונים'!$AC$2,0)</f>
        <v>0</v>
      </c>
      <c r="Z392" s="3">
        <f>VLOOKUP(VALUE(HEVARIM[[#This Row],[קוד מעמד]]),הנחות!$I$2:$K$21,3,0)</f>
        <v>1</v>
      </c>
      <c r="AA392" t="b">
        <f>ISERROR(VLOOKUP(HEVARIM[[#This Row],[קוד תקציב]],'[2]ריכוז נתונים'!A:A,1,0))</f>
        <v>0</v>
      </c>
      <c r="AB392" s="1">
        <f t="shared" si="25"/>
        <v>3858.0769230769229</v>
      </c>
      <c r="AC392" s="2">
        <f ca="1">IF(HEVARIM[[#This Row],[בר מצוה]]&gt;0,YEAR(TODAY())+'תקציבים מיוחדים'!$F$5-HEVARIM[[#This Row],[גיל]],0)</f>
        <v>2032</v>
      </c>
      <c r="AD392" s="1">
        <f t="shared" si="26"/>
        <v>0</v>
      </c>
      <c r="AE392" s="2">
        <f ca="1">IF(HEVARIM[[#This Row],[בת מצוה]]&gt;0,YEAR(TODAY())+'תקציבים מיוחדים'!$F$5-HEVARIM[[#This Row],[גיל]],0)</f>
        <v>0</v>
      </c>
      <c r="AF392" s="1">
        <f>IF(AND($S392&gt;="רווק",$Z392=1),AF$4*IF(HEVARIM[[#This Row],[גיל]]&gt;$AF$3,1,(($G392-AF$2)/(AF$3-AF$2))),0)</f>
        <v>20170.833333333332</v>
      </c>
      <c r="AG392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392" s="1">
        <f t="shared" si="27"/>
        <v>35196.166666666664</v>
      </c>
      <c r="AI392" s="2">
        <f ca="1">IF(AH392&gt;0,YEAR(TODAY())+'תקציבים מיוחדים'!$F$7-HEVARIM[[#This Row],[גיל]],0)</f>
        <v>2040</v>
      </c>
      <c r="AJ392" s="9">
        <f>IF(AND(ISERROR(VLOOKUP(H392,'[2]ריכוז נתונים'!A:L,1,0)),P392="1     "),1,0)</f>
        <v>0</v>
      </c>
      <c r="AK39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2" s="1">
        <f>IF(AND(VALUE(HEVARIM[[#This Row],[קוד מעמד]])=1,HEVARIM[[#This Row],[ותק מחברה 40]]&lt;25),HEVARIM[[#This Row],[ותק מחברה 40]]/25*הנחות!$C$4,0)</f>
        <v>0</v>
      </c>
      <c r="AM392" s="9" t="str">
        <f ca="1">IF(HEVARIM[[#This Row],[דמי עזיבה 25 שנות ותק]]&gt;0,YEAR(TODAY())+25-ROUNDDOWN(HEVARIM[[#This Row],[ותק מחברה 40]],0),"")</f>
        <v/>
      </c>
      <c r="AN3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2" s="9" t="str">
        <f ca="1">IF(HEVARIM[[#This Row],[דמי עזיבה לגיל 65]]&gt;0,YEAR(TODAY())+64-ROUNDDOWN(HEVARIM[[#This Row],[גיל]],0),"")</f>
        <v/>
      </c>
      <c r="AP392" s="1">
        <f>SUMIF(HEVARIM[קוד תקציב],HEVARIM[[#This Row],[קוד תקציב משפחה מקורי]],HEVARIM[ותק מחברה 40])</f>
        <v>11</v>
      </c>
      <c r="AQ3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2" s="9">
        <f>IF(HEVARIM[[#This Row],[קוד מעמד]]="1     ",IFERROR(VLOOKUP(HEVARIM[[#This Row],[קוד תקציב]],'תקציב צביעה - לקראת השינוי'!A:F,4,0),0),0)</f>
        <v>0</v>
      </c>
      <c r="AT392" s="1"/>
    </row>
    <row r="393" spans="1:46">
      <c r="A393" t="s">
        <v>1963</v>
      </c>
      <c r="B393" t="s">
        <v>1964</v>
      </c>
      <c r="C393" t="s">
        <v>1691</v>
      </c>
      <c r="D393" t="s">
        <v>1965</v>
      </c>
      <c r="E393" t="s">
        <v>67</v>
      </c>
      <c r="F393" s="4">
        <v>43964</v>
      </c>
      <c r="G393">
        <v>5</v>
      </c>
      <c r="H393" t="s">
        <v>1952</v>
      </c>
      <c r="I393" t="s">
        <v>1953</v>
      </c>
      <c r="J393" s="4" t="s">
        <v>70</v>
      </c>
      <c r="K393" s="4" t="s">
        <v>454</v>
      </c>
      <c r="L393" t="s">
        <v>1966</v>
      </c>
      <c r="M393" t="s">
        <v>1949</v>
      </c>
      <c r="N393" t="s">
        <v>1950</v>
      </c>
      <c r="O393">
        <f>IFERROR(VLOOKUP(HEVARIM[[#This Row],[קוד תקציב]],[2]תקציבים!A:L,6,0),0)</f>
        <v>2</v>
      </c>
      <c r="P393" s="5" t="s">
        <v>227</v>
      </c>
      <c r="Q393" t="s">
        <v>14</v>
      </c>
      <c r="R393" s="4">
        <v>43970</v>
      </c>
      <c r="S393" s="4" t="s">
        <v>90</v>
      </c>
      <c r="T393" s="96" t="s">
        <v>1952</v>
      </c>
      <c r="U393" t="str">
        <f>VLOOKUP(HEVARIM[[#This Row],[גיל]],GIL,2,1)</f>
        <v>גנים</v>
      </c>
      <c r="V393">
        <f>IF(HEVARIM[[#This Row],[קוד מעמד]]="4     ",IF(HEVARIM[[#This Row],[גיל]]=1,1,IF(HEVARIM[[#This Row],[גיל]]&lt;=5,5,18)),"")</f>
        <v>5</v>
      </c>
      <c r="W393">
        <f t="shared" si="24"/>
        <v>0</v>
      </c>
      <c r="X39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3">
        <f>IF(HEVARIM[[#This Row],[מצב משפחתי2]]="אלמן",'[2]ריכוז נתונים'!$AC$2,0)</f>
        <v>0</v>
      </c>
      <c r="Z393" s="3">
        <f>VLOOKUP(VALUE(HEVARIM[[#This Row],[קוד מעמד]]),הנחות!$I$2:$K$21,3,0)</f>
        <v>1</v>
      </c>
      <c r="AA393" t="b">
        <f>ISERROR(VLOOKUP(HEVARIM[[#This Row],[קוד תקציב]],'[2]ריכוז נתונים'!A:A,1,0))</f>
        <v>0</v>
      </c>
      <c r="AB393" s="1">
        <f t="shared" si="25"/>
        <v>2755.7692307692309</v>
      </c>
      <c r="AC393" s="2">
        <f ca="1">IF(HEVARIM[[#This Row],[בר מצוה]]&gt;0,YEAR(TODAY())+'תקציבים מיוחדים'!$F$5-HEVARIM[[#This Row],[גיל]],0)</f>
        <v>2034</v>
      </c>
      <c r="AD393" s="1">
        <f t="shared" si="26"/>
        <v>0</v>
      </c>
      <c r="AE393" s="2">
        <f ca="1">IF(HEVARIM[[#This Row],[בת מצוה]]&gt;0,YEAR(TODAY())+'תקציבים מיוחדים'!$F$5-HEVARIM[[#This Row],[גיל]],0)</f>
        <v>0</v>
      </c>
      <c r="AF393" s="1">
        <f>IF(AND($S393&gt;="רווק",$Z393=1),AF$4*IF(HEVARIM[[#This Row],[גיל]]&gt;$AF$3,1,(($G393-AF$2)/(AF$3-AF$2))),0)</f>
        <v>14407.738095238094</v>
      </c>
      <c r="AG393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393" s="1">
        <f t="shared" si="27"/>
        <v>25140.119047619046</v>
      </c>
      <c r="AI393" s="2">
        <f ca="1">IF(AH393&gt;0,YEAR(TODAY())+'תקציבים מיוחדים'!$F$7-HEVARIM[[#This Row],[גיל]],0)</f>
        <v>2042</v>
      </c>
      <c r="AJ393" s="9">
        <f>IF(AND(ISERROR(VLOOKUP(H393,'[2]ריכוז נתונים'!A:L,1,0)),P393="1     "),1,0)</f>
        <v>0</v>
      </c>
      <c r="AK39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3" s="1">
        <f>IF(AND(VALUE(HEVARIM[[#This Row],[קוד מעמד]])=1,HEVARIM[[#This Row],[ותק מחברה 40]]&lt;25),HEVARIM[[#This Row],[ותק מחברה 40]]/25*הנחות!$C$4,0)</f>
        <v>0</v>
      </c>
      <c r="AM393" s="9" t="str">
        <f ca="1">IF(HEVARIM[[#This Row],[דמי עזיבה 25 שנות ותק]]&gt;0,YEAR(TODAY())+25-ROUNDDOWN(HEVARIM[[#This Row],[ותק מחברה 40]],0),"")</f>
        <v/>
      </c>
      <c r="AN39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3" s="9" t="str">
        <f ca="1">IF(HEVARIM[[#This Row],[דמי עזיבה לגיל 65]]&gt;0,YEAR(TODAY())+64-ROUNDDOWN(HEVARIM[[#This Row],[גיל]],0),"")</f>
        <v/>
      </c>
      <c r="AP393" s="1">
        <f>SUMIF(HEVARIM[קוד תקציב],HEVARIM[[#This Row],[קוד תקציב משפחה מקורי]],HEVARIM[ותק מחברה 40])</f>
        <v>11</v>
      </c>
      <c r="AQ3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3" s="9">
        <f>IF(HEVARIM[[#This Row],[קוד מעמד]]="1     ",IFERROR(VLOOKUP(HEVARIM[[#This Row],[קוד תקציב]],'תקציב צביעה - לקראת השינוי'!A:F,4,0),0),0)</f>
        <v>0</v>
      </c>
      <c r="AT393" s="1"/>
    </row>
    <row r="394" spans="1:46">
      <c r="A394" t="s">
        <v>1967</v>
      </c>
      <c r="B394" t="s">
        <v>1968</v>
      </c>
      <c r="C394" t="s">
        <v>1691</v>
      </c>
      <c r="D394" t="s">
        <v>1969</v>
      </c>
      <c r="E394" t="s">
        <v>79</v>
      </c>
      <c r="F394" s="4">
        <v>44704</v>
      </c>
      <c r="G394">
        <v>3</v>
      </c>
      <c r="H394" t="s">
        <v>1952</v>
      </c>
      <c r="I394" t="s">
        <v>1953</v>
      </c>
      <c r="J394" s="4" t="s">
        <v>70</v>
      </c>
      <c r="K394" s="4" t="s">
        <v>454</v>
      </c>
      <c r="L394" t="s">
        <v>1970</v>
      </c>
      <c r="M394" t="s">
        <v>1949</v>
      </c>
      <c r="N394" t="s">
        <v>1950</v>
      </c>
      <c r="O394">
        <f>IFERROR(VLOOKUP(HEVARIM[[#This Row],[קוד תקציב]],[2]תקציבים!A:L,6,0),0)</f>
        <v>2</v>
      </c>
      <c r="P394" s="5" t="s">
        <v>227</v>
      </c>
      <c r="Q394" t="s">
        <v>14</v>
      </c>
      <c r="R394" s="4">
        <v>44704</v>
      </c>
      <c r="S394" s="4" t="s">
        <v>90</v>
      </c>
      <c r="T394" s="96" t="s">
        <v>1952</v>
      </c>
      <c r="U394" t="str">
        <f>VLOOKUP(HEVARIM[[#This Row],[גיל]],GIL,2,1)</f>
        <v>גנים</v>
      </c>
      <c r="V394">
        <f>IF(HEVARIM[[#This Row],[קוד מעמד]]="4     ",IF(HEVARIM[[#This Row],[גיל]]=1,1,IF(HEVARIM[[#This Row],[גיל]]&lt;=5,5,18)),"")</f>
        <v>5</v>
      </c>
      <c r="W394">
        <f t="shared" si="24"/>
        <v>0</v>
      </c>
      <c r="X39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4">
        <f>IF(HEVARIM[[#This Row],[מצב משפחתי2]]="אלמן",'[2]ריכוז נתונים'!$AC$2,0)</f>
        <v>0</v>
      </c>
      <c r="Z394" s="3">
        <f>VLOOKUP(VALUE(HEVARIM[[#This Row],[קוד מעמד]]),הנחות!$I$2:$K$21,3,0)</f>
        <v>1</v>
      </c>
      <c r="AA394" t="b">
        <f>ISERROR(VLOOKUP(HEVARIM[[#This Row],[קוד תקציב]],'[2]ריכוז נתונים'!A:A,1,0))</f>
        <v>0</v>
      </c>
      <c r="AB394" s="1">
        <f t="shared" si="25"/>
        <v>0</v>
      </c>
      <c r="AC394" s="2">
        <f ca="1">IF(HEVARIM[[#This Row],[בר מצוה]]&gt;0,YEAR(TODAY())+'תקציבים מיוחדים'!$F$5-HEVARIM[[#This Row],[גיל]],0)</f>
        <v>0</v>
      </c>
      <c r="AD394" s="1">
        <f t="shared" si="26"/>
        <v>1653.4615384615386</v>
      </c>
      <c r="AE394" s="2">
        <f ca="1">IF(HEVARIM[[#This Row],[בת מצוה]]&gt;0,YEAR(TODAY())+'תקציבים מיוחדים'!$F$5-HEVARIM[[#This Row],[גיל]],0)</f>
        <v>2036</v>
      </c>
      <c r="AF394" s="1">
        <f>IF(AND($S394&gt;="רווק",$Z394=1),AF$4*IF(HEVARIM[[#This Row],[גיל]]&gt;$AF$3,1,(($G394-AF$2)/(AF$3-AF$2))),0)</f>
        <v>8644.6428571428569</v>
      </c>
      <c r="AG394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394" s="1">
        <f t="shared" si="27"/>
        <v>15084.071428571428</v>
      </c>
      <c r="AI394" s="2">
        <f ca="1">IF(AH394&gt;0,YEAR(TODAY())+'תקציבים מיוחדים'!$F$7-HEVARIM[[#This Row],[גיל]],0)</f>
        <v>2044</v>
      </c>
      <c r="AJ394" s="9">
        <f>IF(AND(ISERROR(VLOOKUP(H394,'[2]ריכוז נתונים'!A:L,1,0)),P394="1     "),1,0)</f>
        <v>0</v>
      </c>
      <c r="AK39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4" s="1">
        <f>IF(AND(VALUE(HEVARIM[[#This Row],[קוד מעמד]])=1,HEVARIM[[#This Row],[ותק מחברה 40]]&lt;25),HEVARIM[[#This Row],[ותק מחברה 40]]/25*הנחות!$C$4,0)</f>
        <v>0</v>
      </c>
      <c r="AM394" s="9" t="str">
        <f ca="1">IF(HEVARIM[[#This Row],[דמי עזיבה 25 שנות ותק]]&gt;0,YEAR(TODAY())+25-ROUNDDOWN(HEVARIM[[#This Row],[ותק מחברה 40]],0),"")</f>
        <v/>
      </c>
      <c r="AN39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4" s="9" t="str">
        <f ca="1">IF(HEVARIM[[#This Row],[דמי עזיבה לגיל 65]]&gt;0,YEAR(TODAY())+64-ROUNDDOWN(HEVARIM[[#This Row],[גיל]],0),"")</f>
        <v/>
      </c>
      <c r="AP394" s="1">
        <f>SUMIF(HEVARIM[קוד תקציב],HEVARIM[[#This Row],[קוד תקציב משפחה מקורי]],HEVARIM[ותק מחברה 40])</f>
        <v>11</v>
      </c>
      <c r="AQ3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4" s="9">
        <f>IF(HEVARIM[[#This Row],[קוד מעמד]]="1     ",IFERROR(VLOOKUP(HEVARIM[[#This Row],[קוד תקציב]],'תקציב צביעה - לקראת השינוי'!A:F,4,0),0),0)</f>
        <v>0</v>
      </c>
      <c r="AT394" s="1"/>
    </row>
    <row r="395" spans="1:46">
      <c r="A395" t="s">
        <v>1977</v>
      </c>
      <c r="B395" t="s">
        <v>1978</v>
      </c>
      <c r="C395" t="s">
        <v>1979</v>
      </c>
      <c r="D395" t="s">
        <v>1980</v>
      </c>
      <c r="E395" t="s">
        <v>67</v>
      </c>
      <c r="F395" s="4">
        <v>30014</v>
      </c>
      <c r="G395">
        <v>43</v>
      </c>
      <c r="H395" t="s">
        <v>1981</v>
      </c>
      <c r="I395" t="s">
        <v>1982</v>
      </c>
      <c r="J395" s="4" t="s">
        <v>70</v>
      </c>
      <c r="K395" s="4" t="s">
        <v>71</v>
      </c>
      <c r="L395" t="s">
        <v>1983</v>
      </c>
      <c r="M395" t="s">
        <v>1977</v>
      </c>
      <c r="N395" t="s">
        <v>1978</v>
      </c>
      <c r="O395">
        <f>IFERROR(VLOOKUP(HEVARIM[[#This Row],[קוד תקציב]],[2]תקציבים!A:L,6,0),0)</f>
        <v>2</v>
      </c>
      <c r="P395" s="5" t="s">
        <v>104</v>
      </c>
      <c r="Q395" t="s">
        <v>11</v>
      </c>
      <c r="R395" s="4">
        <v>42256</v>
      </c>
      <c r="S395" s="4" t="s">
        <v>74</v>
      </c>
      <c r="T395" s="96" t="s">
        <v>1981</v>
      </c>
      <c r="U395" t="str">
        <f>VLOOKUP(HEVARIM[[#This Row],[גיל]],GIL,2,1)</f>
        <v>--</v>
      </c>
      <c r="V395" t="str">
        <f>IF(HEVARIM[[#This Row],[קוד מעמד]]="4     ",IF(HEVARIM[[#This Row],[גיל]]=1,1,IF(HEVARIM[[#This Row],[גיל]]&lt;=5,5,18)),"")</f>
        <v/>
      </c>
      <c r="W395">
        <f t="shared" si="24"/>
        <v>0</v>
      </c>
      <c r="X39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5">
        <f>IF(HEVARIM[[#This Row],[מצב משפחתי2]]="אלמן",'[2]ריכוז נתונים'!$AC$2,0)</f>
        <v>0</v>
      </c>
      <c r="Z395" s="3">
        <f>VLOOKUP(VALUE(HEVARIM[[#This Row],[קוד מעמד]]),הנחות!$I$2:$K$21,3,0)</f>
        <v>0</v>
      </c>
      <c r="AA395" t="b">
        <f>ISERROR(VLOOKUP(HEVARIM[[#This Row],[קוד תקציב]],'[2]ריכוז נתונים'!A:A,1,0))</f>
        <v>0</v>
      </c>
      <c r="AB395" s="1">
        <f t="shared" si="25"/>
        <v>0</v>
      </c>
      <c r="AC395" s="2">
        <f ca="1">IF(HEVARIM[[#This Row],[בר מצוה]]&gt;0,YEAR(TODAY())+'תקציבים מיוחדים'!$F$5-HEVARIM[[#This Row],[גיל]],0)</f>
        <v>0</v>
      </c>
      <c r="AD395" s="1">
        <f t="shared" si="26"/>
        <v>0</v>
      </c>
      <c r="AE395" s="2">
        <f ca="1">IF(HEVARIM[[#This Row],[בת מצוה]]&gt;0,YEAR(TODAY())+'תקציבים מיוחדים'!$F$5-HEVARIM[[#This Row],[גיל]],0)</f>
        <v>0</v>
      </c>
      <c r="AF395" s="1">
        <f>IF(AND($S395&gt;="רווק",$Z395=1),AF$4*IF(HEVARIM[[#This Row],[גיל]]&gt;$AF$3,1,(($G395-AF$2)/(AF$3-AF$2))),0)</f>
        <v>0</v>
      </c>
      <c r="AG39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95" s="1">
        <f t="shared" si="27"/>
        <v>0</v>
      </c>
      <c r="AI395" s="2">
        <f ca="1">IF(AH395&gt;0,YEAR(TODAY())+'תקציבים מיוחדים'!$F$7-HEVARIM[[#This Row],[גיל]],0)</f>
        <v>0</v>
      </c>
      <c r="AJ395" s="9">
        <f>IF(AND(ISERROR(VLOOKUP(H395,'[2]ריכוז נתונים'!A:L,1,0)),P395="1     "),1,0)</f>
        <v>0</v>
      </c>
      <c r="AK395" s="1">
        <f>IF(VALUE(HEVARIM[[#This Row],[קוד מעמד]])=1,VLOOKUP((IF(LEFT(HEVARIM[[#This Row],[קוד חבר]],1)="0",HEVARIM[[#This Row],[קוד חבר]],VALUE(HEVARIM[[#This Row],[קוד חבר]]))),'ותק חברה 40'!AQ:AW,7,0),"")</f>
        <v>12.01</v>
      </c>
      <c r="AL395" s="1">
        <f>IF(AND(VALUE(HEVARIM[[#This Row],[קוד מעמד]])=1,HEVARIM[[#This Row],[ותק מחברה 40]]&lt;25),HEVARIM[[#This Row],[ותק מחברה 40]]/25*הנחות!$C$4,0)</f>
        <v>18031.627844999999</v>
      </c>
      <c r="AM395" s="9">
        <f ca="1">IF(HEVARIM[[#This Row],[דמי עזיבה 25 שנות ותק]]&gt;0,YEAR(TODAY())+25-ROUNDDOWN(HEVARIM[[#This Row],[ותק מחברה 40]],0),"")</f>
        <v>2039</v>
      </c>
      <c r="AN3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5" s="9" t="str">
        <f ca="1">IF(HEVARIM[[#This Row],[דמי עזיבה לגיל 65]]&gt;0,YEAR(TODAY())+64-ROUNDDOWN(HEVARIM[[#This Row],[גיל]],0),"")</f>
        <v/>
      </c>
      <c r="AP395" s="1">
        <f>SUMIF(HEVARIM[קוד תקציב],HEVARIM[[#This Row],[קוד תקציב משפחה מקורי]],HEVARIM[ותק מחברה 40])</f>
        <v>24.02</v>
      </c>
      <c r="AQ3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95" s="9">
        <f>IF(HEVARIM[[#This Row],[קוד מעמד]]="1     ",IFERROR(VLOOKUP(HEVARIM[[#This Row],[קוד תקציב]],'תקציב צביעה - לקראת השינוי'!A:F,4,0),0),0)</f>
        <v>2032</v>
      </c>
      <c r="AT395" s="1"/>
    </row>
    <row r="396" spans="1:46">
      <c r="A396" t="s">
        <v>1984</v>
      </c>
      <c r="B396" t="s">
        <v>1985</v>
      </c>
      <c r="C396" t="s">
        <v>1979</v>
      </c>
      <c r="D396" t="s">
        <v>1287</v>
      </c>
      <c r="E396" t="s">
        <v>79</v>
      </c>
      <c r="F396" s="4">
        <v>31319</v>
      </c>
      <c r="G396">
        <v>40</v>
      </c>
      <c r="H396" t="s">
        <v>1981</v>
      </c>
      <c r="I396" t="s">
        <v>1982</v>
      </c>
      <c r="J396" s="4" t="s">
        <v>70</v>
      </c>
      <c r="K396" s="4" t="s">
        <v>71</v>
      </c>
      <c r="L396" t="s">
        <v>1986</v>
      </c>
      <c r="M396" t="s">
        <v>1977</v>
      </c>
      <c r="N396" t="s">
        <v>1978</v>
      </c>
      <c r="O396">
        <f>IFERROR(VLOOKUP(HEVARIM[[#This Row],[קוד תקציב]],[2]תקציבים!A:L,6,0),0)</f>
        <v>2</v>
      </c>
      <c r="P396" s="5" t="s">
        <v>104</v>
      </c>
      <c r="Q396" t="s">
        <v>11</v>
      </c>
      <c r="R396" s="4">
        <v>42256</v>
      </c>
      <c r="S396" s="4" t="s">
        <v>74</v>
      </c>
      <c r="T396" s="96" t="s">
        <v>1981</v>
      </c>
      <c r="U396" t="str">
        <f>VLOOKUP(HEVARIM[[#This Row],[גיל]],GIL,2,1)</f>
        <v>--</v>
      </c>
      <c r="V396" t="str">
        <f>IF(HEVARIM[[#This Row],[קוד מעמד]]="4     ",IF(HEVARIM[[#This Row],[גיל]]=1,1,IF(HEVARIM[[#This Row],[גיל]]&lt;=5,5,18)),"")</f>
        <v/>
      </c>
      <c r="W396">
        <f t="shared" si="24"/>
        <v>0</v>
      </c>
      <c r="X39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6">
        <f>IF(HEVARIM[[#This Row],[מצב משפחתי2]]="אלמן",'[2]ריכוז נתונים'!$AC$2,0)</f>
        <v>0</v>
      </c>
      <c r="Z396" s="3">
        <f>VLOOKUP(VALUE(HEVARIM[[#This Row],[קוד מעמד]]),הנחות!$I$2:$K$21,3,0)</f>
        <v>0</v>
      </c>
      <c r="AA396" t="b">
        <f>ISERROR(VLOOKUP(HEVARIM[[#This Row],[קוד תקציב]],'[2]ריכוז נתונים'!A:A,1,0))</f>
        <v>0</v>
      </c>
      <c r="AB396" s="1">
        <f t="shared" si="25"/>
        <v>0</v>
      </c>
      <c r="AC396" s="2">
        <f ca="1">IF(HEVARIM[[#This Row],[בר מצוה]]&gt;0,YEAR(TODAY())+'תקציבים מיוחדים'!$F$5-HEVARIM[[#This Row],[גיל]],0)</f>
        <v>0</v>
      </c>
      <c r="AD396" s="1">
        <f t="shared" si="26"/>
        <v>0</v>
      </c>
      <c r="AE396" s="2">
        <f ca="1">IF(HEVARIM[[#This Row],[בת מצוה]]&gt;0,YEAR(TODAY())+'תקציבים מיוחדים'!$F$5-HEVARIM[[#This Row],[גיל]],0)</f>
        <v>0</v>
      </c>
      <c r="AF396" s="1">
        <f>IF(AND($S396&gt;="רווק",$Z396=1),AF$4*IF(HEVARIM[[#This Row],[גיל]]&gt;$AF$3,1,(($G396-AF$2)/(AF$3-AF$2))),0)</f>
        <v>0</v>
      </c>
      <c r="AG39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396" s="1">
        <f t="shared" si="27"/>
        <v>0</v>
      </c>
      <c r="AI396" s="2">
        <f ca="1">IF(AH396&gt;0,YEAR(TODAY())+'תקציבים מיוחדים'!$F$7-HEVARIM[[#This Row],[גיל]],0)</f>
        <v>0</v>
      </c>
      <c r="AJ396" s="9">
        <f>IF(AND(ISERROR(VLOOKUP(H396,'[2]ריכוז נתונים'!A:L,1,0)),P396="1     "),1,0)</f>
        <v>0</v>
      </c>
      <c r="AK396" s="1">
        <f>IF(VALUE(HEVARIM[[#This Row],[קוד מעמד]])=1,VLOOKUP((IF(LEFT(HEVARIM[[#This Row],[קוד חבר]],1)="0",HEVARIM[[#This Row],[קוד חבר]],VALUE(HEVARIM[[#This Row],[קוד חבר]]))),'ותק חברה 40'!AQ:AW,7,0),"")</f>
        <v>12.01</v>
      </c>
      <c r="AL396" s="1">
        <f>IF(AND(VALUE(HEVARIM[[#This Row],[קוד מעמד]])=1,HEVARIM[[#This Row],[ותק מחברה 40]]&lt;25),HEVARIM[[#This Row],[ותק מחברה 40]]/25*הנחות!$C$4,0)</f>
        <v>18031.627844999999</v>
      </c>
      <c r="AM396" s="9">
        <f ca="1">IF(HEVARIM[[#This Row],[דמי עזיבה 25 שנות ותק]]&gt;0,YEAR(TODAY())+25-ROUNDDOWN(HEVARIM[[#This Row],[ותק מחברה 40]],0),"")</f>
        <v>2039</v>
      </c>
      <c r="AN3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6" s="9" t="str">
        <f ca="1">IF(HEVARIM[[#This Row],[דמי עזיבה לגיל 65]]&gt;0,YEAR(TODAY())+64-ROUNDDOWN(HEVARIM[[#This Row],[גיל]],0),"")</f>
        <v/>
      </c>
      <c r="AP396" s="1">
        <f>SUMIF(HEVARIM[קוד תקציב],HEVARIM[[#This Row],[קוד תקציב משפחה מקורי]],HEVARIM[ותק מחברה 40])</f>
        <v>24.02</v>
      </c>
      <c r="AQ3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396" s="9">
        <f>IF(HEVARIM[[#This Row],[קוד מעמד]]="1     ",IFERROR(VLOOKUP(HEVARIM[[#This Row],[קוד תקציב]],'תקציב צביעה - לקראת השינוי'!A:F,4,0),0),0)</f>
        <v>2032</v>
      </c>
      <c r="AT396" s="1"/>
    </row>
    <row r="397" spans="1:46">
      <c r="A397" t="s">
        <v>1987</v>
      </c>
      <c r="B397" t="s">
        <v>1988</v>
      </c>
      <c r="C397" t="s">
        <v>1979</v>
      </c>
      <c r="D397" t="s">
        <v>1989</v>
      </c>
      <c r="E397" t="s">
        <v>67</v>
      </c>
      <c r="F397" s="4">
        <v>39451</v>
      </c>
      <c r="G397">
        <v>17</v>
      </c>
      <c r="H397" t="s">
        <v>1981</v>
      </c>
      <c r="I397" t="s">
        <v>1982</v>
      </c>
      <c r="J397" s="4" t="s">
        <v>70</v>
      </c>
      <c r="K397" s="4" t="s">
        <v>71</v>
      </c>
      <c r="L397" t="s">
        <v>1990</v>
      </c>
      <c r="M397" t="s">
        <v>1977</v>
      </c>
      <c r="N397" t="s">
        <v>1978</v>
      </c>
      <c r="O397">
        <f>IFERROR(VLOOKUP(HEVARIM[[#This Row],[קוד תקציב]],[2]תקציבים!A:L,6,0),0)</f>
        <v>2</v>
      </c>
      <c r="P397" s="5" t="s">
        <v>227</v>
      </c>
      <c r="Q397" t="s">
        <v>14</v>
      </c>
      <c r="R397" s="4">
        <v>41518</v>
      </c>
      <c r="S397" s="4" t="s">
        <v>90</v>
      </c>
      <c r="T397" s="96" t="s">
        <v>1981</v>
      </c>
      <c r="U397" t="str">
        <f>VLOOKUP(HEVARIM[[#This Row],[גיל]],GIL,2,1)</f>
        <v>תיכון</v>
      </c>
      <c r="V397">
        <f>IF(HEVARIM[[#This Row],[קוד מעמד]]="4     ",IF(HEVARIM[[#This Row],[גיל]]=1,1,IF(HEVARIM[[#This Row],[גיל]]&lt;=5,5,18)),"")</f>
        <v>18</v>
      </c>
      <c r="W397">
        <f t="shared" si="24"/>
        <v>0</v>
      </c>
      <c r="X39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7">
        <f>IF(HEVARIM[[#This Row],[מצב משפחתי2]]="אלמן",'[2]ריכוז נתונים'!$AC$2,0)</f>
        <v>0</v>
      </c>
      <c r="Z397" s="3">
        <f>VLOOKUP(VALUE(HEVARIM[[#This Row],[קוד מעמד]]),הנחות!$I$2:$K$21,3,0)</f>
        <v>1</v>
      </c>
      <c r="AA397" t="b">
        <f>ISERROR(VLOOKUP(HEVARIM[[#This Row],[קוד תקציב]],'[2]ריכוז נתונים'!A:A,1,0))</f>
        <v>0</v>
      </c>
      <c r="AB397" s="1">
        <f t="shared" si="25"/>
        <v>0</v>
      </c>
      <c r="AC397" s="2">
        <f ca="1">IF(HEVARIM[[#This Row],[בר מצוה]]&gt;0,YEAR(TODAY())+'תקציבים מיוחדים'!$F$5-HEVARIM[[#This Row],[גיל]],0)</f>
        <v>0</v>
      </c>
      <c r="AD397" s="1">
        <f t="shared" si="26"/>
        <v>0</v>
      </c>
      <c r="AE397" s="2">
        <f ca="1">IF(HEVARIM[[#This Row],[בת מצוה]]&gt;0,YEAR(TODAY())+'תקציבים מיוחדים'!$F$5-HEVARIM[[#This Row],[גיל]],0)</f>
        <v>0</v>
      </c>
      <c r="AF397" s="1">
        <f>IF(AND($S397&gt;="רווק",$Z397=1),AF$4*IF(HEVARIM[[#This Row],[גיל]]&gt;$AF$3,1,(($G397-AF$2)/(AF$3-AF$2))),0)</f>
        <v>48986.309523809527</v>
      </c>
      <c r="AG397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397" s="1">
        <f t="shared" si="27"/>
        <v>85476.404761904763</v>
      </c>
      <c r="AI397" s="2">
        <f ca="1">IF(AH397&gt;0,YEAR(TODAY())+'תקציבים מיוחדים'!$F$7-HEVARIM[[#This Row],[גיל]],0)</f>
        <v>2030</v>
      </c>
      <c r="AJ397" s="9">
        <f>IF(AND(ISERROR(VLOOKUP(H397,'[2]ריכוז נתונים'!A:L,1,0)),P397="1     "),1,0)</f>
        <v>0</v>
      </c>
      <c r="AK39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7" s="1">
        <f>IF(AND(VALUE(HEVARIM[[#This Row],[קוד מעמד]])=1,HEVARIM[[#This Row],[ותק מחברה 40]]&lt;25),HEVARIM[[#This Row],[ותק מחברה 40]]/25*הנחות!$C$4,0)</f>
        <v>0</v>
      </c>
      <c r="AM397" s="9" t="str">
        <f ca="1">IF(HEVARIM[[#This Row],[דמי עזיבה 25 שנות ותק]]&gt;0,YEAR(TODAY())+25-ROUNDDOWN(HEVARIM[[#This Row],[ותק מחברה 40]],0),"")</f>
        <v/>
      </c>
      <c r="AN3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7" s="9" t="str">
        <f ca="1">IF(HEVARIM[[#This Row],[דמי עזיבה לגיל 65]]&gt;0,YEAR(TODAY())+64-ROUNDDOWN(HEVARIM[[#This Row],[גיל]],0),"")</f>
        <v/>
      </c>
      <c r="AP397" s="1">
        <f>SUMIF(HEVARIM[קוד תקציב],HEVARIM[[#This Row],[קוד תקציב משפחה מקורי]],HEVARIM[ותק מחברה 40])</f>
        <v>24.02</v>
      </c>
      <c r="AQ3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7" s="9">
        <f>IF(HEVARIM[[#This Row],[קוד מעמד]]="1     ",IFERROR(VLOOKUP(HEVARIM[[#This Row],[קוד תקציב]],'תקציב צביעה - לקראת השינוי'!A:F,4,0),0),0)</f>
        <v>0</v>
      </c>
      <c r="AT397" s="1"/>
    </row>
    <row r="398" spans="1:46">
      <c r="A398" t="s">
        <v>1991</v>
      </c>
      <c r="B398" t="s">
        <v>1992</v>
      </c>
      <c r="C398" t="s">
        <v>1979</v>
      </c>
      <c r="D398" t="s">
        <v>1993</v>
      </c>
      <c r="E398" t="s">
        <v>67</v>
      </c>
      <c r="F398" s="4">
        <v>40710</v>
      </c>
      <c r="G398">
        <v>14</v>
      </c>
      <c r="H398" t="s">
        <v>1981</v>
      </c>
      <c r="I398" t="s">
        <v>1982</v>
      </c>
      <c r="J398" s="4" t="s">
        <v>70</v>
      </c>
      <c r="K398" s="4" t="s">
        <v>71</v>
      </c>
      <c r="L398" t="s">
        <v>1994</v>
      </c>
      <c r="M398" t="s">
        <v>1977</v>
      </c>
      <c r="N398" t="s">
        <v>1978</v>
      </c>
      <c r="O398">
        <f>IFERROR(VLOOKUP(HEVARIM[[#This Row],[קוד תקציב]],[2]תקציבים!A:L,6,0),0)</f>
        <v>2</v>
      </c>
      <c r="P398" s="5" t="s">
        <v>227</v>
      </c>
      <c r="Q398" t="s">
        <v>14</v>
      </c>
      <c r="R398" s="4">
        <v>41518</v>
      </c>
      <c r="S398" s="4" t="s">
        <v>90</v>
      </c>
      <c r="T398" s="96" t="s">
        <v>1981</v>
      </c>
      <c r="U398" t="str">
        <f>VLOOKUP(HEVARIM[[#This Row],[גיל]],GIL,2,1)</f>
        <v>חטיבה</v>
      </c>
      <c r="V398">
        <f>IF(HEVARIM[[#This Row],[קוד מעמד]]="4     ",IF(HEVARIM[[#This Row],[גיל]]=1,1,IF(HEVARIM[[#This Row],[גיל]]&lt;=5,5,18)),"")</f>
        <v>18</v>
      </c>
      <c r="W398">
        <f t="shared" si="24"/>
        <v>0</v>
      </c>
      <c r="X39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8">
        <f>IF(HEVARIM[[#This Row],[מצב משפחתי2]]="אלמן",'[2]ריכוז נתונים'!$AC$2,0)</f>
        <v>0</v>
      </c>
      <c r="Z398" s="3">
        <f>VLOOKUP(VALUE(HEVARIM[[#This Row],[קוד מעמד]]),הנחות!$I$2:$K$21,3,0)</f>
        <v>1</v>
      </c>
      <c r="AA398" t="b">
        <f>ISERROR(VLOOKUP(HEVARIM[[#This Row],[קוד תקציב]],'[2]ריכוז נתונים'!A:A,1,0))</f>
        <v>0</v>
      </c>
      <c r="AB398" s="1">
        <f t="shared" si="25"/>
        <v>0</v>
      </c>
      <c r="AC398" s="2">
        <f ca="1">IF(HEVARIM[[#This Row],[בר מצוה]]&gt;0,YEAR(TODAY())+'תקציבים מיוחדים'!$F$5-HEVARIM[[#This Row],[גיל]],0)</f>
        <v>0</v>
      </c>
      <c r="AD398" s="1">
        <f t="shared" si="26"/>
        <v>0</v>
      </c>
      <c r="AE398" s="2">
        <f ca="1">IF(HEVARIM[[#This Row],[בת מצוה]]&gt;0,YEAR(TODAY())+'תקציבים מיוחדים'!$F$5-HEVARIM[[#This Row],[גיל]],0)</f>
        <v>0</v>
      </c>
      <c r="AF398" s="1">
        <f>IF(AND($S398&gt;="רווק",$Z398=1),AF$4*IF(HEVARIM[[#This Row],[גיל]]&gt;$AF$3,1,(($G398-AF$2)/(AF$3-AF$2))),0)</f>
        <v>40341.666666666664</v>
      </c>
      <c r="AG398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398" s="1">
        <f t="shared" si="27"/>
        <v>70392.333333333328</v>
      </c>
      <c r="AI398" s="2">
        <f ca="1">IF(AH398&gt;0,YEAR(TODAY())+'תקציבים מיוחדים'!$F$7-HEVARIM[[#This Row],[גיל]],0)</f>
        <v>2033</v>
      </c>
      <c r="AJ398" s="9">
        <f>IF(AND(ISERROR(VLOOKUP(H398,'[2]ריכוז נתונים'!A:L,1,0)),P398="1     "),1,0)</f>
        <v>0</v>
      </c>
      <c r="AK39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8" s="1">
        <f>IF(AND(VALUE(HEVARIM[[#This Row],[קוד מעמד]])=1,HEVARIM[[#This Row],[ותק מחברה 40]]&lt;25),HEVARIM[[#This Row],[ותק מחברה 40]]/25*הנחות!$C$4,0)</f>
        <v>0</v>
      </c>
      <c r="AM398" s="9" t="str">
        <f ca="1">IF(HEVARIM[[#This Row],[דמי עזיבה 25 שנות ותק]]&gt;0,YEAR(TODAY())+25-ROUNDDOWN(HEVARIM[[#This Row],[ותק מחברה 40]],0),"")</f>
        <v/>
      </c>
      <c r="AN39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8" s="9" t="str">
        <f ca="1">IF(HEVARIM[[#This Row],[דמי עזיבה לגיל 65]]&gt;0,YEAR(TODAY())+64-ROUNDDOWN(HEVARIM[[#This Row],[גיל]],0),"")</f>
        <v/>
      </c>
      <c r="AP398" s="1">
        <f>SUMIF(HEVARIM[קוד תקציב],HEVARIM[[#This Row],[קוד תקציב משפחה מקורי]],HEVARIM[ותק מחברה 40])</f>
        <v>24.02</v>
      </c>
      <c r="AQ3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8" s="9">
        <f>IF(HEVARIM[[#This Row],[קוד מעמד]]="1     ",IFERROR(VLOOKUP(HEVARIM[[#This Row],[קוד תקציב]],'תקציב צביעה - לקראת השינוי'!A:F,4,0),0),0)</f>
        <v>0</v>
      </c>
      <c r="AT398" s="1"/>
    </row>
    <row r="399" spans="1:46">
      <c r="A399" t="s">
        <v>1995</v>
      </c>
      <c r="B399" t="s">
        <v>1996</v>
      </c>
      <c r="C399" t="s">
        <v>1979</v>
      </c>
      <c r="D399" t="s">
        <v>1997</v>
      </c>
      <c r="E399" t="s">
        <v>79</v>
      </c>
      <c r="F399" s="4">
        <v>42157</v>
      </c>
      <c r="G399">
        <v>10</v>
      </c>
      <c r="H399" t="s">
        <v>1981</v>
      </c>
      <c r="I399" t="s">
        <v>1982</v>
      </c>
      <c r="J399" s="4" t="s">
        <v>70</v>
      </c>
      <c r="K399" s="4" t="s">
        <v>71</v>
      </c>
      <c r="L399" t="s">
        <v>1998</v>
      </c>
      <c r="M399" t="s">
        <v>1977</v>
      </c>
      <c r="N399" t="s">
        <v>1978</v>
      </c>
      <c r="O399">
        <f>IFERROR(VLOOKUP(HEVARIM[[#This Row],[קוד תקציב]],[2]תקציבים!A:L,6,0),0)</f>
        <v>2</v>
      </c>
      <c r="P399" s="5" t="s">
        <v>227</v>
      </c>
      <c r="Q399" t="s">
        <v>14</v>
      </c>
      <c r="R399" s="4">
        <v>42157</v>
      </c>
      <c r="S399" s="4" t="s">
        <v>90</v>
      </c>
      <c r="T399" s="96" t="s">
        <v>1981</v>
      </c>
      <c r="U399" t="str">
        <f>VLOOKUP(HEVARIM[[#This Row],[גיל]],GIL,2,1)</f>
        <v>יסודי</v>
      </c>
      <c r="V399">
        <f>IF(HEVARIM[[#This Row],[קוד מעמד]]="4     ",IF(HEVARIM[[#This Row],[גיל]]=1,1,IF(HEVARIM[[#This Row],[גיל]]&lt;=5,5,18)),"")</f>
        <v>18</v>
      </c>
      <c r="W399">
        <f t="shared" si="24"/>
        <v>0</v>
      </c>
      <c r="X39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399">
        <f>IF(HEVARIM[[#This Row],[מצב משפחתי2]]="אלמן",'[2]ריכוז נתונים'!$AC$2,0)</f>
        <v>0</v>
      </c>
      <c r="Z399" s="3">
        <f>VLOOKUP(VALUE(HEVARIM[[#This Row],[קוד מעמד]]),הנחות!$I$2:$K$21,3,0)</f>
        <v>1</v>
      </c>
      <c r="AA399" t="b">
        <f>ISERROR(VLOOKUP(HEVARIM[[#This Row],[קוד תקציב]],'[2]ריכוז נתונים'!A:A,1,0))</f>
        <v>0</v>
      </c>
      <c r="AB399" s="1">
        <f t="shared" si="25"/>
        <v>0</v>
      </c>
      <c r="AC399" s="2">
        <f ca="1">IF(HEVARIM[[#This Row],[בר מצוה]]&gt;0,YEAR(TODAY())+'תקציבים מיוחדים'!$F$5-HEVARIM[[#This Row],[גיל]],0)</f>
        <v>0</v>
      </c>
      <c r="AD399" s="1">
        <f t="shared" si="26"/>
        <v>5511.5384615384619</v>
      </c>
      <c r="AE399" s="2">
        <f ca="1">IF(HEVARIM[[#This Row],[בת מצוה]]&gt;0,YEAR(TODAY())+'תקציבים מיוחדים'!$F$5-HEVARIM[[#This Row],[גיל]],0)</f>
        <v>2029</v>
      </c>
      <c r="AF399" s="1">
        <f>IF(AND($S399&gt;="רווק",$Z399=1),AF$4*IF(HEVARIM[[#This Row],[גיל]]&gt;$AF$3,1,(($G399-AF$2)/(AF$3-AF$2))),0)</f>
        <v>28815.476190476187</v>
      </c>
      <c r="AG399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399" s="1">
        <f t="shared" si="27"/>
        <v>50280.238095238092</v>
      </c>
      <c r="AI399" s="2">
        <f ca="1">IF(AH399&gt;0,YEAR(TODAY())+'תקציבים מיוחדים'!$F$7-HEVARIM[[#This Row],[גיל]],0)</f>
        <v>2037</v>
      </c>
      <c r="AJ399" s="9">
        <f>IF(AND(ISERROR(VLOOKUP(H399,'[2]ריכוז נתונים'!A:L,1,0)),P399="1     "),1,0)</f>
        <v>0</v>
      </c>
      <c r="AK39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399" s="1">
        <f>IF(AND(VALUE(HEVARIM[[#This Row],[קוד מעמד]])=1,HEVARIM[[#This Row],[ותק מחברה 40]]&lt;25),HEVARIM[[#This Row],[ותק מחברה 40]]/25*הנחות!$C$4,0)</f>
        <v>0</v>
      </c>
      <c r="AM399" s="9" t="str">
        <f ca="1">IF(HEVARIM[[#This Row],[דמי עזיבה 25 שנות ותק]]&gt;0,YEAR(TODAY())+25-ROUNDDOWN(HEVARIM[[#This Row],[ותק מחברה 40]],0),"")</f>
        <v/>
      </c>
      <c r="AN39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399" s="9" t="str">
        <f ca="1">IF(HEVARIM[[#This Row],[דמי עזיבה לגיל 65]]&gt;0,YEAR(TODAY())+64-ROUNDDOWN(HEVARIM[[#This Row],[גיל]],0),"")</f>
        <v/>
      </c>
      <c r="AP399" s="1">
        <f>SUMIF(HEVARIM[קוד תקציב],HEVARIM[[#This Row],[קוד תקציב משפחה מקורי]],HEVARIM[ותק מחברה 40])</f>
        <v>24.02</v>
      </c>
      <c r="AQ3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3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399" s="9">
        <f>IF(HEVARIM[[#This Row],[קוד מעמד]]="1     ",IFERROR(VLOOKUP(HEVARIM[[#This Row],[קוד תקציב]],'תקציב צביעה - לקראת השינוי'!A:F,4,0),0),0)</f>
        <v>0</v>
      </c>
      <c r="AT399" s="1"/>
    </row>
    <row r="400" spans="1:46">
      <c r="A400" t="s">
        <v>1999</v>
      </c>
      <c r="B400" t="s">
        <v>2000</v>
      </c>
      <c r="C400" t="s">
        <v>1979</v>
      </c>
      <c r="D400" t="s">
        <v>2001</v>
      </c>
      <c r="E400" t="s">
        <v>67</v>
      </c>
      <c r="F400" s="4">
        <v>38559</v>
      </c>
      <c r="G400">
        <v>20</v>
      </c>
      <c r="H400" t="s">
        <v>1981</v>
      </c>
      <c r="I400" t="s">
        <v>1982</v>
      </c>
      <c r="J400" s="4" t="s">
        <v>70</v>
      </c>
      <c r="K400" s="4" t="s">
        <v>71</v>
      </c>
      <c r="L400" t="s">
        <v>2002</v>
      </c>
      <c r="M400" t="s">
        <v>1977</v>
      </c>
      <c r="N400" t="s">
        <v>1978</v>
      </c>
      <c r="O400">
        <f>IFERROR(VLOOKUP(HEVARIM[[#This Row],[קוד תקציב]],[2]תקציבים!A:L,6,0),0)</f>
        <v>2</v>
      </c>
      <c r="P400" s="5" t="s">
        <v>545</v>
      </c>
      <c r="Q400" t="s">
        <v>13</v>
      </c>
      <c r="R400" s="4">
        <v>45879</v>
      </c>
      <c r="S400" s="4" t="s">
        <v>90</v>
      </c>
      <c r="T400" s="96" t="s">
        <v>1981</v>
      </c>
      <c r="U400" t="str">
        <f>VLOOKUP(HEVARIM[[#This Row],[גיל]],GIL,2,1)</f>
        <v>--</v>
      </c>
      <c r="V400" t="str">
        <f>IF(HEVARIM[[#This Row],[קוד מעמד]]="4     ",IF(HEVARIM[[#This Row],[גיל]]=1,1,IF(HEVARIM[[#This Row],[גיל]]&lt;=5,5,18)),"")</f>
        <v/>
      </c>
      <c r="W400">
        <f t="shared" si="24"/>
        <v>0</v>
      </c>
      <c r="X40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0">
        <f>IF(HEVARIM[[#This Row],[מצב משפחתי2]]="אלמן",'[2]ריכוז נתונים'!$AC$2,0)</f>
        <v>0</v>
      </c>
      <c r="Z400" s="3">
        <f>VLOOKUP(VALUE(HEVARIM[[#This Row],[קוד מעמד]]),הנחות!$I$2:$K$21,3,0)</f>
        <v>1</v>
      </c>
      <c r="AA400" t="b">
        <f>ISERROR(VLOOKUP(HEVARIM[[#This Row],[קוד תקציב]],'[2]ריכוז נתונים'!A:A,1,0))</f>
        <v>0</v>
      </c>
      <c r="AB400" s="1">
        <f t="shared" si="25"/>
        <v>0</v>
      </c>
      <c r="AC400" s="2">
        <f ca="1">IF(HEVARIM[[#This Row],[בר מצוה]]&gt;0,YEAR(TODAY())+'תקציבים מיוחדים'!$F$5-HEVARIM[[#This Row],[גיל]],0)</f>
        <v>0</v>
      </c>
      <c r="AD400" s="1">
        <f t="shared" si="26"/>
        <v>0</v>
      </c>
      <c r="AE400" s="2">
        <f ca="1">IF(HEVARIM[[#This Row],[בת מצוה]]&gt;0,YEAR(TODAY())+'תקציבים מיוחדים'!$F$5-HEVARIM[[#This Row],[גיל]],0)</f>
        <v>0</v>
      </c>
      <c r="AF400" s="1">
        <f>IF(AND($S400&gt;="רווק",$Z400=1),AF$4*IF(HEVARIM[[#This Row],[גיל]]&gt;$AF$3,1,(($G400-AF$2)/(AF$3-AF$2))),0)</f>
        <v>57630.952380952374</v>
      </c>
      <c r="AG400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400" s="1">
        <f t="shared" si="27"/>
        <v>100560.47619047618</v>
      </c>
      <c r="AI400" s="2">
        <f ca="1">IF(AH400&gt;0,YEAR(TODAY())+'תקציבים מיוחדים'!$F$7-HEVARIM[[#This Row],[גיל]],0)</f>
        <v>2027</v>
      </c>
      <c r="AJ400" s="9">
        <f>IF(AND(ISERROR(VLOOKUP(H400,'[2]ריכוז נתונים'!A:L,1,0)),P400="1     "),1,0)</f>
        <v>0</v>
      </c>
      <c r="AK40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0" s="1">
        <f>IF(AND(VALUE(HEVARIM[[#This Row],[קוד מעמד]])=1,HEVARIM[[#This Row],[ותק מחברה 40]]&lt;25),HEVARIM[[#This Row],[ותק מחברה 40]]/25*הנחות!$C$4,0)</f>
        <v>0</v>
      </c>
      <c r="AM400" s="9" t="str">
        <f ca="1">IF(HEVARIM[[#This Row],[דמי עזיבה 25 שנות ותק]]&gt;0,YEAR(TODAY())+25-ROUNDDOWN(HEVARIM[[#This Row],[ותק מחברה 40]],0),"")</f>
        <v/>
      </c>
      <c r="AN4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0" s="9" t="str">
        <f ca="1">IF(HEVARIM[[#This Row],[דמי עזיבה לגיל 65]]&gt;0,YEAR(TODAY())+64-ROUNDDOWN(HEVARIM[[#This Row],[גיל]],0),"")</f>
        <v/>
      </c>
      <c r="AP400" s="1">
        <f>SUMIF(HEVARIM[קוד תקציב],HEVARIM[[#This Row],[קוד תקציב משפחה מקורי]],HEVARIM[ותק מחברה 40])</f>
        <v>24.02</v>
      </c>
      <c r="AQ4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0" s="9">
        <f>IF(HEVARIM[[#This Row],[קוד מעמד]]="1     ",IFERROR(VLOOKUP(HEVARIM[[#This Row],[קוד תקציב]],'תקציב צביעה - לקראת השינוי'!A:F,4,0),0),0)</f>
        <v>0</v>
      </c>
      <c r="AT400" s="1"/>
    </row>
    <row r="401" spans="1:46">
      <c r="A401" t="s">
        <v>2003</v>
      </c>
      <c r="B401" t="s">
        <v>2004</v>
      </c>
      <c r="C401" t="s">
        <v>2005</v>
      </c>
      <c r="D401" t="s">
        <v>1560</v>
      </c>
      <c r="E401" t="s">
        <v>67</v>
      </c>
      <c r="F401" s="4">
        <v>25601</v>
      </c>
      <c r="G401">
        <v>55</v>
      </c>
      <c r="H401" t="s">
        <v>2006</v>
      </c>
      <c r="I401" t="s">
        <v>2007</v>
      </c>
      <c r="J401" s="4" t="s">
        <v>70</v>
      </c>
      <c r="K401" s="4" t="s">
        <v>71</v>
      </c>
      <c r="L401" t="s">
        <v>2008</v>
      </c>
      <c r="M401" t="s">
        <v>2003</v>
      </c>
      <c r="N401" t="s">
        <v>2004</v>
      </c>
      <c r="O401">
        <f>IFERROR(VLOOKUP(HEVARIM[[#This Row],[קוד תקציב]],[2]תקציבים!A:L,6,0),0)</f>
        <v>2</v>
      </c>
      <c r="P401" s="5" t="s">
        <v>104</v>
      </c>
      <c r="Q401" t="s">
        <v>11</v>
      </c>
      <c r="R401" s="4">
        <v>40725</v>
      </c>
      <c r="S401" s="4" t="s">
        <v>74</v>
      </c>
      <c r="T401" s="96" t="s">
        <v>2006</v>
      </c>
      <c r="U401" t="str">
        <f>VLOOKUP(HEVARIM[[#This Row],[גיל]],GIL,2,1)</f>
        <v>--</v>
      </c>
      <c r="V401" t="str">
        <f>IF(HEVARIM[[#This Row],[קוד מעמד]]="4     ",IF(HEVARIM[[#This Row],[גיל]]=1,1,IF(HEVARIM[[#This Row],[גיל]]&lt;=5,5,18)),"")</f>
        <v/>
      </c>
      <c r="W401">
        <f t="shared" si="24"/>
        <v>0</v>
      </c>
      <c r="X4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1">
        <f>IF(HEVARIM[[#This Row],[מצב משפחתי2]]="אלמן",'[2]ריכוז נתונים'!$AC$2,0)</f>
        <v>0</v>
      </c>
      <c r="Z401" s="3">
        <f>VLOOKUP(VALUE(HEVARIM[[#This Row],[קוד מעמד]]),הנחות!$I$2:$K$21,3,0)</f>
        <v>0</v>
      </c>
      <c r="AA401" t="b">
        <f>ISERROR(VLOOKUP(HEVARIM[[#This Row],[קוד תקציב]],'[2]ריכוז נתונים'!A:A,1,0))</f>
        <v>0</v>
      </c>
      <c r="AB401" s="1">
        <f t="shared" si="25"/>
        <v>0</v>
      </c>
      <c r="AC401" s="2">
        <f ca="1">IF(HEVARIM[[#This Row],[בר מצוה]]&gt;0,YEAR(TODAY())+'תקציבים מיוחדים'!$F$5-HEVARIM[[#This Row],[גיל]],0)</f>
        <v>0</v>
      </c>
      <c r="AD401" s="1">
        <f t="shared" si="26"/>
        <v>0</v>
      </c>
      <c r="AE401" s="2">
        <f ca="1">IF(HEVARIM[[#This Row],[בת מצוה]]&gt;0,YEAR(TODAY())+'תקציבים מיוחדים'!$F$5-HEVARIM[[#This Row],[גיל]],0)</f>
        <v>0</v>
      </c>
      <c r="AF401" s="1">
        <f>IF(AND($S401&gt;="רווק",$Z401=1),AF$4*IF(HEVARIM[[#This Row],[גיל]]&gt;$AF$3,1,(($G401-AF$2)/(AF$3-AF$2))),0)</f>
        <v>0</v>
      </c>
      <c r="AG40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01" s="1">
        <f t="shared" si="27"/>
        <v>0</v>
      </c>
      <c r="AI401" s="2">
        <f ca="1">IF(AH401&gt;0,YEAR(TODAY())+'תקציבים מיוחדים'!$F$7-HEVARIM[[#This Row],[גיל]],0)</f>
        <v>0</v>
      </c>
      <c r="AJ401" s="9">
        <f>IF(AND(ISERROR(VLOOKUP(H401,'[2]ריכוז נתונים'!A:L,1,0)),P401="1     "),1,0)</f>
        <v>0</v>
      </c>
      <c r="AK401" s="1">
        <f>IF(VALUE(HEVARIM[[#This Row],[קוד מעמד]])=1,VLOOKUP((IF(LEFT(HEVARIM[[#This Row],[קוד חבר]],1)="0",HEVARIM[[#This Row],[קוד חבר]],VALUE(HEVARIM[[#This Row],[קוד חבר]]))),'ותק חברה 40'!AQ:AW,7,0),"")</f>
        <v>16.18</v>
      </c>
      <c r="AL401" s="1">
        <f>IF(AND(VALUE(HEVARIM[[#This Row],[קוד מעמד]])=1,HEVARIM[[#This Row],[ותק מחברה 40]]&lt;25),HEVARIM[[#This Row],[ותק מחברה 40]]/25*הנחות!$C$4,0)</f>
        <v>24292.401209999996</v>
      </c>
      <c r="AM401" s="9">
        <f ca="1">IF(HEVARIM[[#This Row],[דמי עזיבה 25 שנות ותק]]&gt;0,YEAR(TODAY())+25-ROUNDDOWN(HEVARIM[[#This Row],[ותק מחברה 40]],0),"")</f>
        <v>2035</v>
      </c>
      <c r="AN40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1" s="9" t="str">
        <f ca="1">IF(HEVARIM[[#This Row],[דמי עזיבה לגיל 65]]&gt;0,YEAR(TODAY())+64-ROUNDDOWN(HEVARIM[[#This Row],[גיל]],0),"")</f>
        <v/>
      </c>
      <c r="AP401" s="1">
        <f>SUMIF(HEVARIM[קוד תקציב],HEVARIM[[#This Row],[קוד תקציב משפחה מקורי]],HEVARIM[ותק מחברה 40])</f>
        <v>32.36</v>
      </c>
      <c r="AQ4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401" s="9">
        <f>IF(HEVARIM[[#This Row],[קוד מעמד]]="1     ",IFERROR(VLOOKUP(HEVARIM[[#This Row],[קוד תקציב]],'תקציב צביעה - לקראת השינוי'!A:F,4,0),0),0)</f>
        <v>2034</v>
      </c>
      <c r="AT401" s="1"/>
    </row>
    <row r="402" spans="1:46">
      <c r="A402" t="s">
        <v>2058</v>
      </c>
      <c r="B402" t="s">
        <v>2059</v>
      </c>
      <c r="C402" t="s">
        <v>2005</v>
      </c>
      <c r="D402" t="s">
        <v>2060</v>
      </c>
      <c r="E402" t="s">
        <v>67</v>
      </c>
      <c r="F402" s="4">
        <v>38005</v>
      </c>
      <c r="G402">
        <v>21</v>
      </c>
      <c r="H402" t="s">
        <v>2061</v>
      </c>
      <c r="I402" t="s">
        <v>2062</v>
      </c>
      <c r="J402" s="4" t="s">
        <v>70</v>
      </c>
      <c r="K402" s="4" t="s">
        <v>81</v>
      </c>
      <c r="L402" t="s">
        <v>2063</v>
      </c>
      <c r="M402" t="s">
        <v>2058</v>
      </c>
      <c r="N402" t="s">
        <v>2059</v>
      </c>
      <c r="O402">
        <f>IFERROR(VLOOKUP(HEVARIM[[#This Row],[קוד תקציב]],[2]תקציבים!A:L,6,0),0)</f>
        <v>0</v>
      </c>
      <c r="P402" s="5" t="s">
        <v>73</v>
      </c>
      <c r="Q402" t="s">
        <v>27</v>
      </c>
      <c r="R402" s="4">
        <v>45627</v>
      </c>
      <c r="S402" s="4" t="s">
        <v>90</v>
      </c>
      <c r="T402" s="96" t="s">
        <v>2006</v>
      </c>
      <c r="U402" t="str">
        <f>VLOOKUP(HEVARIM[[#This Row],[גיל]],GIL,2,1)</f>
        <v>--</v>
      </c>
      <c r="V402" t="str">
        <f>IF(HEVARIM[[#This Row],[קוד מעמד]]="4     ",IF(HEVARIM[[#This Row],[גיל]]=1,1,IF(HEVARIM[[#This Row],[גיל]]&lt;=5,5,18)),"")</f>
        <v/>
      </c>
      <c r="W402">
        <f t="shared" si="24"/>
        <v>0</v>
      </c>
      <c r="X40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2">
        <f>IF(HEVARIM[[#This Row],[מצב משפחתי2]]="אלמן",'[2]ריכוז נתונים'!$AC$2,0)</f>
        <v>0</v>
      </c>
      <c r="Z402" s="3">
        <f>VLOOKUP(VALUE(HEVARIM[[#This Row],[קוד מעמד]]),הנחות!$I$2:$K$21,3,0)</f>
        <v>1</v>
      </c>
      <c r="AA402" t="b">
        <f>ISERROR(VLOOKUP(HEVARIM[[#This Row],[קוד תקציב]],'[2]ריכוז נתונים'!A:A,1,0))</f>
        <v>1</v>
      </c>
      <c r="AB402" s="1">
        <f t="shared" si="25"/>
        <v>0</v>
      </c>
      <c r="AC402" s="2">
        <f ca="1">IF(HEVARIM[[#This Row],[בר מצוה]]&gt;0,YEAR(TODAY())+'תקציבים מיוחדים'!$F$5-HEVARIM[[#This Row],[גיל]],0)</f>
        <v>0</v>
      </c>
      <c r="AD402" s="1">
        <f t="shared" si="26"/>
        <v>0</v>
      </c>
      <c r="AE402" s="2">
        <f ca="1">IF(HEVARIM[[#This Row],[בת מצוה]]&gt;0,YEAR(TODAY())+'תקציבים מיוחדים'!$F$5-HEVARIM[[#This Row],[גיל]],0)</f>
        <v>0</v>
      </c>
      <c r="AF402" s="1">
        <f>IF(AND($S402&gt;="רווק",$Z402=1),AF$4*IF(HEVARIM[[#This Row],[גיל]]&gt;$AF$3,1,(($G402-AF$2)/(AF$3-AF$2))),0)</f>
        <v>60512.5</v>
      </c>
      <c r="AG402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402" s="1">
        <f t="shared" si="27"/>
        <v>105588.5</v>
      </c>
      <c r="AI402" s="2">
        <f ca="1">IF(AH402&gt;0,YEAR(TODAY())+'תקציבים מיוחדים'!$F$7-HEVARIM[[#This Row],[גיל]],0)</f>
        <v>2026</v>
      </c>
      <c r="AJ402" s="9">
        <f>IF(AND(ISERROR(VLOOKUP(H402,'[2]ריכוז נתונים'!A:L,1,0)),P402="1     "),1,0)</f>
        <v>0</v>
      </c>
      <c r="AK40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2" s="1">
        <f>IF(AND(VALUE(HEVARIM[[#This Row],[קוד מעמד]])=1,HEVARIM[[#This Row],[ותק מחברה 40]]&lt;25),HEVARIM[[#This Row],[ותק מחברה 40]]/25*הנחות!$C$4,0)</f>
        <v>0</v>
      </c>
      <c r="AM402" s="9" t="str">
        <f ca="1">IF(HEVARIM[[#This Row],[דמי עזיבה 25 שנות ותק]]&gt;0,YEAR(TODAY())+25-ROUNDDOWN(HEVARIM[[#This Row],[ותק מחברה 40]],0),"")</f>
        <v/>
      </c>
      <c r="AN4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2" s="9" t="str">
        <f ca="1">IF(HEVARIM[[#This Row],[דמי עזיבה לגיל 65]]&gt;0,YEAR(TODAY())+64-ROUNDDOWN(HEVARIM[[#This Row],[גיל]],0),"")</f>
        <v/>
      </c>
      <c r="AP402" s="1">
        <f>SUMIF(HEVARIM[קוד תקציב],HEVARIM[[#This Row],[קוד תקציב משפחה מקורי]],HEVARIM[ותק מחברה 40])</f>
        <v>32.36</v>
      </c>
      <c r="AQ4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2" s="9">
        <f>IF(HEVARIM[[#This Row],[קוד מעמד]]="1     ",IFERROR(VLOOKUP(HEVARIM[[#This Row],[קוד תקציב]],'תקציב צביעה - לקראת השינוי'!A:F,4,0),0),0)</f>
        <v>0</v>
      </c>
      <c r="AT402" s="1"/>
    </row>
    <row r="403" spans="1:46">
      <c r="A403" t="s">
        <v>2012</v>
      </c>
      <c r="B403" t="s">
        <v>2013</v>
      </c>
      <c r="C403" t="s">
        <v>2005</v>
      </c>
      <c r="D403" t="s">
        <v>2014</v>
      </c>
      <c r="E403" t="s">
        <v>67</v>
      </c>
      <c r="F403" s="4">
        <v>39576</v>
      </c>
      <c r="G403">
        <v>17</v>
      </c>
      <c r="H403" t="s">
        <v>2006</v>
      </c>
      <c r="I403" t="s">
        <v>2007</v>
      </c>
      <c r="J403" s="4" t="s">
        <v>70</v>
      </c>
      <c r="K403" s="4" t="s">
        <v>71</v>
      </c>
      <c r="L403" t="s">
        <v>2015</v>
      </c>
      <c r="M403" t="s">
        <v>2003</v>
      </c>
      <c r="N403" t="s">
        <v>2004</v>
      </c>
      <c r="O403">
        <f>IFERROR(VLOOKUP(HEVARIM[[#This Row],[קוד תקציב]],[2]תקציבים!A:L,6,0),0)</f>
        <v>2</v>
      </c>
      <c r="P403" s="5" t="s">
        <v>227</v>
      </c>
      <c r="Q403" t="s">
        <v>14</v>
      </c>
      <c r="R403" s="4">
        <v>39995</v>
      </c>
      <c r="S403" s="4" t="s">
        <v>90</v>
      </c>
      <c r="T403" s="96" t="s">
        <v>2006</v>
      </c>
      <c r="U403" t="str">
        <f>VLOOKUP(HEVARIM[[#This Row],[גיל]],GIL,2,1)</f>
        <v>תיכון</v>
      </c>
      <c r="V403">
        <f>IF(HEVARIM[[#This Row],[קוד מעמד]]="4     ",IF(HEVARIM[[#This Row],[גיל]]=1,1,IF(HEVARIM[[#This Row],[גיל]]&lt;=5,5,18)),"")</f>
        <v>18</v>
      </c>
      <c r="W403">
        <f t="shared" si="24"/>
        <v>0</v>
      </c>
      <c r="X40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3">
        <f>IF(HEVARIM[[#This Row],[מצב משפחתי2]]="אלמן",'[2]ריכוז נתונים'!$AC$2,0)</f>
        <v>0</v>
      </c>
      <c r="Z403" s="3">
        <f>VLOOKUP(VALUE(HEVARIM[[#This Row],[קוד מעמד]]),הנחות!$I$2:$K$21,3,0)</f>
        <v>1</v>
      </c>
      <c r="AA403" t="b">
        <f>ISERROR(VLOOKUP(HEVARIM[[#This Row],[קוד תקציב]],'[2]ריכוז נתונים'!A:A,1,0))</f>
        <v>0</v>
      </c>
      <c r="AB403" s="1">
        <f t="shared" si="25"/>
        <v>0</v>
      </c>
      <c r="AC403" s="2">
        <f ca="1">IF(HEVARIM[[#This Row],[בר מצוה]]&gt;0,YEAR(TODAY())+'תקציבים מיוחדים'!$F$5-HEVARIM[[#This Row],[גיל]],0)</f>
        <v>0</v>
      </c>
      <c r="AD403" s="1">
        <f t="shared" si="26"/>
        <v>0</v>
      </c>
      <c r="AE403" s="2">
        <f ca="1">IF(HEVARIM[[#This Row],[בת מצוה]]&gt;0,YEAR(TODAY())+'תקציבים מיוחדים'!$F$5-HEVARIM[[#This Row],[גיל]],0)</f>
        <v>0</v>
      </c>
      <c r="AF403" s="1">
        <f>IF(AND($S403&gt;="רווק",$Z403=1),AF$4*IF(HEVARIM[[#This Row],[גיל]]&gt;$AF$3,1,(($G403-AF$2)/(AF$3-AF$2))),0)</f>
        <v>48986.309523809527</v>
      </c>
      <c r="AG403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403" s="1">
        <f t="shared" si="27"/>
        <v>85476.404761904763</v>
      </c>
      <c r="AI403" s="2">
        <f ca="1">IF(AH403&gt;0,YEAR(TODAY())+'תקציבים מיוחדים'!$F$7-HEVARIM[[#This Row],[גיל]],0)</f>
        <v>2030</v>
      </c>
      <c r="AJ403" s="9">
        <f>IF(AND(ISERROR(VLOOKUP(H403,'[2]ריכוז נתונים'!A:L,1,0)),P403="1     "),1,0)</f>
        <v>0</v>
      </c>
      <c r="AK40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3" s="1">
        <f>IF(AND(VALUE(HEVARIM[[#This Row],[קוד מעמד]])=1,HEVARIM[[#This Row],[ותק מחברה 40]]&lt;25),HEVARIM[[#This Row],[ותק מחברה 40]]/25*הנחות!$C$4,0)</f>
        <v>0</v>
      </c>
      <c r="AM403" s="9" t="str">
        <f ca="1">IF(HEVARIM[[#This Row],[דמי עזיבה 25 שנות ותק]]&gt;0,YEAR(TODAY())+25-ROUNDDOWN(HEVARIM[[#This Row],[ותק מחברה 40]],0),"")</f>
        <v/>
      </c>
      <c r="AN4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3" s="9" t="str">
        <f ca="1">IF(HEVARIM[[#This Row],[דמי עזיבה לגיל 65]]&gt;0,YEAR(TODAY())+64-ROUNDDOWN(HEVARIM[[#This Row],[גיל]],0),"")</f>
        <v/>
      </c>
      <c r="AP403" s="1">
        <f>SUMIF(HEVARIM[קוד תקציב],HEVARIM[[#This Row],[קוד תקציב משפחה מקורי]],HEVARIM[ותק מחברה 40])</f>
        <v>32.36</v>
      </c>
      <c r="AQ4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3" s="9">
        <f>IF(HEVARIM[[#This Row],[קוד מעמד]]="1     ",IFERROR(VLOOKUP(HEVARIM[[#This Row],[קוד תקציב]],'תקציב צביעה - לקראת השינוי'!A:F,4,0),0),0)</f>
        <v>0</v>
      </c>
      <c r="AT403" s="1"/>
    </row>
    <row r="404" spans="1:46">
      <c r="A404" t="s">
        <v>2016</v>
      </c>
      <c r="B404" t="s">
        <v>2017</v>
      </c>
      <c r="C404" t="s">
        <v>2005</v>
      </c>
      <c r="D404" t="s">
        <v>2018</v>
      </c>
      <c r="E404" t="s">
        <v>79</v>
      </c>
      <c r="F404" s="4">
        <v>40248</v>
      </c>
      <c r="G404">
        <v>15</v>
      </c>
      <c r="H404" t="s">
        <v>2006</v>
      </c>
      <c r="I404" t="s">
        <v>2007</v>
      </c>
      <c r="J404" s="4" t="s">
        <v>70</v>
      </c>
      <c r="K404" s="4" t="s">
        <v>71</v>
      </c>
      <c r="L404" t="s">
        <v>2019</v>
      </c>
      <c r="M404" t="s">
        <v>2003</v>
      </c>
      <c r="N404" t="s">
        <v>2004</v>
      </c>
      <c r="O404">
        <f>IFERROR(VLOOKUP(HEVARIM[[#This Row],[קוד תקציב]],[2]תקציבים!A:L,6,0),0)</f>
        <v>2</v>
      </c>
      <c r="P404" s="5" t="s">
        <v>227</v>
      </c>
      <c r="Q404" t="s">
        <v>14</v>
      </c>
      <c r="R404" s="4">
        <v>40248</v>
      </c>
      <c r="S404" s="4" t="s">
        <v>90</v>
      </c>
      <c r="T404" s="96" t="s">
        <v>2006</v>
      </c>
      <c r="U404" t="str">
        <f>VLOOKUP(HEVARIM[[#This Row],[גיל]],GIL,2,1)</f>
        <v>תיכון</v>
      </c>
      <c r="V404">
        <f>IF(HEVARIM[[#This Row],[קוד מעמד]]="4     ",IF(HEVARIM[[#This Row],[גיל]]=1,1,IF(HEVARIM[[#This Row],[גיל]]&lt;=5,5,18)),"")</f>
        <v>18</v>
      </c>
      <c r="W404">
        <f t="shared" si="24"/>
        <v>0</v>
      </c>
      <c r="X40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4">
        <f>IF(HEVARIM[[#This Row],[מצב משפחתי2]]="אלמן",'[2]ריכוז נתונים'!$AC$2,0)</f>
        <v>0</v>
      </c>
      <c r="Z404" s="3">
        <f>VLOOKUP(VALUE(HEVARIM[[#This Row],[קוד מעמד]]),הנחות!$I$2:$K$21,3,0)</f>
        <v>1</v>
      </c>
      <c r="AA404" t="b">
        <f>ISERROR(VLOOKUP(HEVARIM[[#This Row],[קוד תקציב]],'[2]ריכוז נתונים'!A:A,1,0))</f>
        <v>0</v>
      </c>
      <c r="AB404" s="1">
        <f t="shared" si="25"/>
        <v>0</v>
      </c>
      <c r="AC404" s="2">
        <f ca="1">IF(HEVARIM[[#This Row],[בר מצוה]]&gt;0,YEAR(TODAY())+'תקציבים מיוחדים'!$F$5-HEVARIM[[#This Row],[גיל]],0)</f>
        <v>0</v>
      </c>
      <c r="AD404" s="1">
        <f t="shared" si="26"/>
        <v>0</v>
      </c>
      <c r="AE404" s="2">
        <f ca="1">IF(HEVARIM[[#This Row],[בת מצוה]]&gt;0,YEAR(TODAY())+'תקציבים מיוחדים'!$F$5-HEVARIM[[#This Row],[גיל]],0)</f>
        <v>0</v>
      </c>
      <c r="AF404" s="1">
        <f>IF(AND($S404&gt;="רווק",$Z404=1),AF$4*IF(HEVARIM[[#This Row],[גיל]]&gt;$AF$3,1,(($G404-AF$2)/(AF$3-AF$2))),0)</f>
        <v>43223.21428571429</v>
      </c>
      <c r="AG404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404" s="1">
        <f t="shared" si="27"/>
        <v>75420.357142857145</v>
      </c>
      <c r="AI404" s="2">
        <f ca="1">IF(AH404&gt;0,YEAR(TODAY())+'תקציבים מיוחדים'!$F$7-HEVARIM[[#This Row],[גיל]],0)</f>
        <v>2032</v>
      </c>
      <c r="AJ404" s="9">
        <f>IF(AND(ISERROR(VLOOKUP(H404,'[2]ריכוז נתונים'!A:L,1,0)),P404="1     "),1,0)</f>
        <v>0</v>
      </c>
      <c r="AK40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4" s="1">
        <f>IF(AND(VALUE(HEVARIM[[#This Row],[קוד מעמד]])=1,HEVARIM[[#This Row],[ותק מחברה 40]]&lt;25),HEVARIM[[#This Row],[ותק מחברה 40]]/25*הנחות!$C$4,0)</f>
        <v>0</v>
      </c>
      <c r="AM404" s="9" t="str">
        <f ca="1">IF(HEVARIM[[#This Row],[דמי עזיבה 25 שנות ותק]]&gt;0,YEAR(TODAY())+25-ROUNDDOWN(HEVARIM[[#This Row],[ותק מחברה 40]],0),"")</f>
        <v/>
      </c>
      <c r="AN4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4" s="9" t="str">
        <f ca="1">IF(HEVARIM[[#This Row],[דמי עזיבה לגיל 65]]&gt;0,YEAR(TODAY())+64-ROUNDDOWN(HEVARIM[[#This Row],[גיל]],0),"")</f>
        <v/>
      </c>
      <c r="AP404" s="1">
        <f>SUMIF(HEVARIM[קוד תקציב],HEVARIM[[#This Row],[קוד תקציב משפחה מקורי]],HEVARIM[ותק מחברה 40])</f>
        <v>32.36</v>
      </c>
      <c r="AQ4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4" s="9">
        <f>IF(HEVARIM[[#This Row],[קוד מעמד]]="1     ",IFERROR(VLOOKUP(HEVARIM[[#This Row],[קוד תקציב]],'תקציב צביעה - לקראת השינוי'!A:F,4,0),0),0)</f>
        <v>0</v>
      </c>
      <c r="AT404" s="1"/>
    </row>
    <row r="405" spans="1:46">
      <c r="A405" t="s">
        <v>2020</v>
      </c>
      <c r="B405" t="s">
        <v>2021</v>
      </c>
      <c r="C405" t="s">
        <v>2005</v>
      </c>
      <c r="D405" t="s">
        <v>2022</v>
      </c>
      <c r="E405" t="s">
        <v>79</v>
      </c>
      <c r="F405" s="4">
        <v>41961</v>
      </c>
      <c r="G405">
        <v>11</v>
      </c>
      <c r="H405" t="s">
        <v>2006</v>
      </c>
      <c r="I405" t="s">
        <v>2007</v>
      </c>
      <c r="J405" s="4" t="s">
        <v>70</v>
      </c>
      <c r="K405" s="4" t="s">
        <v>71</v>
      </c>
      <c r="L405" t="s">
        <v>2023</v>
      </c>
      <c r="M405" t="s">
        <v>2003</v>
      </c>
      <c r="N405" t="s">
        <v>2004</v>
      </c>
      <c r="O405">
        <f>IFERROR(VLOOKUP(HEVARIM[[#This Row],[קוד תקציב]],[2]תקציבים!A:L,6,0),0)</f>
        <v>2</v>
      </c>
      <c r="P405" s="5" t="s">
        <v>227</v>
      </c>
      <c r="Q405" t="s">
        <v>14</v>
      </c>
      <c r="R405" s="4">
        <v>41961</v>
      </c>
      <c r="S405" s="4" t="s">
        <v>90</v>
      </c>
      <c r="T405" s="96" t="s">
        <v>2006</v>
      </c>
      <c r="U405" t="str">
        <f>VLOOKUP(HEVARIM[[#This Row],[גיל]],GIL,2,1)</f>
        <v>יסודי</v>
      </c>
      <c r="V405">
        <f>IF(HEVARIM[[#This Row],[קוד מעמד]]="4     ",IF(HEVARIM[[#This Row],[גיל]]=1,1,IF(HEVARIM[[#This Row],[גיל]]&lt;=5,5,18)),"")</f>
        <v>18</v>
      </c>
      <c r="W405">
        <f t="shared" si="24"/>
        <v>0</v>
      </c>
      <c r="X4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5">
        <f>IF(HEVARIM[[#This Row],[מצב משפחתי2]]="אלמן",'[2]ריכוז נתונים'!$AC$2,0)</f>
        <v>0</v>
      </c>
      <c r="Z405" s="3">
        <f>VLOOKUP(VALUE(HEVARIM[[#This Row],[קוד מעמד]]),הנחות!$I$2:$K$21,3,0)</f>
        <v>1</v>
      </c>
      <c r="AA405" t="b">
        <f>ISERROR(VLOOKUP(HEVARIM[[#This Row],[קוד תקציב]],'[2]ריכוז נתונים'!A:A,1,0))</f>
        <v>0</v>
      </c>
      <c r="AB405" s="1">
        <f t="shared" si="25"/>
        <v>0</v>
      </c>
      <c r="AC405" s="2">
        <f ca="1">IF(HEVARIM[[#This Row],[בר מצוה]]&gt;0,YEAR(TODAY())+'תקציבים מיוחדים'!$F$5-HEVARIM[[#This Row],[גיל]],0)</f>
        <v>0</v>
      </c>
      <c r="AD405" s="1">
        <f t="shared" si="26"/>
        <v>6062.6923076923076</v>
      </c>
      <c r="AE405" s="2">
        <f ca="1">IF(HEVARIM[[#This Row],[בת מצוה]]&gt;0,YEAR(TODAY())+'תקציבים מיוחדים'!$F$5-HEVARIM[[#This Row],[גיל]],0)</f>
        <v>2028</v>
      </c>
      <c r="AF405" s="1">
        <f>IF(AND($S405&gt;="רווק",$Z405=1),AF$4*IF(HEVARIM[[#This Row],[גיל]]&gt;$AF$3,1,(($G405-AF$2)/(AF$3-AF$2))),0)</f>
        <v>31697.023809523813</v>
      </c>
      <c r="AG405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405" s="1">
        <f t="shared" si="27"/>
        <v>55308.261904761908</v>
      </c>
      <c r="AI405" s="2">
        <f ca="1">IF(AH405&gt;0,YEAR(TODAY())+'תקציבים מיוחדים'!$F$7-HEVARIM[[#This Row],[גיל]],0)</f>
        <v>2036</v>
      </c>
      <c r="AJ405" s="9">
        <f>IF(AND(ISERROR(VLOOKUP(H405,'[2]ריכוז נתונים'!A:L,1,0)),P405="1     "),1,0)</f>
        <v>0</v>
      </c>
      <c r="AK40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5" s="1">
        <f>IF(AND(VALUE(HEVARIM[[#This Row],[קוד מעמד]])=1,HEVARIM[[#This Row],[ותק מחברה 40]]&lt;25),HEVARIM[[#This Row],[ותק מחברה 40]]/25*הנחות!$C$4,0)</f>
        <v>0</v>
      </c>
      <c r="AM405" s="9" t="str">
        <f ca="1">IF(HEVARIM[[#This Row],[דמי עזיבה 25 שנות ותק]]&gt;0,YEAR(TODAY())+25-ROUNDDOWN(HEVARIM[[#This Row],[ותק מחברה 40]],0),"")</f>
        <v/>
      </c>
      <c r="AN40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5" s="9" t="str">
        <f ca="1">IF(HEVARIM[[#This Row],[דמי עזיבה לגיל 65]]&gt;0,YEAR(TODAY())+64-ROUNDDOWN(HEVARIM[[#This Row],[גיל]],0),"")</f>
        <v/>
      </c>
      <c r="AP405" s="1">
        <f>SUMIF(HEVARIM[קוד תקציב],HEVARIM[[#This Row],[קוד תקציב משפחה מקורי]],HEVARIM[ותק מחברה 40])</f>
        <v>32.36</v>
      </c>
      <c r="AQ4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5" s="9">
        <f>IF(HEVARIM[[#This Row],[קוד מעמד]]="1     ",IFERROR(VLOOKUP(HEVARIM[[#This Row],[קוד תקציב]],'תקציב צביעה - לקראת השינוי'!A:F,4,0),0),0)</f>
        <v>0</v>
      </c>
      <c r="AT405" s="1"/>
    </row>
    <row r="406" spans="1:46">
      <c r="A406" t="s">
        <v>2024</v>
      </c>
      <c r="B406" t="s">
        <v>2025</v>
      </c>
      <c r="C406" t="s">
        <v>2005</v>
      </c>
      <c r="D406" t="s">
        <v>2026</v>
      </c>
      <c r="E406" t="s">
        <v>79</v>
      </c>
      <c r="F406" s="4">
        <v>42749</v>
      </c>
      <c r="G406">
        <v>8</v>
      </c>
      <c r="H406" t="s">
        <v>2006</v>
      </c>
      <c r="I406" t="s">
        <v>2007</v>
      </c>
      <c r="J406" s="4" t="s">
        <v>70</v>
      </c>
      <c r="K406" s="4" t="s">
        <v>71</v>
      </c>
      <c r="L406" t="s">
        <v>2027</v>
      </c>
      <c r="M406" t="s">
        <v>2003</v>
      </c>
      <c r="N406" t="s">
        <v>2004</v>
      </c>
      <c r="O406">
        <f>IFERROR(VLOOKUP(HEVARIM[[#This Row],[קוד תקציב]],[2]תקציבים!A:L,6,0),0)</f>
        <v>2</v>
      </c>
      <c r="P406" s="5" t="s">
        <v>227</v>
      </c>
      <c r="Q406" t="s">
        <v>14</v>
      </c>
      <c r="R406" s="4">
        <v>42749</v>
      </c>
      <c r="S406" s="4" t="s">
        <v>90</v>
      </c>
      <c r="T406" s="96" t="s">
        <v>2006</v>
      </c>
      <c r="U406" t="str">
        <f>VLOOKUP(HEVARIM[[#This Row],[גיל]],GIL,2,1)</f>
        <v>יסודי</v>
      </c>
      <c r="V406">
        <f>IF(HEVARIM[[#This Row],[קוד מעמד]]="4     ",IF(HEVARIM[[#This Row],[גיל]]=1,1,IF(HEVARIM[[#This Row],[גיל]]&lt;=5,5,18)),"")</f>
        <v>18</v>
      </c>
      <c r="W406">
        <f t="shared" si="24"/>
        <v>0</v>
      </c>
      <c r="X40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6">
        <f>IF(HEVARIM[[#This Row],[מצב משפחתי2]]="אלמן",'[2]ריכוז נתונים'!$AC$2,0)</f>
        <v>0</v>
      </c>
      <c r="Z406" s="3">
        <f>VLOOKUP(VALUE(HEVARIM[[#This Row],[קוד מעמד]]),הנחות!$I$2:$K$21,3,0)</f>
        <v>1</v>
      </c>
      <c r="AA406" t="b">
        <f>ISERROR(VLOOKUP(HEVARIM[[#This Row],[קוד תקציב]],'[2]ריכוז נתונים'!A:A,1,0))</f>
        <v>0</v>
      </c>
      <c r="AB406" s="1">
        <f t="shared" si="25"/>
        <v>0</v>
      </c>
      <c r="AC406" s="2">
        <f ca="1">IF(HEVARIM[[#This Row],[בר מצוה]]&gt;0,YEAR(TODAY())+'תקציבים מיוחדים'!$F$5-HEVARIM[[#This Row],[גיל]],0)</f>
        <v>0</v>
      </c>
      <c r="AD406" s="1">
        <f t="shared" si="26"/>
        <v>4409.2307692307695</v>
      </c>
      <c r="AE406" s="2">
        <f ca="1">IF(HEVARIM[[#This Row],[בת מצוה]]&gt;0,YEAR(TODAY())+'תקציבים מיוחדים'!$F$5-HEVARIM[[#This Row],[גיל]],0)</f>
        <v>2031</v>
      </c>
      <c r="AF406" s="1">
        <f>IF(AND($S406&gt;="רווק",$Z406=1),AF$4*IF(HEVARIM[[#This Row],[גיל]]&gt;$AF$3,1,(($G406-AF$2)/(AF$3-AF$2))),0)</f>
        <v>23052.38095238095</v>
      </c>
      <c r="AG406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406" s="1">
        <f t="shared" si="27"/>
        <v>40224.190476190473</v>
      </c>
      <c r="AI406" s="2">
        <f ca="1">IF(AH406&gt;0,YEAR(TODAY())+'תקציבים מיוחדים'!$F$7-HEVARIM[[#This Row],[גיל]],0)</f>
        <v>2039</v>
      </c>
      <c r="AJ406" s="9">
        <f>IF(AND(ISERROR(VLOOKUP(H406,'[2]ריכוז נתונים'!A:L,1,0)),P406="1     "),1,0)</f>
        <v>0</v>
      </c>
      <c r="AK40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6" s="1">
        <f>IF(AND(VALUE(HEVARIM[[#This Row],[קוד מעמד]])=1,HEVARIM[[#This Row],[ותק מחברה 40]]&lt;25),HEVARIM[[#This Row],[ותק מחברה 40]]/25*הנחות!$C$4,0)</f>
        <v>0</v>
      </c>
      <c r="AM406" s="9" t="str">
        <f ca="1">IF(HEVARIM[[#This Row],[דמי עזיבה 25 שנות ותק]]&gt;0,YEAR(TODAY())+25-ROUNDDOWN(HEVARIM[[#This Row],[ותק מחברה 40]],0),"")</f>
        <v/>
      </c>
      <c r="AN4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6" s="9" t="str">
        <f ca="1">IF(HEVARIM[[#This Row],[דמי עזיבה לגיל 65]]&gt;0,YEAR(TODAY())+64-ROUNDDOWN(HEVARIM[[#This Row],[גיל]],0),"")</f>
        <v/>
      </c>
      <c r="AP406" s="1">
        <f>SUMIF(HEVARIM[קוד תקציב],HEVARIM[[#This Row],[קוד תקציב משפחה מקורי]],HEVARIM[ותק מחברה 40])</f>
        <v>32.36</v>
      </c>
      <c r="AQ4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6" s="9">
        <f>IF(HEVARIM[[#This Row],[קוד מעמד]]="1     ",IFERROR(VLOOKUP(HEVARIM[[#This Row],[קוד תקציב]],'תקציב צביעה - לקראת השינוי'!A:F,4,0),0),0)</f>
        <v>0</v>
      </c>
      <c r="AT406" s="1"/>
    </row>
    <row r="407" spans="1:46">
      <c r="A407" t="s">
        <v>2028</v>
      </c>
      <c r="B407" t="s">
        <v>2029</v>
      </c>
      <c r="C407" t="s">
        <v>2005</v>
      </c>
      <c r="D407" t="s">
        <v>2030</v>
      </c>
      <c r="E407" t="s">
        <v>79</v>
      </c>
      <c r="F407" s="4">
        <v>37263</v>
      </c>
      <c r="G407">
        <v>23</v>
      </c>
      <c r="H407" t="s">
        <v>2031</v>
      </c>
      <c r="I407" t="s">
        <v>2032</v>
      </c>
      <c r="J407" s="4" t="s">
        <v>70</v>
      </c>
      <c r="K407" s="4" t="s">
        <v>81</v>
      </c>
      <c r="L407" t="s">
        <v>2033</v>
      </c>
      <c r="M407" t="s">
        <v>2028</v>
      </c>
      <c r="N407" t="s">
        <v>2029</v>
      </c>
      <c r="O407">
        <f>IFERROR(VLOOKUP(HEVARIM[[#This Row],[קוד תקציב]],[2]תקציבים!A:L,6,0),0)</f>
        <v>0</v>
      </c>
      <c r="P407" s="5" t="s">
        <v>73</v>
      </c>
      <c r="Q407" t="s">
        <v>27</v>
      </c>
      <c r="R407" s="4">
        <v>45170</v>
      </c>
      <c r="S407" s="4" t="s">
        <v>90</v>
      </c>
      <c r="T407" s="96" t="s">
        <v>2006</v>
      </c>
      <c r="U407" t="str">
        <f>VLOOKUP(HEVARIM[[#This Row],[גיל]],GIL,2,1)</f>
        <v>--</v>
      </c>
      <c r="V407" t="str">
        <f>IF(HEVARIM[[#This Row],[קוד מעמד]]="4     ",IF(HEVARIM[[#This Row],[גיל]]=1,1,IF(HEVARIM[[#This Row],[גיל]]&lt;=5,5,18)),"")</f>
        <v/>
      </c>
      <c r="W407">
        <f t="shared" si="24"/>
        <v>0</v>
      </c>
      <c r="X40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7">
        <f>IF(HEVARIM[[#This Row],[מצב משפחתי2]]="אלמן",'[2]ריכוז נתונים'!$AC$2,0)</f>
        <v>0</v>
      </c>
      <c r="Z407" s="3">
        <f>VLOOKUP(VALUE(HEVARIM[[#This Row],[קוד מעמד]]),הנחות!$I$2:$K$21,3,0)</f>
        <v>1</v>
      </c>
      <c r="AA407" t="b">
        <f>ISERROR(VLOOKUP(HEVARIM[[#This Row],[קוד תקציב]],'[2]ריכוז נתונים'!A:A,1,0))</f>
        <v>1</v>
      </c>
      <c r="AB407" s="1">
        <f t="shared" si="25"/>
        <v>0</v>
      </c>
      <c r="AC407" s="2">
        <f ca="1">IF(HEVARIM[[#This Row],[בר מצוה]]&gt;0,YEAR(TODAY())+'תקציבים מיוחדים'!$F$5-HEVARIM[[#This Row],[גיל]],0)</f>
        <v>0</v>
      </c>
      <c r="AD407" s="1">
        <f t="shared" si="26"/>
        <v>0</v>
      </c>
      <c r="AE407" s="2">
        <f ca="1">IF(HEVARIM[[#This Row],[בת מצוה]]&gt;0,YEAR(TODAY())+'תקציבים מיוחדים'!$F$5-HEVARIM[[#This Row],[גיל]],0)</f>
        <v>0</v>
      </c>
      <c r="AF407" s="1">
        <f>IF(AND($S407&gt;="רווק",$Z407=1),AF$4*IF(HEVARIM[[#This Row],[גיל]]&gt;$AF$3,1,(($G407-AF$2)/(AF$3-AF$2))),0)</f>
        <v>60512.5</v>
      </c>
      <c r="AG407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07" s="1">
        <f t="shared" si="27"/>
        <v>0</v>
      </c>
      <c r="AI407" s="2">
        <f ca="1">IF(AH407&gt;0,YEAR(TODAY())+'תקציבים מיוחדים'!$F$7-HEVARIM[[#This Row],[גיל]],0)</f>
        <v>0</v>
      </c>
      <c r="AJ407" s="9">
        <f>IF(AND(ISERROR(VLOOKUP(H407,'[2]ריכוז נתונים'!A:L,1,0)),P407="1     "),1,0)</f>
        <v>0</v>
      </c>
      <c r="AK40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07" s="1">
        <f>IF(AND(VALUE(HEVARIM[[#This Row],[קוד מעמד]])=1,HEVARIM[[#This Row],[ותק מחברה 40]]&lt;25),HEVARIM[[#This Row],[ותק מחברה 40]]/25*הנחות!$C$4,0)</f>
        <v>0</v>
      </c>
      <c r="AM407" s="9" t="str">
        <f ca="1">IF(HEVARIM[[#This Row],[דמי עזיבה 25 שנות ותק]]&gt;0,YEAR(TODAY())+25-ROUNDDOWN(HEVARIM[[#This Row],[ותק מחברה 40]],0),"")</f>
        <v/>
      </c>
      <c r="AN40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7" s="9" t="str">
        <f ca="1">IF(HEVARIM[[#This Row],[דמי עזיבה לגיל 65]]&gt;0,YEAR(TODAY())+64-ROUNDDOWN(HEVARIM[[#This Row],[גיל]],0),"")</f>
        <v/>
      </c>
      <c r="AP407" s="1">
        <f>SUMIF(HEVARIM[קוד תקציב],HEVARIM[[#This Row],[קוד תקציב משפחה מקורי]],HEVARIM[ותק מחברה 40])</f>
        <v>32.36</v>
      </c>
      <c r="AQ4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7" s="9">
        <f>IF(HEVARIM[[#This Row],[קוד מעמד]]="1     ",IFERROR(VLOOKUP(HEVARIM[[#This Row],[קוד תקציב]],'תקציב צביעה - לקראת השינוי'!A:F,4,0),0),0)</f>
        <v>0</v>
      </c>
      <c r="AT407" s="1"/>
    </row>
    <row r="408" spans="1:46">
      <c r="A408" t="s">
        <v>2034</v>
      </c>
      <c r="B408" t="s">
        <v>2035</v>
      </c>
      <c r="C408" t="s">
        <v>2036</v>
      </c>
      <c r="D408" t="s">
        <v>2037</v>
      </c>
      <c r="E408" t="s">
        <v>67</v>
      </c>
      <c r="F408" s="4">
        <v>34532</v>
      </c>
      <c r="G408">
        <v>31</v>
      </c>
      <c r="H408" t="s">
        <v>2038</v>
      </c>
      <c r="I408" t="s">
        <v>2039</v>
      </c>
      <c r="J408" s="4" t="s">
        <v>70</v>
      </c>
      <c r="K408" s="4" t="s">
        <v>71</v>
      </c>
      <c r="L408" t="s">
        <v>2040</v>
      </c>
      <c r="M408" t="s">
        <v>2034</v>
      </c>
      <c r="N408" t="s">
        <v>2035</v>
      </c>
      <c r="O408">
        <f>IFERROR(VLOOKUP(HEVARIM[[#This Row],[קוד תקציב]],[2]תקציבים!A:L,6,0),0)</f>
        <v>2</v>
      </c>
      <c r="P408" s="5" t="s">
        <v>104</v>
      </c>
      <c r="Q408" t="s">
        <v>11</v>
      </c>
      <c r="R408" s="4">
        <v>44874</v>
      </c>
      <c r="S408" s="4" t="s">
        <v>74</v>
      </c>
      <c r="T408" s="96" t="s">
        <v>2038</v>
      </c>
      <c r="U408" t="str">
        <f>VLOOKUP(HEVARIM[[#This Row],[גיל]],GIL,2,1)</f>
        <v>--</v>
      </c>
      <c r="V408" t="str">
        <f>IF(HEVARIM[[#This Row],[קוד מעמד]]="4     ",IF(HEVARIM[[#This Row],[גיל]]=1,1,IF(HEVARIM[[#This Row],[גיל]]&lt;=5,5,18)),"")</f>
        <v/>
      </c>
      <c r="W408">
        <f t="shared" si="24"/>
        <v>0</v>
      </c>
      <c r="X4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8">
        <f>IF(HEVARIM[[#This Row],[מצב משפחתי2]]="אלמן",'[2]ריכוז נתונים'!$AC$2,0)</f>
        <v>0</v>
      </c>
      <c r="Z408" s="3">
        <f>VLOOKUP(VALUE(HEVARIM[[#This Row],[קוד מעמד]]),הנחות!$I$2:$K$21,3,0)</f>
        <v>0</v>
      </c>
      <c r="AA408" t="b">
        <f>ISERROR(VLOOKUP(HEVARIM[[#This Row],[קוד תקציב]],'[2]ריכוז נתונים'!A:A,1,0))</f>
        <v>0</v>
      </c>
      <c r="AB408" s="1">
        <f t="shared" si="25"/>
        <v>0</v>
      </c>
      <c r="AC408" s="2">
        <f ca="1">IF(HEVARIM[[#This Row],[בר מצוה]]&gt;0,YEAR(TODAY())+'תקציבים מיוחדים'!$F$5-HEVARIM[[#This Row],[גיל]],0)</f>
        <v>0</v>
      </c>
      <c r="AD408" s="1">
        <f t="shared" si="26"/>
        <v>0</v>
      </c>
      <c r="AE408" s="2">
        <f ca="1">IF(HEVARIM[[#This Row],[בת מצוה]]&gt;0,YEAR(TODAY())+'תקציבים מיוחדים'!$F$5-HEVARIM[[#This Row],[גיל]],0)</f>
        <v>0</v>
      </c>
      <c r="AF408" s="1">
        <f>IF(AND($S408&gt;="רווק",$Z408=1),AF$4*IF(HEVARIM[[#This Row],[גיל]]&gt;$AF$3,1,(($G408-AF$2)/(AF$3-AF$2))),0)</f>
        <v>0</v>
      </c>
      <c r="AG40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08" s="1">
        <f t="shared" si="27"/>
        <v>0</v>
      </c>
      <c r="AI408" s="2">
        <f ca="1">IF(AH408&gt;0,YEAR(TODAY())+'תקציבים מיוחדים'!$F$7-HEVARIM[[#This Row],[גיל]],0)</f>
        <v>0</v>
      </c>
      <c r="AJ408" s="9">
        <f>IF(AND(ISERROR(VLOOKUP(H408,'[2]ריכוז נתונים'!A:L,1,0)),P408="1     "),1,0)</f>
        <v>0</v>
      </c>
      <c r="AK408" s="1">
        <f>IF(VALUE(HEVARIM[[#This Row],[קוד מעמד]])=1,VLOOKUP((IF(LEFT(HEVARIM[[#This Row],[קוד חבר]],1)="0",HEVARIM[[#This Row],[קוד חבר]],VALUE(HEVARIM[[#This Row],[קוד חבר]]))),'ותק חברה 40'!AQ:AW,7,0),"")</f>
        <v>4.83</v>
      </c>
      <c r="AL408" s="1">
        <f>IF(AND(VALUE(HEVARIM[[#This Row],[קוד מעמד]])=1,HEVARIM[[#This Row],[ותק מחברה 40]]&lt;25),HEVARIM[[#This Row],[ותק מחברה 40]]/25*הנחות!$C$4,0)</f>
        <v>7251.6871349999992</v>
      </c>
      <c r="AM408" s="9">
        <f ca="1">IF(HEVARIM[[#This Row],[דמי עזיבה 25 שנות ותק]]&gt;0,YEAR(TODAY())+25-ROUNDDOWN(HEVARIM[[#This Row],[ותק מחברה 40]],0),"")</f>
        <v>2047</v>
      </c>
      <c r="AN40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8" s="9" t="str">
        <f ca="1">IF(HEVARIM[[#This Row],[דמי עזיבה לגיל 65]]&gt;0,YEAR(TODAY())+64-ROUNDDOWN(HEVARIM[[#This Row],[גיל]],0),"")</f>
        <v/>
      </c>
      <c r="AP408" s="1">
        <f>SUMIF(HEVARIM[קוד תקציב],HEVARIM[[#This Row],[קוד תקציב משפחה מקורי]],HEVARIM[ותק מחברה 40])</f>
        <v>9.66</v>
      </c>
      <c r="AQ4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8" s="9">
        <f>IF(HEVARIM[[#This Row],[קוד מעמד]]="1     ",IFERROR(VLOOKUP(HEVARIM[[#This Row],[קוד תקציב]],'תקציב צביעה - לקראת השינוי'!A:F,4,0),0),0)</f>
        <v>0</v>
      </c>
      <c r="AT408" s="1"/>
    </row>
    <row r="409" spans="1:46">
      <c r="A409" t="s">
        <v>2041</v>
      </c>
      <c r="B409" t="s">
        <v>2042</v>
      </c>
      <c r="C409" t="s">
        <v>2036</v>
      </c>
      <c r="D409" t="s">
        <v>2043</v>
      </c>
      <c r="E409" t="s">
        <v>79</v>
      </c>
      <c r="F409" s="4">
        <v>34604</v>
      </c>
      <c r="G409">
        <v>31</v>
      </c>
      <c r="H409" t="s">
        <v>2038</v>
      </c>
      <c r="I409" t="s">
        <v>2039</v>
      </c>
      <c r="J409" s="4" t="s">
        <v>70</v>
      </c>
      <c r="K409" s="4" t="s">
        <v>71</v>
      </c>
      <c r="L409" t="s">
        <v>2044</v>
      </c>
      <c r="M409" t="s">
        <v>2034</v>
      </c>
      <c r="N409" t="s">
        <v>2035</v>
      </c>
      <c r="O409">
        <f>IFERROR(VLOOKUP(HEVARIM[[#This Row],[קוד תקציב]],[2]תקציבים!A:L,6,0),0)</f>
        <v>2</v>
      </c>
      <c r="P409" s="5" t="s">
        <v>104</v>
      </c>
      <c r="Q409" t="s">
        <v>11</v>
      </c>
      <c r="R409" s="4">
        <v>44874</v>
      </c>
      <c r="S409" s="4" t="s">
        <v>74</v>
      </c>
      <c r="T409" s="96" t="s">
        <v>2038</v>
      </c>
      <c r="U409" t="str">
        <f>VLOOKUP(HEVARIM[[#This Row],[גיל]],GIL,2,1)</f>
        <v>--</v>
      </c>
      <c r="V409" t="str">
        <f>IF(HEVARIM[[#This Row],[קוד מעמד]]="4     ",IF(HEVARIM[[#This Row],[גיל]]=1,1,IF(HEVARIM[[#This Row],[גיל]]&lt;=5,5,18)),"")</f>
        <v/>
      </c>
      <c r="W409">
        <f t="shared" si="24"/>
        <v>0</v>
      </c>
      <c r="X4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09">
        <f>IF(HEVARIM[[#This Row],[מצב משפחתי2]]="אלמן",'[2]ריכוז נתונים'!$AC$2,0)</f>
        <v>0</v>
      </c>
      <c r="Z409" s="3">
        <f>VLOOKUP(VALUE(HEVARIM[[#This Row],[קוד מעמד]]),הנחות!$I$2:$K$21,3,0)</f>
        <v>0</v>
      </c>
      <c r="AA409" t="b">
        <f>ISERROR(VLOOKUP(HEVARIM[[#This Row],[קוד תקציב]],'[2]ריכוז נתונים'!A:A,1,0))</f>
        <v>0</v>
      </c>
      <c r="AB409" s="1">
        <f t="shared" si="25"/>
        <v>0</v>
      </c>
      <c r="AC409" s="2">
        <f ca="1">IF(HEVARIM[[#This Row],[בר מצוה]]&gt;0,YEAR(TODAY())+'תקציבים מיוחדים'!$F$5-HEVARIM[[#This Row],[גיל]],0)</f>
        <v>0</v>
      </c>
      <c r="AD409" s="1">
        <f t="shared" si="26"/>
        <v>0</v>
      </c>
      <c r="AE409" s="2">
        <f ca="1">IF(HEVARIM[[#This Row],[בת מצוה]]&gt;0,YEAR(TODAY())+'תקציבים מיוחדים'!$F$5-HEVARIM[[#This Row],[גיל]],0)</f>
        <v>0</v>
      </c>
      <c r="AF409" s="1">
        <f>IF(AND($S409&gt;="רווק",$Z409=1),AF$4*IF(HEVARIM[[#This Row],[גיל]]&gt;$AF$3,1,(($G409-AF$2)/(AF$3-AF$2))),0)</f>
        <v>0</v>
      </c>
      <c r="AG40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09" s="1">
        <f t="shared" si="27"/>
        <v>0</v>
      </c>
      <c r="AI409" s="2">
        <f ca="1">IF(AH409&gt;0,YEAR(TODAY())+'תקציבים מיוחדים'!$F$7-HEVARIM[[#This Row],[גיל]],0)</f>
        <v>0</v>
      </c>
      <c r="AJ409" s="9">
        <f>IF(AND(ISERROR(VLOOKUP(H409,'[2]ריכוז נתונים'!A:L,1,0)),P409="1     "),1,0)</f>
        <v>0</v>
      </c>
      <c r="AK409" s="1">
        <f>IF(VALUE(HEVARIM[[#This Row],[קוד מעמד]])=1,VLOOKUP((IF(LEFT(HEVARIM[[#This Row],[קוד חבר]],1)="0",HEVARIM[[#This Row],[קוד חבר]],VALUE(HEVARIM[[#This Row],[קוד חבר]]))),'ותק חברה 40'!AQ:AW,7,0),"")</f>
        <v>4.83</v>
      </c>
      <c r="AL409" s="1">
        <f>IF(AND(VALUE(HEVARIM[[#This Row],[קוד מעמד]])=1,HEVARIM[[#This Row],[ותק מחברה 40]]&lt;25),HEVARIM[[#This Row],[ותק מחברה 40]]/25*הנחות!$C$4,0)</f>
        <v>7251.6871349999992</v>
      </c>
      <c r="AM409" s="9">
        <f ca="1">IF(HEVARIM[[#This Row],[דמי עזיבה 25 שנות ותק]]&gt;0,YEAR(TODAY())+25-ROUNDDOWN(HEVARIM[[#This Row],[ותק מחברה 40]],0),"")</f>
        <v>2047</v>
      </c>
      <c r="AN40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09" s="9" t="str">
        <f ca="1">IF(HEVARIM[[#This Row],[דמי עזיבה לגיל 65]]&gt;0,YEAR(TODAY())+64-ROUNDDOWN(HEVARIM[[#This Row],[גיל]],0),"")</f>
        <v/>
      </c>
      <c r="AP409" s="1">
        <f>SUMIF(HEVARIM[קוד תקציב],HEVARIM[[#This Row],[קוד תקציב משפחה מקורי]],HEVARIM[ותק מחברה 40])</f>
        <v>9.66</v>
      </c>
      <c r="AQ4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09" s="9">
        <f>IF(HEVARIM[[#This Row],[קוד מעמד]]="1     ",IFERROR(VLOOKUP(HEVARIM[[#This Row],[קוד תקציב]],'תקציב צביעה - לקראת השינוי'!A:F,4,0),0),0)</f>
        <v>0</v>
      </c>
      <c r="AT409" s="1"/>
    </row>
    <row r="410" spans="1:46">
      <c r="A410" t="s">
        <v>2045</v>
      </c>
      <c r="B410" t="s">
        <v>2046</v>
      </c>
      <c r="C410" t="s">
        <v>2036</v>
      </c>
      <c r="D410" t="s">
        <v>2047</v>
      </c>
      <c r="E410" t="s">
        <v>67</v>
      </c>
      <c r="F410" s="4">
        <v>42675</v>
      </c>
      <c r="G410">
        <v>9</v>
      </c>
      <c r="H410" t="s">
        <v>2038</v>
      </c>
      <c r="I410" t="s">
        <v>2039</v>
      </c>
      <c r="J410" s="4" t="s">
        <v>70</v>
      </c>
      <c r="K410" s="4" t="s">
        <v>71</v>
      </c>
      <c r="L410" t="s">
        <v>2048</v>
      </c>
      <c r="M410" t="s">
        <v>2034</v>
      </c>
      <c r="N410" t="s">
        <v>2035</v>
      </c>
      <c r="O410">
        <f>IFERROR(VLOOKUP(HEVARIM[[#This Row],[קוד תקציב]],[2]תקציבים!A:L,6,0),0)</f>
        <v>2</v>
      </c>
      <c r="P410" s="5" t="s">
        <v>227</v>
      </c>
      <c r="Q410" t="s">
        <v>14</v>
      </c>
      <c r="R410" s="4">
        <v>44136</v>
      </c>
      <c r="S410" s="4" t="s">
        <v>90</v>
      </c>
      <c r="T410" s="96" t="s">
        <v>2038</v>
      </c>
      <c r="U410" t="str">
        <f>VLOOKUP(HEVARIM[[#This Row],[גיל]],GIL,2,1)</f>
        <v>יסודי</v>
      </c>
      <c r="V410">
        <f>IF(HEVARIM[[#This Row],[קוד מעמד]]="4     ",IF(HEVARIM[[#This Row],[גיל]]=1,1,IF(HEVARIM[[#This Row],[גיל]]&lt;=5,5,18)),"")</f>
        <v>18</v>
      </c>
      <c r="W410">
        <f t="shared" si="24"/>
        <v>0</v>
      </c>
      <c r="X41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0">
        <f>IF(HEVARIM[[#This Row],[מצב משפחתי2]]="אלמן",'[2]ריכוז נתונים'!$AC$2,0)</f>
        <v>0</v>
      </c>
      <c r="Z410" s="3">
        <f>VLOOKUP(VALUE(HEVARIM[[#This Row],[קוד מעמד]]),הנחות!$I$2:$K$21,3,0)</f>
        <v>1</v>
      </c>
      <c r="AA410" t="b">
        <f>ISERROR(VLOOKUP(HEVARIM[[#This Row],[קוד תקציב]],'[2]ריכוז נתונים'!A:A,1,0))</f>
        <v>0</v>
      </c>
      <c r="AB410" s="1">
        <f t="shared" si="25"/>
        <v>4960.3846153846152</v>
      </c>
      <c r="AC410" s="2">
        <f ca="1">IF(HEVARIM[[#This Row],[בר מצוה]]&gt;0,YEAR(TODAY())+'תקציבים מיוחדים'!$F$5-HEVARIM[[#This Row],[גיל]],0)</f>
        <v>2030</v>
      </c>
      <c r="AD410" s="1">
        <f t="shared" si="26"/>
        <v>0</v>
      </c>
      <c r="AE410" s="2">
        <f ca="1">IF(HEVARIM[[#This Row],[בת מצוה]]&gt;0,YEAR(TODAY())+'תקציבים מיוחדים'!$F$5-HEVARIM[[#This Row],[גיל]],0)</f>
        <v>0</v>
      </c>
      <c r="AF410" s="1">
        <f>IF(AND($S410&gt;="רווק",$Z410=1),AF$4*IF(HEVARIM[[#This Row],[גיל]]&gt;$AF$3,1,(($G410-AF$2)/(AF$3-AF$2))),0)</f>
        <v>25933.928571428569</v>
      </c>
      <c r="AG410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410" s="1">
        <f t="shared" si="27"/>
        <v>45252.214285714283</v>
      </c>
      <c r="AI410" s="2">
        <f ca="1">IF(AH410&gt;0,YEAR(TODAY())+'תקציבים מיוחדים'!$F$7-HEVARIM[[#This Row],[גיל]],0)</f>
        <v>2038</v>
      </c>
      <c r="AJ410" s="9">
        <f>IF(AND(ISERROR(VLOOKUP(H410,'[2]ריכוז נתונים'!A:L,1,0)),P410="1     "),1,0)</f>
        <v>0</v>
      </c>
      <c r="AK41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0" s="1">
        <f>IF(AND(VALUE(HEVARIM[[#This Row],[קוד מעמד]])=1,HEVARIM[[#This Row],[ותק מחברה 40]]&lt;25),HEVARIM[[#This Row],[ותק מחברה 40]]/25*הנחות!$C$4,0)</f>
        <v>0</v>
      </c>
      <c r="AM410" s="9" t="str">
        <f ca="1">IF(HEVARIM[[#This Row],[דמי עזיבה 25 שנות ותק]]&gt;0,YEAR(TODAY())+25-ROUNDDOWN(HEVARIM[[#This Row],[ותק מחברה 40]],0),"")</f>
        <v/>
      </c>
      <c r="AN4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0" s="9" t="str">
        <f ca="1">IF(HEVARIM[[#This Row],[דמי עזיבה לגיל 65]]&gt;0,YEAR(TODAY())+64-ROUNDDOWN(HEVARIM[[#This Row],[גיל]],0),"")</f>
        <v/>
      </c>
      <c r="AP410" s="1">
        <f>SUMIF(HEVARIM[קוד תקציב],HEVARIM[[#This Row],[קוד תקציב משפחה מקורי]],HEVARIM[ותק מחברה 40])</f>
        <v>9.66</v>
      </c>
      <c r="AQ4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0" s="9">
        <f>IF(HEVARIM[[#This Row],[קוד מעמד]]="1     ",IFERROR(VLOOKUP(HEVARIM[[#This Row],[קוד תקציב]],'תקציב צביעה - לקראת השינוי'!A:F,4,0),0),0)</f>
        <v>0</v>
      </c>
      <c r="AT410" s="1"/>
    </row>
    <row r="411" spans="1:46">
      <c r="A411" t="s">
        <v>2049</v>
      </c>
      <c r="B411" t="s">
        <v>2050</v>
      </c>
      <c r="C411" t="s">
        <v>2036</v>
      </c>
      <c r="D411" t="s">
        <v>341</v>
      </c>
      <c r="E411" t="s">
        <v>79</v>
      </c>
      <c r="F411" s="4">
        <v>43688</v>
      </c>
      <c r="G411">
        <v>6</v>
      </c>
      <c r="H411" t="s">
        <v>2038</v>
      </c>
      <c r="I411" t="s">
        <v>2039</v>
      </c>
      <c r="J411" s="4" t="s">
        <v>70</v>
      </c>
      <c r="K411" s="4" t="s">
        <v>71</v>
      </c>
      <c r="L411" t="s">
        <v>2051</v>
      </c>
      <c r="M411" t="s">
        <v>2034</v>
      </c>
      <c r="N411" t="s">
        <v>2035</v>
      </c>
      <c r="O411">
        <f>IFERROR(VLOOKUP(HEVARIM[[#This Row],[קוד תקציב]],[2]תקציבים!A:L,6,0),0)</f>
        <v>2</v>
      </c>
      <c r="P411" s="5" t="s">
        <v>227</v>
      </c>
      <c r="Q411" t="s">
        <v>14</v>
      </c>
      <c r="R411" s="4">
        <v>44136</v>
      </c>
      <c r="S411" s="4" t="s">
        <v>90</v>
      </c>
      <c r="T411" s="96" t="s">
        <v>2038</v>
      </c>
      <c r="U411" t="str">
        <f>VLOOKUP(HEVARIM[[#This Row],[גיל]],GIL,2,1)</f>
        <v>יסודי</v>
      </c>
      <c r="V411">
        <f>IF(HEVARIM[[#This Row],[קוד מעמד]]="4     ",IF(HEVARIM[[#This Row],[גיל]]=1,1,IF(HEVARIM[[#This Row],[גיל]]&lt;=5,5,18)),"")</f>
        <v>18</v>
      </c>
      <c r="W411">
        <f t="shared" si="24"/>
        <v>0</v>
      </c>
      <c r="X4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1">
        <f>IF(HEVARIM[[#This Row],[מצב משפחתי2]]="אלמן",'[2]ריכוז נתונים'!$AC$2,0)</f>
        <v>0</v>
      </c>
      <c r="Z411" s="3">
        <f>VLOOKUP(VALUE(HEVARIM[[#This Row],[קוד מעמד]]),הנחות!$I$2:$K$21,3,0)</f>
        <v>1</v>
      </c>
      <c r="AA411" t="b">
        <f>ISERROR(VLOOKUP(HEVARIM[[#This Row],[קוד תקציב]],'[2]ריכוז נתונים'!A:A,1,0))</f>
        <v>0</v>
      </c>
      <c r="AB411" s="1">
        <f t="shared" si="25"/>
        <v>0</v>
      </c>
      <c r="AC411" s="2">
        <f ca="1">IF(HEVARIM[[#This Row],[בר מצוה]]&gt;0,YEAR(TODAY())+'תקציבים מיוחדים'!$F$5-HEVARIM[[#This Row],[גיל]],0)</f>
        <v>0</v>
      </c>
      <c r="AD411" s="1">
        <f t="shared" si="26"/>
        <v>3306.9230769230771</v>
      </c>
      <c r="AE411" s="2">
        <f ca="1">IF(HEVARIM[[#This Row],[בת מצוה]]&gt;0,YEAR(TODAY())+'תקציבים מיוחדים'!$F$5-HEVARIM[[#This Row],[גיל]],0)</f>
        <v>2033</v>
      </c>
      <c r="AF411" s="1">
        <f>IF(AND($S411&gt;="רווק",$Z411=1),AF$4*IF(HEVARIM[[#This Row],[גיל]]&gt;$AF$3,1,(($G411-AF$2)/(AF$3-AF$2))),0)</f>
        <v>17289.285714285714</v>
      </c>
      <c r="AG411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411" s="1">
        <f t="shared" si="27"/>
        <v>30168.142857142855</v>
      </c>
      <c r="AI411" s="2">
        <f ca="1">IF(AH411&gt;0,YEAR(TODAY())+'תקציבים מיוחדים'!$F$7-HEVARIM[[#This Row],[גיל]],0)</f>
        <v>2041</v>
      </c>
      <c r="AJ411" s="9">
        <f>IF(AND(ISERROR(VLOOKUP(H411,'[2]ריכוז נתונים'!A:L,1,0)),P411="1     "),1,0)</f>
        <v>0</v>
      </c>
      <c r="AK41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1" s="1">
        <f>IF(AND(VALUE(HEVARIM[[#This Row],[קוד מעמד]])=1,HEVARIM[[#This Row],[ותק מחברה 40]]&lt;25),HEVARIM[[#This Row],[ותק מחברה 40]]/25*הנחות!$C$4,0)</f>
        <v>0</v>
      </c>
      <c r="AM411" s="9" t="str">
        <f ca="1">IF(HEVARIM[[#This Row],[דמי עזיבה 25 שנות ותק]]&gt;0,YEAR(TODAY())+25-ROUNDDOWN(HEVARIM[[#This Row],[ותק מחברה 40]],0),"")</f>
        <v/>
      </c>
      <c r="AN41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1" s="9" t="str">
        <f ca="1">IF(HEVARIM[[#This Row],[דמי עזיבה לגיל 65]]&gt;0,YEAR(TODAY())+64-ROUNDDOWN(HEVARIM[[#This Row],[גיל]],0),"")</f>
        <v/>
      </c>
      <c r="AP411" s="1">
        <f>SUMIF(HEVARIM[קוד תקציב],HEVARIM[[#This Row],[קוד תקציב משפחה מקורי]],HEVARIM[ותק מחברה 40])</f>
        <v>9.66</v>
      </c>
      <c r="AQ4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1" s="9">
        <f>IF(HEVARIM[[#This Row],[קוד מעמד]]="1     ",IFERROR(VLOOKUP(HEVARIM[[#This Row],[קוד תקציב]],'תקציב צביעה - לקראת השינוי'!A:F,4,0),0),0)</f>
        <v>0</v>
      </c>
      <c r="AT411" s="1"/>
    </row>
    <row r="412" spans="1:46">
      <c r="A412" t="s">
        <v>2052</v>
      </c>
      <c r="B412" t="s">
        <v>2053</v>
      </c>
      <c r="C412" t="s">
        <v>2036</v>
      </c>
      <c r="D412" t="s">
        <v>1416</v>
      </c>
      <c r="E412" t="s">
        <v>79</v>
      </c>
      <c r="F412" s="4">
        <v>44763</v>
      </c>
      <c r="G412">
        <v>3</v>
      </c>
      <c r="H412" t="s">
        <v>2038</v>
      </c>
      <c r="I412" t="s">
        <v>2039</v>
      </c>
      <c r="J412" s="4" t="s">
        <v>70</v>
      </c>
      <c r="K412" s="4" t="s">
        <v>71</v>
      </c>
      <c r="L412" t="s">
        <v>2054</v>
      </c>
      <c r="M412" t="s">
        <v>2034</v>
      </c>
      <c r="N412" t="s">
        <v>2035</v>
      </c>
      <c r="O412">
        <f>IFERROR(VLOOKUP(HEVARIM[[#This Row],[קוד תקציב]],[2]תקציבים!A:L,6,0),0)</f>
        <v>2</v>
      </c>
      <c r="P412" s="5" t="s">
        <v>227</v>
      </c>
      <c r="Q412" t="s">
        <v>14</v>
      </c>
      <c r="R412" s="4">
        <v>44672</v>
      </c>
      <c r="S412" s="4" t="s">
        <v>90</v>
      </c>
      <c r="T412" s="96" t="s">
        <v>2038</v>
      </c>
      <c r="U412" t="str">
        <f>VLOOKUP(HEVARIM[[#This Row],[גיל]],GIL,2,1)</f>
        <v>גנים</v>
      </c>
      <c r="V412">
        <f>IF(HEVARIM[[#This Row],[קוד מעמד]]="4     ",IF(HEVARIM[[#This Row],[גיל]]=1,1,IF(HEVARIM[[#This Row],[גיל]]&lt;=5,5,18)),"")</f>
        <v>5</v>
      </c>
      <c r="W412">
        <f t="shared" si="24"/>
        <v>0</v>
      </c>
      <c r="X4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2">
        <f>IF(HEVARIM[[#This Row],[מצב משפחתי2]]="אלמן",'[2]ריכוז נתונים'!$AC$2,0)</f>
        <v>0</v>
      </c>
      <c r="Z412" s="3">
        <f>VLOOKUP(VALUE(HEVARIM[[#This Row],[קוד מעמד]]),הנחות!$I$2:$K$21,3,0)</f>
        <v>1</v>
      </c>
      <c r="AA412" t="b">
        <f>ISERROR(VLOOKUP(HEVARIM[[#This Row],[קוד תקציב]],'[2]ריכוז נתונים'!A:A,1,0))</f>
        <v>0</v>
      </c>
      <c r="AB412" s="1">
        <f t="shared" si="25"/>
        <v>0</v>
      </c>
      <c r="AC412" s="2">
        <f ca="1">IF(HEVARIM[[#This Row],[בר מצוה]]&gt;0,YEAR(TODAY())+'תקציבים מיוחדים'!$F$5-HEVARIM[[#This Row],[גיל]],0)</f>
        <v>0</v>
      </c>
      <c r="AD412" s="1">
        <f t="shared" si="26"/>
        <v>1653.4615384615386</v>
      </c>
      <c r="AE412" s="2">
        <f ca="1">IF(HEVARIM[[#This Row],[בת מצוה]]&gt;0,YEAR(TODAY())+'תקציבים מיוחדים'!$F$5-HEVARIM[[#This Row],[גיל]],0)</f>
        <v>2036</v>
      </c>
      <c r="AF412" s="1">
        <f>IF(AND($S412&gt;="רווק",$Z412=1),AF$4*IF(HEVARIM[[#This Row],[גיל]]&gt;$AF$3,1,(($G412-AF$2)/(AF$3-AF$2))),0)</f>
        <v>8644.6428571428569</v>
      </c>
      <c r="AG412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412" s="1">
        <f t="shared" si="27"/>
        <v>15084.071428571428</v>
      </c>
      <c r="AI412" s="2">
        <f ca="1">IF(AH412&gt;0,YEAR(TODAY())+'תקציבים מיוחדים'!$F$7-HEVARIM[[#This Row],[גיל]],0)</f>
        <v>2044</v>
      </c>
      <c r="AJ412" s="9">
        <f>IF(AND(ISERROR(VLOOKUP(H412,'[2]ריכוז נתונים'!A:L,1,0)),P412="1     "),1,0)</f>
        <v>0</v>
      </c>
      <c r="AK41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2" s="1">
        <f>IF(AND(VALUE(HEVARIM[[#This Row],[קוד מעמד]])=1,HEVARIM[[#This Row],[ותק מחברה 40]]&lt;25),HEVARIM[[#This Row],[ותק מחברה 40]]/25*הנחות!$C$4,0)</f>
        <v>0</v>
      </c>
      <c r="AM412" s="9" t="str">
        <f ca="1">IF(HEVARIM[[#This Row],[דמי עזיבה 25 שנות ותק]]&gt;0,YEAR(TODAY())+25-ROUNDDOWN(HEVARIM[[#This Row],[ותק מחברה 40]],0),"")</f>
        <v/>
      </c>
      <c r="AN41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2" s="9" t="str">
        <f ca="1">IF(HEVARIM[[#This Row],[דמי עזיבה לגיל 65]]&gt;0,YEAR(TODAY())+64-ROUNDDOWN(HEVARIM[[#This Row],[גיל]],0),"")</f>
        <v/>
      </c>
      <c r="AP412" s="1">
        <f>SUMIF(HEVARIM[קוד תקציב],HEVARIM[[#This Row],[קוד תקציב משפחה מקורי]],HEVARIM[ותק מחברה 40])</f>
        <v>9.66</v>
      </c>
      <c r="AQ4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2" s="9">
        <f>IF(HEVARIM[[#This Row],[קוד מעמד]]="1     ",IFERROR(VLOOKUP(HEVARIM[[#This Row],[קוד תקציב]],'תקציב צביעה - לקראת השינוי'!A:F,4,0),0),0)</f>
        <v>0</v>
      </c>
      <c r="AT412" s="1"/>
    </row>
    <row r="413" spans="1:46">
      <c r="A413" t="s">
        <v>2055</v>
      </c>
      <c r="B413" t="s">
        <v>2056</v>
      </c>
      <c r="C413" t="s">
        <v>2036</v>
      </c>
      <c r="D413" t="s">
        <v>1844</v>
      </c>
      <c r="E413" t="s">
        <v>79</v>
      </c>
      <c r="F413" s="4">
        <v>45858</v>
      </c>
      <c r="G413">
        <v>0</v>
      </c>
      <c r="H413" t="s">
        <v>2038</v>
      </c>
      <c r="I413" t="s">
        <v>2039</v>
      </c>
      <c r="J413" s="4" t="s">
        <v>70</v>
      </c>
      <c r="K413" s="4" t="s">
        <v>71</v>
      </c>
      <c r="L413" t="s">
        <v>2057</v>
      </c>
      <c r="M413" t="s">
        <v>2034</v>
      </c>
      <c r="N413" t="s">
        <v>2035</v>
      </c>
      <c r="O413">
        <f>IFERROR(VLOOKUP(HEVARIM[[#This Row],[קוד תקציב]],[2]תקציבים!A:L,6,0),0)</f>
        <v>2</v>
      </c>
      <c r="P413" s="5" t="s">
        <v>227</v>
      </c>
      <c r="Q413" t="s">
        <v>14</v>
      </c>
      <c r="R413" s="4">
        <v>45858</v>
      </c>
      <c r="S413" s="4" t="s">
        <v>90</v>
      </c>
      <c r="T413" s="96" t="s">
        <v>2038</v>
      </c>
      <c r="U413" t="str">
        <f>VLOOKUP(HEVARIM[[#This Row],[גיל]],GIL,2,1)</f>
        <v>פעוט</v>
      </c>
      <c r="V413">
        <f>IF(HEVARIM[[#This Row],[קוד מעמד]]="4     ",IF(HEVARIM[[#This Row],[גיל]]=1,1,IF(HEVARIM[[#This Row],[גיל]]&lt;=5,5,18)),"")</f>
        <v>5</v>
      </c>
      <c r="W413">
        <f t="shared" si="24"/>
        <v>0</v>
      </c>
      <c r="X4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3">
        <f>IF(HEVARIM[[#This Row],[מצב משפחתי2]]="אלמן",'[2]ריכוז נתונים'!$AC$2,0)</f>
        <v>0</v>
      </c>
      <c r="Z413" s="3">
        <f>VLOOKUP(VALUE(HEVARIM[[#This Row],[קוד מעמד]]),הנחות!$I$2:$K$21,3,0)</f>
        <v>1</v>
      </c>
      <c r="AA413" t="b">
        <f>ISERROR(VLOOKUP(HEVARIM[[#This Row],[קוד תקציב]],'[2]ריכוז נתונים'!A:A,1,0))</f>
        <v>0</v>
      </c>
      <c r="AB413" s="1">
        <f t="shared" si="25"/>
        <v>0</v>
      </c>
      <c r="AC413" s="2">
        <f ca="1">IF(HEVARIM[[#This Row],[בר מצוה]]&gt;0,YEAR(TODAY())+'תקציבים מיוחדים'!$F$5-HEVARIM[[#This Row],[גיל]],0)</f>
        <v>0</v>
      </c>
      <c r="AD413" s="1">
        <f t="shared" si="26"/>
        <v>0</v>
      </c>
      <c r="AE413" s="2">
        <f ca="1">IF(HEVARIM[[#This Row],[בת מצוה]]&gt;0,YEAR(TODAY())+'תקציבים מיוחדים'!$F$5-HEVARIM[[#This Row],[גיל]],0)</f>
        <v>0</v>
      </c>
      <c r="AF413" s="1">
        <f>IF(AND($S413&gt;="רווק",$Z413=1),AF$4*IF(HEVARIM[[#This Row],[גיל]]&gt;$AF$3,1,(($G413-AF$2)/(AF$3-AF$2))),0)</f>
        <v>0</v>
      </c>
      <c r="AG41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13" s="1">
        <f t="shared" si="27"/>
        <v>0</v>
      </c>
      <c r="AI413" s="2">
        <f ca="1">IF(AH413&gt;0,YEAR(TODAY())+'תקציבים מיוחדים'!$F$7-HEVARIM[[#This Row],[גיל]],0)</f>
        <v>0</v>
      </c>
      <c r="AJ413" s="9">
        <f>IF(AND(ISERROR(VLOOKUP(H413,'[2]ריכוז נתונים'!A:L,1,0)),P413="1     "),1,0)</f>
        <v>0</v>
      </c>
      <c r="AK41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3" s="1">
        <f>IF(AND(VALUE(HEVARIM[[#This Row],[קוד מעמד]])=1,HEVARIM[[#This Row],[ותק מחברה 40]]&lt;25),HEVARIM[[#This Row],[ותק מחברה 40]]/25*הנחות!$C$4,0)</f>
        <v>0</v>
      </c>
      <c r="AM413" s="9" t="str">
        <f ca="1">IF(HEVARIM[[#This Row],[דמי עזיבה 25 שנות ותק]]&gt;0,YEAR(TODAY())+25-ROUNDDOWN(HEVARIM[[#This Row],[ותק מחברה 40]],0),"")</f>
        <v/>
      </c>
      <c r="AN4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3" s="9" t="str">
        <f ca="1">IF(HEVARIM[[#This Row],[דמי עזיבה לגיל 65]]&gt;0,YEAR(TODAY())+64-ROUNDDOWN(HEVARIM[[#This Row],[גיל]],0),"")</f>
        <v/>
      </c>
      <c r="AP413" s="1">
        <f>SUMIF(HEVARIM[קוד תקציב],HEVARIM[[#This Row],[קוד תקציב משפחה מקורי]],HEVARIM[ותק מחברה 40])</f>
        <v>9.66</v>
      </c>
      <c r="AQ4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3" s="9">
        <f>IF(HEVARIM[[#This Row],[קוד מעמד]]="1     ",IFERROR(VLOOKUP(HEVARIM[[#This Row],[קוד תקציב]],'תקציב צביעה - לקראת השינוי'!A:F,4,0),0),0)</f>
        <v>0</v>
      </c>
      <c r="AT413" s="1"/>
    </row>
    <row r="414" spans="1:46">
      <c r="A414" t="s">
        <v>2064</v>
      </c>
      <c r="B414" t="s">
        <v>2065</v>
      </c>
      <c r="C414" t="s">
        <v>2066</v>
      </c>
      <c r="D414" t="s">
        <v>289</v>
      </c>
      <c r="E414" t="s">
        <v>67</v>
      </c>
      <c r="F414" s="4">
        <v>33577</v>
      </c>
      <c r="G414">
        <v>34</v>
      </c>
      <c r="H414" t="s">
        <v>2067</v>
      </c>
      <c r="I414" t="s">
        <v>2068</v>
      </c>
      <c r="J414" s="4" t="s">
        <v>70</v>
      </c>
      <c r="K414" s="4" t="s">
        <v>71</v>
      </c>
      <c r="L414" t="s">
        <v>2069</v>
      </c>
      <c r="M414" t="s">
        <v>2064</v>
      </c>
      <c r="N414" t="s">
        <v>2065</v>
      </c>
      <c r="O414">
        <f>IFERROR(VLOOKUP(HEVARIM[[#This Row],[קוד תקציב]],[2]תקציבים!A:L,6,0),0)</f>
        <v>2</v>
      </c>
      <c r="P414" s="5" t="s">
        <v>104</v>
      </c>
      <c r="Q414" t="s">
        <v>11</v>
      </c>
      <c r="R414" s="4">
        <v>45551</v>
      </c>
      <c r="S414" s="4" t="s">
        <v>74</v>
      </c>
      <c r="T414" s="96" t="s">
        <v>2067</v>
      </c>
      <c r="U414" t="str">
        <f>VLOOKUP(HEVARIM[[#This Row],[גיל]],GIL,2,1)</f>
        <v>--</v>
      </c>
      <c r="V414" t="str">
        <f>IF(HEVARIM[[#This Row],[קוד מעמד]]="4     ",IF(HEVARIM[[#This Row],[גיל]]=1,1,IF(HEVARIM[[#This Row],[גיל]]&lt;=5,5,18)),"")</f>
        <v/>
      </c>
      <c r="W414">
        <f t="shared" si="24"/>
        <v>0</v>
      </c>
      <c r="X41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4">
        <f>IF(HEVARIM[[#This Row],[מצב משפחתי2]]="אלמן",'[2]ריכוז נתונים'!$AC$2,0)</f>
        <v>0</v>
      </c>
      <c r="Z414" s="3">
        <f>VLOOKUP(VALUE(HEVARIM[[#This Row],[קוד מעמד]]),הנחות!$I$2:$K$21,3,0)</f>
        <v>0</v>
      </c>
      <c r="AA414" t="b">
        <f>ISERROR(VLOOKUP(HEVARIM[[#This Row],[קוד תקציב]],'[2]ריכוז נתונים'!A:A,1,0))</f>
        <v>0</v>
      </c>
      <c r="AB414" s="1">
        <f t="shared" si="25"/>
        <v>0</v>
      </c>
      <c r="AC414" s="2">
        <f ca="1">IF(HEVARIM[[#This Row],[בר מצוה]]&gt;0,YEAR(TODAY())+'תקציבים מיוחדים'!$F$5-HEVARIM[[#This Row],[גיל]],0)</f>
        <v>0</v>
      </c>
      <c r="AD414" s="1">
        <f t="shared" si="26"/>
        <v>0</v>
      </c>
      <c r="AE414" s="2">
        <f ca="1">IF(HEVARIM[[#This Row],[בת מצוה]]&gt;0,YEAR(TODAY())+'תקציבים מיוחדים'!$F$5-HEVARIM[[#This Row],[גיל]],0)</f>
        <v>0</v>
      </c>
      <c r="AF414" s="1">
        <f>IF(AND($S414&gt;="רווק",$Z414=1),AF$4*IF(HEVARIM[[#This Row],[גיל]]&gt;$AF$3,1,(($G414-AF$2)/(AF$3-AF$2))),0)</f>
        <v>0</v>
      </c>
      <c r="AG41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14" s="1">
        <f t="shared" si="27"/>
        <v>0</v>
      </c>
      <c r="AI414" s="2">
        <f ca="1">IF(AH414&gt;0,YEAR(TODAY())+'תקציבים מיוחדים'!$F$7-HEVARIM[[#This Row],[גיל]],0)</f>
        <v>0</v>
      </c>
      <c r="AJ414" s="9">
        <f>IF(AND(ISERROR(VLOOKUP(H414,'[2]ריכוז נתונים'!A:L,1,0)),P414="1     "),1,0)</f>
        <v>0</v>
      </c>
      <c r="AK414" s="1">
        <f>IF(VALUE(HEVARIM[[#This Row],[קוד מעמד]])=1,VLOOKUP((IF(LEFT(HEVARIM[[#This Row],[קוד חבר]],1)="0",HEVARIM[[#This Row],[קוד חבר]],VALUE(HEVARIM[[#This Row],[קוד חבר]]))),'ותק חברה 40'!AQ:AW,7,0),"")</f>
        <v>3.11</v>
      </c>
      <c r="AL414" s="1">
        <f>IF(AND(VALUE(HEVARIM[[#This Row],[קוד מעמד]])=1,HEVARIM[[#This Row],[ותק מחברה 40]]&lt;25),HEVARIM[[#This Row],[ותק מחברה 40]]/25*הנחות!$C$4,0)</f>
        <v>4669.3057949999993</v>
      </c>
      <c r="AM414" s="9">
        <f ca="1">IF(HEVARIM[[#This Row],[דמי עזיבה 25 שנות ותק]]&gt;0,YEAR(TODAY())+25-ROUNDDOWN(HEVARIM[[#This Row],[ותק מחברה 40]],0),"")</f>
        <v>2048</v>
      </c>
      <c r="AN4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4" s="9" t="str">
        <f ca="1">IF(HEVARIM[[#This Row],[דמי עזיבה לגיל 65]]&gt;0,YEAR(TODAY())+64-ROUNDDOWN(HEVARIM[[#This Row],[גיל]],0),"")</f>
        <v/>
      </c>
      <c r="AP414" s="1">
        <f>SUMIF(HEVARIM[קוד תקציב],HEVARIM[[#This Row],[קוד תקציב משפחה מקורי]],HEVARIM[ותק מחברה 40])</f>
        <v>6.22</v>
      </c>
      <c r="AQ4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4" s="9">
        <f>IF(HEVARIM[[#This Row],[קוד מעמד]]="1     ",IFERROR(VLOOKUP(HEVARIM[[#This Row],[קוד תקציב]],'תקציב צביעה - לקראת השינוי'!A:F,4,0),0),0)</f>
        <v>0</v>
      </c>
      <c r="AT414" s="1"/>
    </row>
    <row r="415" spans="1:46">
      <c r="A415" t="s">
        <v>2070</v>
      </c>
      <c r="B415" t="s">
        <v>2071</v>
      </c>
      <c r="C415" t="s">
        <v>2066</v>
      </c>
      <c r="D415" t="s">
        <v>1462</v>
      </c>
      <c r="E415" t="s">
        <v>79</v>
      </c>
      <c r="F415" s="4">
        <v>33334</v>
      </c>
      <c r="G415">
        <v>34</v>
      </c>
      <c r="H415" t="s">
        <v>2067</v>
      </c>
      <c r="I415" t="s">
        <v>2068</v>
      </c>
      <c r="J415" s="4" t="s">
        <v>70</v>
      </c>
      <c r="K415" s="4" t="s">
        <v>71</v>
      </c>
      <c r="L415" t="s">
        <v>2072</v>
      </c>
      <c r="M415" t="s">
        <v>2064</v>
      </c>
      <c r="N415" t="s">
        <v>2065</v>
      </c>
      <c r="O415">
        <f>IFERROR(VLOOKUP(HEVARIM[[#This Row],[קוד תקציב]],[2]תקציבים!A:L,6,0),0)</f>
        <v>2</v>
      </c>
      <c r="P415" s="5" t="s">
        <v>104</v>
      </c>
      <c r="Q415" t="s">
        <v>11</v>
      </c>
      <c r="R415" s="4">
        <v>45551</v>
      </c>
      <c r="S415" s="4" t="s">
        <v>74</v>
      </c>
      <c r="T415" s="96" t="s">
        <v>2067</v>
      </c>
      <c r="U415" t="str">
        <f>VLOOKUP(HEVARIM[[#This Row],[גיל]],GIL,2,1)</f>
        <v>--</v>
      </c>
      <c r="V415" t="str">
        <f>IF(HEVARIM[[#This Row],[קוד מעמד]]="4     ",IF(HEVARIM[[#This Row],[גיל]]=1,1,IF(HEVARIM[[#This Row],[גיל]]&lt;=5,5,18)),"")</f>
        <v/>
      </c>
      <c r="W415">
        <f t="shared" si="24"/>
        <v>0</v>
      </c>
      <c r="X41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5">
        <f>IF(HEVARIM[[#This Row],[מצב משפחתי2]]="אלמן",'[2]ריכוז נתונים'!$AC$2,0)</f>
        <v>0</v>
      </c>
      <c r="Z415" s="3">
        <f>VLOOKUP(VALUE(HEVARIM[[#This Row],[קוד מעמד]]),הנחות!$I$2:$K$21,3,0)</f>
        <v>0</v>
      </c>
      <c r="AA415" t="b">
        <f>ISERROR(VLOOKUP(HEVARIM[[#This Row],[קוד תקציב]],'[2]ריכוז נתונים'!A:A,1,0))</f>
        <v>0</v>
      </c>
      <c r="AB415" s="1">
        <f t="shared" si="25"/>
        <v>0</v>
      </c>
      <c r="AC415" s="2">
        <f ca="1">IF(HEVARIM[[#This Row],[בר מצוה]]&gt;0,YEAR(TODAY())+'תקציבים מיוחדים'!$F$5-HEVARIM[[#This Row],[גיל]],0)</f>
        <v>0</v>
      </c>
      <c r="AD415" s="1">
        <f t="shared" si="26"/>
        <v>0</v>
      </c>
      <c r="AE415" s="2">
        <f ca="1">IF(HEVARIM[[#This Row],[בת מצוה]]&gt;0,YEAR(TODAY())+'תקציבים מיוחדים'!$F$5-HEVARIM[[#This Row],[גיל]],0)</f>
        <v>0</v>
      </c>
      <c r="AF415" s="1">
        <f>IF(AND($S415&gt;="רווק",$Z415=1),AF$4*IF(HEVARIM[[#This Row],[גיל]]&gt;$AF$3,1,(($G415-AF$2)/(AF$3-AF$2))),0)</f>
        <v>0</v>
      </c>
      <c r="AG41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15" s="1">
        <f t="shared" si="27"/>
        <v>0</v>
      </c>
      <c r="AI415" s="2">
        <f ca="1">IF(AH415&gt;0,YEAR(TODAY())+'תקציבים מיוחדים'!$F$7-HEVARIM[[#This Row],[גיל]],0)</f>
        <v>0</v>
      </c>
      <c r="AJ415" s="9">
        <f>IF(AND(ISERROR(VLOOKUP(H415,'[2]ריכוז נתונים'!A:L,1,0)),P415="1     "),1,0)</f>
        <v>0</v>
      </c>
      <c r="AK415" s="1">
        <f>IF(VALUE(HEVARIM[[#This Row],[קוד מעמד]])=1,VLOOKUP((IF(LEFT(HEVARIM[[#This Row],[קוד חבר]],1)="0",HEVARIM[[#This Row],[קוד חבר]],VALUE(HEVARIM[[#This Row],[קוד חבר]]))),'ותק חברה 40'!AQ:AW,7,0),"")</f>
        <v>3.11</v>
      </c>
      <c r="AL415" s="1">
        <f>IF(AND(VALUE(HEVARIM[[#This Row],[קוד מעמד]])=1,HEVARIM[[#This Row],[ותק מחברה 40]]&lt;25),HEVARIM[[#This Row],[ותק מחברה 40]]/25*הנחות!$C$4,0)</f>
        <v>4669.3057949999993</v>
      </c>
      <c r="AM415" s="9">
        <f ca="1">IF(HEVARIM[[#This Row],[דמי עזיבה 25 שנות ותק]]&gt;0,YEAR(TODAY())+25-ROUNDDOWN(HEVARIM[[#This Row],[ותק מחברה 40]],0),"")</f>
        <v>2048</v>
      </c>
      <c r="AN41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5" s="9" t="str">
        <f ca="1">IF(HEVARIM[[#This Row],[דמי עזיבה לגיל 65]]&gt;0,YEAR(TODAY())+64-ROUNDDOWN(HEVARIM[[#This Row],[גיל]],0),"")</f>
        <v/>
      </c>
      <c r="AP415" s="1">
        <f>SUMIF(HEVARIM[קוד תקציב],HEVARIM[[#This Row],[קוד תקציב משפחה מקורי]],HEVARIM[ותק מחברה 40])</f>
        <v>6.22</v>
      </c>
      <c r="AQ4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5" s="9">
        <f>IF(HEVARIM[[#This Row],[קוד מעמד]]="1     ",IFERROR(VLOOKUP(HEVARIM[[#This Row],[קוד תקציב]],'תקציב צביעה - לקראת השינוי'!A:F,4,0),0),0)</f>
        <v>0</v>
      </c>
      <c r="AT415" s="1"/>
    </row>
    <row r="416" spans="1:46">
      <c r="A416" t="s">
        <v>2073</v>
      </c>
      <c r="B416" t="s">
        <v>2074</v>
      </c>
      <c r="C416" t="s">
        <v>2066</v>
      </c>
      <c r="D416" t="s">
        <v>2075</v>
      </c>
      <c r="E416" t="s">
        <v>67</v>
      </c>
      <c r="F416" s="4">
        <v>42748</v>
      </c>
      <c r="G416">
        <v>8</v>
      </c>
      <c r="H416" t="s">
        <v>2067</v>
      </c>
      <c r="I416" t="s">
        <v>2068</v>
      </c>
      <c r="J416" s="4" t="s">
        <v>70</v>
      </c>
      <c r="K416" s="4" t="s">
        <v>71</v>
      </c>
      <c r="L416" t="s">
        <v>2076</v>
      </c>
      <c r="M416" t="s">
        <v>2064</v>
      </c>
      <c r="N416" t="s">
        <v>2065</v>
      </c>
      <c r="O416">
        <f>IFERROR(VLOOKUP(HEVARIM[[#This Row],[קוד תקציב]],[2]תקציבים!A:L,6,0),0)</f>
        <v>2</v>
      </c>
      <c r="P416" s="5" t="s">
        <v>227</v>
      </c>
      <c r="Q416" t="s">
        <v>14</v>
      </c>
      <c r="R416" s="4">
        <v>44774</v>
      </c>
      <c r="S416" s="4" t="s">
        <v>90</v>
      </c>
      <c r="T416" s="96" t="s">
        <v>2067</v>
      </c>
      <c r="U416" t="str">
        <f>VLOOKUP(HEVARIM[[#This Row],[גיל]],GIL,2,1)</f>
        <v>יסודי</v>
      </c>
      <c r="V416">
        <f>IF(HEVARIM[[#This Row],[קוד מעמד]]="4     ",IF(HEVARIM[[#This Row],[גיל]]=1,1,IF(HEVARIM[[#This Row],[גיל]]&lt;=5,5,18)),"")</f>
        <v>18</v>
      </c>
      <c r="W416">
        <f t="shared" si="24"/>
        <v>0</v>
      </c>
      <c r="X4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6">
        <f>IF(HEVARIM[[#This Row],[מצב משפחתי2]]="אלמן",'[2]ריכוז נתונים'!$AC$2,0)</f>
        <v>0</v>
      </c>
      <c r="Z416" s="3">
        <f>VLOOKUP(VALUE(HEVARIM[[#This Row],[קוד מעמד]]),הנחות!$I$2:$K$21,3,0)</f>
        <v>1</v>
      </c>
      <c r="AA416" t="b">
        <f>ISERROR(VLOOKUP(HEVARIM[[#This Row],[קוד תקציב]],'[2]ריכוז נתונים'!A:A,1,0))</f>
        <v>0</v>
      </c>
      <c r="AB416" s="1">
        <f t="shared" si="25"/>
        <v>4409.2307692307695</v>
      </c>
      <c r="AC416" s="2">
        <f ca="1">IF(HEVARIM[[#This Row],[בר מצוה]]&gt;0,YEAR(TODAY())+'תקציבים מיוחדים'!$F$5-HEVARIM[[#This Row],[גיל]],0)</f>
        <v>2031</v>
      </c>
      <c r="AD416" s="1">
        <f t="shared" si="26"/>
        <v>0</v>
      </c>
      <c r="AE416" s="2">
        <f ca="1">IF(HEVARIM[[#This Row],[בת מצוה]]&gt;0,YEAR(TODAY())+'תקציבים מיוחדים'!$F$5-HEVARIM[[#This Row],[גיל]],0)</f>
        <v>0</v>
      </c>
      <c r="AF416" s="1">
        <f>IF(AND($S416&gt;="רווק",$Z416=1),AF$4*IF(HEVARIM[[#This Row],[גיל]]&gt;$AF$3,1,(($G416-AF$2)/(AF$3-AF$2))),0)</f>
        <v>23052.38095238095</v>
      </c>
      <c r="AG416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416" s="1">
        <f t="shared" si="27"/>
        <v>40224.190476190473</v>
      </c>
      <c r="AI416" s="2">
        <f ca="1">IF(AH416&gt;0,YEAR(TODAY())+'תקציבים מיוחדים'!$F$7-HEVARIM[[#This Row],[גיל]],0)</f>
        <v>2039</v>
      </c>
      <c r="AJ416" s="9">
        <f>IF(AND(ISERROR(VLOOKUP(H416,'[2]ריכוז נתונים'!A:L,1,0)),P416="1     "),1,0)</f>
        <v>0</v>
      </c>
      <c r="AK41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6" s="1">
        <f>IF(AND(VALUE(HEVARIM[[#This Row],[קוד מעמד]])=1,HEVARIM[[#This Row],[ותק מחברה 40]]&lt;25),HEVARIM[[#This Row],[ותק מחברה 40]]/25*הנחות!$C$4,0)</f>
        <v>0</v>
      </c>
      <c r="AM416" s="9" t="str">
        <f ca="1">IF(HEVARIM[[#This Row],[דמי עזיבה 25 שנות ותק]]&gt;0,YEAR(TODAY())+25-ROUNDDOWN(HEVARIM[[#This Row],[ותק מחברה 40]],0),"")</f>
        <v/>
      </c>
      <c r="AN4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6" s="9" t="str">
        <f ca="1">IF(HEVARIM[[#This Row],[דמי עזיבה לגיל 65]]&gt;0,YEAR(TODAY())+64-ROUNDDOWN(HEVARIM[[#This Row],[גיל]],0),"")</f>
        <v/>
      </c>
      <c r="AP416" s="1">
        <f>SUMIF(HEVARIM[קוד תקציב],HEVARIM[[#This Row],[קוד תקציב משפחה מקורי]],HEVARIM[ותק מחברה 40])</f>
        <v>6.22</v>
      </c>
      <c r="AQ4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4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6" s="9">
        <f>IF(HEVARIM[[#This Row],[קוד מעמד]]="1     ",IFERROR(VLOOKUP(HEVARIM[[#This Row],[קוד תקציב]],'תקציב צביעה - לקראת השינוי'!A:F,4,0),0),0)</f>
        <v>0</v>
      </c>
      <c r="AT416" s="1"/>
    </row>
    <row r="417" spans="1:46">
      <c r="A417" t="s">
        <v>2077</v>
      </c>
      <c r="B417" t="s">
        <v>2078</v>
      </c>
      <c r="C417" t="s">
        <v>2066</v>
      </c>
      <c r="D417" t="s">
        <v>2079</v>
      </c>
      <c r="E417" t="s">
        <v>67</v>
      </c>
      <c r="F417" s="4">
        <v>43658</v>
      </c>
      <c r="G417">
        <v>6</v>
      </c>
      <c r="H417" t="s">
        <v>2067</v>
      </c>
      <c r="I417" t="s">
        <v>2068</v>
      </c>
      <c r="J417" s="4" t="s">
        <v>70</v>
      </c>
      <c r="K417" s="4" t="s">
        <v>71</v>
      </c>
      <c r="L417" t="s">
        <v>2080</v>
      </c>
      <c r="M417" t="s">
        <v>2064</v>
      </c>
      <c r="N417" t="s">
        <v>2065</v>
      </c>
      <c r="O417">
        <f>IFERROR(VLOOKUP(HEVARIM[[#This Row],[קוד תקציב]],[2]תקציבים!A:L,6,0),0)</f>
        <v>2</v>
      </c>
      <c r="P417" s="5" t="s">
        <v>227</v>
      </c>
      <c r="Q417" t="s">
        <v>14</v>
      </c>
      <c r="R417" s="4">
        <v>44774</v>
      </c>
      <c r="S417" s="4" t="s">
        <v>90</v>
      </c>
      <c r="T417" s="96" t="s">
        <v>2067</v>
      </c>
      <c r="U417" t="str">
        <f>VLOOKUP(HEVARIM[[#This Row],[גיל]],GIL,2,1)</f>
        <v>יסודי</v>
      </c>
      <c r="V417">
        <f>IF(HEVARIM[[#This Row],[קוד מעמד]]="4     ",IF(HEVARIM[[#This Row],[גיל]]=1,1,IF(HEVARIM[[#This Row],[גיל]]&lt;=5,5,18)),"")</f>
        <v>18</v>
      </c>
      <c r="W417">
        <f t="shared" si="24"/>
        <v>0</v>
      </c>
      <c r="X41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7">
        <f>IF(HEVARIM[[#This Row],[מצב משפחתי2]]="אלמן",'[2]ריכוז נתונים'!$AC$2,0)</f>
        <v>0</v>
      </c>
      <c r="Z417" s="3">
        <f>VLOOKUP(VALUE(HEVARIM[[#This Row],[קוד מעמד]]),הנחות!$I$2:$K$21,3,0)</f>
        <v>1</v>
      </c>
      <c r="AA417" t="b">
        <f>ISERROR(VLOOKUP(HEVARIM[[#This Row],[קוד תקציב]],'[2]ריכוז נתונים'!A:A,1,0))</f>
        <v>0</v>
      </c>
      <c r="AB417" s="1">
        <f t="shared" si="25"/>
        <v>3306.9230769230771</v>
      </c>
      <c r="AC417" s="2">
        <f ca="1">IF(HEVARIM[[#This Row],[בר מצוה]]&gt;0,YEAR(TODAY())+'תקציבים מיוחדים'!$F$5-HEVARIM[[#This Row],[גיל]],0)</f>
        <v>2033</v>
      </c>
      <c r="AD417" s="1">
        <f t="shared" si="26"/>
        <v>0</v>
      </c>
      <c r="AE417" s="2">
        <f ca="1">IF(HEVARIM[[#This Row],[בת מצוה]]&gt;0,YEAR(TODAY())+'תקציבים מיוחדים'!$F$5-HEVARIM[[#This Row],[גיל]],0)</f>
        <v>0</v>
      </c>
      <c r="AF417" s="1">
        <f>IF(AND($S417&gt;="רווק",$Z417=1),AF$4*IF(HEVARIM[[#This Row],[גיל]]&gt;$AF$3,1,(($G417-AF$2)/(AF$3-AF$2))),0)</f>
        <v>17289.285714285714</v>
      </c>
      <c r="AG417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417" s="1">
        <f t="shared" si="27"/>
        <v>30168.142857142855</v>
      </c>
      <c r="AI417" s="2">
        <f ca="1">IF(AH417&gt;0,YEAR(TODAY())+'תקציבים מיוחדים'!$F$7-HEVARIM[[#This Row],[גיל]],0)</f>
        <v>2041</v>
      </c>
      <c r="AJ417" s="9">
        <f>IF(AND(ISERROR(VLOOKUP(H417,'[2]ריכוז נתונים'!A:L,1,0)),P417="1     "),1,0)</f>
        <v>0</v>
      </c>
      <c r="AK41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7" s="1">
        <f>IF(AND(VALUE(HEVARIM[[#This Row],[קוד מעמד]])=1,HEVARIM[[#This Row],[ותק מחברה 40]]&lt;25),HEVARIM[[#This Row],[ותק מחברה 40]]/25*הנחות!$C$4,0)</f>
        <v>0</v>
      </c>
      <c r="AM417" s="9" t="str">
        <f ca="1">IF(HEVARIM[[#This Row],[דמי עזיבה 25 שנות ותק]]&gt;0,YEAR(TODAY())+25-ROUNDDOWN(HEVARIM[[#This Row],[ותק מחברה 40]],0),"")</f>
        <v/>
      </c>
      <c r="AN4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7" s="9" t="str">
        <f ca="1">IF(HEVARIM[[#This Row],[דמי עזיבה לגיל 65]]&gt;0,YEAR(TODAY())+64-ROUNDDOWN(HEVARIM[[#This Row],[גיל]],0),"")</f>
        <v/>
      </c>
      <c r="AP417" s="1">
        <f>SUMIF(HEVARIM[קוד תקציב],HEVARIM[[#This Row],[קוד תקציב משפחה מקורי]],HEVARIM[ותק מחברה 40])</f>
        <v>6.22</v>
      </c>
      <c r="AQ4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7" s="9">
        <f>IF(HEVARIM[[#This Row],[קוד מעמד]]="1     ",IFERROR(VLOOKUP(HEVARIM[[#This Row],[קוד תקציב]],'תקציב צביעה - לקראת השינוי'!A:F,4,0),0),0)</f>
        <v>0</v>
      </c>
      <c r="AT417" s="1"/>
    </row>
    <row r="418" spans="1:46">
      <c r="A418" t="s">
        <v>2081</v>
      </c>
      <c r="B418" t="s">
        <v>2082</v>
      </c>
      <c r="C418" t="s">
        <v>2066</v>
      </c>
      <c r="D418" t="s">
        <v>2083</v>
      </c>
      <c r="E418" t="s">
        <v>79</v>
      </c>
      <c r="F418" s="4">
        <v>45592</v>
      </c>
      <c r="G418">
        <v>1</v>
      </c>
      <c r="H418" t="s">
        <v>2067</v>
      </c>
      <c r="I418" t="s">
        <v>2068</v>
      </c>
      <c r="J418" s="4" t="s">
        <v>70</v>
      </c>
      <c r="K418" s="4" t="s">
        <v>71</v>
      </c>
      <c r="L418" t="s">
        <v>2084</v>
      </c>
      <c r="M418" t="s">
        <v>2064</v>
      </c>
      <c r="N418" t="s">
        <v>2065</v>
      </c>
      <c r="O418">
        <f>IFERROR(VLOOKUP(HEVARIM[[#This Row],[קוד תקציב]],[2]תקציבים!A:L,6,0),0)</f>
        <v>2</v>
      </c>
      <c r="P418" s="5" t="s">
        <v>227</v>
      </c>
      <c r="Q418" t="s">
        <v>14</v>
      </c>
      <c r="R418" s="4">
        <v>45592</v>
      </c>
      <c r="S418" s="4" t="s">
        <v>90</v>
      </c>
      <c r="T418" s="96" t="s">
        <v>2067</v>
      </c>
      <c r="U418" t="str">
        <f>VLOOKUP(HEVARIM[[#This Row],[גיל]],GIL,2,1)</f>
        <v>פעוט</v>
      </c>
      <c r="V418">
        <f>IF(HEVARIM[[#This Row],[קוד מעמד]]="4     ",IF(HEVARIM[[#This Row],[גיל]]=1,1,IF(HEVARIM[[#This Row],[גיל]]&lt;=5,5,18)),"")</f>
        <v>1</v>
      </c>
      <c r="W418">
        <f t="shared" si="24"/>
        <v>0</v>
      </c>
      <c r="X41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18">
        <f>IF(HEVARIM[[#This Row],[מצב משפחתי2]]="אלמן",'[2]ריכוז נתונים'!$AC$2,0)</f>
        <v>0</v>
      </c>
      <c r="Z418" s="3">
        <f>VLOOKUP(VALUE(HEVARIM[[#This Row],[קוד מעמד]]),הנחות!$I$2:$K$21,3,0)</f>
        <v>1</v>
      </c>
      <c r="AA418" t="b">
        <f>ISERROR(VLOOKUP(HEVARIM[[#This Row],[קוד תקציב]],'[2]ריכוז נתונים'!A:A,1,0))</f>
        <v>0</v>
      </c>
      <c r="AB418" s="1">
        <f t="shared" si="25"/>
        <v>0</v>
      </c>
      <c r="AC418" s="2">
        <f ca="1">IF(HEVARIM[[#This Row],[בר מצוה]]&gt;0,YEAR(TODAY())+'תקציבים מיוחדים'!$F$5-HEVARIM[[#This Row],[גיל]],0)</f>
        <v>0</v>
      </c>
      <c r="AD418" s="1">
        <f t="shared" si="26"/>
        <v>551.15384615384619</v>
      </c>
      <c r="AE418" s="2">
        <f ca="1">IF(HEVARIM[[#This Row],[בת מצוה]]&gt;0,YEAR(TODAY())+'תקציבים מיוחדים'!$F$5-HEVARIM[[#This Row],[גיל]],0)</f>
        <v>2038</v>
      </c>
      <c r="AF418" s="1">
        <f>IF(AND($S418&gt;="רווק",$Z418=1),AF$4*IF(HEVARIM[[#This Row],[גיל]]&gt;$AF$3,1,(($G418-AF$2)/(AF$3-AF$2))),0)</f>
        <v>2881.5476190476188</v>
      </c>
      <c r="AG418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418" s="1">
        <f t="shared" si="27"/>
        <v>5028.0238095238092</v>
      </c>
      <c r="AI418" s="2">
        <f ca="1">IF(AH418&gt;0,YEAR(TODAY())+'תקציבים מיוחדים'!$F$7-HEVARIM[[#This Row],[גיל]],0)</f>
        <v>2046</v>
      </c>
      <c r="AJ418" s="9">
        <f>IF(AND(ISERROR(VLOOKUP(H418,'[2]ריכוז נתונים'!A:L,1,0)),P418="1     "),1,0)</f>
        <v>0</v>
      </c>
      <c r="AK41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18" s="1">
        <f>IF(AND(VALUE(HEVARIM[[#This Row],[קוד מעמד]])=1,HEVARIM[[#This Row],[ותק מחברה 40]]&lt;25),HEVARIM[[#This Row],[ותק מחברה 40]]/25*הנחות!$C$4,0)</f>
        <v>0</v>
      </c>
      <c r="AM418" s="9" t="str">
        <f ca="1">IF(HEVARIM[[#This Row],[דמי עזיבה 25 שנות ותק]]&gt;0,YEAR(TODAY())+25-ROUNDDOWN(HEVARIM[[#This Row],[ותק מחברה 40]],0),"")</f>
        <v/>
      </c>
      <c r="AN4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8" s="9" t="str">
        <f ca="1">IF(HEVARIM[[#This Row],[דמי עזיבה לגיל 65]]&gt;0,YEAR(TODAY())+64-ROUNDDOWN(HEVARIM[[#This Row],[גיל]],0),"")</f>
        <v/>
      </c>
      <c r="AP418" s="1">
        <f>SUMIF(HEVARIM[קוד תקציב],HEVARIM[[#This Row],[קוד תקציב משפחה מקורי]],HEVARIM[ותק מחברה 40])</f>
        <v>6.22</v>
      </c>
      <c r="AQ4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18" s="9">
        <f>IF(HEVARIM[[#This Row],[קוד מעמד]]="1     ",IFERROR(VLOOKUP(HEVARIM[[#This Row],[קוד תקציב]],'תקציב צביעה - לקראת השינוי'!A:F,4,0),0),0)</f>
        <v>0</v>
      </c>
      <c r="AT418" s="1"/>
    </row>
    <row r="419" spans="1:46">
      <c r="A419" t="s">
        <v>2090</v>
      </c>
      <c r="B419" t="s">
        <v>2091</v>
      </c>
      <c r="C419" t="s">
        <v>2092</v>
      </c>
      <c r="D419" t="s">
        <v>503</v>
      </c>
      <c r="E419" t="s">
        <v>79</v>
      </c>
      <c r="F419" s="4">
        <v>10815</v>
      </c>
      <c r="G419">
        <v>96</v>
      </c>
      <c r="H419" t="s">
        <v>2093</v>
      </c>
      <c r="I419" t="s">
        <v>2091</v>
      </c>
      <c r="J419" s="4" t="s">
        <v>70</v>
      </c>
      <c r="K419" s="4" t="s">
        <v>71</v>
      </c>
      <c r="L419" t="s">
        <v>2094</v>
      </c>
      <c r="M419" t="s">
        <v>2090</v>
      </c>
      <c r="N419" t="s">
        <v>2091</v>
      </c>
      <c r="O419">
        <f>IFERROR(VLOOKUP(HEVARIM[[#This Row],[קוד תקציב]],[2]תקציבים!A:L,6,0),0)</f>
        <v>1</v>
      </c>
      <c r="P419" s="5" t="s">
        <v>104</v>
      </c>
      <c r="Q419" t="s">
        <v>11</v>
      </c>
      <c r="R419" s="4">
        <v>20820</v>
      </c>
      <c r="S419" s="4" t="s">
        <v>449</v>
      </c>
      <c r="T419" s="96" t="s">
        <v>2093</v>
      </c>
      <c r="U419" t="str">
        <f>VLOOKUP(HEVARIM[[#This Row],[גיל]],GIL,2,1)</f>
        <v>--</v>
      </c>
      <c r="V419" t="str">
        <f>IF(HEVARIM[[#This Row],[קוד מעמד]]="4     ",IF(HEVARIM[[#This Row],[גיל]]=1,1,IF(HEVARIM[[#This Row],[גיל]]&lt;=5,5,18)),"")</f>
        <v/>
      </c>
      <c r="W419">
        <f t="shared" si="24"/>
        <v>1665</v>
      </c>
      <c r="X41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19">
        <f>IF(HEVARIM[[#This Row],[מצב משפחתי2]]="אלמן",'[2]ריכוז נתונים'!$AC$2,0)</f>
        <v>4900</v>
      </c>
      <c r="Z419" s="3">
        <f>VLOOKUP(VALUE(HEVARIM[[#This Row],[קוד מעמד]]),הנחות!$I$2:$K$21,3,0)</f>
        <v>0</v>
      </c>
      <c r="AA419" t="b">
        <f>ISERROR(VLOOKUP(HEVARIM[[#This Row],[קוד תקציב]],'[2]ריכוז נתונים'!A:A,1,0))</f>
        <v>0</v>
      </c>
      <c r="AB419" s="1">
        <f t="shared" si="25"/>
        <v>0</v>
      </c>
      <c r="AC419" s="2">
        <f ca="1">IF(HEVARIM[[#This Row],[בר מצוה]]&gt;0,YEAR(TODAY())+'תקציבים מיוחדים'!$F$5-HEVARIM[[#This Row],[גיל]],0)</f>
        <v>0</v>
      </c>
      <c r="AD419" s="1">
        <f t="shared" si="26"/>
        <v>0</v>
      </c>
      <c r="AE419" s="2">
        <f ca="1">IF(HEVARIM[[#This Row],[בת מצוה]]&gt;0,YEAR(TODAY())+'תקציבים מיוחדים'!$F$5-HEVARIM[[#This Row],[גיל]],0)</f>
        <v>0</v>
      </c>
      <c r="AF419" s="1">
        <f>IF(AND($S419&gt;="רווק",$Z419=1),AF$4*IF(HEVARIM[[#This Row],[גיל]]&gt;$AF$3,1,(($G419-AF$2)/(AF$3-AF$2))),0)</f>
        <v>0</v>
      </c>
      <c r="AG41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19" s="1">
        <f t="shared" si="27"/>
        <v>0</v>
      </c>
      <c r="AI419" s="2">
        <f ca="1">IF(AH419&gt;0,YEAR(TODAY())+'תקציבים מיוחדים'!$F$7-HEVARIM[[#This Row],[גיל]],0)</f>
        <v>0</v>
      </c>
      <c r="AJ419" s="9">
        <f>IF(AND(ISERROR(VLOOKUP(H419,'[2]ריכוז נתונים'!A:L,1,0)),P419="1     "),1,0)</f>
        <v>0</v>
      </c>
      <c r="AK419" s="1">
        <f>IF(VALUE(HEVARIM[[#This Row],[קוד מעמד]])=1,VLOOKUP((IF(LEFT(HEVARIM[[#This Row],[קוד חבר]],1)="0",HEVARIM[[#This Row],[קוד חבר]],VALUE(HEVARIM[[#This Row],[קוד חבר]]))),'ותק חברה 40'!AQ:AW,7,0),"")</f>
        <v>43.55</v>
      </c>
      <c r="AL419" s="1">
        <f>IF(AND(VALUE(HEVARIM[[#This Row],[קוד מעמד]])=1,HEVARIM[[#This Row],[ותק מחברה 40]]&lt;25),HEVARIM[[#This Row],[ותק מחברה 40]]/25*הנחות!$C$4,0)</f>
        <v>0</v>
      </c>
      <c r="AM419" s="9" t="str">
        <f ca="1">IF(HEVARIM[[#This Row],[דמי עזיבה 25 שנות ותק]]&gt;0,YEAR(TODAY())+25-ROUNDDOWN(HEVARIM[[#This Row],[ותק מחברה 40]],0),"")</f>
        <v/>
      </c>
      <c r="AN4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19" s="9" t="str">
        <f ca="1">IF(HEVARIM[[#This Row],[דמי עזיבה לגיל 65]]&gt;0,YEAR(TODAY())+64-ROUNDDOWN(HEVARIM[[#This Row],[גיל]],0),"")</f>
        <v/>
      </c>
      <c r="AP419" s="1">
        <f>SUMIF(HEVARIM[קוד תקציב],HEVARIM[[#This Row],[קוד תקציב משפחה מקורי]],HEVARIM[ותק מחברה 40])</f>
        <v>43.55</v>
      </c>
      <c r="AQ4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419" s="9">
        <f>IF(HEVARIM[[#This Row],[קוד מעמד]]="1     ",IFERROR(VLOOKUP(HEVARIM[[#This Row],[קוד תקציב]],'תקציב צביעה - לקראת השינוי'!A:F,4,0),0),0)</f>
        <v>2027</v>
      </c>
      <c r="AT419" s="1"/>
    </row>
    <row r="420" spans="1:46">
      <c r="A420" t="s">
        <v>2095</v>
      </c>
      <c r="B420" t="s">
        <v>2096</v>
      </c>
      <c r="C420" t="s">
        <v>2097</v>
      </c>
      <c r="D420" t="s">
        <v>2098</v>
      </c>
      <c r="E420" t="s">
        <v>67</v>
      </c>
      <c r="F420" s="4">
        <v>22036</v>
      </c>
      <c r="G420">
        <v>65</v>
      </c>
      <c r="H420" t="s">
        <v>2099</v>
      </c>
      <c r="I420" t="s">
        <v>2100</v>
      </c>
      <c r="J420" s="4" t="s">
        <v>70</v>
      </c>
      <c r="K420" s="4" t="s">
        <v>71</v>
      </c>
      <c r="L420" t="s">
        <v>2101</v>
      </c>
      <c r="M420" t="s">
        <v>2095</v>
      </c>
      <c r="N420" t="s">
        <v>2096</v>
      </c>
      <c r="O420">
        <f>IFERROR(VLOOKUP(HEVARIM[[#This Row],[קוד תקציב]],[2]תקציבים!A:L,6,0),0)</f>
        <v>2</v>
      </c>
      <c r="P420" s="5" t="s">
        <v>104</v>
      </c>
      <c r="Q420" t="s">
        <v>11</v>
      </c>
      <c r="R420" s="4">
        <v>31991</v>
      </c>
      <c r="S420" s="4" t="s">
        <v>74</v>
      </c>
      <c r="T420" s="96" t="s">
        <v>2099</v>
      </c>
      <c r="U420" t="str">
        <f>VLOOKUP(HEVARIM[[#This Row],[גיל]],GIL,2,1)</f>
        <v>--</v>
      </c>
      <c r="V420" t="str">
        <f>IF(HEVARIM[[#This Row],[קוד מעמד]]="4     ",IF(HEVARIM[[#This Row],[גיל]]=1,1,IF(HEVARIM[[#This Row],[גיל]]&lt;=5,5,18)),"")</f>
        <v/>
      </c>
      <c r="W420">
        <f t="shared" si="24"/>
        <v>0</v>
      </c>
      <c r="X42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0">
        <f>IF(HEVARIM[[#This Row],[מצב משפחתי2]]="אלמן",'[2]ריכוז נתונים'!$AC$2,0)</f>
        <v>0</v>
      </c>
      <c r="Z420" s="3">
        <f>VLOOKUP(VALUE(HEVARIM[[#This Row],[קוד מעמד]]),הנחות!$I$2:$K$21,3,0)</f>
        <v>0</v>
      </c>
      <c r="AA420" t="b">
        <f>ISERROR(VLOOKUP(HEVARIM[[#This Row],[קוד תקציב]],'[2]ריכוז נתונים'!A:A,1,0))</f>
        <v>0</v>
      </c>
      <c r="AB420" s="1">
        <f t="shared" si="25"/>
        <v>0</v>
      </c>
      <c r="AC420" s="2">
        <f ca="1">IF(HEVARIM[[#This Row],[בר מצוה]]&gt;0,YEAR(TODAY())+'תקציבים מיוחדים'!$F$5-HEVARIM[[#This Row],[גיל]],0)</f>
        <v>0</v>
      </c>
      <c r="AD420" s="1">
        <f t="shared" si="26"/>
        <v>0</v>
      </c>
      <c r="AE420" s="2">
        <f ca="1">IF(HEVARIM[[#This Row],[בת מצוה]]&gt;0,YEAR(TODAY())+'תקציבים מיוחדים'!$F$5-HEVARIM[[#This Row],[גיל]],0)</f>
        <v>0</v>
      </c>
      <c r="AF420" s="1">
        <f>IF(AND($S420&gt;="רווק",$Z420=1),AF$4*IF(HEVARIM[[#This Row],[גיל]]&gt;$AF$3,1,(($G420-AF$2)/(AF$3-AF$2))),0)</f>
        <v>0</v>
      </c>
      <c r="AG42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0" s="1">
        <f t="shared" si="27"/>
        <v>0</v>
      </c>
      <c r="AI420" s="2">
        <f ca="1">IF(AH420&gt;0,YEAR(TODAY())+'תקציבים מיוחדים'!$F$7-HEVARIM[[#This Row],[גיל]],0)</f>
        <v>0</v>
      </c>
      <c r="AJ420" s="9">
        <f>IF(AND(ISERROR(VLOOKUP(H420,'[2]ריכוז נתונים'!A:L,1,0)),P420="1     "),1,0)</f>
        <v>0</v>
      </c>
      <c r="AK420" s="1">
        <f>IF(VALUE(HEVARIM[[#This Row],[קוד מעמד]])=1,VLOOKUP((IF(LEFT(HEVARIM[[#This Row],[קוד חבר]],1)="0",HEVARIM[[#This Row],[קוד חבר]],VALUE(HEVARIM[[#This Row],[קוד חבר]]))),'ותק חברה 40'!AQ:AW,7,0),"")</f>
        <v>38.11</v>
      </c>
      <c r="AL420" s="1">
        <f>IF(AND(VALUE(HEVARIM[[#This Row],[קוד מעמד]])=1,HEVARIM[[#This Row],[ותק מחברה 40]]&lt;25),HEVARIM[[#This Row],[ותק מחברה 40]]/25*הנחות!$C$4,0)</f>
        <v>0</v>
      </c>
      <c r="AM420" s="9" t="str">
        <f ca="1">IF(HEVARIM[[#This Row],[דמי עזיבה 25 שנות ותק]]&gt;0,YEAR(TODAY())+25-ROUNDDOWN(HEVARIM[[#This Row],[ותק מחברה 40]],0),"")</f>
        <v/>
      </c>
      <c r="AN42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0" s="9" t="str">
        <f ca="1">IF(HEVARIM[[#This Row],[דמי עזיבה לגיל 65]]&gt;0,YEAR(TODAY())+64-ROUNDDOWN(HEVARIM[[#This Row],[גיל]],0),"")</f>
        <v/>
      </c>
      <c r="AP420" s="1">
        <f>SUMIF(HEVARIM[קוד תקציב],HEVARIM[[#This Row],[קוד תקציב משפחה מקורי]],HEVARIM[ותק מחברה 40])</f>
        <v>76.22</v>
      </c>
      <c r="AQ4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420" s="9">
        <f>IF(HEVARIM[[#This Row],[קוד מעמד]]="1     ",IFERROR(VLOOKUP(HEVARIM[[#This Row],[קוד תקציב]],'תקציב צביעה - לקראת השינוי'!A:F,4,0),0),0)</f>
        <v>2029</v>
      </c>
      <c r="AT420" s="1"/>
    </row>
    <row r="421" spans="1:46">
      <c r="A421" t="s">
        <v>2102</v>
      </c>
      <c r="B421" t="s">
        <v>2103</v>
      </c>
      <c r="C421" t="s">
        <v>2097</v>
      </c>
      <c r="D421" t="s">
        <v>2104</v>
      </c>
      <c r="E421" t="s">
        <v>79</v>
      </c>
      <c r="F421" s="4">
        <v>22650</v>
      </c>
      <c r="G421">
        <v>63</v>
      </c>
      <c r="H421" t="s">
        <v>2099</v>
      </c>
      <c r="I421" t="s">
        <v>2100</v>
      </c>
      <c r="J421" s="4" t="s">
        <v>70</v>
      </c>
      <c r="K421" s="4" t="s">
        <v>71</v>
      </c>
      <c r="L421" t="s">
        <v>2105</v>
      </c>
      <c r="M421" t="s">
        <v>2095</v>
      </c>
      <c r="N421" t="s">
        <v>2096</v>
      </c>
      <c r="O421">
        <f>IFERROR(VLOOKUP(HEVARIM[[#This Row],[קוד תקציב]],[2]תקציבים!A:L,6,0),0)</f>
        <v>2</v>
      </c>
      <c r="P421" s="5" t="s">
        <v>104</v>
      </c>
      <c r="Q421" t="s">
        <v>11</v>
      </c>
      <c r="R421" s="4">
        <v>37475</v>
      </c>
      <c r="S421" s="4" t="s">
        <v>74</v>
      </c>
      <c r="T421" s="96" t="s">
        <v>2099</v>
      </c>
      <c r="U421" t="str">
        <f>VLOOKUP(HEVARIM[[#This Row],[גיל]],GIL,2,1)</f>
        <v>--</v>
      </c>
      <c r="V421" t="str">
        <f>IF(HEVARIM[[#This Row],[קוד מעמד]]="4     ",IF(HEVARIM[[#This Row],[גיל]]=1,1,IF(HEVARIM[[#This Row],[גיל]]&lt;=5,5,18)),"")</f>
        <v/>
      </c>
      <c r="W421">
        <f t="shared" si="24"/>
        <v>0</v>
      </c>
      <c r="X42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21">
        <f>IF(HEVARIM[[#This Row],[מצב משפחתי2]]="אלמן",'[2]ריכוז נתונים'!$AC$2,0)</f>
        <v>0</v>
      </c>
      <c r="Z421" s="3">
        <f>VLOOKUP(VALUE(HEVARIM[[#This Row],[קוד מעמד]]),הנחות!$I$2:$K$21,3,0)</f>
        <v>0</v>
      </c>
      <c r="AA421" t="b">
        <f>ISERROR(VLOOKUP(HEVARIM[[#This Row],[קוד תקציב]],'[2]ריכוז נתונים'!A:A,1,0))</f>
        <v>0</v>
      </c>
      <c r="AB421" s="1">
        <f t="shared" si="25"/>
        <v>0</v>
      </c>
      <c r="AC421" s="2">
        <f ca="1">IF(HEVARIM[[#This Row],[בר מצוה]]&gt;0,YEAR(TODAY())+'תקציבים מיוחדים'!$F$5-HEVARIM[[#This Row],[גיל]],0)</f>
        <v>0</v>
      </c>
      <c r="AD421" s="1">
        <f t="shared" si="26"/>
        <v>0</v>
      </c>
      <c r="AE421" s="2">
        <f ca="1">IF(HEVARIM[[#This Row],[בת מצוה]]&gt;0,YEAR(TODAY())+'תקציבים מיוחדים'!$F$5-HEVARIM[[#This Row],[גיל]],0)</f>
        <v>0</v>
      </c>
      <c r="AF421" s="1">
        <f>IF(AND($S421&gt;="רווק",$Z421=1),AF$4*IF(HEVARIM[[#This Row],[גיל]]&gt;$AF$3,1,(($G421-AF$2)/(AF$3-AF$2))),0)</f>
        <v>0</v>
      </c>
      <c r="AG42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1" s="1">
        <f t="shared" si="27"/>
        <v>0</v>
      </c>
      <c r="AI421" s="2">
        <f ca="1">IF(AH421&gt;0,YEAR(TODAY())+'תקציבים מיוחדים'!$F$7-HEVARIM[[#This Row],[גיל]],0)</f>
        <v>0</v>
      </c>
      <c r="AJ421" s="9">
        <f>IF(AND(ISERROR(VLOOKUP(H421,'[2]ריכוז נתונים'!A:L,1,0)),P421="1     "),1,0)</f>
        <v>0</v>
      </c>
      <c r="AK421" s="1">
        <f>IF(VALUE(HEVARIM[[#This Row],[קוד מעמד]])=1,VLOOKUP((IF(LEFT(HEVARIM[[#This Row],[קוד חבר]],1)="0",HEVARIM[[#This Row],[קוד חבר]],VALUE(HEVARIM[[#This Row],[קוד חבר]]))),'ותק חברה 40'!AQ:AW,7,0),"")</f>
        <v>38.11</v>
      </c>
      <c r="AL421" s="1">
        <f>IF(AND(VALUE(HEVARIM[[#This Row],[קוד מעמד]])=1,HEVARIM[[#This Row],[ותק מחברה 40]]&lt;25),HEVARIM[[#This Row],[ותק מחברה 40]]/25*הנחות!$C$4,0)</f>
        <v>0</v>
      </c>
      <c r="AM421" s="9" t="str">
        <f ca="1">IF(HEVARIM[[#This Row],[דמי עזיבה 25 שנות ותק]]&gt;0,YEAR(TODAY())+25-ROUNDDOWN(HEVARIM[[#This Row],[ותק מחברה 40]],0),"")</f>
        <v/>
      </c>
      <c r="AN421" s="1">
        <f>IF(AND(VALUE(HEVARIM[[#This Row],[קוד מעמד]])=1,HEVARIM[[#This Row],[ותק מחברה 40]]&gt;25,HEVARIM[[#This Row],[גיל]]&lt;65),הנחות!$C$14+(HEVARIM[[#This Row],[ותק מחברה 40]]-25)*הנחות!$C$10*0.25,0)</f>
        <v>61958.921062499998</v>
      </c>
      <c r="AO421" s="9">
        <f ca="1">IF(HEVARIM[[#This Row],[דמי עזיבה לגיל 65]]&gt;0,YEAR(TODAY())+64-ROUNDDOWN(HEVARIM[[#This Row],[גיל]],0),"")</f>
        <v>2027</v>
      </c>
      <c r="AP421" s="1">
        <f>SUMIF(HEVARIM[קוד תקציב],HEVARIM[[#This Row],[קוד תקציב משפחה מקורי]],HEVARIM[ותק מחברה 40])</f>
        <v>76.22</v>
      </c>
      <c r="AQ4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421" s="9">
        <f>IF(HEVARIM[[#This Row],[קוד מעמד]]="1     ",IFERROR(VLOOKUP(HEVARIM[[#This Row],[קוד תקציב]],'תקציב צביעה - לקראת השינוי'!A:F,4,0),0),0)</f>
        <v>2029</v>
      </c>
      <c r="AT421" s="1"/>
    </row>
    <row r="422" spans="1:46">
      <c r="A422" t="s">
        <v>2131</v>
      </c>
      <c r="B422" t="s">
        <v>2132</v>
      </c>
      <c r="C422" t="s">
        <v>2126</v>
      </c>
      <c r="D422" t="s">
        <v>2133</v>
      </c>
      <c r="E422" t="s">
        <v>79</v>
      </c>
      <c r="F422" s="4">
        <v>32416</v>
      </c>
      <c r="G422">
        <v>37</v>
      </c>
      <c r="H422" t="s">
        <v>2128</v>
      </c>
      <c r="I422" t="s">
        <v>2129</v>
      </c>
      <c r="J422" s="4" t="s">
        <v>70</v>
      </c>
      <c r="K422" s="4" t="s">
        <v>71</v>
      </c>
      <c r="L422" t="s">
        <v>2134</v>
      </c>
      <c r="M422" t="s">
        <v>2124</v>
      </c>
      <c r="N422" t="s">
        <v>2125</v>
      </c>
      <c r="O422">
        <f>IFERROR(VLOOKUP(HEVARIM[[#This Row],[קוד תקציב]],[2]תקציבים!A:L,6,0),0)</f>
        <v>2</v>
      </c>
      <c r="P422" s="5" t="s">
        <v>104</v>
      </c>
      <c r="Q422" t="s">
        <v>11</v>
      </c>
      <c r="R422" s="4">
        <v>44228</v>
      </c>
      <c r="S422" s="4" t="s">
        <v>74</v>
      </c>
      <c r="T422" s="96" t="s">
        <v>2099</v>
      </c>
      <c r="U422" t="str">
        <f>VLOOKUP(HEVARIM[[#This Row],[גיל]],GIL,2,1)</f>
        <v>--</v>
      </c>
      <c r="V422" t="str">
        <f>IF(HEVARIM[[#This Row],[קוד מעמד]]="4     ",IF(HEVARIM[[#This Row],[גיל]]=1,1,IF(HEVARIM[[#This Row],[גיל]]&lt;=5,5,18)),"")</f>
        <v/>
      </c>
      <c r="W422">
        <f t="shared" si="24"/>
        <v>0</v>
      </c>
      <c r="X4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2">
        <f>IF(HEVARIM[[#This Row],[מצב משפחתי2]]="אלמן",'[2]ריכוז נתונים'!$AC$2,0)</f>
        <v>0</v>
      </c>
      <c r="Z422" s="3">
        <f>VLOOKUP(VALUE(HEVARIM[[#This Row],[קוד מעמד]]),הנחות!$I$2:$K$21,3,0)</f>
        <v>0</v>
      </c>
      <c r="AA422" t="b">
        <f>ISERROR(VLOOKUP(HEVARIM[[#This Row],[קוד תקציב]],'[2]ריכוז נתונים'!A:A,1,0))</f>
        <v>0</v>
      </c>
      <c r="AB422" s="1">
        <f t="shared" si="25"/>
        <v>0</v>
      </c>
      <c r="AC422" s="2">
        <f ca="1">IF(HEVARIM[[#This Row],[בר מצוה]]&gt;0,YEAR(TODAY())+'תקציבים מיוחדים'!$F$5-HEVARIM[[#This Row],[גיל]],0)</f>
        <v>0</v>
      </c>
      <c r="AD422" s="1">
        <f t="shared" si="26"/>
        <v>0</v>
      </c>
      <c r="AE422" s="2">
        <f ca="1">IF(HEVARIM[[#This Row],[בת מצוה]]&gt;0,YEAR(TODAY())+'תקציבים מיוחדים'!$F$5-HEVARIM[[#This Row],[גיל]],0)</f>
        <v>0</v>
      </c>
      <c r="AF422" s="1">
        <f>IF(AND($S422&gt;="רווק",$Z422=1),AF$4*IF(HEVARIM[[#This Row],[גיל]]&gt;$AF$3,1,(($G422-AF$2)/(AF$3-AF$2))),0)</f>
        <v>0</v>
      </c>
      <c r="AG42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2" s="1">
        <f t="shared" si="27"/>
        <v>0</v>
      </c>
      <c r="AI422" s="2">
        <f ca="1">IF(AH422&gt;0,YEAR(TODAY())+'תקציבים מיוחדים'!$F$7-HEVARIM[[#This Row],[גיל]],0)</f>
        <v>0</v>
      </c>
      <c r="AJ422" s="9">
        <f>IF(AND(ISERROR(VLOOKUP(H422,'[2]ריכוז נתונים'!A:L,1,0)),P422="1     "),1,0)</f>
        <v>0</v>
      </c>
      <c r="AK422" s="1">
        <f>IF(VALUE(HEVARIM[[#This Row],[קוד מעמד]])=1,VLOOKUP((IF(LEFT(HEVARIM[[#This Row],[קוד חבר]],1)="0",HEVARIM[[#This Row],[קוד חבר]],VALUE(HEVARIM[[#This Row],[קוד חבר]]))),'ותק חברה 40'!AQ:AW,7,0),"")</f>
        <v>6.5</v>
      </c>
      <c r="AL422" s="1">
        <f>IF(AND(VALUE(HEVARIM[[#This Row],[קוד מעמד]])=1,HEVARIM[[#This Row],[ותק מחברה 40]]&lt;25),HEVARIM[[#This Row],[ותק מחברה 40]]/25*הנחות!$C$4,0)</f>
        <v>9758.9992499999989</v>
      </c>
      <c r="AM422" s="9">
        <f ca="1">IF(HEVARIM[[#This Row],[דמי עזיבה 25 שנות ותק]]&gt;0,YEAR(TODAY())+25-ROUNDDOWN(HEVARIM[[#This Row],[ותק מחברה 40]],0),"")</f>
        <v>2045</v>
      </c>
      <c r="AN42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2" s="9" t="str">
        <f ca="1">IF(HEVARIM[[#This Row],[דמי עזיבה לגיל 65]]&gt;0,YEAR(TODAY())+64-ROUNDDOWN(HEVARIM[[#This Row],[גיל]],0),"")</f>
        <v/>
      </c>
      <c r="AP422" s="1">
        <f>SUMIF(HEVARIM[קוד תקציב],HEVARIM[[#This Row],[קוד תקציב משפחה מקורי]],HEVARIM[ותק מחברה 40])</f>
        <v>76.22</v>
      </c>
      <c r="AQ4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2" s="9">
        <f>IF(HEVARIM[[#This Row],[קוד מעמד]]="1     ",IFERROR(VLOOKUP(HEVARIM[[#This Row],[קוד תקציב]],'תקציב צביעה - לקראת השינוי'!A:F,4,0),0),0)</f>
        <v>0</v>
      </c>
      <c r="AT422" s="1"/>
    </row>
    <row r="423" spans="1:46">
      <c r="A423" t="s">
        <v>2163</v>
      </c>
      <c r="B423" t="s">
        <v>2164</v>
      </c>
      <c r="C423" t="s">
        <v>2097</v>
      </c>
      <c r="D423" t="s">
        <v>2165</v>
      </c>
      <c r="E423" t="s">
        <v>67</v>
      </c>
      <c r="F423" s="4">
        <v>36147</v>
      </c>
      <c r="G423">
        <v>27</v>
      </c>
      <c r="H423" t="s">
        <v>2166</v>
      </c>
      <c r="I423" t="s">
        <v>2167</v>
      </c>
      <c r="J423" s="4" t="s">
        <v>70</v>
      </c>
      <c r="K423" s="4" t="s">
        <v>81</v>
      </c>
      <c r="L423" t="s">
        <v>2168</v>
      </c>
      <c r="M423" t="s">
        <v>2163</v>
      </c>
      <c r="N423" t="s">
        <v>2164</v>
      </c>
      <c r="O423">
        <f>IFERROR(VLOOKUP(HEVARIM[[#This Row],[קוד תקציב]],[2]תקציבים!A:L,6,0),0)</f>
        <v>0</v>
      </c>
      <c r="P423" s="5" t="s">
        <v>129</v>
      </c>
      <c r="Q423" t="s">
        <v>26</v>
      </c>
      <c r="R423" s="4">
        <v>45863</v>
      </c>
      <c r="S423" s="4" t="s">
        <v>90</v>
      </c>
      <c r="T423" s="96" t="s">
        <v>2099</v>
      </c>
      <c r="U423" t="str">
        <f>VLOOKUP(HEVARIM[[#This Row],[גיל]],GIL,2,1)</f>
        <v>--</v>
      </c>
      <c r="V423" t="str">
        <f>IF(HEVARIM[[#This Row],[קוד מעמד]]="4     ",IF(HEVARIM[[#This Row],[גיל]]=1,1,IF(HEVARIM[[#This Row],[גיל]]&lt;=5,5,18)),"")</f>
        <v/>
      </c>
      <c r="W423">
        <f t="shared" si="24"/>
        <v>0</v>
      </c>
      <c r="X42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3">
        <f>IF(HEVARIM[[#This Row],[מצב משפחתי2]]="אלמן",'[2]ריכוז נתונים'!$AC$2,0)</f>
        <v>0</v>
      </c>
      <c r="Z423" s="3">
        <f>VLOOKUP(VALUE(HEVARIM[[#This Row],[קוד מעמד]]),הנחות!$I$2:$K$21,3,0)</f>
        <v>1</v>
      </c>
      <c r="AA423" t="b">
        <f>ISERROR(VLOOKUP(HEVARIM[[#This Row],[קוד תקציב]],'[2]ריכוז נתונים'!A:A,1,0))</f>
        <v>1</v>
      </c>
      <c r="AB423" s="1">
        <f t="shared" si="25"/>
        <v>0</v>
      </c>
      <c r="AC423" s="2">
        <f ca="1">IF(HEVARIM[[#This Row],[בר מצוה]]&gt;0,YEAR(TODAY())+'תקציבים מיוחדים'!$F$5-HEVARIM[[#This Row],[גיל]],0)</f>
        <v>0</v>
      </c>
      <c r="AD423" s="1">
        <f t="shared" si="26"/>
        <v>0</v>
      </c>
      <c r="AE423" s="2">
        <f ca="1">IF(HEVARIM[[#This Row],[בת מצוה]]&gt;0,YEAR(TODAY())+'תקציבים מיוחדים'!$F$5-HEVARIM[[#This Row],[גיל]],0)</f>
        <v>0</v>
      </c>
      <c r="AF423" s="1">
        <f>IF(AND($S423&gt;="רווק",$Z423=1),AF$4*IF(HEVARIM[[#This Row],[גיל]]&gt;$AF$3,1,(($G423-AF$2)/(AF$3-AF$2))),0)</f>
        <v>60512.5</v>
      </c>
      <c r="AG423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23" s="1">
        <f t="shared" si="27"/>
        <v>0</v>
      </c>
      <c r="AI423" s="2">
        <f ca="1">IF(AH423&gt;0,YEAR(TODAY())+'תקציבים מיוחדים'!$F$7-HEVARIM[[#This Row],[גיל]],0)</f>
        <v>0</v>
      </c>
      <c r="AJ423" s="9">
        <f>IF(AND(ISERROR(VLOOKUP(H423,'[2]ריכוז נתונים'!A:L,1,0)),P423="1     "),1,0)</f>
        <v>0</v>
      </c>
      <c r="AK42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3" s="1">
        <f>IF(AND(VALUE(HEVARIM[[#This Row],[קוד מעמד]])=1,HEVARIM[[#This Row],[ותק מחברה 40]]&lt;25),HEVARIM[[#This Row],[ותק מחברה 40]]/25*הנחות!$C$4,0)</f>
        <v>0</v>
      </c>
      <c r="AM423" s="9" t="str">
        <f ca="1">IF(HEVARIM[[#This Row],[דמי עזיבה 25 שנות ותק]]&gt;0,YEAR(TODAY())+25-ROUNDDOWN(HEVARIM[[#This Row],[ותק מחברה 40]],0),"")</f>
        <v/>
      </c>
      <c r="AN42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3" s="9" t="str">
        <f ca="1">IF(HEVARIM[[#This Row],[דמי עזיבה לגיל 65]]&gt;0,YEAR(TODAY())+64-ROUNDDOWN(HEVARIM[[#This Row],[גיל]],0),"")</f>
        <v/>
      </c>
      <c r="AP423" s="1">
        <f>SUMIF(HEVARIM[קוד תקציב],HEVARIM[[#This Row],[קוד תקציב משפחה מקורי]],HEVARIM[ותק מחברה 40])</f>
        <v>76.22</v>
      </c>
      <c r="AQ4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3" s="9">
        <f>IF(HEVARIM[[#This Row],[קוד מעמד]]="1     ",IFERROR(VLOOKUP(HEVARIM[[#This Row],[קוד תקציב]],'תקציב צביעה - לקראת השינוי'!A:F,4,0),0),0)</f>
        <v>0</v>
      </c>
      <c r="AT423" s="1"/>
    </row>
    <row r="424" spans="1:46">
      <c r="A424" t="s">
        <v>2174</v>
      </c>
      <c r="B424" t="s">
        <v>2175</v>
      </c>
      <c r="C424" t="s">
        <v>2097</v>
      </c>
      <c r="D424" t="s">
        <v>2176</v>
      </c>
      <c r="E424" t="s">
        <v>79</v>
      </c>
      <c r="F424" s="4">
        <v>38507</v>
      </c>
      <c r="G424">
        <v>20</v>
      </c>
      <c r="H424" t="s">
        <v>2099</v>
      </c>
      <c r="I424" t="s">
        <v>2100</v>
      </c>
      <c r="J424" s="4" t="s">
        <v>70</v>
      </c>
      <c r="K424" s="4" t="s">
        <v>71</v>
      </c>
      <c r="L424" t="s">
        <v>2177</v>
      </c>
      <c r="M424" t="s">
        <v>2095</v>
      </c>
      <c r="N424" t="s">
        <v>2096</v>
      </c>
      <c r="O424">
        <f>IFERROR(VLOOKUP(HEVARIM[[#This Row],[קוד תקציב]],[2]תקציבים!A:L,6,0),0)</f>
        <v>2</v>
      </c>
      <c r="P424" s="5" t="s">
        <v>1400</v>
      </c>
      <c r="Q424" t="s">
        <v>16</v>
      </c>
      <c r="R424" s="4">
        <v>45594</v>
      </c>
      <c r="S424" s="4" t="s">
        <v>90</v>
      </c>
      <c r="T424" s="96" t="s">
        <v>2099</v>
      </c>
      <c r="U424" t="str">
        <f>VLOOKUP(HEVARIM[[#This Row],[גיל]],GIL,2,1)</f>
        <v>--</v>
      </c>
      <c r="V424" t="str">
        <f>IF(HEVARIM[[#This Row],[קוד מעמד]]="4     ",IF(HEVARIM[[#This Row],[גיל]]=1,1,IF(HEVARIM[[#This Row],[גיל]]&lt;=5,5,18)),"")</f>
        <v/>
      </c>
      <c r="W424">
        <f t="shared" si="24"/>
        <v>0</v>
      </c>
      <c r="X42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4">
        <f>IF(HEVARIM[[#This Row],[מצב משפחתי2]]="אלמן",'[2]ריכוז נתונים'!$AC$2,0)</f>
        <v>0</v>
      </c>
      <c r="Z424" s="3">
        <f>VLOOKUP(VALUE(HEVARIM[[#This Row],[קוד מעמד]]),הנחות!$I$2:$K$21,3,0)</f>
        <v>1</v>
      </c>
      <c r="AA424" t="b">
        <f>ISERROR(VLOOKUP(HEVARIM[[#This Row],[קוד תקציב]],'[2]ריכוז נתונים'!A:A,1,0))</f>
        <v>0</v>
      </c>
      <c r="AB424" s="1">
        <f t="shared" si="25"/>
        <v>0</v>
      </c>
      <c r="AC424" s="2">
        <f ca="1">IF(HEVARIM[[#This Row],[בר מצוה]]&gt;0,YEAR(TODAY())+'תקציבים מיוחדים'!$F$5-HEVARIM[[#This Row],[גיל]],0)</f>
        <v>0</v>
      </c>
      <c r="AD424" s="1">
        <f t="shared" si="26"/>
        <v>0</v>
      </c>
      <c r="AE424" s="2">
        <f ca="1">IF(HEVARIM[[#This Row],[בת מצוה]]&gt;0,YEAR(TODAY())+'תקציבים מיוחדים'!$F$5-HEVARIM[[#This Row],[גיל]],0)</f>
        <v>0</v>
      </c>
      <c r="AF424" s="1">
        <f>IF(AND($S424&gt;="רווק",$Z424=1),AF$4*IF(HEVARIM[[#This Row],[גיל]]&gt;$AF$3,1,(($G424-AF$2)/(AF$3-AF$2))),0)</f>
        <v>57630.952380952374</v>
      </c>
      <c r="AG424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424" s="1">
        <f t="shared" si="27"/>
        <v>100560.47619047618</v>
      </c>
      <c r="AI424" s="2">
        <f ca="1">IF(AH424&gt;0,YEAR(TODAY())+'תקציבים מיוחדים'!$F$7-HEVARIM[[#This Row],[גיל]],0)</f>
        <v>2027</v>
      </c>
      <c r="AJ424" s="9">
        <f>IF(AND(ISERROR(VLOOKUP(H424,'[2]ריכוז נתונים'!A:L,1,0)),P424="1     "),1,0)</f>
        <v>0</v>
      </c>
      <c r="AK42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4" s="1">
        <f>IF(AND(VALUE(HEVARIM[[#This Row],[קוד מעמד]])=1,HEVARIM[[#This Row],[ותק מחברה 40]]&lt;25),HEVARIM[[#This Row],[ותק מחברה 40]]/25*הנחות!$C$4,0)</f>
        <v>0</v>
      </c>
      <c r="AM424" s="9" t="str">
        <f ca="1">IF(HEVARIM[[#This Row],[דמי עזיבה 25 שנות ותק]]&gt;0,YEAR(TODAY())+25-ROUNDDOWN(HEVARIM[[#This Row],[ותק מחברה 40]],0),"")</f>
        <v/>
      </c>
      <c r="AN4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4" s="9" t="str">
        <f ca="1">IF(HEVARIM[[#This Row],[דמי עזיבה לגיל 65]]&gt;0,YEAR(TODAY())+64-ROUNDDOWN(HEVARIM[[#This Row],[גיל]],0),"")</f>
        <v/>
      </c>
      <c r="AP424" s="1">
        <f>SUMIF(HEVARIM[קוד תקציב],HEVARIM[[#This Row],[קוד תקציב משפחה מקורי]],HEVARIM[ותק מחברה 40])</f>
        <v>76.22</v>
      </c>
      <c r="AQ4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4" s="9">
        <f>IF(HEVARIM[[#This Row],[קוד מעמד]]="1     ",IFERROR(VLOOKUP(HEVARIM[[#This Row],[קוד תקציב]],'תקציב צביעה - לקראת השינוי'!A:F,4,0),0),0)</f>
        <v>0</v>
      </c>
      <c r="AT424" s="1"/>
    </row>
    <row r="425" spans="1:46">
      <c r="A425" t="s">
        <v>2169</v>
      </c>
      <c r="B425" t="s">
        <v>2170</v>
      </c>
      <c r="C425" t="s">
        <v>2108</v>
      </c>
      <c r="D425" t="s">
        <v>2171</v>
      </c>
      <c r="E425" t="s">
        <v>67</v>
      </c>
      <c r="F425" s="4">
        <v>36712</v>
      </c>
      <c r="G425">
        <v>25</v>
      </c>
      <c r="H425" t="s">
        <v>2172</v>
      </c>
      <c r="I425" t="s">
        <v>2170</v>
      </c>
      <c r="J425" s="4" t="s">
        <v>70</v>
      </c>
      <c r="K425" s="4" t="s">
        <v>81</v>
      </c>
      <c r="L425" t="s">
        <v>2173</v>
      </c>
      <c r="M425" t="s">
        <v>2169</v>
      </c>
      <c r="N425" t="s">
        <v>2170</v>
      </c>
      <c r="O425">
        <f>IFERROR(VLOOKUP(HEVARIM[[#This Row],[קוד תקציב]],[2]תקציבים!A:L,6,0),0)</f>
        <v>0</v>
      </c>
      <c r="P425" s="5" t="s">
        <v>73</v>
      </c>
      <c r="Q425" t="s">
        <v>27</v>
      </c>
      <c r="R425" s="4">
        <v>44774</v>
      </c>
      <c r="S425" s="4" t="s">
        <v>74</v>
      </c>
      <c r="T425" s="96" t="s">
        <v>2110</v>
      </c>
      <c r="U425" t="str">
        <f>VLOOKUP(HEVARIM[[#This Row],[גיל]],GIL,2,1)</f>
        <v>--</v>
      </c>
      <c r="V425" t="str">
        <f>IF(HEVARIM[[#This Row],[קוד מעמד]]="4     ",IF(HEVARIM[[#This Row],[גיל]]=1,1,IF(HEVARIM[[#This Row],[גיל]]&lt;=5,5,18)),"")</f>
        <v/>
      </c>
      <c r="W425">
        <f t="shared" si="24"/>
        <v>0</v>
      </c>
      <c r="X42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5">
        <f>IF(HEVARIM[[#This Row],[מצב משפחתי2]]="אלמן",'[2]ריכוז נתונים'!$AC$2,0)</f>
        <v>0</v>
      </c>
      <c r="Z425" s="3">
        <f>VLOOKUP(VALUE(HEVARIM[[#This Row],[קוד מעמד]]),הנחות!$I$2:$K$21,3,0)</f>
        <v>1</v>
      </c>
      <c r="AA425" t="b">
        <f>ISERROR(VLOOKUP(HEVARIM[[#This Row],[קוד תקציב]],'[2]ריכוז נתונים'!A:A,1,0))</f>
        <v>1</v>
      </c>
      <c r="AB425" s="1">
        <f t="shared" si="25"/>
        <v>0</v>
      </c>
      <c r="AC425" s="2">
        <f ca="1">IF(HEVARIM[[#This Row],[בר מצוה]]&gt;0,YEAR(TODAY())+'תקציבים מיוחדים'!$F$5-HEVARIM[[#This Row],[גיל]],0)</f>
        <v>0</v>
      </c>
      <c r="AD425" s="1">
        <f t="shared" si="26"/>
        <v>0</v>
      </c>
      <c r="AE425" s="2">
        <f ca="1">IF(HEVARIM[[#This Row],[בת מצוה]]&gt;0,YEAR(TODAY())+'תקציבים מיוחדים'!$F$5-HEVARIM[[#This Row],[גיל]],0)</f>
        <v>0</v>
      </c>
      <c r="AF425" s="1">
        <f>IF(AND($S425&gt;="רווק",$Z425=1),AF$4*IF(HEVARIM[[#This Row],[גיל]]&gt;$AF$3,1,(($G425-AF$2)/(AF$3-AF$2))),0)</f>
        <v>0</v>
      </c>
      <c r="AG42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5" s="1">
        <f t="shared" si="27"/>
        <v>0</v>
      </c>
      <c r="AI425" s="2">
        <f ca="1">IF(AH425&gt;0,YEAR(TODAY())+'תקציבים מיוחדים'!$F$7-HEVARIM[[#This Row],[גיל]],0)</f>
        <v>0</v>
      </c>
      <c r="AJ425" s="9">
        <f>IF(AND(ISERROR(VLOOKUP(H425,'[2]ריכוז נתונים'!A:L,1,0)),P425="1     "),1,0)</f>
        <v>0</v>
      </c>
      <c r="AK42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5" s="1">
        <f>IF(AND(VALUE(HEVARIM[[#This Row],[קוד מעמד]])=1,HEVARIM[[#This Row],[ותק מחברה 40]]&lt;25),HEVARIM[[#This Row],[ותק מחברה 40]]/25*הנחות!$C$4,0)</f>
        <v>0</v>
      </c>
      <c r="AM425" s="9" t="str">
        <f ca="1">IF(HEVARIM[[#This Row],[דמי עזיבה 25 שנות ותק]]&gt;0,YEAR(TODAY())+25-ROUNDDOWN(HEVARIM[[#This Row],[ותק מחברה 40]],0),"")</f>
        <v/>
      </c>
      <c r="AN42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5" s="9" t="str">
        <f ca="1">IF(HEVARIM[[#This Row],[דמי עזיבה לגיל 65]]&gt;0,YEAR(TODAY())+64-ROUNDDOWN(HEVARIM[[#This Row],[גיל]],0),"")</f>
        <v/>
      </c>
      <c r="AP425" s="1">
        <f>SUMIF(HEVARIM[קוד תקציב],HEVARIM[[#This Row],[קוד תקציב משפחה מקורי]],HEVARIM[ותק מחברה 40])</f>
        <v>62.179999999999993</v>
      </c>
      <c r="AQ4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5" s="9">
        <f>IF(HEVARIM[[#This Row],[קוד מעמד]]="1     ",IFERROR(VLOOKUP(HEVARIM[[#This Row],[קוד תקציב]],'תקציב צביעה - לקראת השינוי'!A:F,4,0),0),0)</f>
        <v>0</v>
      </c>
      <c r="AT425" s="1"/>
    </row>
    <row r="426" spans="1:46">
      <c r="A426" t="s">
        <v>2146</v>
      </c>
      <c r="B426" t="s">
        <v>2147</v>
      </c>
      <c r="C426" t="s">
        <v>2108</v>
      </c>
      <c r="D426" t="s">
        <v>2148</v>
      </c>
      <c r="E426" t="s">
        <v>79</v>
      </c>
      <c r="F426" s="4">
        <v>35156</v>
      </c>
      <c r="G426">
        <v>29</v>
      </c>
      <c r="H426" t="s">
        <v>2149</v>
      </c>
      <c r="I426" t="s">
        <v>2147</v>
      </c>
      <c r="J426" s="4" t="s">
        <v>1590</v>
      </c>
      <c r="K426" s="4" t="s">
        <v>71</v>
      </c>
      <c r="L426" t="s">
        <v>2150</v>
      </c>
      <c r="M426" t="s">
        <v>2146</v>
      </c>
      <c r="N426" t="s">
        <v>2147</v>
      </c>
      <c r="O426">
        <f>IFERROR(VLOOKUP(HEVARIM[[#This Row],[קוד תקציב]],[2]תקציבים!A:L,6,0),0)</f>
        <v>0</v>
      </c>
      <c r="P426" s="5" t="s">
        <v>129</v>
      </c>
      <c r="Q426" t="s">
        <v>26</v>
      </c>
      <c r="R426" s="4">
        <v>44562</v>
      </c>
      <c r="S426" s="4" t="s">
        <v>90</v>
      </c>
      <c r="T426" s="96" t="s">
        <v>2110</v>
      </c>
      <c r="U426" t="str">
        <f>VLOOKUP(HEVARIM[[#This Row],[גיל]],GIL,2,1)</f>
        <v>--</v>
      </c>
      <c r="V426" t="str">
        <f>IF(HEVARIM[[#This Row],[קוד מעמד]]="4     ",IF(HEVARIM[[#This Row],[גיל]]=1,1,IF(HEVARIM[[#This Row],[גיל]]&lt;=5,5,18)),"")</f>
        <v/>
      </c>
      <c r="W426">
        <f t="shared" si="24"/>
        <v>0</v>
      </c>
      <c r="X42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6">
        <f>IF(HEVARIM[[#This Row],[מצב משפחתי2]]="אלמן",'[2]ריכוז נתונים'!$AC$2,0)</f>
        <v>0</v>
      </c>
      <c r="Z426" s="3">
        <f>VLOOKUP(VALUE(HEVARIM[[#This Row],[קוד מעמד]]),הנחות!$I$2:$K$21,3,0)</f>
        <v>1</v>
      </c>
      <c r="AA426" t="b">
        <f>ISERROR(VLOOKUP(HEVARIM[[#This Row],[קוד תקציב]],'[2]ריכוז נתונים'!A:A,1,0))</f>
        <v>1</v>
      </c>
      <c r="AB426" s="1">
        <f t="shared" si="25"/>
        <v>0</v>
      </c>
      <c r="AC426" s="2">
        <f ca="1">IF(HEVARIM[[#This Row],[בר מצוה]]&gt;0,YEAR(TODAY())+'תקציבים מיוחדים'!$F$5-HEVARIM[[#This Row],[גיל]],0)</f>
        <v>0</v>
      </c>
      <c r="AD426" s="1">
        <f t="shared" si="26"/>
        <v>0</v>
      </c>
      <c r="AE426" s="2">
        <f ca="1">IF(HEVARIM[[#This Row],[בת מצוה]]&gt;0,YEAR(TODAY())+'תקציבים מיוחדים'!$F$5-HEVARIM[[#This Row],[גיל]],0)</f>
        <v>0</v>
      </c>
      <c r="AF426" s="1">
        <f>IF(AND($S426&gt;="רווק",$Z426=1),AF$4*IF(HEVARIM[[#This Row],[גיל]]&gt;$AF$3,1,(($G426-AF$2)/(AF$3-AF$2))),0)</f>
        <v>60512.5</v>
      </c>
      <c r="AG426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26" s="1">
        <f t="shared" si="27"/>
        <v>0</v>
      </c>
      <c r="AI426" s="2">
        <f ca="1">IF(AH426&gt;0,YEAR(TODAY())+'תקציבים מיוחדים'!$F$7-HEVARIM[[#This Row],[גיל]],0)</f>
        <v>0</v>
      </c>
      <c r="AJ426" s="9">
        <f>IF(AND(ISERROR(VLOOKUP(H426,'[2]ריכוז נתונים'!A:L,1,0)),P426="1     "),1,0)</f>
        <v>0</v>
      </c>
      <c r="AK42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6" s="1">
        <f>IF(AND(VALUE(HEVARIM[[#This Row],[קוד מעמד]])=1,HEVARIM[[#This Row],[ותק מחברה 40]]&lt;25),HEVARIM[[#This Row],[ותק מחברה 40]]/25*הנחות!$C$4,0)</f>
        <v>0</v>
      </c>
      <c r="AM426" s="9" t="str">
        <f ca="1">IF(HEVARIM[[#This Row],[דמי עזיבה 25 שנות ותק]]&gt;0,YEAR(TODAY())+25-ROUNDDOWN(HEVARIM[[#This Row],[ותק מחברה 40]],0),"")</f>
        <v/>
      </c>
      <c r="AN42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6" s="9" t="str">
        <f ca="1">IF(HEVARIM[[#This Row],[דמי עזיבה לגיל 65]]&gt;0,YEAR(TODAY())+64-ROUNDDOWN(HEVARIM[[#This Row],[גיל]],0),"")</f>
        <v/>
      </c>
      <c r="AP426" s="1">
        <f>SUMIF(HEVARIM[קוד תקציב],HEVARIM[[#This Row],[קוד תקציב משפחה מקורי]],HEVARIM[ותק מחברה 40])</f>
        <v>62.179999999999993</v>
      </c>
      <c r="AQ4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6" s="9">
        <f>IF(HEVARIM[[#This Row],[קוד מעמד]]="1     ",IFERROR(VLOOKUP(HEVARIM[[#This Row],[קוד תקציב]],'תקציב צביעה - לקראת השינוי'!A:F,4,0),0),0)</f>
        <v>0</v>
      </c>
      <c r="AT426" s="1"/>
    </row>
    <row r="427" spans="1:46">
      <c r="A427" t="s">
        <v>2151</v>
      </c>
      <c r="B427" t="s">
        <v>2152</v>
      </c>
      <c r="C427" t="s">
        <v>2153</v>
      </c>
      <c r="D427" t="s">
        <v>2154</v>
      </c>
      <c r="E427" t="s">
        <v>79</v>
      </c>
      <c r="F427" s="4">
        <v>35775</v>
      </c>
      <c r="G427">
        <v>28</v>
      </c>
      <c r="H427" t="s">
        <v>2155</v>
      </c>
      <c r="I427" t="s">
        <v>2156</v>
      </c>
      <c r="J427" s="4" t="s">
        <v>1590</v>
      </c>
      <c r="K427" s="4" t="s">
        <v>1591</v>
      </c>
      <c r="L427" t="s">
        <v>2157</v>
      </c>
      <c r="M427" t="s">
        <v>2151</v>
      </c>
      <c r="N427" t="s">
        <v>2152</v>
      </c>
      <c r="O427">
        <f>IFERROR(VLOOKUP(HEVARIM[[#This Row],[קוד תקציב]],[2]תקציבים!A:L,6,0),0)</f>
        <v>0</v>
      </c>
      <c r="P427" s="5" t="s">
        <v>129</v>
      </c>
      <c r="Q427" t="s">
        <v>26</v>
      </c>
      <c r="R427" s="4">
        <v>44820</v>
      </c>
      <c r="S427" s="4" t="s">
        <v>74</v>
      </c>
      <c r="T427" s="96" t="s">
        <v>2110</v>
      </c>
      <c r="U427" t="str">
        <f>VLOOKUP(HEVARIM[[#This Row],[גיל]],GIL,2,1)</f>
        <v>--</v>
      </c>
      <c r="V427" t="str">
        <f>IF(HEVARIM[[#This Row],[קוד מעמד]]="4     ",IF(HEVARIM[[#This Row],[גיל]]=1,1,IF(HEVARIM[[#This Row],[גיל]]&lt;=5,5,18)),"")</f>
        <v/>
      </c>
      <c r="W427">
        <f t="shared" si="24"/>
        <v>0</v>
      </c>
      <c r="X42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7">
        <f>IF(HEVARIM[[#This Row],[מצב משפחתי2]]="אלמן",'[2]ריכוז נתונים'!$AC$2,0)</f>
        <v>0</v>
      </c>
      <c r="Z427" s="3">
        <f>VLOOKUP(VALUE(HEVARIM[[#This Row],[קוד מעמד]]),הנחות!$I$2:$K$21,3,0)</f>
        <v>1</v>
      </c>
      <c r="AA427" t="b">
        <f>ISERROR(VLOOKUP(HEVARIM[[#This Row],[קוד תקציב]],'[2]ריכוז נתונים'!A:A,1,0))</f>
        <v>1</v>
      </c>
      <c r="AB427" s="1">
        <f t="shared" si="25"/>
        <v>0</v>
      </c>
      <c r="AC427" s="2">
        <f ca="1">IF(HEVARIM[[#This Row],[בר מצוה]]&gt;0,YEAR(TODAY())+'תקציבים מיוחדים'!$F$5-HEVARIM[[#This Row],[גיל]],0)</f>
        <v>0</v>
      </c>
      <c r="AD427" s="1">
        <f t="shared" si="26"/>
        <v>0</v>
      </c>
      <c r="AE427" s="2">
        <f ca="1">IF(HEVARIM[[#This Row],[בת מצוה]]&gt;0,YEAR(TODAY())+'תקציבים מיוחדים'!$F$5-HEVARIM[[#This Row],[גיל]],0)</f>
        <v>0</v>
      </c>
      <c r="AF427" s="1">
        <f>IF(AND($S427&gt;="רווק",$Z427=1),AF$4*IF(HEVARIM[[#This Row],[גיל]]&gt;$AF$3,1,(($G427-AF$2)/(AF$3-AF$2))),0)</f>
        <v>0</v>
      </c>
      <c r="AG42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7" s="1">
        <f t="shared" si="27"/>
        <v>0</v>
      </c>
      <c r="AI427" s="2">
        <f ca="1">IF(AH427&gt;0,YEAR(TODAY())+'תקציבים מיוחדים'!$F$7-HEVARIM[[#This Row],[גיל]],0)</f>
        <v>0</v>
      </c>
      <c r="AJ427" s="9">
        <f>IF(AND(ISERROR(VLOOKUP(H427,'[2]ריכוז נתונים'!A:L,1,0)),P427="1     "),1,0)</f>
        <v>0</v>
      </c>
      <c r="AK42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7" s="1">
        <f>IF(AND(VALUE(HEVARIM[[#This Row],[קוד מעמד]])=1,HEVARIM[[#This Row],[ותק מחברה 40]]&lt;25),HEVARIM[[#This Row],[ותק מחברה 40]]/25*הנחות!$C$4,0)</f>
        <v>0</v>
      </c>
      <c r="AM427" s="9" t="str">
        <f ca="1">IF(HEVARIM[[#This Row],[דמי עזיבה 25 שנות ותק]]&gt;0,YEAR(TODAY())+25-ROUNDDOWN(HEVARIM[[#This Row],[ותק מחברה 40]],0),"")</f>
        <v/>
      </c>
      <c r="AN4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7" s="9" t="str">
        <f ca="1">IF(HEVARIM[[#This Row],[דמי עזיבה לגיל 65]]&gt;0,YEAR(TODAY())+64-ROUNDDOWN(HEVARIM[[#This Row],[גיל]],0),"")</f>
        <v/>
      </c>
      <c r="AP427" s="1">
        <f>SUMIF(HEVARIM[קוד תקציב],HEVARIM[[#This Row],[קוד תקציב משפחה מקורי]],HEVARIM[ותק מחברה 40])</f>
        <v>62.179999999999993</v>
      </c>
      <c r="AQ4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7" s="9">
        <f>IF(HEVARIM[[#This Row],[קוד מעמד]]="1     ",IFERROR(VLOOKUP(HEVARIM[[#This Row],[קוד תקציב]],'תקציב צביעה - לקראת השינוי'!A:F,4,0),0),0)</f>
        <v>0</v>
      </c>
      <c r="AT427" s="1"/>
    </row>
    <row r="428" spans="1:46">
      <c r="A428" t="s">
        <v>2158</v>
      </c>
      <c r="B428" t="s">
        <v>2159</v>
      </c>
      <c r="C428" t="s">
        <v>2108</v>
      </c>
      <c r="D428" t="s">
        <v>2160</v>
      </c>
      <c r="E428" t="s">
        <v>79</v>
      </c>
      <c r="F428" s="4">
        <v>38397</v>
      </c>
      <c r="G428">
        <v>20</v>
      </c>
      <c r="H428" t="s">
        <v>2161</v>
      </c>
      <c r="I428" t="s">
        <v>2159</v>
      </c>
      <c r="J428" s="4" t="s">
        <v>70</v>
      </c>
      <c r="K428" s="4" t="s">
        <v>71</v>
      </c>
      <c r="L428" t="s">
        <v>2162</v>
      </c>
      <c r="M428" t="s">
        <v>2158</v>
      </c>
      <c r="N428" t="s">
        <v>2159</v>
      </c>
      <c r="O428">
        <f>IFERROR(VLOOKUP(HEVARIM[[#This Row],[קוד תקציב]],[2]תקציבים!A:L,6,0),0)</f>
        <v>0</v>
      </c>
      <c r="P428" s="5" t="s">
        <v>73</v>
      </c>
      <c r="Q428" t="s">
        <v>27</v>
      </c>
      <c r="R428" s="4">
        <v>45658</v>
      </c>
      <c r="S428" s="4" t="s">
        <v>90</v>
      </c>
      <c r="T428" s="96" t="s">
        <v>2110</v>
      </c>
      <c r="U428" t="str">
        <f>VLOOKUP(HEVARIM[[#This Row],[גיל]],GIL,2,1)</f>
        <v>--</v>
      </c>
      <c r="V428" t="str">
        <f>IF(HEVARIM[[#This Row],[קוד מעמד]]="4     ",IF(HEVARIM[[#This Row],[גיל]]=1,1,IF(HEVARIM[[#This Row],[גיל]]&lt;=5,5,18)),"")</f>
        <v/>
      </c>
      <c r="W428">
        <f t="shared" si="24"/>
        <v>0</v>
      </c>
      <c r="X42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8">
        <f>IF(HEVARIM[[#This Row],[מצב משפחתי2]]="אלמן",'[2]ריכוז נתונים'!$AC$2,0)</f>
        <v>0</v>
      </c>
      <c r="Z428" s="3">
        <f>VLOOKUP(VALUE(HEVARIM[[#This Row],[קוד מעמד]]),הנחות!$I$2:$K$21,3,0)</f>
        <v>1</v>
      </c>
      <c r="AA428" t="b">
        <f>ISERROR(VLOOKUP(HEVARIM[[#This Row],[קוד תקציב]],'[2]ריכוז נתונים'!A:A,1,0))</f>
        <v>1</v>
      </c>
      <c r="AB428" s="1">
        <f t="shared" si="25"/>
        <v>0</v>
      </c>
      <c r="AC428" s="2">
        <f ca="1">IF(HEVARIM[[#This Row],[בר מצוה]]&gt;0,YEAR(TODAY())+'תקציבים מיוחדים'!$F$5-HEVARIM[[#This Row],[גיל]],0)</f>
        <v>0</v>
      </c>
      <c r="AD428" s="1">
        <f t="shared" si="26"/>
        <v>0</v>
      </c>
      <c r="AE428" s="2">
        <f ca="1">IF(HEVARIM[[#This Row],[בת מצוה]]&gt;0,YEAR(TODAY())+'תקציבים מיוחדים'!$F$5-HEVARIM[[#This Row],[גיל]],0)</f>
        <v>0</v>
      </c>
      <c r="AF428" s="1">
        <f>IF(AND($S428&gt;="רווק",$Z428=1),AF$4*IF(HEVARIM[[#This Row],[גיל]]&gt;$AF$3,1,(($G428-AF$2)/(AF$3-AF$2))),0)</f>
        <v>57630.952380952374</v>
      </c>
      <c r="AG428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428" s="1">
        <f t="shared" si="27"/>
        <v>100560.47619047618</v>
      </c>
      <c r="AI428" s="2">
        <f ca="1">IF(AH428&gt;0,YEAR(TODAY())+'תקציבים מיוחדים'!$F$7-HEVARIM[[#This Row],[גיל]],0)</f>
        <v>2027</v>
      </c>
      <c r="AJ428" s="9">
        <f>IF(AND(ISERROR(VLOOKUP(H428,'[2]ריכוז נתונים'!A:L,1,0)),P428="1     "),1,0)</f>
        <v>0</v>
      </c>
      <c r="AK42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28" s="1">
        <f>IF(AND(VALUE(HEVARIM[[#This Row],[קוד מעמד]])=1,HEVARIM[[#This Row],[ותק מחברה 40]]&lt;25),HEVARIM[[#This Row],[ותק מחברה 40]]/25*הנחות!$C$4,0)</f>
        <v>0</v>
      </c>
      <c r="AM428" s="9" t="str">
        <f ca="1">IF(HEVARIM[[#This Row],[דמי עזיבה 25 שנות ותק]]&gt;0,YEAR(TODAY())+25-ROUNDDOWN(HEVARIM[[#This Row],[ותק מחברה 40]],0),"")</f>
        <v/>
      </c>
      <c r="AN4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28" s="9" t="str">
        <f ca="1">IF(HEVARIM[[#This Row],[דמי עזיבה לגיל 65]]&gt;0,YEAR(TODAY())+64-ROUNDDOWN(HEVARIM[[#This Row],[גיל]],0),"")</f>
        <v/>
      </c>
      <c r="AP428" s="1">
        <f>SUMIF(HEVARIM[קוד תקציב],HEVARIM[[#This Row],[קוד תקציב משפחה מקורי]],HEVARIM[ותק מחברה 40])</f>
        <v>62.179999999999993</v>
      </c>
      <c r="AQ4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28" s="9">
        <f>IF(HEVARIM[[#This Row],[קוד מעמד]]="1     ",IFERROR(VLOOKUP(HEVARIM[[#This Row],[קוד תקציב]],'תקציב צביעה - לקראת השינוי'!A:F,4,0),0),0)</f>
        <v>0</v>
      </c>
      <c r="AT428" s="1"/>
    </row>
    <row r="429" spans="1:46">
      <c r="A429" t="s">
        <v>2106</v>
      </c>
      <c r="B429" t="s">
        <v>2107</v>
      </c>
      <c r="C429" t="s">
        <v>2108</v>
      </c>
      <c r="D429" t="s">
        <v>2109</v>
      </c>
      <c r="E429" t="s">
        <v>67</v>
      </c>
      <c r="F429" s="4">
        <v>26770</v>
      </c>
      <c r="G429">
        <v>52</v>
      </c>
      <c r="H429" t="s">
        <v>2110</v>
      </c>
      <c r="I429" t="s">
        <v>2111</v>
      </c>
      <c r="J429" s="4" t="s">
        <v>70</v>
      </c>
      <c r="K429" s="4" t="s">
        <v>71</v>
      </c>
      <c r="L429" t="s">
        <v>2112</v>
      </c>
      <c r="M429" t="s">
        <v>2106</v>
      </c>
      <c r="N429" t="s">
        <v>2107</v>
      </c>
      <c r="O429">
        <f>IFERROR(VLOOKUP(HEVARIM[[#This Row],[קוד תקציב]],[2]תקציבים!A:L,6,0),0)</f>
        <v>2</v>
      </c>
      <c r="P429" s="5" t="s">
        <v>104</v>
      </c>
      <c r="Q429" t="s">
        <v>11</v>
      </c>
      <c r="R429" s="4">
        <v>39273</v>
      </c>
      <c r="S429" s="4" t="s">
        <v>74</v>
      </c>
      <c r="T429" s="96" t="s">
        <v>2110</v>
      </c>
      <c r="U429" t="str">
        <f>VLOOKUP(HEVARIM[[#This Row],[גיל]],GIL,2,1)</f>
        <v>--</v>
      </c>
      <c r="V429" t="str">
        <f>IF(HEVARIM[[#This Row],[קוד מעמד]]="4     ",IF(HEVARIM[[#This Row],[גיל]]=1,1,IF(HEVARIM[[#This Row],[גיל]]&lt;=5,5,18)),"")</f>
        <v/>
      </c>
      <c r="W429">
        <f t="shared" si="24"/>
        <v>0</v>
      </c>
      <c r="X42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29">
        <f>IF(HEVARIM[[#This Row],[מצב משפחתי2]]="אלמן",'[2]ריכוז נתונים'!$AC$2,0)</f>
        <v>0</v>
      </c>
      <c r="Z429" s="3">
        <f>VLOOKUP(VALUE(HEVARIM[[#This Row],[קוד מעמד]]),הנחות!$I$2:$K$21,3,0)</f>
        <v>0</v>
      </c>
      <c r="AA429" t="b">
        <f>ISERROR(VLOOKUP(HEVARIM[[#This Row],[קוד תקציב]],'[2]ריכוז נתונים'!A:A,1,0))</f>
        <v>0</v>
      </c>
      <c r="AB429" s="1">
        <f t="shared" si="25"/>
        <v>0</v>
      </c>
      <c r="AC429" s="2">
        <f ca="1">IF(HEVARIM[[#This Row],[בר מצוה]]&gt;0,YEAR(TODAY())+'תקציבים מיוחדים'!$F$5-HEVARIM[[#This Row],[גיל]],0)</f>
        <v>0</v>
      </c>
      <c r="AD429" s="1">
        <f t="shared" si="26"/>
        <v>0</v>
      </c>
      <c r="AE429" s="2">
        <f ca="1">IF(HEVARIM[[#This Row],[בת מצוה]]&gt;0,YEAR(TODAY())+'תקציבים מיוחדים'!$F$5-HEVARIM[[#This Row],[גיל]],0)</f>
        <v>0</v>
      </c>
      <c r="AF429" s="1">
        <f>IF(AND($S429&gt;="רווק",$Z429=1),AF$4*IF(HEVARIM[[#This Row],[גיל]]&gt;$AF$3,1,(($G429-AF$2)/(AF$3-AF$2))),0)</f>
        <v>0</v>
      </c>
      <c r="AG42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29" s="1">
        <f t="shared" si="27"/>
        <v>0</v>
      </c>
      <c r="AI429" s="2">
        <f ca="1">IF(AH429&gt;0,YEAR(TODAY())+'תקציבים מיוחדים'!$F$7-HEVARIM[[#This Row],[גיל]],0)</f>
        <v>0</v>
      </c>
      <c r="AJ429" s="9">
        <f>IF(AND(ISERROR(VLOOKUP(H429,'[2]ריכוז נתונים'!A:L,1,0)),P429="1     "),1,0)</f>
        <v>0</v>
      </c>
      <c r="AK429" s="1">
        <f>IF(VALUE(HEVARIM[[#This Row],[קוד מעמד]])=1,VLOOKUP((IF(LEFT(HEVARIM[[#This Row],[קוד חבר]],1)="0",HEVARIM[[#This Row],[קוד חבר]],VALUE(HEVARIM[[#This Row],[קוד חבר]]))),'ותק חברה 40'!AQ:AW,7,0),"")</f>
        <v>28.24</v>
      </c>
      <c r="AL429" s="1">
        <f>IF(AND(VALUE(HEVARIM[[#This Row],[קוד מעמד]])=1,HEVARIM[[#This Row],[ותק מחברה 40]]&lt;25),HEVARIM[[#This Row],[ותק מחברה 40]]/25*הנחות!$C$4,0)</f>
        <v>0</v>
      </c>
      <c r="AM429" s="9" t="str">
        <f ca="1">IF(HEVARIM[[#This Row],[דמי עזיבה 25 שנות ותק]]&gt;0,YEAR(TODAY())+25-ROUNDDOWN(HEVARIM[[#This Row],[ותק מחברה 40]],0),"")</f>
        <v/>
      </c>
      <c r="AN429" s="1">
        <f>IF(AND(VALUE(HEVARIM[[#This Row],[קוד מעמד]])=1,HEVARIM[[#This Row],[ותק מחברה 40]]&gt;25,HEVARIM[[#This Row],[גיל]]&lt;65),הנחות!$C$14+(HEVARIM[[#This Row],[ותק מחברה 40]]-25)*הנחות!$C$10*0.25,0)</f>
        <v>35497.019249999998</v>
      </c>
      <c r="AO429" s="9">
        <f ca="1">IF(HEVARIM[[#This Row],[דמי עזיבה לגיל 65]]&gt;0,YEAR(TODAY())+64-ROUNDDOWN(HEVARIM[[#This Row],[גיל]],0),"")</f>
        <v>2038</v>
      </c>
      <c r="AP429" s="1">
        <f>SUMIF(HEVARIM[קוד תקציב],HEVARIM[[#This Row],[קוד תקציב משפחה מקורי]],HEVARIM[ותק מחברה 40])</f>
        <v>62.179999999999993</v>
      </c>
      <c r="AQ4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429" s="9">
        <f>IF(HEVARIM[[#This Row],[קוד מעמד]]="1     ",IFERROR(VLOOKUP(HEVARIM[[#This Row],[קוד תקציב]],'תקציב צביעה - לקראת השינוי'!A:F,4,0),0),0)</f>
        <v>2028</v>
      </c>
      <c r="AT429" s="1"/>
    </row>
    <row r="430" spans="1:46">
      <c r="A430" t="s">
        <v>2117</v>
      </c>
      <c r="B430" t="s">
        <v>2118</v>
      </c>
      <c r="C430" t="s">
        <v>2108</v>
      </c>
      <c r="D430" t="s">
        <v>2119</v>
      </c>
      <c r="E430" t="s">
        <v>79</v>
      </c>
      <c r="F430" s="4">
        <v>39411</v>
      </c>
      <c r="G430">
        <v>18</v>
      </c>
      <c r="H430" t="s">
        <v>2110</v>
      </c>
      <c r="I430" t="s">
        <v>2111</v>
      </c>
      <c r="J430" s="4" t="s">
        <v>70</v>
      </c>
      <c r="K430" s="4" t="s">
        <v>71</v>
      </c>
      <c r="L430" t="s">
        <v>2120</v>
      </c>
      <c r="M430" t="s">
        <v>2106</v>
      </c>
      <c r="N430" t="s">
        <v>2107</v>
      </c>
      <c r="O430">
        <f>IFERROR(VLOOKUP(HEVARIM[[#This Row],[קוד תקציב]],[2]תקציבים!A:L,6,0),0)</f>
        <v>2</v>
      </c>
      <c r="P430" s="5" t="s">
        <v>227</v>
      </c>
      <c r="Q430" t="s">
        <v>14</v>
      </c>
      <c r="R430" s="4">
        <v>39411</v>
      </c>
      <c r="S430" s="4" t="s">
        <v>90</v>
      </c>
      <c r="T430" s="96" t="s">
        <v>2110</v>
      </c>
      <c r="U430" t="str">
        <f>VLOOKUP(HEVARIM[[#This Row],[גיל]],GIL,2,1)</f>
        <v>--</v>
      </c>
      <c r="V430">
        <f>IF(HEVARIM[[#This Row],[קוד מעמד]]="4     ",IF(HEVARIM[[#This Row],[גיל]]=1,1,IF(HEVARIM[[#This Row],[גיל]]&lt;=5,5,18)),"")</f>
        <v>18</v>
      </c>
      <c r="W430">
        <f t="shared" si="24"/>
        <v>0</v>
      </c>
      <c r="X43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0">
        <f>IF(HEVARIM[[#This Row],[מצב משפחתי2]]="אלמן",'[2]ריכוז נתונים'!$AC$2,0)</f>
        <v>0</v>
      </c>
      <c r="Z430" s="3">
        <f>VLOOKUP(VALUE(HEVARIM[[#This Row],[קוד מעמד]]),הנחות!$I$2:$K$21,3,0)</f>
        <v>1</v>
      </c>
      <c r="AA430" t="b">
        <f>ISERROR(VLOOKUP(HEVARIM[[#This Row],[קוד תקציב]],'[2]ריכוז נתונים'!A:A,1,0))</f>
        <v>0</v>
      </c>
      <c r="AB430" s="1">
        <f t="shared" si="25"/>
        <v>0</v>
      </c>
      <c r="AC430" s="2">
        <f ca="1">IF(HEVARIM[[#This Row],[בר מצוה]]&gt;0,YEAR(TODAY())+'תקציבים מיוחדים'!$F$5-HEVARIM[[#This Row],[גיל]],0)</f>
        <v>0</v>
      </c>
      <c r="AD430" s="1">
        <f t="shared" si="26"/>
        <v>0</v>
      </c>
      <c r="AE430" s="2">
        <f ca="1">IF(HEVARIM[[#This Row],[בת מצוה]]&gt;0,YEAR(TODAY())+'תקציבים מיוחדים'!$F$5-HEVARIM[[#This Row],[גיל]],0)</f>
        <v>0</v>
      </c>
      <c r="AF430" s="1">
        <f>IF(AND($S430&gt;="רווק",$Z430=1),AF$4*IF(HEVARIM[[#This Row],[גיל]]&gt;$AF$3,1,(($G430-AF$2)/(AF$3-AF$2))),0)</f>
        <v>51867.857142857138</v>
      </c>
      <c r="AG430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430" s="1">
        <f t="shared" si="27"/>
        <v>90504.428571428565</v>
      </c>
      <c r="AI430" s="2">
        <f ca="1">IF(AH430&gt;0,YEAR(TODAY())+'תקציבים מיוחדים'!$F$7-HEVARIM[[#This Row],[גיל]],0)</f>
        <v>2029</v>
      </c>
      <c r="AJ430" s="9">
        <f>IF(AND(ISERROR(VLOOKUP(H430,'[2]ריכוז נתונים'!A:L,1,0)),P430="1     "),1,0)</f>
        <v>0</v>
      </c>
      <c r="AK43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30" s="1">
        <f>IF(AND(VALUE(HEVARIM[[#This Row],[קוד מעמד]])=1,HEVARIM[[#This Row],[ותק מחברה 40]]&lt;25),HEVARIM[[#This Row],[ותק מחברה 40]]/25*הנחות!$C$4,0)</f>
        <v>0</v>
      </c>
      <c r="AM430" s="9" t="str">
        <f ca="1">IF(HEVARIM[[#This Row],[דמי עזיבה 25 שנות ותק]]&gt;0,YEAR(TODAY())+25-ROUNDDOWN(HEVARIM[[#This Row],[ותק מחברה 40]],0),"")</f>
        <v/>
      </c>
      <c r="AN4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0" s="9" t="str">
        <f ca="1">IF(HEVARIM[[#This Row],[דמי עזיבה לגיל 65]]&gt;0,YEAR(TODAY())+64-ROUNDDOWN(HEVARIM[[#This Row],[גיל]],0),"")</f>
        <v/>
      </c>
      <c r="AP430" s="1">
        <f>SUMIF(HEVARIM[קוד תקציב],HEVARIM[[#This Row],[קוד תקציב משפחה מקורי]],HEVARIM[ותק מחברה 40])</f>
        <v>62.179999999999993</v>
      </c>
      <c r="AQ4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0" s="9">
        <f>IF(HEVARIM[[#This Row],[קוד מעמד]]="1     ",IFERROR(VLOOKUP(HEVARIM[[#This Row],[קוד תקציב]],'תקציב צביעה - לקראת השינוי'!A:F,4,0),0),0)</f>
        <v>0</v>
      </c>
      <c r="AT430" s="1"/>
    </row>
    <row r="431" spans="1:46">
      <c r="A431" t="s">
        <v>2121</v>
      </c>
      <c r="B431" t="s">
        <v>2122</v>
      </c>
      <c r="C431" t="s">
        <v>2108</v>
      </c>
      <c r="D431" t="s">
        <v>286</v>
      </c>
      <c r="E431" t="s">
        <v>79</v>
      </c>
      <c r="F431" s="4">
        <v>40675</v>
      </c>
      <c r="G431">
        <v>14</v>
      </c>
      <c r="H431" t="s">
        <v>2110</v>
      </c>
      <c r="I431" t="s">
        <v>2111</v>
      </c>
      <c r="J431" s="4" t="s">
        <v>70</v>
      </c>
      <c r="K431" s="4" t="s">
        <v>71</v>
      </c>
      <c r="L431" t="s">
        <v>2123</v>
      </c>
      <c r="M431" t="s">
        <v>2106</v>
      </c>
      <c r="N431" t="s">
        <v>2107</v>
      </c>
      <c r="O431">
        <f>IFERROR(VLOOKUP(HEVARIM[[#This Row],[קוד תקציב]],[2]תקציבים!A:L,6,0),0)</f>
        <v>2</v>
      </c>
      <c r="P431" s="5" t="s">
        <v>227</v>
      </c>
      <c r="Q431" t="s">
        <v>14</v>
      </c>
      <c r="R431" s="4">
        <v>40675</v>
      </c>
      <c r="S431" s="4" t="s">
        <v>90</v>
      </c>
      <c r="T431" s="96" t="s">
        <v>2110</v>
      </c>
      <c r="U431" t="str">
        <f>VLOOKUP(HEVARIM[[#This Row],[גיל]],GIL,2,1)</f>
        <v>חטיבה</v>
      </c>
      <c r="V431">
        <f>IF(HEVARIM[[#This Row],[קוד מעמד]]="4     ",IF(HEVARIM[[#This Row],[גיל]]=1,1,IF(HEVARIM[[#This Row],[גיל]]&lt;=5,5,18)),"")</f>
        <v>18</v>
      </c>
      <c r="W431">
        <f t="shared" si="24"/>
        <v>0</v>
      </c>
      <c r="X43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1">
        <f>IF(HEVARIM[[#This Row],[מצב משפחתי2]]="אלמן",'[2]ריכוז נתונים'!$AC$2,0)</f>
        <v>0</v>
      </c>
      <c r="Z431" s="3">
        <f>VLOOKUP(VALUE(HEVARIM[[#This Row],[קוד מעמד]]),הנחות!$I$2:$K$21,3,0)</f>
        <v>1</v>
      </c>
      <c r="AA431" t="b">
        <f>ISERROR(VLOOKUP(HEVARIM[[#This Row],[קוד תקציב]],'[2]ריכוז נתונים'!A:A,1,0))</f>
        <v>0</v>
      </c>
      <c r="AB431" s="1">
        <f t="shared" si="25"/>
        <v>0</v>
      </c>
      <c r="AC431" s="2">
        <f ca="1">IF(HEVARIM[[#This Row],[בר מצוה]]&gt;0,YEAR(TODAY())+'תקציבים מיוחדים'!$F$5-HEVARIM[[#This Row],[גיל]],0)</f>
        <v>0</v>
      </c>
      <c r="AD431" s="1">
        <f t="shared" si="26"/>
        <v>0</v>
      </c>
      <c r="AE431" s="2">
        <f ca="1">IF(HEVARIM[[#This Row],[בת מצוה]]&gt;0,YEAR(TODAY())+'תקציבים מיוחדים'!$F$5-HEVARIM[[#This Row],[גיל]],0)</f>
        <v>0</v>
      </c>
      <c r="AF431" s="1">
        <f>IF(AND($S431&gt;="רווק",$Z431=1),AF$4*IF(HEVARIM[[#This Row],[גיל]]&gt;$AF$3,1,(($G431-AF$2)/(AF$3-AF$2))),0)</f>
        <v>40341.666666666664</v>
      </c>
      <c r="AG431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431" s="1">
        <f t="shared" si="27"/>
        <v>70392.333333333328</v>
      </c>
      <c r="AI431" s="2">
        <f ca="1">IF(AH431&gt;0,YEAR(TODAY())+'תקציבים מיוחדים'!$F$7-HEVARIM[[#This Row],[גיל]],0)</f>
        <v>2033</v>
      </c>
      <c r="AJ431" s="9">
        <f>IF(AND(ISERROR(VLOOKUP(H431,'[2]ריכוז נתונים'!A:L,1,0)),P431="1     "),1,0)</f>
        <v>0</v>
      </c>
      <c r="AK43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31" s="1">
        <f>IF(AND(VALUE(HEVARIM[[#This Row],[קוד מעמד]])=1,HEVARIM[[#This Row],[ותק מחברה 40]]&lt;25),HEVARIM[[#This Row],[ותק מחברה 40]]/25*הנחות!$C$4,0)</f>
        <v>0</v>
      </c>
      <c r="AM431" s="9" t="str">
        <f ca="1">IF(HEVARIM[[#This Row],[דמי עזיבה 25 שנות ותק]]&gt;0,YEAR(TODAY())+25-ROUNDDOWN(HEVARIM[[#This Row],[ותק מחברה 40]],0),"")</f>
        <v/>
      </c>
      <c r="AN43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1" s="9" t="str">
        <f ca="1">IF(HEVARIM[[#This Row],[דמי עזיבה לגיל 65]]&gt;0,YEAR(TODAY())+64-ROUNDDOWN(HEVARIM[[#This Row],[גיל]],0),"")</f>
        <v/>
      </c>
      <c r="AP431" s="1">
        <f>SUMIF(HEVARIM[קוד תקציב],HEVARIM[[#This Row],[קוד תקציב משפחה מקורי]],HEVARIM[ותק מחברה 40])</f>
        <v>62.179999999999993</v>
      </c>
      <c r="AQ4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1" s="9">
        <f>IF(HEVARIM[[#This Row],[קוד מעמד]]="1     ",IFERROR(VLOOKUP(HEVARIM[[#This Row],[קוד תקציב]],'תקציב צביעה - לקראת השינוי'!A:F,4,0),0),0)</f>
        <v>0</v>
      </c>
      <c r="AT431" s="1"/>
    </row>
    <row r="432" spans="1:46">
      <c r="A432" t="s">
        <v>2124</v>
      </c>
      <c r="B432" t="s">
        <v>2125</v>
      </c>
      <c r="C432" t="s">
        <v>2126</v>
      </c>
      <c r="D432" t="s">
        <v>2127</v>
      </c>
      <c r="E432" t="s">
        <v>67</v>
      </c>
      <c r="F432" s="4">
        <v>32866</v>
      </c>
      <c r="G432">
        <v>36</v>
      </c>
      <c r="H432" t="s">
        <v>2128</v>
      </c>
      <c r="I432" t="s">
        <v>2129</v>
      </c>
      <c r="J432" s="4" t="s">
        <v>70</v>
      </c>
      <c r="K432" s="4" t="s">
        <v>71</v>
      </c>
      <c r="L432" t="s">
        <v>2130</v>
      </c>
      <c r="M432" t="s">
        <v>2124</v>
      </c>
      <c r="N432" t="s">
        <v>2125</v>
      </c>
      <c r="O432">
        <f>IFERROR(VLOOKUP(HEVARIM[[#This Row],[קוד תקציב]],[2]תקציבים!A:L,6,0),0)</f>
        <v>2</v>
      </c>
      <c r="P432" s="5" t="s">
        <v>104</v>
      </c>
      <c r="Q432" t="s">
        <v>11</v>
      </c>
      <c r="R432" s="4">
        <v>44228</v>
      </c>
      <c r="S432" s="4" t="s">
        <v>74</v>
      </c>
      <c r="T432" s="96" t="s">
        <v>2128</v>
      </c>
      <c r="U432" t="str">
        <f>VLOOKUP(HEVARIM[[#This Row],[גיל]],GIL,2,1)</f>
        <v>--</v>
      </c>
      <c r="V432" t="str">
        <f>IF(HEVARIM[[#This Row],[קוד מעמד]]="4     ",IF(HEVARIM[[#This Row],[גיל]]=1,1,IF(HEVARIM[[#This Row],[גיל]]&lt;=5,5,18)),"")</f>
        <v/>
      </c>
      <c r="W432">
        <f t="shared" si="24"/>
        <v>0</v>
      </c>
      <c r="X43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2">
        <f>IF(HEVARIM[[#This Row],[מצב משפחתי2]]="אלמן",'[2]ריכוז נתונים'!$AC$2,0)</f>
        <v>0</v>
      </c>
      <c r="Z432" s="3">
        <f>VLOOKUP(VALUE(HEVARIM[[#This Row],[קוד מעמד]]),הנחות!$I$2:$K$21,3,0)</f>
        <v>0</v>
      </c>
      <c r="AA432" t="b">
        <f>ISERROR(VLOOKUP(HEVARIM[[#This Row],[קוד תקציב]],'[2]ריכוז נתונים'!A:A,1,0))</f>
        <v>0</v>
      </c>
      <c r="AB432" s="1">
        <f t="shared" si="25"/>
        <v>0</v>
      </c>
      <c r="AC432" s="2">
        <f ca="1">IF(HEVARIM[[#This Row],[בר מצוה]]&gt;0,YEAR(TODAY())+'תקציבים מיוחדים'!$F$5-HEVARIM[[#This Row],[גיל]],0)</f>
        <v>0</v>
      </c>
      <c r="AD432" s="1">
        <f t="shared" si="26"/>
        <v>0</v>
      </c>
      <c r="AE432" s="2">
        <f ca="1">IF(HEVARIM[[#This Row],[בת מצוה]]&gt;0,YEAR(TODAY())+'תקציבים מיוחדים'!$F$5-HEVARIM[[#This Row],[גיל]],0)</f>
        <v>0</v>
      </c>
      <c r="AF432" s="1">
        <f>IF(AND($S432&gt;="רווק",$Z432=1),AF$4*IF(HEVARIM[[#This Row],[גיל]]&gt;$AF$3,1,(($G432-AF$2)/(AF$3-AF$2))),0)</f>
        <v>0</v>
      </c>
      <c r="AG43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32" s="1">
        <f t="shared" si="27"/>
        <v>0</v>
      </c>
      <c r="AI432" s="2">
        <f ca="1">IF(AH432&gt;0,YEAR(TODAY())+'תקציבים מיוחדים'!$F$7-HEVARIM[[#This Row],[גיל]],0)</f>
        <v>0</v>
      </c>
      <c r="AJ432" s="9">
        <f>IF(AND(ISERROR(VLOOKUP(H432,'[2]ריכוז נתונים'!A:L,1,0)),P432="1     "),1,0)</f>
        <v>0</v>
      </c>
      <c r="AK432" s="1">
        <f>IF(VALUE(HEVARIM[[#This Row],[קוד מעמד]])=1,VLOOKUP((IF(LEFT(HEVARIM[[#This Row],[קוד חבר]],1)="0",HEVARIM[[#This Row],[קוד חבר]],VALUE(HEVARIM[[#This Row],[קוד חבר]]))),'ותק חברה 40'!AQ:AW,7,0),"")</f>
        <v>6.5</v>
      </c>
      <c r="AL432" s="1">
        <f>IF(AND(VALUE(HEVARIM[[#This Row],[קוד מעמד]])=1,HEVARIM[[#This Row],[ותק מחברה 40]]&lt;25),HEVARIM[[#This Row],[ותק מחברה 40]]/25*הנחות!$C$4,0)</f>
        <v>9758.9992499999989</v>
      </c>
      <c r="AM432" s="9">
        <f ca="1">IF(HEVARIM[[#This Row],[דמי עזיבה 25 שנות ותק]]&gt;0,YEAR(TODAY())+25-ROUNDDOWN(HEVARIM[[#This Row],[ותק מחברה 40]],0),"")</f>
        <v>2045</v>
      </c>
      <c r="AN43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2" s="9" t="str">
        <f ca="1">IF(HEVARIM[[#This Row],[דמי עזיבה לגיל 65]]&gt;0,YEAR(TODAY())+64-ROUNDDOWN(HEVARIM[[#This Row],[גיל]],0),"")</f>
        <v/>
      </c>
      <c r="AP432" s="1">
        <f>SUMIF(HEVARIM[קוד תקציב],HEVARIM[[#This Row],[קוד תקציב משפחה מקורי]],HEVARIM[ותק מחברה 40])</f>
        <v>13</v>
      </c>
      <c r="AQ4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2" s="9">
        <f>IF(HEVARIM[[#This Row],[קוד מעמד]]="1     ",IFERROR(VLOOKUP(HEVARIM[[#This Row],[קוד תקציב]],'תקציב צביעה - לקראת השינוי'!A:F,4,0),0),0)</f>
        <v>0</v>
      </c>
      <c r="AT432" s="1"/>
    </row>
    <row r="433" spans="1:46">
      <c r="A433" t="s">
        <v>2135</v>
      </c>
      <c r="B433" t="s">
        <v>2136</v>
      </c>
      <c r="C433" t="s">
        <v>2126</v>
      </c>
      <c r="D433" t="s">
        <v>2137</v>
      </c>
      <c r="E433" t="s">
        <v>79</v>
      </c>
      <c r="F433" s="4">
        <v>43365</v>
      </c>
      <c r="G433">
        <v>7</v>
      </c>
      <c r="H433" t="s">
        <v>2128</v>
      </c>
      <c r="I433" t="s">
        <v>2129</v>
      </c>
      <c r="J433" s="4" t="s">
        <v>70</v>
      </c>
      <c r="K433" s="4" t="s">
        <v>71</v>
      </c>
      <c r="L433" t="s">
        <v>2138</v>
      </c>
      <c r="M433" t="s">
        <v>2124</v>
      </c>
      <c r="N433" t="s">
        <v>2125</v>
      </c>
      <c r="O433">
        <f>IFERROR(VLOOKUP(HEVARIM[[#This Row],[קוד תקציב]],[2]תקציבים!A:L,6,0),0)</f>
        <v>2</v>
      </c>
      <c r="P433" s="5" t="s">
        <v>227</v>
      </c>
      <c r="Q433" t="s">
        <v>14</v>
      </c>
      <c r="R433" s="4">
        <v>43497</v>
      </c>
      <c r="S433" s="4" t="s">
        <v>90</v>
      </c>
      <c r="T433" s="96" t="s">
        <v>2128</v>
      </c>
      <c r="U433" t="str">
        <f>VLOOKUP(HEVARIM[[#This Row],[גיל]],GIL,2,1)</f>
        <v>יסודי</v>
      </c>
      <c r="V433">
        <f>IF(HEVARIM[[#This Row],[קוד מעמד]]="4     ",IF(HEVARIM[[#This Row],[גיל]]=1,1,IF(HEVARIM[[#This Row],[גיל]]&lt;=5,5,18)),"")</f>
        <v>18</v>
      </c>
      <c r="W433">
        <f t="shared" si="24"/>
        <v>0</v>
      </c>
      <c r="X4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3">
        <f>IF(HEVARIM[[#This Row],[מצב משפחתי2]]="אלמן",'[2]ריכוז נתונים'!$AC$2,0)</f>
        <v>0</v>
      </c>
      <c r="Z433" s="3">
        <f>VLOOKUP(VALUE(HEVARIM[[#This Row],[קוד מעמד]]),הנחות!$I$2:$K$21,3,0)</f>
        <v>1</v>
      </c>
      <c r="AA433" t="b">
        <f>ISERROR(VLOOKUP(HEVARIM[[#This Row],[קוד תקציב]],'[2]ריכוז נתונים'!A:A,1,0))</f>
        <v>0</v>
      </c>
      <c r="AB433" s="1">
        <f t="shared" si="25"/>
        <v>0</v>
      </c>
      <c r="AC433" s="2">
        <f ca="1">IF(HEVARIM[[#This Row],[בר מצוה]]&gt;0,YEAR(TODAY())+'תקציבים מיוחדים'!$F$5-HEVARIM[[#This Row],[גיל]],0)</f>
        <v>0</v>
      </c>
      <c r="AD433" s="1">
        <f t="shared" si="26"/>
        <v>3858.0769230769229</v>
      </c>
      <c r="AE433" s="2">
        <f ca="1">IF(HEVARIM[[#This Row],[בת מצוה]]&gt;0,YEAR(TODAY())+'תקציבים מיוחדים'!$F$5-HEVARIM[[#This Row],[גיל]],0)</f>
        <v>2032</v>
      </c>
      <c r="AF433" s="1">
        <f>IF(AND($S433&gt;="רווק",$Z433=1),AF$4*IF(HEVARIM[[#This Row],[גיל]]&gt;$AF$3,1,(($G433-AF$2)/(AF$3-AF$2))),0)</f>
        <v>20170.833333333332</v>
      </c>
      <c r="AG433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433" s="1">
        <f t="shared" si="27"/>
        <v>35196.166666666664</v>
      </c>
      <c r="AI433" s="2">
        <f ca="1">IF(AH433&gt;0,YEAR(TODAY())+'תקציבים מיוחדים'!$F$7-HEVARIM[[#This Row],[גיל]],0)</f>
        <v>2040</v>
      </c>
      <c r="AJ433" s="9">
        <f>IF(AND(ISERROR(VLOOKUP(H433,'[2]ריכוז נתונים'!A:L,1,0)),P433="1     "),1,0)</f>
        <v>0</v>
      </c>
      <c r="AK43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33" s="1">
        <f>IF(AND(VALUE(HEVARIM[[#This Row],[קוד מעמד]])=1,HEVARIM[[#This Row],[ותק מחברה 40]]&lt;25),HEVARIM[[#This Row],[ותק מחברה 40]]/25*הנחות!$C$4,0)</f>
        <v>0</v>
      </c>
      <c r="AM433" s="9" t="str">
        <f ca="1">IF(HEVARIM[[#This Row],[דמי עזיבה 25 שנות ותק]]&gt;0,YEAR(TODAY())+25-ROUNDDOWN(HEVARIM[[#This Row],[ותק מחברה 40]],0),"")</f>
        <v/>
      </c>
      <c r="AN43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3" s="9" t="str">
        <f ca="1">IF(HEVARIM[[#This Row],[דמי עזיבה לגיל 65]]&gt;0,YEAR(TODAY())+64-ROUNDDOWN(HEVARIM[[#This Row],[גיל]],0),"")</f>
        <v/>
      </c>
      <c r="AP433" s="1">
        <f>SUMIF(HEVARIM[קוד תקציב],HEVARIM[[#This Row],[קוד תקציב משפחה מקורי]],HEVARIM[ותק מחברה 40])</f>
        <v>13</v>
      </c>
      <c r="AQ4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3" s="9">
        <f>IF(HEVARIM[[#This Row],[קוד מעמד]]="1     ",IFERROR(VLOOKUP(HEVARIM[[#This Row],[קוד תקציב]],'תקציב צביעה - לקראת השינוי'!A:F,4,0),0),0)</f>
        <v>0</v>
      </c>
      <c r="AT433" s="1"/>
    </row>
    <row r="434" spans="1:46">
      <c r="A434" t="s">
        <v>2139</v>
      </c>
      <c r="B434" t="s">
        <v>2140</v>
      </c>
      <c r="C434" t="s">
        <v>2126</v>
      </c>
      <c r="D434" t="s">
        <v>785</v>
      </c>
      <c r="E434" t="s">
        <v>79</v>
      </c>
      <c r="F434" s="4">
        <v>43754</v>
      </c>
      <c r="G434">
        <v>6</v>
      </c>
      <c r="H434" t="s">
        <v>2128</v>
      </c>
      <c r="I434" t="s">
        <v>2129</v>
      </c>
      <c r="J434" s="4" t="s">
        <v>70</v>
      </c>
      <c r="K434" s="4" t="s">
        <v>71</v>
      </c>
      <c r="L434" t="s">
        <v>2141</v>
      </c>
      <c r="M434" t="s">
        <v>2124</v>
      </c>
      <c r="N434" t="s">
        <v>2125</v>
      </c>
      <c r="O434">
        <f>IFERROR(VLOOKUP(HEVARIM[[#This Row],[קוד תקציב]],[2]תקציבים!A:L,6,0),0)</f>
        <v>2</v>
      </c>
      <c r="P434" s="5" t="s">
        <v>227</v>
      </c>
      <c r="Q434" t="s">
        <v>14</v>
      </c>
      <c r="R434" s="4">
        <v>43754</v>
      </c>
      <c r="S434" s="4" t="s">
        <v>90</v>
      </c>
      <c r="T434" s="96" t="s">
        <v>2128</v>
      </c>
      <c r="U434" t="str">
        <f>VLOOKUP(HEVARIM[[#This Row],[גיל]],GIL,2,1)</f>
        <v>יסודי</v>
      </c>
      <c r="V434">
        <f>IF(HEVARIM[[#This Row],[קוד מעמד]]="4     ",IF(HEVARIM[[#This Row],[גיל]]=1,1,IF(HEVARIM[[#This Row],[גיל]]&lt;=5,5,18)),"")</f>
        <v>18</v>
      </c>
      <c r="W434">
        <f t="shared" si="24"/>
        <v>0</v>
      </c>
      <c r="X43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4">
        <f>IF(HEVARIM[[#This Row],[מצב משפחתי2]]="אלמן",'[2]ריכוז נתונים'!$AC$2,0)</f>
        <v>0</v>
      </c>
      <c r="Z434" s="3">
        <f>VLOOKUP(VALUE(HEVARIM[[#This Row],[קוד מעמד]]),הנחות!$I$2:$K$21,3,0)</f>
        <v>1</v>
      </c>
      <c r="AA434" t="b">
        <f>ISERROR(VLOOKUP(HEVARIM[[#This Row],[קוד תקציב]],'[2]ריכוז נתונים'!A:A,1,0))</f>
        <v>0</v>
      </c>
      <c r="AB434" s="1">
        <f t="shared" si="25"/>
        <v>0</v>
      </c>
      <c r="AC434" s="2">
        <f ca="1">IF(HEVARIM[[#This Row],[בר מצוה]]&gt;0,YEAR(TODAY())+'תקציבים מיוחדים'!$F$5-HEVARIM[[#This Row],[גיל]],0)</f>
        <v>0</v>
      </c>
      <c r="AD434" s="1">
        <f t="shared" si="26"/>
        <v>3306.9230769230771</v>
      </c>
      <c r="AE434" s="2">
        <f ca="1">IF(HEVARIM[[#This Row],[בת מצוה]]&gt;0,YEAR(TODAY())+'תקציבים מיוחדים'!$F$5-HEVARIM[[#This Row],[גיל]],0)</f>
        <v>2033</v>
      </c>
      <c r="AF434" s="1">
        <f>IF(AND($S434&gt;="רווק",$Z434=1),AF$4*IF(HEVARIM[[#This Row],[גיל]]&gt;$AF$3,1,(($G434-AF$2)/(AF$3-AF$2))),0)</f>
        <v>17289.285714285714</v>
      </c>
      <c r="AG434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434" s="1">
        <f t="shared" si="27"/>
        <v>30168.142857142855</v>
      </c>
      <c r="AI434" s="2">
        <f ca="1">IF(AH434&gt;0,YEAR(TODAY())+'תקציבים מיוחדים'!$F$7-HEVARIM[[#This Row],[גיל]],0)</f>
        <v>2041</v>
      </c>
      <c r="AJ434" s="9">
        <f>IF(AND(ISERROR(VLOOKUP(H434,'[2]ריכוז נתונים'!A:L,1,0)),P434="1     "),1,0)</f>
        <v>0</v>
      </c>
      <c r="AK43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34" s="1">
        <f>IF(AND(VALUE(HEVARIM[[#This Row],[קוד מעמד]])=1,HEVARIM[[#This Row],[ותק מחברה 40]]&lt;25),HEVARIM[[#This Row],[ותק מחברה 40]]/25*הנחות!$C$4,0)</f>
        <v>0</v>
      </c>
      <c r="AM434" s="9" t="str">
        <f ca="1">IF(HEVARIM[[#This Row],[דמי עזיבה 25 שנות ותק]]&gt;0,YEAR(TODAY())+25-ROUNDDOWN(HEVARIM[[#This Row],[ותק מחברה 40]],0),"")</f>
        <v/>
      </c>
      <c r="AN43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4" s="9" t="str">
        <f ca="1">IF(HEVARIM[[#This Row],[דמי עזיבה לגיל 65]]&gt;0,YEAR(TODAY())+64-ROUNDDOWN(HEVARIM[[#This Row],[גיל]],0),"")</f>
        <v/>
      </c>
      <c r="AP434" s="1">
        <f>SUMIF(HEVARIM[קוד תקציב],HEVARIM[[#This Row],[קוד תקציב משפחה מקורי]],HEVARIM[ותק מחברה 40])</f>
        <v>13</v>
      </c>
      <c r="AQ4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4" s="9">
        <f>IF(HEVARIM[[#This Row],[קוד מעמד]]="1     ",IFERROR(VLOOKUP(HEVARIM[[#This Row],[קוד תקציב]],'תקציב צביעה - לקראת השינוי'!A:F,4,0),0),0)</f>
        <v>0</v>
      </c>
      <c r="AT434" s="1"/>
    </row>
    <row r="435" spans="1:46">
      <c r="A435" t="s">
        <v>2142</v>
      </c>
      <c r="B435" t="s">
        <v>2143</v>
      </c>
      <c r="C435" t="s">
        <v>2126</v>
      </c>
      <c r="D435" t="s">
        <v>2144</v>
      </c>
      <c r="E435" t="s">
        <v>79</v>
      </c>
      <c r="F435" s="4">
        <v>44308</v>
      </c>
      <c r="G435">
        <v>4</v>
      </c>
      <c r="H435" t="s">
        <v>2128</v>
      </c>
      <c r="I435" t="s">
        <v>2129</v>
      </c>
      <c r="J435" s="4" t="s">
        <v>70</v>
      </c>
      <c r="K435" s="4" t="s">
        <v>71</v>
      </c>
      <c r="L435" t="s">
        <v>2145</v>
      </c>
      <c r="M435" t="s">
        <v>2124</v>
      </c>
      <c r="N435" t="s">
        <v>2125</v>
      </c>
      <c r="O435">
        <f>IFERROR(VLOOKUP(HEVARIM[[#This Row],[קוד תקציב]],[2]תקציבים!A:L,6,0),0)</f>
        <v>2</v>
      </c>
      <c r="P435" s="5" t="s">
        <v>227</v>
      </c>
      <c r="Q435" t="s">
        <v>14</v>
      </c>
      <c r="R435" s="4">
        <v>44308</v>
      </c>
      <c r="S435" s="4" t="s">
        <v>90</v>
      </c>
      <c r="T435" s="96" t="s">
        <v>2128</v>
      </c>
      <c r="U435" t="str">
        <f>VLOOKUP(HEVARIM[[#This Row],[גיל]],GIL,2,1)</f>
        <v>גנים</v>
      </c>
      <c r="V435">
        <f>IF(HEVARIM[[#This Row],[קוד מעמד]]="4     ",IF(HEVARIM[[#This Row],[גיל]]=1,1,IF(HEVARIM[[#This Row],[גיל]]&lt;=5,5,18)),"")</f>
        <v>5</v>
      </c>
      <c r="W435">
        <f t="shared" si="24"/>
        <v>0</v>
      </c>
      <c r="X43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5">
        <f>IF(HEVARIM[[#This Row],[מצב משפחתי2]]="אלמן",'[2]ריכוז נתונים'!$AC$2,0)</f>
        <v>0</v>
      </c>
      <c r="Z435" s="3">
        <f>VLOOKUP(VALUE(HEVARIM[[#This Row],[קוד מעמד]]),הנחות!$I$2:$K$21,3,0)</f>
        <v>1</v>
      </c>
      <c r="AA435" t="b">
        <f>ISERROR(VLOOKUP(HEVARIM[[#This Row],[קוד תקציב]],'[2]ריכוז נתונים'!A:A,1,0))</f>
        <v>0</v>
      </c>
      <c r="AB435" s="1">
        <f t="shared" si="25"/>
        <v>0</v>
      </c>
      <c r="AC435" s="2">
        <f ca="1">IF(HEVARIM[[#This Row],[בר מצוה]]&gt;0,YEAR(TODAY())+'תקציבים מיוחדים'!$F$5-HEVARIM[[#This Row],[גיל]],0)</f>
        <v>0</v>
      </c>
      <c r="AD435" s="1">
        <f t="shared" si="26"/>
        <v>2204.6153846153848</v>
      </c>
      <c r="AE435" s="2">
        <f ca="1">IF(HEVARIM[[#This Row],[בת מצוה]]&gt;0,YEAR(TODAY())+'תקציבים מיוחדים'!$F$5-HEVARIM[[#This Row],[גיל]],0)</f>
        <v>2035</v>
      </c>
      <c r="AF435" s="1">
        <f>IF(AND($S435&gt;="רווק",$Z435=1),AF$4*IF(HEVARIM[[#This Row],[גיל]]&gt;$AF$3,1,(($G435-AF$2)/(AF$3-AF$2))),0)</f>
        <v>11526.190476190475</v>
      </c>
      <c r="AG435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435" s="1">
        <f t="shared" si="27"/>
        <v>20112.095238095237</v>
      </c>
      <c r="AI435" s="2">
        <f ca="1">IF(AH435&gt;0,YEAR(TODAY())+'תקציבים מיוחדים'!$F$7-HEVARIM[[#This Row],[גיל]],0)</f>
        <v>2043</v>
      </c>
      <c r="AJ435" s="9">
        <f>IF(AND(ISERROR(VLOOKUP(H435,'[2]ריכוז נתונים'!A:L,1,0)),P435="1     "),1,0)</f>
        <v>0</v>
      </c>
      <c r="AK43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35" s="1">
        <f>IF(AND(VALUE(HEVARIM[[#This Row],[קוד מעמד]])=1,HEVARIM[[#This Row],[ותק מחברה 40]]&lt;25),HEVARIM[[#This Row],[ותק מחברה 40]]/25*הנחות!$C$4,0)</f>
        <v>0</v>
      </c>
      <c r="AM435" s="9" t="str">
        <f ca="1">IF(HEVARIM[[#This Row],[דמי עזיבה 25 שנות ותק]]&gt;0,YEAR(TODAY())+25-ROUNDDOWN(HEVARIM[[#This Row],[ותק מחברה 40]],0),"")</f>
        <v/>
      </c>
      <c r="AN4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5" s="9" t="str">
        <f ca="1">IF(HEVARIM[[#This Row],[דמי עזיבה לגיל 65]]&gt;0,YEAR(TODAY())+64-ROUNDDOWN(HEVARIM[[#This Row],[גיל]],0),"")</f>
        <v/>
      </c>
      <c r="AP435" s="1">
        <f>SUMIF(HEVARIM[קוד תקציב],HEVARIM[[#This Row],[קוד תקציב משפחה מקורי]],HEVARIM[ותק מחברה 40])</f>
        <v>13</v>
      </c>
      <c r="AQ4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5" s="9">
        <f>IF(HEVARIM[[#This Row],[קוד מעמד]]="1     ",IFERROR(VLOOKUP(HEVARIM[[#This Row],[קוד תקציב]],'תקציב צביעה - לקראת השינוי'!A:F,4,0),0),0)</f>
        <v>0</v>
      </c>
      <c r="AT435" s="1"/>
    </row>
    <row r="436" spans="1:46">
      <c r="A436" t="s">
        <v>2178</v>
      </c>
      <c r="B436" t="s">
        <v>2179</v>
      </c>
      <c r="C436" t="s">
        <v>2180</v>
      </c>
      <c r="D436" t="s">
        <v>1260</v>
      </c>
      <c r="E436" t="s">
        <v>67</v>
      </c>
      <c r="F436" s="4">
        <v>19208</v>
      </c>
      <c r="G436">
        <v>73</v>
      </c>
      <c r="H436" t="s">
        <v>2181</v>
      </c>
      <c r="I436" t="s">
        <v>2182</v>
      </c>
      <c r="J436" s="4" t="s">
        <v>70</v>
      </c>
      <c r="K436" s="4" t="s">
        <v>71</v>
      </c>
      <c r="L436" t="s">
        <v>2183</v>
      </c>
      <c r="M436" t="s">
        <v>2178</v>
      </c>
      <c r="N436" t="s">
        <v>2179</v>
      </c>
      <c r="O436">
        <f>IFERROR(VLOOKUP(HEVARIM[[#This Row],[קוד תקציב]],[2]תקציבים!A:L,6,0),0)</f>
        <v>2</v>
      </c>
      <c r="P436" s="5" t="s">
        <v>104</v>
      </c>
      <c r="Q436" t="s">
        <v>11</v>
      </c>
      <c r="R436" s="4">
        <v>29586</v>
      </c>
      <c r="S436" s="4" t="s">
        <v>74</v>
      </c>
      <c r="T436" s="96" t="s">
        <v>2181</v>
      </c>
      <c r="U436" t="str">
        <f>VLOOKUP(HEVARIM[[#This Row],[גיל]],GIL,2,1)</f>
        <v>--</v>
      </c>
      <c r="V436" t="str">
        <f>IF(HEVARIM[[#This Row],[קוד מעמד]]="4     ",IF(HEVARIM[[#This Row],[גיל]]=1,1,IF(HEVARIM[[#This Row],[גיל]]&lt;=5,5,18)),"")</f>
        <v/>
      </c>
      <c r="W436">
        <f t="shared" si="24"/>
        <v>2365</v>
      </c>
      <c r="X43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36">
        <f>IF(HEVARIM[[#This Row],[מצב משפחתי2]]="אלמן",'[2]ריכוז נתונים'!$AC$2,0)</f>
        <v>0</v>
      </c>
      <c r="Z436" s="3">
        <f>VLOOKUP(VALUE(HEVARIM[[#This Row],[קוד מעמד]]),הנחות!$I$2:$K$21,3,0)</f>
        <v>0</v>
      </c>
      <c r="AA436" t="b">
        <f>ISERROR(VLOOKUP(HEVARIM[[#This Row],[קוד תקציב]],'[2]ריכוז נתונים'!A:A,1,0))</f>
        <v>0</v>
      </c>
      <c r="AB436" s="1">
        <f t="shared" si="25"/>
        <v>0</v>
      </c>
      <c r="AC436" s="2">
        <f ca="1">IF(HEVARIM[[#This Row],[בר מצוה]]&gt;0,YEAR(TODAY())+'תקציבים מיוחדים'!$F$5-HEVARIM[[#This Row],[גיל]],0)</f>
        <v>0</v>
      </c>
      <c r="AD436" s="1">
        <f t="shared" si="26"/>
        <v>0</v>
      </c>
      <c r="AE436" s="2">
        <f ca="1">IF(HEVARIM[[#This Row],[בת מצוה]]&gt;0,YEAR(TODAY())+'תקציבים מיוחדים'!$F$5-HEVARIM[[#This Row],[גיל]],0)</f>
        <v>0</v>
      </c>
      <c r="AF436" s="1">
        <f>IF(AND($S436&gt;="רווק",$Z436=1),AF$4*IF(HEVARIM[[#This Row],[גיל]]&gt;$AF$3,1,(($G436-AF$2)/(AF$3-AF$2))),0)</f>
        <v>0</v>
      </c>
      <c r="AG43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36" s="1">
        <f t="shared" si="27"/>
        <v>0</v>
      </c>
      <c r="AI436" s="2">
        <f ca="1">IF(AH436&gt;0,YEAR(TODAY())+'תקציבים מיוחדים'!$F$7-HEVARIM[[#This Row],[גיל]],0)</f>
        <v>0</v>
      </c>
      <c r="AJ436" s="9">
        <f>IF(AND(ISERROR(VLOOKUP(H436,'[2]ריכוז נתונים'!A:L,1,0)),P436="1     "),1,0)</f>
        <v>0</v>
      </c>
      <c r="AK436" s="1">
        <f>IF(VALUE(HEVARIM[[#This Row],[קוד מעמד]])=1,VLOOKUP((IF(LEFT(HEVARIM[[#This Row],[קוד חבר]],1)="0",HEVARIM[[#This Row],[קוד חבר]],VALUE(HEVARIM[[#This Row],[קוד חבר]]))),'ותק חברה 40'!AQ:AW,7,0),"")</f>
        <v>42.69</v>
      </c>
      <c r="AL436" s="1">
        <f>IF(AND(VALUE(HEVARIM[[#This Row],[קוד מעמד]])=1,HEVARIM[[#This Row],[ותק מחברה 40]]&lt;25),HEVARIM[[#This Row],[ותק מחברה 40]]/25*הנחות!$C$4,0)</f>
        <v>0</v>
      </c>
      <c r="AM436" s="9" t="str">
        <f ca="1">IF(HEVARIM[[#This Row],[דמי עזיבה 25 שנות ותק]]&gt;0,YEAR(TODAY())+25-ROUNDDOWN(HEVARIM[[#This Row],[ותק מחברה 40]],0),"")</f>
        <v/>
      </c>
      <c r="AN43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6" s="9" t="str">
        <f ca="1">IF(HEVARIM[[#This Row],[דמי עזיבה לגיל 65]]&gt;0,YEAR(TODAY())+64-ROUNDDOWN(HEVARIM[[#This Row],[גיל]],0),"")</f>
        <v/>
      </c>
      <c r="AP436" s="1">
        <f>SUMIF(HEVARIM[קוד תקציב],HEVARIM[[#This Row],[קוד תקציב משפחה מקורי]],HEVARIM[ותק מחברה 40])</f>
        <v>87.93</v>
      </c>
      <c r="AQ4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36" s="9">
        <f>IF(HEVARIM[[#This Row],[קוד מעמד]]="1     ",IFERROR(VLOOKUP(HEVARIM[[#This Row],[קוד תקציב]],'תקציב צביעה - לקראת השינוי'!A:F,4,0),0),0)</f>
        <v>2033</v>
      </c>
      <c r="AT436" s="1"/>
    </row>
    <row r="437" spans="1:46">
      <c r="A437" t="s">
        <v>2184</v>
      </c>
      <c r="B437" t="s">
        <v>2185</v>
      </c>
      <c r="C437" t="s">
        <v>2180</v>
      </c>
      <c r="D437" t="s">
        <v>2186</v>
      </c>
      <c r="E437" t="s">
        <v>79</v>
      </c>
      <c r="F437" s="4">
        <v>20139</v>
      </c>
      <c r="G437">
        <v>70</v>
      </c>
      <c r="H437" t="s">
        <v>2181</v>
      </c>
      <c r="I437" t="s">
        <v>2182</v>
      </c>
      <c r="J437" s="4" t="s">
        <v>70</v>
      </c>
      <c r="K437" s="4" t="s">
        <v>71</v>
      </c>
      <c r="L437" t="s">
        <v>2187</v>
      </c>
      <c r="M437" t="s">
        <v>2178</v>
      </c>
      <c r="N437" t="s">
        <v>2179</v>
      </c>
      <c r="O437">
        <f>IFERROR(VLOOKUP(HEVARIM[[#This Row],[קוד תקציב]],[2]תקציבים!A:L,6,0),0)</f>
        <v>2</v>
      </c>
      <c r="P437" s="5" t="s">
        <v>104</v>
      </c>
      <c r="Q437" t="s">
        <v>11</v>
      </c>
      <c r="R437" s="4">
        <v>29586</v>
      </c>
      <c r="S437" s="4" t="s">
        <v>74</v>
      </c>
      <c r="T437" s="96" t="s">
        <v>2181</v>
      </c>
      <c r="U437" t="str">
        <f>VLOOKUP(HEVARIM[[#This Row],[גיל]],GIL,2,1)</f>
        <v>--</v>
      </c>
      <c r="V437" t="str">
        <f>IF(HEVARIM[[#This Row],[קוד מעמד]]="4     ",IF(HEVARIM[[#This Row],[גיל]]=1,1,IF(HEVARIM[[#This Row],[גיל]]&lt;=5,5,18)),"")</f>
        <v/>
      </c>
      <c r="W437">
        <f t="shared" si="24"/>
        <v>2365</v>
      </c>
      <c r="X43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37">
        <f>IF(HEVARIM[[#This Row],[מצב משפחתי2]]="אלמן",'[2]ריכוז נתונים'!$AC$2,0)</f>
        <v>0</v>
      </c>
      <c r="Z437" s="3">
        <f>VLOOKUP(VALUE(HEVARIM[[#This Row],[קוד מעמד]]),הנחות!$I$2:$K$21,3,0)</f>
        <v>0</v>
      </c>
      <c r="AA437" t="b">
        <f>ISERROR(VLOOKUP(HEVARIM[[#This Row],[קוד תקציב]],'[2]ריכוז נתונים'!A:A,1,0))</f>
        <v>0</v>
      </c>
      <c r="AB437" s="1">
        <f t="shared" si="25"/>
        <v>0</v>
      </c>
      <c r="AC437" s="2">
        <f ca="1">IF(HEVARIM[[#This Row],[בר מצוה]]&gt;0,YEAR(TODAY())+'תקציבים מיוחדים'!$F$5-HEVARIM[[#This Row],[גיל]],0)</f>
        <v>0</v>
      </c>
      <c r="AD437" s="1">
        <f t="shared" si="26"/>
        <v>0</v>
      </c>
      <c r="AE437" s="2">
        <f ca="1">IF(HEVARIM[[#This Row],[בת מצוה]]&gt;0,YEAR(TODAY())+'תקציבים מיוחדים'!$F$5-HEVARIM[[#This Row],[גיל]],0)</f>
        <v>0</v>
      </c>
      <c r="AF437" s="1">
        <f>IF(AND($S437&gt;="רווק",$Z437=1),AF$4*IF(HEVARIM[[#This Row],[גיל]]&gt;$AF$3,1,(($G437-AF$2)/(AF$3-AF$2))),0)</f>
        <v>0</v>
      </c>
      <c r="AG43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37" s="1">
        <f t="shared" si="27"/>
        <v>0</v>
      </c>
      <c r="AI437" s="2">
        <f ca="1">IF(AH437&gt;0,YEAR(TODAY())+'תקציבים מיוחדים'!$F$7-HEVARIM[[#This Row],[גיל]],0)</f>
        <v>0</v>
      </c>
      <c r="AJ437" s="9">
        <f>IF(AND(ISERROR(VLOOKUP(H437,'[2]ריכוז נתונים'!A:L,1,0)),P437="1     "),1,0)</f>
        <v>0</v>
      </c>
      <c r="AK437" s="1">
        <f>IF(VALUE(HEVARIM[[#This Row],[קוד מעמד]])=1,VLOOKUP((IF(LEFT(HEVARIM[[#This Row],[קוד חבר]],1)="0",HEVARIM[[#This Row],[קוד חבר]],VALUE(HEVARIM[[#This Row],[קוד חבר]]))),'ותק חברה 40'!AQ:AW,7,0),"")</f>
        <v>45.24</v>
      </c>
      <c r="AL437" s="1">
        <f>IF(AND(VALUE(HEVARIM[[#This Row],[קוד מעמד]])=1,HEVARIM[[#This Row],[ותק מחברה 40]]&lt;25),HEVARIM[[#This Row],[ותק מחברה 40]]/25*הנחות!$C$4,0)</f>
        <v>0</v>
      </c>
      <c r="AM437" s="9" t="str">
        <f ca="1">IF(HEVARIM[[#This Row],[דמי עזיבה 25 שנות ותק]]&gt;0,YEAR(TODAY())+25-ROUNDDOWN(HEVARIM[[#This Row],[ותק מחברה 40]],0),"")</f>
        <v/>
      </c>
      <c r="AN4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7" s="9" t="str">
        <f ca="1">IF(HEVARIM[[#This Row],[דמי עזיבה לגיל 65]]&gt;0,YEAR(TODAY())+64-ROUNDDOWN(HEVARIM[[#This Row],[גיל]],0),"")</f>
        <v/>
      </c>
      <c r="AP437" s="1">
        <f>SUMIF(HEVARIM[קוד תקציב],HEVARIM[[#This Row],[קוד תקציב משפחה מקורי]],HEVARIM[ותק מחברה 40])</f>
        <v>87.93</v>
      </c>
      <c r="AQ4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37" s="9">
        <f>IF(HEVARIM[[#This Row],[קוד מעמד]]="1     ",IFERROR(VLOOKUP(HEVARIM[[#This Row],[קוד תקציב]],'תקציב צביעה - לקראת השינוי'!A:F,4,0),0),0)</f>
        <v>2033</v>
      </c>
      <c r="AT437" s="1"/>
    </row>
    <row r="438" spans="1:46">
      <c r="A438" t="s">
        <v>2194</v>
      </c>
      <c r="B438" t="s">
        <v>2195</v>
      </c>
      <c r="C438" t="s">
        <v>2190</v>
      </c>
      <c r="D438" t="s">
        <v>1151</v>
      </c>
      <c r="E438" t="s">
        <v>79</v>
      </c>
      <c r="F438" s="4">
        <v>34269</v>
      </c>
      <c r="G438">
        <v>32</v>
      </c>
      <c r="H438" t="s">
        <v>2191</v>
      </c>
      <c r="I438" t="s">
        <v>2192</v>
      </c>
      <c r="J438" s="4" t="s">
        <v>70</v>
      </c>
      <c r="K438" s="4" t="s">
        <v>71</v>
      </c>
      <c r="L438" t="s">
        <v>2196</v>
      </c>
      <c r="M438" t="s">
        <v>2188</v>
      </c>
      <c r="N438" t="s">
        <v>2189</v>
      </c>
      <c r="O438">
        <f>IFERROR(VLOOKUP(HEVARIM[[#This Row],[קוד תקציב]],[2]תקציבים!A:L,6,0),0)</f>
        <v>2</v>
      </c>
      <c r="P438" s="5" t="s">
        <v>104</v>
      </c>
      <c r="Q438" t="s">
        <v>11</v>
      </c>
      <c r="R438" s="4">
        <v>45391</v>
      </c>
      <c r="S438" s="4" t="s">
        <v>74</v>
      </c>
      <c r="T438" s="96" t="s">
        <v>2181</v>
      </c>
      <c r="U438" t="str">
        <f>VLOOKUP(HEVARIM[[#This Row],[גיל]],GIL,2,1)</f>
        <v>--</v>
      </c>
      <c r="V438" t="str">
        <f>IF(HEVARIM[[#This Row],[קוד מעמד]]="4     ",IF(HEVARIM[[#This Row],[גיל]]=1,1,IF(HEVARIM[[#This Row],[גיל]]&lt;=5,5,18)),"")</f>
        <v/>
      </c>
      <c r="W438">
        <f t="shared" si="24"/>
        <v>0</v>
      </c>
      <c r="X4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8">
        <f>IF(HEVARIM[[#This Row],[מצב משפחתי2]]="אלמן",'[2]ריכוז נתונים'!$AC$2,0)</f>
        <v>0</v>
      </c>
      <c r="Z438" s="3">
        <f>VLOOKUP(VALUE(HEVARIM[[#This Row],[קוד מעמד]]),הנחות!$I$2:$K$21,3,0)</f>
        <v>0</v>
      </c>
      <c r="AA438" t="b">
        <f>ISERROR(VLOOKUP(HEVARIM[[#This Row],[קוד תקציב]],'[2]ריכוז נתונים'!A:A,1,0))</f>
        <v>0</v>
      </c>
      <c r="AB438" s="1">
        <f t="shared" si="25"/>
        <v>0</v>
      </c>
      <c r="AC438" s="2">
        <f ca="1">IF(HEVARIM[[#This Row],[בר מצוה]]&gt;0,YEAR(TODAY())+'תקציבים מיוחדים'!$F$5-HEVARIM[[#This Row],[גיל]],0)</f>
        <v>0</v>
      </c>
      <c r="AD438" s="1">
        <f t="shared" si="26"/>
        <v>0</v>
      </c>
      <c r="AE438" s="2">
        <f ca="1">IF(HEVARIM[[#This Row],[בת מצוה]]&gt;0,YEAR(TODAY())+'תקציבים מיוחדים'!$F$5-HEVARIM[[#This Row],[גיל]],0)</f>
        <v>0</v>
      </c>
      <c r="AF438" s="1">
        <f>IF(AND($S438&gt;="רווק",$Z438=1),AF$4*IF(HEVARIM[[#This Row],[גיל]]&gt;$AF$3,1,(($G438-AF$2)/(AF$3-AF$2))),0)</f>
        <v>0</v>
      </c>
      <c r="AG43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38" s="1">
        <f t="shared" si="27"/>
        <v>0</v>
      </c>
      <c r="AI438" s="2">
        <f ca="1">IF(AH438&gt;0,YEAR(TODAY())+'תקציבים מיוחדים'!$F$7-HEVARIM[[#This Row],[גיל]],0)</f>
        <v>0</v>
      </c>
      <c r="AJ438" s="9">
        <f>IF(AND(ISERROR(VLOOKUP(H438,'[2]ריכוז נתונים'!A:L,1,0)),P438="1     "),1,0)</f>
        <v>0</v>
      </c>
      <c r="AK438" s="1">
        <f>IF(VALUE(HEVARIM[[#This Row],[קוד מעמד]])=1,VLOOKUP((IF(LEFT(HEVARIM[[#This Row],[קוד חבר]],1)="0",HEVARIM[[#This Row],[קוד חבר]],VALUE(HEVARIM[[#This Row],[קוד חבר]]))),'ותק חברה 40'!AQ:AW,7,0),"")</f>
        <v>3.43</v>
      </c>
      <c r="AL438" s="1">
        <f>IF(AND(VALUE(HEVARIM[[#This Row],[קוד מעמד]])=1,HEVARIM[[#This Row],[ותק מחברה 40]]&lt;25),HEVARIM[[#This Row],[ותק מחברה 40]]/25*הנחות!$C$4,0)</f>
        <v>5149.7488350000003</v>
      </c>
      <c r="AM438" s="9">
        <f ca="1">IF(HEVARIM[[#This Row],[דמי עזיבה 25 שנות ותק]]&gt;0,YEAR(TODAY())+25-ROUNDDOWN(HEVARIM[[#This Row],[ותק מחברה 40]],0),"")</f>
        <v>2048</v>
      </c>
      <c r="AN4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8" s="9" t="str">
        <f ca="1">IF(HEVARIM[[#This Row],[דמי עזיבה לגיל 65]]&gt;0,YEAR(TODAY())+64-ROUNDDOWN(HEVARIM[[#This Row],[גיל]],0),"")</f>
        <v/>
      </c>
      <c r="AP438" s="1">
        <f>SUMIF(HEVARIM[קוד תקציב],HEVARIM[[#This Row],[קוד תקציב משפחה מקורי]],HEVARIM[ותק מחברה 40])</f>
        <v>87.93</v>
      </c>
      <c r="AQ4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8" s="9">
        <f>IF(HEVARIM[[#This Row],[קוד מעמד]]="1     ",IFERROR(VLOOKUP(HEVARIM[[#This Row],[קוד תקציב]],'תקציב צביעה - לקראת השינוי'!A:F,4,0),0),0)</f>
        <v>0</v>
      </c>
      <c r="AT438" s="1"/>
    </row>
    <row r="439" spans="1:46">
      <c r="A439" t="s">
        <v>2197</v>
      </c>
      <c r="B439" t="s">
        <v>2198</v>
      </c>
      <c r="C439" t="s">
        <v>2190</v>
      </c>
      <c r="D439" t="s">
        <v>2199</v>
      </c>
      <c r="E439" t="s">
        <v>79</v>
      </c>
      <c r="F439" s="4">
        <v>44134</v>
      </c>
      <c r="G439">
        <v>5</v>
      </c>
      <c r="H439" t="s">
        <v>2191</v>
      </c>
      <c r="I439" t="s">
        <v>2192</v>
      </c>
      <c r="J439" s="4" t="s">
        <v>70</v>
      </c>
      <c r="K439" s="4" t="s">
        <v>71</v>
      </c>
      <c r="L439" t="s">
        <v>2200</v>
      </c>
      <c r="M439" t="s">
        <v>2188</v>
      </c>
      <c r="N439" t="s">
        <v>2189</v>
      </c>
      <c r="O439">
        <f>IFERROR(VLOOKUP(HEVARIM[[#This Row],[קוד תקציב]],[2]תקציבים!A:L,6,0),0)</f>
        <v>2</v>
      </c>
      <c r="P439" s="5" t="s">
        <v>227</v>
      </c>
      <c r="Q439" t="s">
        <v>14</v>
      </c>
      <c r="R439" s="4">
        <v>44652</v>
      </c>
      <c r="S439" s="4" t="s">
        <v>90</v>
      </c>
      <c r="T439" s="96" t="s">
        <v>2191</v>
      </c>
      <c r="U439" t="str">
        <f>VLOOKUP(HEVARIM[[#This Row],[גיל]],GIL,2,1)</f>
        <v>גנים</v>
      </c>
      <c r="V439">
        <f>IF(HEVARIM[[#This Row],[קוד מעמד]]="4     ",IF(HEVARIM[[#This Row],[גיל]]=1,1,IF(HEVARIM[[#This Row],[גיל]]&lt;=5,5,18)),"")</f>
        <v>5</v>
      </c>
      <c r="W439">
        <f t="shared" si="24"/>
        <v>0</v>
      </c>
      <c r="X4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39">
        <f>IF(HEVARIM[[#This Row],[מצב משפחתי2]]="אלמן",'[2]ריכוז נתונים'!$AC$2,0)</f>
        <v>0</v>
      </c>
      <c r="Z439" s="3">
        <f>VLOOKUP(VALUE(HEVARIM[[#This Row],[קוד מעמד]]),הנחות!$I$2:$K$21,3,0)</f>
        <v>1</v>
      </c>
      <c r="AA439" t="b">
        <f>ISERROR(VLOOKUP(HEVARIM[[#This Row],[קוד תקציב]],'[2]ריכוז נתונים'!A:A,1,0))</f>
        <v>0</v>
      </c>
      <c r="AB439" s="1">
        <f t="shared" si="25"/>
        <v>0</v>
      </c>
      <c r="AC439" s="2">
        <f ca="1">IF(HEVARIM[[#This Row],[בר מצוה]]&gt;0,YEAR(TODAY())+'תקציבים מיוחדים'!$F$5-HEVARIM[[#This Row],[גיל]],0)</f>
        <v>0</v>
      </c>
      <c r="AD439" s="1">
        <f t="shared" si="26"/>
        <v>2755.7692307692309</v>
      </c>
      <c r="AE439" s="2">
        <f ca="1">IF(HEVARIM[[#This Row],[בת מצוה]]&gt;0,YEAR(TODAY())+'תקציבים מיוחדים'!$F$5-HEVARIM[[#This Row],[גיל]],0)</f>
        <v>2034</v>
      </c>
      <c r="AF439" s="1">
        <f>IF(AND($S439&gt;="רווק",$Z439=1),AF$4*IF(HEVARIM[[#This Row],[גיל]]&gt;$AF$3,1,(($G439-AF$2)/(AF$3-AF$2))),0)</f>
        <v>14407.738095238094</v>
      </c>
      <c r="AG439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439" s="1">
        <f t="shared" si="27"/>
        <v>25140.119047619046</v>
      </c>
      <c r="AI439" s="2">
        <f ca="1">IF(AH439&gt;0,YEAR(TODAY())+'תקציבים מיוחדים'!$F$7-HEVARIM[[#This Row],[גיל]],0)</f>
        <v>2042</v>
      </c>
      <c r="AJ439" s="9">
        <f>IF(AND(ISERROR(VLOOKUP(H439,'[2]ריכוז נתונים'!A:L,1,0)),P439="1     "),1,0)</f>
        <v>0</v>
      </c>
      <c r="AK43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39" s="1">
        <f>IF(AND(VALUE(HEVARIM[[#This Row],[קוד מעמד]])=1,HEVARIM[[#This Row],[ותק מחברה 40]]&lt;25),HEVARIM[[#This Row],[ותק מחברה 40]]/25*הנחות!$C$4,0)</f>
        <v>0</v>
      </c>
      <c r="AM439" s="9" t="str">
        <f ca="1">IF(HEVARIM[[#This Row],[דמי עזיבה 25 שנות ותק]]&gt;0,YEAR(TODAY())+25-ROUNDDOWN(HEVARIM[[#This Row],[ותק מחברה 40]],0),"")</f>
        <v/>
      </c>
      <c r="AN4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39" s="9" t="str">
        <f ca="1">IF(HEVARIM[[#This Row],[דמי עזיבה לגיל 65]]&gt;0,YEAR(TODAY())+64-ROUNDDOWN(HEVARIM[[#This Row],[גיל]],0),"")</f>
        <v/>
      </c>
      <c r="AP439" s="1">
        <f>SUMIF(HEVARIM[קוד תקציב],HEVARIM[[#This Row],[קוד תקציב משפחה מקורי]],HEVARIM[ותק מחברה 40])</f>
        <v>6.86</v>
      </c>
      <c r="AQ4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39" s="9">
        <f>IF(HEVARIM[[#This Row],[קוד מעמד]]="1     ",IFERROR(VLOOKUP(HEVARIM[[#This Row],[קוד תקציב]],'תקציב צביעה - לקראת השינוי'!A:F,4,0),0),0)</f>
        <v>0</v>
      </c>
      <c r="AT439" s="1"/>
    </row>
    <row r="440" spans="1:46">
      <c r="A440" t="s">
        <v>2201</v>
      </c>
      <c r="B440" t="s">
        <v>2202</v>
      </c>
      <c r="C440" t="s">
        <v>2190</v>
      </c>
      <c r="D440" t="s">
        <v>2203</v>
      </c>
      <c r="E440" t="s">
        <v>79</v>
      </c>
      <c r="F440" s="4">
        <v>45049</v>
      </c>
      <c r="G440">
        <v>2</v>
      </c>
      <c r="H440" t="s">
        <v>2191</v>
      </c>
      <c r="I440" t="s">
        <v>2192</v>
      </c>
      <c r="J440" s="4" t="s">
        <v>70</v>
      </c>
      <c r="K440" s="4" t="s">
        <v>71</v>
      </c>
      <c r="L440" t="s">
        <v>2204</v>
      </c>
      <c r="M440" t="s">
        <v>2188</v>
      </c>
      <c r="N440" t="s">
        <v>2189</v>
      </c>
      <c r="O440">
        <f>IFERROR(VLOOKUP(HEVARIM[[#This Row],[קוד תקציב]],[2]תקציבים!A:L,6,0),0)</f>
        <v>2</v>
      </c>
      <c r="P440" s="5" t="s">
        <v>227</v>
      </c>
      <c r="Q440" t="s">
        <v>14</v>
      </c>
      <c r="R440" s="4">
        <v>45049</v>
      </c>
      <c r="S440" s="4" t="s">
        <v>90</v>
      </c>
      <c r="T440" s="96" t="s">
        <v>2191</v>
      </c>
      <c r="U440" t="str">
        <f>VLOOKUP(HEVARIM[[#This Row],[גיל]],GIL,2,1)</f>
        <v>פעוט</v>
      </c>
      <c r="V440">
        <f>IF(HEVARIM[[#This Row],[קוד מעמד]]="4     ",IF(HEVARIM[[#This Row],[גיל]]=1,1,IF(HEVARIM[[#This Row],[גיל]]&lt;=5,5,18)),"")</f>
        <v>5</v>
      </c>
      <c r="W440">
        <f t="shared" si="24"/>
        <v>0</v>
      </c>
      <c r="X4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0">
        <f>IF(HEVARIM[[#This Row],[מצב משפחתי2]]="אלמן",'[2]ריכוז נתונים'!$AC$2,0)</f>
        <v>0</v>
      </c>
      <c r="Z440" s="3">
        <f>VLOOKUP(VALUE(HEVARIM[[#This Row],[קוד מעמד]]),הנחות!$I$2:$K$21,3,0)</f>
        <v>1</v>
      </c>
      <c r="AA440" t="b">
        <f>ISERROR(VLOOKUP(HEVARIM[[#This Row],[קוד תקציב]],'[2]ריכוז נתונים'!A:A,1,0))</f>
        <v>0</v>
      </c>
      <c r="AB440" s="1">
        <f t="shared" si="25"/>
        <v>0</v>
      </c>
      <c r="AC440" s="2">
        <f ca="1">IF(HEVARIM[[#This Row],[בר מצוה]]&gt;0,YEAR(TODAY())+'תקציבים מיוחדים'!$F$5-HEVARIM[[#This Row],[גיל]],0)</f>
        <v>0</v>
      </c>
      <c r="AD440" s="1">
        <f t="shared" si="26"/>
        <v>1102.3076923076924</v>
      </c>
      <c r="AE440" s="2">
        <f ca="1">IF(HEVARIM[[#This Row],[בת מצוה]]&gt;0,YEAR(TODAY())+'תקציבים מיוחדים'!$F$5-HEVARIM[[#This Row],[גיל]],0)</f>
        <v>2037</v>
      </c>
      <c r="AF440" s="1">
        <f>IF(AND($S440&gt;="רווק",$Z440=1),AF$4*IF(HEVARIM[[#This Row],[גיל]]&gt;$AF$3,1,(($G440-AF$2)/(AF$3-AF$2))),0)</f>
        <v>5763.0952380952376</v>
      </c>
      <c r="AG440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440" s="1">
        <f t="shared" si="27"/>
        <v>10056.047619047618</v>
      </c>
      <c r="AI440" s="2">
        <f ca="1">IF(AH440&gt;0,YEAR(TODAY())+'תקציבים מיוחדים'!$F$7-HEVARIM[[#This Row],[גיל]],0)</f>
        <v>2045</v>
      </c>
      <c r="AJ440" s="9">
        <f>IF(AND(ISERROR(VLOOKUP(H440,'[2]ריכוז נתונים'!A:L,1,0)),P440="1     "),1,0)</f>
        <v>0</v>
      </c>
      <c r="AK44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40" s="1">
        <f>IF(AND(VALUE(HEVARIM[[#This Row],[קוד מעמד]])=1,HEVARIM[[#This Row],[ותק מחברה 40]]&lt;25),HEVARIM[[#This Row],[ותק מחברה 40]]/25*הנחות!$C$4,0)</f>
        <v>0</v>
      </c>
      <c r="AM440" s="9" t="str">
        <f ca="1">IF(HEVARIM[[#This Row],[דמי עזיבה 25 שנות ותק]]&gt;0,YEAR(TODAY())+25-ROUNDDOWN(HEVARIM[[#This Row],[ותק מחברה 40]],0),"")</f>
        <v/>
      </c>
      <c r="AN4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0" s="9" t="str">
        <f ca="1">IF(HEVARIM[[#This Row],[דמי עזיבה לגיל 65]]&gt;0,YEAR(TODAY())+64-ROUNDDOWN(HEVARIM[[#This Row],[גיל]],0),"")</f>
        <v/>
      </c>
      <c r="AP440" s="1">
        <f>SUMIF(HEVARIM[קוד תקציב],HEVARIM[[#This Row],[קוד תקציב משפחה מקורי]],HEVARIM[ותק מחברה 40])</f>
        <v>6.86</v>
      </c>
      <c r="AQ4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40" s="9">
        <f>IF(HEVARIM[[#This Row],[קוד מעמד]]="1     ",IFERROR(VLOOKUP(HEVARIM[[#This Row],[קוד תקציב]],'תקציב צביעה - לקראת השינוי'!A:F,4,0),0),0)</f>
        <v>0</v>
      </c>
      <c r="AT440" s="1"/>
    </row>
    <row r="441" spans="1:46">
      <c r="A441" t="s">
        <v>2188</v>
      </c>
      <c r="B441" t="s">
        <v>2189</v>
      </c>
      <c r="C441" t="s">
        <v>2190</v>
      </c>
      <c r="D441" t="s">
        <v>1065</v>
      </c>
      <c r="E441" t="s">
        <v>67</v>
      </c>
      <c r="F441" s="4">
        <v>33741</v>
      </c>
      <c r="G441">
        <v>33</v>
      </c>
      <c r="H441" t="s">
        <v>2191</v>
      </c>
      <c r="I441" t="s">
        <v>2192</v>
      </c>
      <c r="J441" s="4" t="s">
        <v>70</v>
      </c>
      <c r="K441" s="4" t="s">
        <v>71</v>
      </c>
      <c r="L441" t="s">
        <v>2193</v>
      </c>
      <c r="M441" t="s">
        <v>2188</v>
      </c>
      <c r="N441" t="s">
        <v>2189</v>
      </c>
      <c r="O441">
        <f>IFERROR(VLOOKUP(HEVARIM[[#This Row],[קוד תקציב]],[2]תקציבים!A:L,6,0),0)</f>
        <v>2</v>
      </c>
      <c r="P441" s="5" t="s">
        <v>104</v>
      </c>
      <c r="Q441" t="s">
        <v>11</v>
      </c>
      <c r="R441" s="4">
        <v>45391</v>
      </c>
      <c r="S441" s="4" t="s">
        <v>74</v>
      </c>
      <c r="T441" s="96" t="s">
        <v>2191</v>
      </c>
      <c r="U441" t="str">
        <f>VLOOKUP(HEVARIM[[#This Row],[גיל]],GIL,2,1)</f>
        <v>--</v>
      </c>
      <c r="V441" t="str">
        <f>IF(HEVARIM[[#This Row],[קוד מעמד]]="4     ",IF(HEVARIM[[#This Row],[גיל]]=1,1,IF(HEVARIM[[#This Row],[גיל]]&lt;=5,5,18)),"")</f>
        <v/>
      </c>
      <c r="W441">
        <f t="shared" si="24"/>
        <v>0</v>
      </c>
      <c r="X44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1">
        <f>IF(HEVARIM[[#This Row],[מצב משפחתי2]]="אלמן",'[2]ריכוז נתונים'!$AC$2,0)</f>
        <v>0</v>
      </c>
      <c r="Z441" s="3">
        <f>VLOOKUP(VALUE(HEVARIM[[#This Row],[קוד מעמד]]),הנחות!$I$2:$K$21,3,0)</f>
        <v>0</v>
      </c>
      <c r="AA441" t="b">
        <f>ISERROR(VLOOKUP(HEVARIM[[#This Row],[קוד תקציב]],'[2]ריכוז נתונים'!A:A,1,0))</f>
        <v>0</v>
      </c>
      <c r="AB441" s="1">
        <f t="shared" si="25"/>
        <v>0</v>
      </c>
      <c r="AC441" s="2">
        <f ca="1">IF(HEVARIM[[#This Row],[בר מצוה]]&gt;0,YEAR(TODAY())+'תקציבים מיוחדים'!$F$5-HEVARIM[[#This Row],[גיל]],0)</f>
        <v>0</v>
      </c>
      <c r="AD441" s="1">
        <f t="shared" si="26"/>
        <v>0</v>
      </c>
      <c r="AE441" s="2">
        <f ca="1">IF(HEVARIM[[#This Row],[בת מצוה]]&gt;0,YEAR(TODAY())+'תקציבים מיוחדים'!$F$5-HEVARIM[[#This Row],[גיל]],0)</f>
        <v>0</v>
      </c>
      <c r="AF441" s="1">
        <f>IF(AND($S441&gt;="רווק",$Z441=1),AF$4*IF(HEVARIM[[#This Row],[גיל]]&gt;$AF$3,1,(($G441-AF$2)/(AF$3-AF$2))),0)</f>
        <v>0</v>
      </c>
      <c r="AG44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1" s="1">
        <f t="shared" si="27"/>
        <v>0</v>
      </c>
      <c r="AI441" s="2">
        <f ca="1">IF(AH441&gt;0,YEAR(TODAY())+'תקציבים מיוחדים'!$F$7-HEVARIM[[#This Row],[גיל]],0)</f>
        <v>0</v>
      </c>
      <c r="AJ441" s="9">
        <f>IF(AND(ISERROR(VLOOKUP(H441,'[2]ריכוז נתונים'!A:L,1,0)),P441="1     "),1,0)</f>
        <v>0</v>
      </c>
      <c r="AK441" s="1">
        <f>IF(VALUE(HEVARIM[[#This Row],[קוד מעמד]])=1,VLOOKUP((IF(LEFT(HEVARIM[[#This Row],[קוד חבר]],1)="0",HEVARIM[[#This Row],[קוד חבר]],VALUE(HEVARIM[[#This Row],[קוד חבר]]))),'ותק חברה 40'!AQ:AW,7,0),"")</f>
        <v>3.43</v>
      </c>
      <c r="AL441" s="1">
        <f>IF(AND(VALUE(HEVARIM[[#This Row],[קוד מעמד]])=1,HEVARIM[[#This Row],[ותק מחברה 40]]&lt;25),HEVARIM[[#This Row],[ותק מחברה 40]]/25*הנחות!$C$4,0)</f>
        <v>5149.7488350000003</v>
      </c>
      <c r="AM441" s="9">
        <f ca="1">IF(HEVARIM[[#This Row],[דמי עזיבה 25 שנות ותק]]&gt;0,YEAR(TODAY())+25-ROUNDDOWN(HEVARIM[[#This Row],[ותק מחברה 40]],0),"")</f>
        <v>2048</v>
      </c>
      <c r="AN4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1" s="9" t="str">
        <f ca="1">IF(HEVARIM[[#This Row],[דמי עזיבה לגיל 65]]&gt;0,YEAR(TODAY())+64-ROUNDDOWN(HEVARIM[[#This Row],[גיל]],0),"")</f>
        <v/>
      </c>
      <c r="AP441" s="1">
        <f>SUMIF(HEVARIM[קוד תקציב],HEVARIM[[#This Row],[קוד תקציב משפחה מקורי]],HEVARIM[ותק מחברה 40])</f>
        <v>6.86</v>
      </c>
      <c r="AQ4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41" s="9">
        <f>IF(HEVARIM[[#This Row],[קוד מעמד]]="1     ",IFERROR(VLOOKUP(HEVARIM[[#This Row],[קוד תקציב]],'תקציב צביעה - לקראת השינוי'!A:F,4,0),0),0)</f>
        <v>0</v>
      </c>
      <c r="AT441" s="1"/>
    </row>
    <row r="442" spans="1:46">
      <c r="A442" t="s">
        <v>2215</v>
      </c>
      <c r="B442" t="s">
        <v>2216</v>
      </c>
      <c r="C442" t="s">
        <v>2217</v>
      </c>
      <c r="D442" t="s">
        <v>1706</v>
      </c>
      <c r="E442" t="s">
        <v>67</v>
      </c>
      <c r="F442" s="4">
        <v>17261</v>
      </c>
      <c r="G442">
        <v>78</v>
      </c>
      <c r="H442" t="s">
        <v>2218</v>
      </c>
      <c r="I442" t="s">
        <v>2219</v>
      </c>
      <c r="J442" s="4" t="s">
        <v>70</v>
      </c>
      <c r="K442" s="4" t="s">
        <v>71</v>
      </c>
      <c r="L442" t="s">
        <v>2220</v>
      </c>
      <c r="M442" t="s">
        <v>2215</v>
      </c>
      <c r="N442" t="s">
        <v>2216</v>
      </c>
      <c r="O442">
        <f>IFERROR(VLOOKUP(HEVARIM[[#This Row],[קוד תקציב]],[2]תקציבים!A:L,6,0),0)</f>
        <v>1</v>
      </c>
      <c r="P442" s="5" t="s">
        <v>104</v>
      </c>
      <c r="Q442" t="s">
        <v>11</v>
      </c>
      <c r="R442" s="4">
        <v>29220</v>
      </c>
      <c r="S442" s="4" t="s">
        <v>74</v>
      </c>
      <c r="T442" s="96" t="s">
        <v>2218</v>
      </c>
      <c r="U442" t="str">
        <f>VLOOKUP(HEVARIM[[#This Row],[גיל]],GIL,2,1)</f>
        <v>--</v>
      </c>
      <c r="V442" t="str">
        <f>IF(HEVARIM[[#This Row],[קוד מעמד]]="4     ",IF(HEVARIM[[#This Row],[גיל]]=1,1,IF(HEVARIM[[#This Row],[גיל]]&lt;=5,5,18)),"")</f>
        <v/>
      </c>
      <c r="W442">
        <f t="shared" si="24"/>
        <v>1564</v>
      </c>
      <c r="X44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42">
        <f>IF(HEVARIM[[#This Row],[מצב משפחתי2]]="אלמן",'[2]ריכוז נתונים'!$AC$2,0)</f>
        <v>0</v>
      </c>
      <c r="Z442" s="3">
        <f>VLOOKUP(VALUE(HEVARIM[[#This Row],[קוד מעמד]]),הנחות!$I$2:$K$21,3,0)</f>
        <v>0</v>
      </c>
      <c r="AA442" t="b">
        <f>ISERROR(VLOOKUP(HEVARIM[[#This Row],[קוד תקציב]],'[2]ריכוז נתונים'!A:A,1,0))</f>
        <v>0</v>
      </c>
      <c r="AB442" s="1">
        <f t="shared" si="25"/>
        <v>0</v>
      </c>
      <c r="AC442" s="2">
        <f ca="1">IF(HEVARIM[[#This Row],[בר מצוה]]&gt;0,YEAR(TODAY())+'תקציבים מיוחדים'!$F$5-HEVARIM[[#This Row],[גיל]],0)</f>
        <v>0</v>
      </c>
      <c r="AD442" s="1">
        <f t="shared" si="26"/>
        <v>0</v>
      </c>
      <c r="AE442" s="2">
        <f ca="1">IF(HEVARIM[[#This Row],[בת מצוה]]&gt;0,YEAR(TODAY())+'תקציבים מיוחדים'!$F$5-HEVARIM[[#This Row],[גיל]],0)</f>
        <v>0</v>
      </c>
      <c r="AF442" s="1">
        <f>IF(AND($S442&gt;="רווק",$Z442=1),AF$4*IF(HEVARIM[[#This Row],[גיל]]&gt;$AF$3,1,(($G442-AF$2)/(AF$3-AF$2))),0)</f>
        <v>0</v>
      </c>
      <c r="AG44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2" s="1">
        <f t="shared" si="27"/>
        <v>0</v>
      </c>
      <c r="AI442" s="2">
        <f ca="1">IF(AH442&gt;0,YEAR(TODAY())+'תקציבים מיוחדים'!$F$7-HEVARIM[[#This Row],[גיל]],0)</f>
        <v>0</v>
      </c>
      <c r="AJ442" s="9">
        <f>IF(AND(ISERROR(VLOOKUP(H442,'[2]ריכוז נתונים'!A:L,1,0)),P442="1     "),1,0)</f>
        <v>0</v>
      </c>
      <c r="AK442" s="1">
        <f>IF(VALUE(HEVARIM[[#This Row],[קוד מעמד]])=1,VLOOKUP((IF(LEFT(HEVARIM[[#This Row],[קוד חבר]],1)="0",HEVARIM[[#This Row],[קוד חבר]],VALUE(HEVARIM[[#This Row],[קוד חבר]]))),'ותק חברה 40'!AQ:AW,7,0),"")</f>
        <v>38.479999999999997</v>
      </c>
      <c r="AL442" s="1">
        <f>IF(AND(VALUE(HEVARIM[[#This Row],[קוד מעמד]])=1,HEVARIM[[#This Row],[ותק מחברה 40]]&lt;25),HEVARIM[[#This Row],[ותק מחברה 40]]/25*הנחות!$C$4,0)</f>
        <v>0</v>
      </c>
      <c r="AM442" s="9" t="str">
        <f ca="1">IF(HEVARIM[[#This Row],[דמי עזיבה 25 שנות ותק]]&gt;0,YEAR(TODAY())+25-ROUNDDOWN(HEVARIM[[#This Row],[ותק מחברה 40]],0),"")</f>
        <v/>
      </c>
      <c r="AN4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2" s="9" t="str">
        <f ca="1">IF(HEVARIM[[#This Row],[דמי עזיבה לגיל 65]]&gt;0,YEAR(TODAY())+64-ROUNDDOWN(HEVARIM[[#This Row],[גיל]],0),"")</f>
        <v/>
      </c>
      <c r="AP442" s="1">
        <f>SUMIF(HEVARIM[קוד תקציב],HEVARIM[[#This Row],[קוד תקציב משפחה מקורי]],HEVARIM[ותק מחברה 40])</f>
        <v>38.479999999999997</v>
      </c>
      <c r="AQ4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442" s="9">
        <f>IF(HEVARIM[[#This Row],[קוד מעמד]]="1     ",IFERROR(VLOOKUP(HEVARIM[[#This Row],[קוד תקציב]],'תקציב צביעה - לקראת השינוי'!A:F,4,0),0),0)</f>
        <v>2027</v>
      </c>
      <c r="AT442" s="1"/>
    </row>
    <row r="443" spans="1:46">
      <c r="A443" t="s">
        <v>2009</v>
      </c>
      <c r="B443" t="s">
        <v>2010</v>
      </c>
      <c r="C443" t="s">
        <v>2005</v>
      </c>
      <c r="D443" t="s">
        <v>503</v>
      </c>
      <c r="E443" t="s">
        <v>79</v>
      </c>
      <c r="F443" s="4">
        <v>26872</v>
      </c>
      <c r="G443">
        <v>52</v>
      </c>
      <c r="H443" t="s">
        <v>2006</v>
      </c>
      <c r="I443" t="s">
        <v>2007</v>
      </c>
      <c r="J443" s="4" t="s">
        <v>70</v>
      </c>
      <c r="K443" s="4" t="s">
        <v>71</v>
      </c>
      <c r="L443" t="s">
        <v>2011</v>
      </c>
      <c r="M443" t="s">
        <v>2003</v>
      </c>
      <c r="N443" t="s">
        <v>2004</v>
      </c>
      <c r="O443">
        <f>IFERROR(VLOOKUP(HEVARIM[[#This Row],[קוד תקציב]],[2]תקציבים!A:L,6,0),0)</f>
        <v>2</v>
      </c>
      <c r="P443" s="5" t="s">
        <v>104</v>
      </c>
      <c r="Q443" t="s">
        <v>11</v>
      </c>
      <c r="R443" s="4">
        <v>40725</v>
      </c>
      <c r="S443" s="4" t="s">
        <v>74</v>
      </c>
      <c r="T443" s="96" t="s">
        <v>2218</v>
      </c>
      <c r="U443" t="str">
        <f>VLOOKUP(HEVARIM[[#This Row],[גיל]],GIL,2,1)</f>
        <v>--</v>
      </c>
      <c r="V443" t="str">
        <f>IF(HEVARIM[[#This Row],[קוד מעמד]]="4     ",IF(HEVARIM[[#This Row],[גיל]]=1,1,IF(HEVARIM[[#This Row],[גיל]]&lt;=5,5,18)),"")</f>
        <v/>
      </c>
      <c r="W443">
        <f t="shared" si="24"/>
        <v>0</v>
      </c>
      <c r="X44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3">
        <f>IF(HEVARIM[[#This Row],[מצב משפחתי2]]="אלמן",'[2]ריכוז נתונים'!$AC$2,0)</f>
        <v>0</v>
      </c>
      <c r="Z443" s="3">
        <f>VLOOKUP(VALUE(HEVARIM[[#This Row],[קוד מעמד]]),הנחות!$I$2:$K$21,3,0)</f>
        <v>0</v>
      </c>
      <c r="AA443" t="b">
        <f>ISERROR(VLOOKUP(HEVARIM[[#This Row],[קוד תקציב]],'[2]ריכוז נתונים'!A:A,1,0))</f>
        <v>0</v>
      </c>
      <c r="AB443" s="1">
        <f t="shared" si="25"/>
        <v>0</v>
      </c>
      <c r="AC443" s="2">
        <f ca="1">IF(HEVARIM[[#This Row],[בר מצוה]]&gt;0,YEAR(TODAY())+'תקציבים מיוחדים'!$F$5-HEVARIM[[#This Row],[גיל]],0)</f>
        <v>0</v>
      </c>
      <c r="AD443" s="1">
        <f t="shared" si="26"/>
        <v>0</v>
      </c>
      <c r="AE443" s="2">
        <f ca="1">IF(HEVARIM[[#This Row],[בת מצוה]]&gt;0,YEAR(TODAY())+'תקציבים מיוחדים'!$F$5-HEVARIM[[#This Row],[גיל]],0)</f>
        <v>0</v>
      </c>
      <c r="AF443" s="1">
        <f>IF(AND($S443&gt;="רווק",$Z443=1),AF$4*IF(HEVARIM[[#This Row],[גיל]]&gt;$AF$3,1,(($G443-AF$2)/(AF$3-AF$2))),0)</f>
        <v>0</v>
      </c>
      <c r="AG44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3" s="1">
        <f t="shared" si="27"/>
        <v>0</v>
      </c>
      <c r="AI443" s="2">
        <f ca="1">IF(AH443&gt;0,YEAR(TODAY())+'תקציבים מיוחדים'!$F$7-HEVARIM[[#This Row],[גיל]],0)</f>
        <v>0</v>
      </c>
      <c r="AJ443" s="9">
        <f>IF(AND(ISERROR(VLOOKUP(H443,'[2]ריכוז נתונים'!A:L,1,0)),P443="1     "),1,0)</f>
        <v>0</v>
      </c>
      <c r="AK443" s="1">
        <f>IF(VALUE(HEVARIM[[#This Row],[קוד מעמד]])=1,VLOOKUP((IF(LEFT(HEVARIM[[#This Row],[קוד חבר]],1)="0",HEVARIM[[#This Row],[קוד חבר]],VALUE(HEVARIM[[#This Row],[קוד חבר]]))),'ותק חברה 40'!AQ:AW,7,0),"")</f>
        <v>16.18</v>
      </c>
      <c r="AL443" s="1">
        <f>IF(AND(VALUE(HEVARIM[[#This Row],[קוד מעמד]])=1,HEVARIM[[#This Row],[ותק מחברה 40]]&lt;25),HEVARIM[[#This Row],[ותק מחברה 40]]/25*הנחות!$C$4,0)</f>
        <v>24292.401209999996</v>
      </c>
      <c r="AM443" s="9">
        <f ca="1">IF(HEVARIM[[#This Row],[דמי עזיבה 25 שנות ותק]]&gt;0,YEAR(TODAY())+25-ROUNDDOWN(HEVARIM[[#This Row],[ותק מחברה 40]],0),"")</f>
        <v>2035</v>
      </c>
      <c r="AN44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3" s="9" t="str">
        <f ca="1">IF(HEVARIM[[#This Row],[דמי עזיבה לגיל 65]]&gt;0,YEAR(TODAY())+64-ROUNDDOWN(HEVARIM[[#This Row],[גיל]],0),"")</f>
        <v/>
      </c>
      <c r="AP443" s="1">
        <f>SUMIF(HEVARIM[קוד תקציב],HEVARIM[[#This Row],[קוד תקציב משפחה מקורי]],HEVARIM[ותק מחברה 40])</f>
        <v>38.479999999999997</v>
      </c>
      <c r="AQ4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443" s="9">
        <f>IF(HEVARIM[[#This Row],[קוד מעמד]]="1     ",IFERROR(VLOOKUP(HEVARIM[[#This Row],[קוד תקציב]],'תקציב צביעה - לקראת השינוי'!A:F,4,0),0),0)</f>
        <v>2034</v>
      </c>
      <c r="AT443" s="1"/>
    </row>
    <row r="444" spans="1:46">
      <c r="A444" t="s">
        <v>758</v>
      </c>
      <c r="B444" t="s">
        <v>759</v>
      </c>
      <c r="C444" t="s">
        <v>679</v>
      </c>
      <c r="D444" t="s">
        <v>760</v>
      </c>
      <c r="E444" t="s">
        <v>79</v>
      </c>
      <c r="F444" s="4">
        <v>27627</v>
      </c>
      <c r="G444">
        <v>50</v>
      </c>
      <c r="H444" t="s">
        <v>755</v>
      </c>
      <c r="I444" t="s">
        <v>756</v>
      </c>
      <c r="J444" s="4" t="s">
        <v>70</v>
      </c>
      <c r="K444" s="4" t="s">
        <v>71</v>
      </c>
      <c r="L444" t="s">
        <v>761</v>
      </c>
      <c r="M444" t="s">
        <v>752</v>
      </c>
      <c r="N444" t="s">
        <v>753</v>
      </c>
      <c r="O444">
        <f>IFERROR(VLOOKUP(HEVARIM[[#This Row],[קוד תקציב]],[2]תקציבים!A:L,6,0),0)</f>
        <v>2</v>
      </c>
      <c r="P444" s="5" t="s">
        <v>104</v>
      </c>
      <c r="Q444" t="s">
        <v>11</v>
      </c>
      <c r="R444" s="4">
        <v>37135</v>
      </c>
      <c r="S444" s="4" t="s">
        <v>74</v>
      </c>
      <c r="T444" s="96" t="s">
        <v>2218</v>
      </c>
      <c r="U444" t="str">
        <f>VLOOKUP(HEVARIM[[#This Row],[גיל]],GIL,2,1)</f>
        <v>--</v>
      </c>
      <c r="V444" t="str">
        <f>IF(HEVARIM[[#This Row],[קוד מעמד]]="4     ",IF(HEVARIM[[#This Row],[גיל]]=1,1,IF(HEVARIM[[#This Row],[גיל]]&lt;=5,5,18)),"")</f>
        <v/>
      </c>
      <c r="W444">
        <f t="shared" si="24"/>
        <v>0</v>
      </c>
      <c r="X44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4">
        <f>IF(HEVARIM[[#This Row],[מצב משפחתי2]]="אלמן",'[2]ריכוז נתונים'!$AC$2,0)</f>
        <v>0</v>
      </c>
      <c r="Z444" s="3">
        <f>VLOOKUP(VALUE(HEVARIM[[#This Row],[קוד מעמד]]),הנחות!$I$2:$K$21,3,0)</f>
        <v>0</v>
      </c>
      <c r="AA444" t="b">
        <f>ISERROR(VLOOKUP(HEVARIM[[#This Row],[קוד תקציב]],'[2]ריכוז נתונים'!A:A,1,0))</f>
        <v>0</v>
      </c>
      <c r="AB444" s="1">
        <f t="shared" si="25"/>
        <v>0</v>
      </c>
      <c r="AC444" s="2">
        <f ca="1">IF(HEVARIM[[#This Row],[בר מצוה]]&gt;0,YEAR(TODAY())+'תקציבים מיוחדים'!$F$5-HEVARIM[[#This Row],[גיל]],0)</f>
        <v>0</v>
      </c>
      <c r="AD444" s="1">
        <f t="shared" si="26"/>
        <v>0</v>
      </c>
      <c r="AE444" s="2">
        <f ca="1">IF(HEVARIM[[#This Row],[בת מצוה]]&gt;0,YEAR(TODAY())+'תקציבים מיוחדים'!$F$5-HEVARIM[[#This Row],[גיל]],0)</f>
        <v>0</v>
      </c>
      <c r="AF444" s="1">
        <f>IF(AND($S444&gt;="רווק",$Z444=1),AF$4*IF(HEVARIM[[#This Row],[גיל]]&gt;$AF$3,1,(($G444-AF$2)/(AF$3-AF$2))),0)</f>
        <v>0</v>
      </c>
      <c r="AG44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4" s="1">
        <f t="shared" si="27"/>
        <v>0</v>
      </c>
      <c r="AI444" s="2">
        <f ca="1">IF(AH444&gt;0,YEAR(TODAY())+'תקציבים מיוחדים'!$F$7-HEVARIM[[#This Row],[גיל]],0)</f>
        <v>0</v>
      </c>
      <c r="AJ444" s="9">
        <f>IF(AND(ISERROR(VLOOKUP(H444,'[2]ריכוז נתונים'!A:L,1,0)),P444="1     "),1,0)</f>
        <v>0</v>
      </c>
      <c r="AK444" s="1">
        <f>IF(VALUE(HEVARIM[[#This Row],[קוד מעמד]])=1,VLOOKUP((IF(LEFT(HEVARIM[[#This Row],[קוד חבר]],1)="0",HEVARIM[[#This Row],[קוד חבר]],VALUE(HEVARIM[[#This Row],[קוד חבר]]))),'ותק חברה 40'!AQ:AW,7,0),"")</f>
        <v>27.77</v>
      </c>
      <c r="AL444" s="1">
        <f>IF(AND(VALUE(HEVARIM[[#This Row],[קוד מעמד]])=1,HEVARIM[[#This Row],[ותק מחברה 40]]&lt;25),HEVARIM[[#This Row],[ותק מחברה 40]]/25*הנחות!$C$4,0)</f>
        <v>0</v>
      </c>
      <c r="AM444" s="9" t="str">
        <f ca="1">IF(HEVARIM[[#This Row],[דמי עזיבה 25 שנות ותק]]&gt;0,YEAR(TODAY())+25-ROUNDDOWN(HEVARIM[[#This Row],[ותק מחברה 40]],0),"")</f>
        <v/>
      </c>
      <c r="AN444" s="1">
        <f>IF(AND(VALUE(HEVARIM[[#This Row],[קוד מעמד]])=1,HEVARIM[[#This Row],[ותק מחברה 40]]&gt;25,HEVARIM[[#This Row],[גיל]]&lt;65),הנחות!$C$14+(HEVARIM[[#This Row],[ותק מחברה 40]]-25)*הנחות!$C$10*0.25,0)</f>
        <v>34236.928687499996</v>
      </c>
      <c r="AO444" s="9">
        <f ca="1">IF(HEVARIM[[#This Row],[דמי עזיבה לגיל 65]]&gt;0,YEAR(TODAY())+64-ROUNDDOWN(HEVARIM[[#This Row],[גיל]],0),"")</f>
        <v>2040</v>
      </c>
      <c r="AP444" s="1">
        <f>SUMIF(HEVARIM[קוד תקציב],HEVARIM[[#This Row],[קוד תקציב משפחה מקורי]],HEVARIM[ותק מחברה 40])</f>
        <v>38.479999999999997</v>
      </c>
      <c r="AQ4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444" s="9">
        <f>IF(HEVARIM[[#This Row],[קוד מעמד]]="1     ",IFERROR(VLOOKUP(HEVARIM[[#This Row],[קוד תקציב]],'תקציב צביעה - לקראת השינוי'!A:F,4,0),0),0)</f>
        <v>2032</v>
      </c>
      <c r="AT444" s="1"/>
    </row>
    <row r="445" spans="1:46">
      <c r="A445" t="s">
        <v>2221</v>
      </c>
      <c r="B445" t="s">
        <v>2222</v>
      </c>
      <c r="C445" t="s">
        <v>2223</v>
      </c>
      <c r="D445" t="s">
        <v>2224</v>
      </c>
      <c r="E445" t="s">
        <v>67</v>
      </c>
      <c r="F445" s="4">
        <v>21082</v>
      </c>
      <c r="G445">
        <v>68</v>
      </c>
      <c r="H445" t="s">
        <v>2225</v>
      </c>
      <c r="I445" t="s">
        <v>2226</v>
      </c>
      <c r="J445" s="4" t="s">
        <v>70</v>
      </c>
      <c r="K445" s="4" t="s">
        <v>71</v>
      </c>
      <c r="L445" t="s">
        <v>2227</v>
      </c>
      <c r="M445" t="s">
        <v>2221</v>
      </c>
      <c r="N445" t="s">
        <v>2222</v>
      </c>
      <c r="O445">
        <f>IFERROR(VLOOKUP(HEVARIM[[#This Row],[קוד תקציב]],[2]תקציבים!A:L,6,0),0)</f>
        <v>2</v>
      </c>
      <c r="P445" s="5" t="s">
        <v>104</v>
      </c>
      <c r="Q445" t="s">
        <v>11</v>
      </c>
      <c r="R445" s="4">
        <v>29951</v>
      </c>
      <c r="S445" s="4" t="s">
        <v>74</v>
      </c>
      <c r="T445" s="96" t="s">
        <v>2225</v>
      </c>
      <c r="U445" t="str">
        <f>VLOOKUP(HEVARIM[[#This Row],[גיל]],GIL,2,1)</f>
        <v>--</v>
      </c>
      <c r="V445" t="str">
        <f>IF(HEVARIM[[#This Row],[קוד מעמד]]="4     ",IF(HEVARIM[[#This Row],[גיל]]=1,1,IF(HEVARIM[[#This Row],[גיל]]&lt;=5,5,18)),"")</f>
        <v/>
      </c>
      <c r="W445">
        <f t="shared" si="24"/>
        <v>2365</v>
      </c>
      <c r="X44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45">
        <f>IF(HEVARIM[[#This Row],[מצב משפחתי2]]="אלמן",'[2]ריכוז נתונים'!$AC$2,0)</f>
        <v>0</v>
      </c>
      <c r="Z445" s="3">
        <f>VLOOKUP(VALUE(HEVARIM[[#This Row],[קוד מעמד]]),הנחות!$I$2:$K$21,3,0)</f>
        <v>0</v>
      </c>
      <c r="AA445" t="b">
        <f>ISERROR(VLOOKUP(HEVARIM[[#This Row],[קוד תקציב]],'[2]ריכוז נתונים'!A:A,1,0))</f>
        <v>0</v>
      </c>
      <c r="AB445" s="1">
        <f t="shared" si="25"/>
        <v>0</v>
      </c>
      <c r="AC445" s="2">
        <f ca="1">IF(HEVARIM[[#This Row],[בר מצוה]]&gt;0,YEAR(TODAY())+'תקציבים מיוחדים'!$F$5-HEVARIM[[#This Row],[גיל]],0)</f>
        <v>0</v>
      </c>
      <c r="AD445" s="1">
        <f t="shared" si="26"/>
        <v>0</v>
      </c>
      <c r="AE445" s="2">
        <f ca="1">IF(HEVARIM[[#This Row],[בת מצוה]]&gt;0,YEAR(TODAY())+'תקציבים מיוחדים'!$F$5-HEVARIM[[#This Row],[גיל]],0)</f>
        <v>0</v>
      </c>
      <c r="AF445" s="1">
        <f>IF(AND($S445&gt;="רווק",$Z445=1),AF$4*IF(HEVARIM[[#This Row],[גיל]]&gt;$AF$3,1,(($G445-AF$2)/(AF$3-AF$2))),0)</f>
        <v>0</v>
      </c>
      <c r="AG44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5" s="1">
        <f t="shared" si="27"/>
        <v>0</v>
      </c>
      <c r="AI445" s="2">
        <f ca="1">IF(AH445&gt;0,YEAR(TODAY())+'תקציבים מיוחדים'!$F$7-HEVARIM[[#This Row],[גיל]],0)</f>
        <v>0</v>
      </c>
      <c r="AJ445" s="9">
        <f>IF(AND(ISERROR(VLOOKUP(H445,'[2]ריכוז נתונים'!A:L,1,0)),P445="1     "),1,0)</f>
        <v>0</v>
      </c>
      <c r="AK445" s="1">
        <f>IF(VALUE(HEVARIM[[#This Row],[קוד מעמד]])=1,VLOOKUP((IF(LEFT(HEVARIM[[#This Row],[קוד חבר]],1)="0",HEVARIM[[#This Row],[קוד חבר]],VALUE(HEVARIM[[#This Row],[קוד חבר]]))),'ותק חברה 40'!AQ:AW,7,0),"")</f>
        <v>44.53</v>
      </c>
      <c r="AL445" s="1">
        <f>IF(AND(VALUE(HEVARIM[[#This Row],[קוד מעמד]])=1,HEVARIM[[#This Row],[ותק מחברה 40]]&lt;25),HEVARIM[[#This Row],[ותק מחברה 40]]/25*הנחות!$C$4,0)</f>
        <v>0</v>
      </c>
      <c r="AM445" s="9" t="str">
        <f ca="1">IF(HEVARIM[[#This Row],[דמי עזיבה 25 שנות ותק]]&gt;0,YEAR(TODAY())+25-ROUNDDOWN(HEVARIM[[#This Row],[ותק מחברה 40]],0),"")</f>
        <v/>
      </c>
      <c r="AN4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5" s="9" t="str">
        <f ca="1">IF(HEVARIM[[#This Row],[דמי עזיבה לגיל 65]]&gt;0,YEAR(TODAY())+64-ROUNDDOWN(HEVARIM[[#This Row],[גיל]],0),"")</f>
        <v/>
      </c>
      <c r="AP445" s="1">
        <f>SUMIF(HEVARIM[קוד תקציב],HEVARIM[[#This Row],[קוד תקציב משפחה מקורי]],HEVARIM[ותק מחברה 40])</f>
        <v>92.53</v>
      </c>
      <c r="AQ4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445" s="9">
        <f>IF(HEVARIM[[#This Row],[קוד מעמד]]="1     ",IFERROR(VLOOKUP(HEVARIM[[#This Row],[קוד תקציב]],'תקציב צביעה - לקראת השינוי'!A:F,4,0),0),0)</f>
        <v>2029</v>
      </c>
      <c r="AT445" s="1"/>
    </row>
    <row r="446" spans="1:46">
      <c r="A446" t="s">
        <v>2247</v>
      </c>
      <c r="B446" t="s">
        <v>2248</v>
      </c>
      <c r="C446" t="s">
        <v>2249</v>
      </c>
      <c r="D446" t="s">
        <v>2250</v>
      </c>
      <c r="E446" t="s">
        <v>67</v>
      </c>
      <c r="F446" s="4">
        <v>30373</v>
      </c>
      <c r="G446">
        <v>42</v>
      </c>
      <c r="H446" t="s">
        <v>2251</v>
      </c>
      <c r="I446" t="s">
        <v>2252</v>
      </c>
      <c r="J446" s="4" t="s">
        <v>70</v>
      </c>
      <c r="K446" s="4" t="s">
        <v>71</v>
      </c>
      <c r="L446" t="s">
        <v>2253</v>
      </c>
      <c r="M446" t="s">
        <v>2247</v>
      </c>
      <c r="N446" t="s">
        <v>2248</v>
      </c>
      <c r="O446">
        <f>IFERROR(VLOOKUP(HEVARIM[[#This Row],[קוד תקציב]],[2]תקציבים!A:L,6,0),0)</f>
        <v>2</v>
      </c>
      <c r="P446" s="5" t="s">
        <v>104</v>
      </c>
      <c r="Q446" t="s">
        <v>11</v>
      </c>
      <c r="R446" s="4">
        <v>43990</v>
      </c>
      <c r="S446" s="4" t="s">
        <v>74</v>
      </c>
      <c r="T446" s="96" t="s">
        <v>2225</v>
      </c>
      <c r="U446" t="str">
        <f>VLOOKUP(HEVARIM[[#This Row],[גיל]],GIL,2,1)</f>
        <v>--</v>
      </c>
      <c r="V446" t="str">
        <f>IF(HEVARIM[[#This Row],[קוד מעמד]]="4     ",IF(HEVARIM[[#This Row],[גיל]]=1,1,IF(HEVARIM[[#This Row],[גיל]]&lt;=5,5,18)),"")</f>
        <v/>
      </c>
      <c r="W446">
        <f t="shared" si="24"/>
        <v>0</v>
      </c>
      <c r="X4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6">
        <f>IF(HEVARIM[[#This Row],[מצב משפחתי2]]="אלמן",'[2]ריכוז נתונים'!$AC$2,0)</f>
        <v>0</v>
      </c>
      <c r="Z446" s="3">
        <f>VLOOKUP(VALUE(HEVARIM[[#This Row],[קוד מעמד]]),הנחות!$I$2:$K$21,3,0)</f>
        <v>0</v>
      </c>
      <c r="AA446" t="b">
        <f>ISERROR(VLOOKUP(HEVARIM[[#This Row],[קוד תקציב]],'[2]ריכוז נתונים'!A:A,1,0))</f>
        <v>0</v>
      </c>
      <c r="AB446" s="1">
        <f t="shared" si="25"/>
        <v>0</v>
      </c>
      <c r="AC446" s="2">
        <f ca="1">IF(HEVARIM[[#This Row],[בר מצוה]]&gt;0,YEAR(TODAY())+'תקציבים מיוחדים'!$F$5-HEVARIM[[#This Row],[גיל]],0)</f>
        <v>0</v>
      </c>
      <c r="AD446" s="1">
        <f t="shared" si="26"/>
        <v>0</v>
      </c>
      <c r="AE446" s="2">
        <f ca="1">IF(HEVARIM[[#This Row],[בת מצוה]]&gt;0,YEAR(TODAY())+'תקציבים מיוחדים'!$F$5-HEVARIM[[#This Row],[גיל]],0)</f>
        <v>0</v>
      </c>
      <c r="AF446" s="1">
        <f>IF(AND($S446&gt;="רווק",$Z446=1),AF$4*IF(HEVARIM[[#This Row],[גיל]]&gt;$AF$3,1,(($G446-AF$2)/(AF$3-AF$2))),0)</f>
        <v>0</v>
      </c>
      <c r="AG44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6" s="1">
        <f t="shared" si="27"/>
        <v>0</v>
      </c>
      <c r="AI446" s="2">
        <f ca="1">IF(AH446&gt;0,YEAR(TODAY())+'תקציבים מיוחדים'!$F$7-HEVARIM[[#This Row],[גיל]],0)</f>
        <v>0</v>
      </c>
      <c r="AJ446" s="9">
        <f>IF(AND(ISERROR(VLOOKUP(H446,'[2]ריכוז נתונים'!A:L,1,0)),P446="1     "),1,0)</f>
        <v>0</v>
      </c>
      <c r="AK446" s="1">
        <f>IF(VALUE(HEVARIM[[#This Row],[קוד מעמד]])=1,VLOOKUP((IF(LEFT(HEVARIM[[#This Row],[קוד חבר]],1)="0",HEVARIM[[#This Row],[קוד חבר]],VALUE(HEVARIM[[#This Row],[קוד חבר]]))),'ותק חברה 40'!AQ:AW,7,0),"")</f>
        <v>8.2100000000000009</v>
      </c>
      <c r="AL446" s="1">
        <f>IF(AND(VALUE(HEVARIM[[#This Row],[קוד מעמד]])=1,HEVARIM[[#This Row],[ותק מחברה 40]]&lt;25),HEVARIM[[#This Row],[ותק מחברה 40]]/25*הנחות!$C$4,0)</f>
        <v>12326.366744999999</v>
      </c>
      <c r="AM446" s="9">
        <f ca="1">IF(HEVARIM[[#This Row],[דמי עזיבה 25 שנות ותק]]&gt;0,YEAR(TODAY())+25-ROUNDDOWN(HEVARIM[[#This Row],[ותק מחברה 40]],0),"")</f>
        <v>2043</v>
      </c>
      <c r="AN4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6" s="9" t="str">
        <f ca="1">IF(HEVARIM[[#This Row],[דמי עזיבה לגיל 65]]&gt;0,YEAR(TODAY())+64-ROUNDDOWN(HEVARIM[[#This Row],[גיל]],0),"")</f>
        <v/>
      </c>
      <c r="AP446" s="1">
        <f>SUMIF(HEVARIM[קוד תקציב],HEVARIM[[#This Row],[קוד תקציב משפחה מקורי]],HEVARIM[ותק מחברה 40])</f>
        <v>92.53</v>
      </c>
      <c r="AQ4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46" s="9">
        <f>IF(HEVARIM[[#This Row],[קוד מעמד]]="1     ",IFERROR(VLOOKUP(HEVARIM[[#This Row],[קוד תקציב]],'תקציב צביעה - לקראת השינוי'!A:F,4,0),0),0)</f>
        <v>0</v>
      </c>
      <c r="AT446" s="1"/>
    </row>
    <row r="447" spans="1:46">
      <c r="A447" t="s">
        <v>2271</v>
      </c>
      <c r="B447" t="s">
        <v>2272</v>
      </c>
      <c r="C447" t="s">
        <v>2267</v>
      </c>
      <c r="D447" t="s">
        <v>1240</v>
      </c>
      <c r="E447" t="s">
        <v>79</v>
      </c>
      <c r="F447" s="4">
        <v>31147</v>
      </c>
      <c r="G447">
        <v>40</v>
      </c>
      <c r="H447" t="s">
        <v>2268</v>
      </c>
      <c r="I447" t="s">
        <v>2269</v>
      </c>
      <c r="J447" s="4" t="s">
        <v>70</v>
      </c>
      <c r="K447" s="4" t="s">
        <v>71</v>
      </c>
      <c r="L447" t="s">
        <v>2273</v>
      </c>
      <c r="M447" t="s">
        <v>2265</v>
      </c>
      <c r="N447" t="s">
        <v>2266</v>
      </c>
      <c r="O447">
        <f>IFERROR(VLOOKUP(HEVARIM[[#This Row],[קוד תקציב]],[2]תקציבים!A:L,6,0),0)</f>
        <v>2</v>
      </c>
      <c r="P447" s="5" t="s">
        <v>104</v>
      </c>
      <c r="Q447" t="s">
        <v>11</v>
      </c>
      <c r="R447" s="4">
        <v>40908</v>
      </c>
      <c r="S447" s="4" t="s">
        <v>74</v>
      </c>
      <c r="T447" s="96" t="s">
        <v>2225</v>
      </c>
      <c r="U447" t="str">
        <f>VLOOKUP(HEVARIM[[#This Row],[גיל]],GIL,2,1)</f>
        <v>--</v>
      </c>
      <c r="V447" t="str">
        <f>IF(HEVARIM[[#This Row],[קוד מעמד]]="4     ",IF(HEVARIM[[#This Row],[גיל]]=1,1,IF(HEVARIM[[#This Row],[גיל]]&lt;=5,5,18)),"")</f>
        <v/>
      </c>
      <c r="W447">
        <f t="shared" si="24"/>
        <v>0</v>
      </c>
      <c r="X4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7">
        <f>IF(HEVARIM[[#This Row],[מצב משפחתי2]]="אלמן",'[2]ריכוז נתונים'!$AC$2,0)</f>
        <v>0</v>
      </c>
      <c r="Z447" s="3">
        <f>VLOOKUP(VALUE(HEVARIM[[#This Row],[קוד מעמד]]),הנחות!$I$2:$K$21,3,0)</f>
        <v>0</v>
      </c>
      <c r="AA447" t="b">
        <f>ISERROR(VLOOKUP(HEVARIM[[#This Row],[קוד תקציב]],'[2]ריכוז נתונים'!A:A,1,0))</f>
        <v>0</v>
      </c>
      <c r="AB447" s="1">
        <f t="shared" si="25"/>
        <v>0</v>
      </c>
      <c r="AC447" s="2">
        <f ca="1">IF(HEVARIM[[#This Row],[בר מצוה]]&gt;0,YEAR(TODAY())+'תקציבים מיוחדים'!$F$5-HEVARIM[[#This Row],[גיל]],0)</f>
        <v>0</v>
      </c>
      <c r="AD447" s="1">
        <f t="shared" si="26"/>
        <v>0</v>
      </c>
      <c r="AE447" s="2">
        <f ca="1">IF(HEVARIM[[#This Row],[בת מצוה]]&gt;0,YEAR(TODAY())+'תקציבים מיוחדים'!$F$5-HEVARIM[[#This Row],[גיל]],0)</f>
        <v>0</v>
      </c>
      <c r="AF447" s="1">
        <f>IF(AND($S447&gt;="רווק",$Z447=1),AF$4*IF(HEVARIM[[#This Row],[גיל]]&gt;$AF$3,1,(($G447-AF$2)/(AF$3-AF$2))),0)</f>
        <v>0</v>
      </c>
      <c r="AG44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7" s="1">
        <f t="shared" si="27"/>
        <v>0</v>
      </c>
      <c r="AI447" s="2">
        <f ca="1">IF(AH447&gt;0,YEAR(TODAY())+'תקציבים מיוחדים'!$F$7-HEVARIM[[#This Row],[גיל]],0)</f>
        <v>0</v>
      </c>
      <c r="AJ447" s="9">
        <f>IF(AND(ISERROR(VLOOKUP(H447,'[2]ריכוז נתונים'!A:L,1,0)),P447="1     "),1,0)</f>
        <v>0</v>
      </c>
      <c r="AK447" s="1">
        <f>IF(VALUE(HEVARIM[[#This Row],[קוד מעמד]])=1,VLOOKUP((IF(LEFT(HEVARIM[[#This Row],[קוד חבר]],1)="0",HEVARIM[[#This Row],[קוד חבר]],VALUE(HEVARIM[[#This Row],[קוד חבר]]))),'ותק חברה 40'!AQ:AW,7,0),"")</f>
        <v>15.93</v>
      </c>
      <c r="AL447" s="1">
        <f>IF(AND(VALUE(HEVARIM[[#This Row],[קוד מעמד]])=1,HEVARIM[[#This Row],[ותק מחברה 40]]&lt;25),HEVARIM[[#This Row],[ותק מחברה 40]]/25*הנחות!$C$4,0)</f>
        <v>23917.055084999996</v>
      </c>
      <c r="AM447" s="9">
        <f ca="1">IF(HEVARIM[[#This Row],[דמי עזיבה 25 שנות ותק]]&gt;0,YEAR(TODAY())+25-ROUNDDOWN(HEVARIM[[#This Row],[ותק מחברה 40]],0),"")</f>
        <v>2036</v>
      </c>
      <c r="AN44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7" s="9" t="str">
        <f ca="1">IF(HEVARIM[[#This Row],[דמי עזיבה לגיל 65]]&gt;0,YEAR(TODAY())+64-ROUNDDOWN(HEVARIM[[#This Row],[גיל]],0),"")</f>
        <v/>
      </c>
      <c r="AP447" s="1">
        <f>SUMIF(HEVARIM[קוד תקציב],HEVARIM[[#This Row],[קוד תקציב משפחה מקורי]],HEVARIM[ותק מחברה 40])</f>
        <v>92.53</v>
      </c>
      <c r="AQ4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447" s="9">
        <f>IF(HEVARIM[[#This Row],[קוד מעמד]]="1     ",IFERROR(VLOOKUP(HEVARIM[[#This Row],[קוד תקציב]],'תקציב צביעה - לקראת השינוי'!A:F,4,0),0),0)</f>
        <v>2034</v>
      </c>
      <c r="AT447" s="1"/>
    </row>
    <row r="448" spans="1:46">
      <c r="A448" t="s">
        <v>2302</v>
      </c>
      <c r="B448" t="s">
        <v>2303</v>
      </c>
      <c r="C448" t="s">
        <v>2234</v>
      </c>
      <c r="D448" t="s">
        <v>426</v>
      </c>
      <c r="E448" t="s">
        <v>67</v>
      </c>
      <c r="F448" s="4">
        <v>35322</v>
      </c>
      <c r="G448">
        <v>29</v>
      </c>
      <c r="H448" t="s">
        <v>2304</v>
      </c>
      <c r="I448" t="s">
        <v>2303</v>
      </c>
      <c r="J448" s="4" t="s">
        <v>70</v>
      </c>
      <c r="K448" s="4" t="s">
        <v>81</v>
      </c>
      <c r="L448" t="s">
        <v>2305</v>
      </c>
      <c r="M448" t="s">
        <v>2302</v>
      </c>
      <c r="N448" t="s">
        <v>2303</v>
      </c>
      <c r="O448">
        <f>IFERROR(VLOOKUP(HEVARIM[[#This Row],[קוד תקציב]],[2]תקציבים!A:L,6,0),0)</f>
        <v>0</v>
      </c>
      <c r="P448" s="5" t="s">
        <v>129</v>
      </c>
      <c r="Q448" t="s">
        <v>26</v>
      </c>
      <c r="R448" s="4">
        <v>45200</v>
      </c>
      <c r="S448" s="4" t="s">
        <v>415</v>
      </c>
      <c r="T448" s="96" t="s">
        <v>2235</v>
      </c>
      <c r="U448" t="str">
        <f>VLOOKUP(HEVARIM[[#This Row],[גיל]],GIL,2,1)</f>
        <v>--</v>
      </c>
      <c r="V448" t="str">
        <f>IF(HEVARIM[[#This Row],[קוד מעמד]]="4     ",IF(HEVARIM[[#This Row],[גיל]]=1,1,IF(HEVARIM[[#This Row],[גיל]]&lt;=5,5,18)),"")</f>
        <v/>
      </c>
      <c r="W448">
        <f t="shared" si="24"/>
        <v>0</v>
      </c>
      <c r="X44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8">
        <f>IF(HEVARIM[[#This Row],[מצב משפחתי2]]="אלמן",'[2]ריכוז נתונים'!$AC$2,0)</f>
        <v>0</v>
      </c>
      <c r="Z448" s="3">
        <f>VLOOKUP(VALUE(HEVARIM[[#This Row],[קוד מעמד]]),הנחות!$I$2:$K$21,3,0)</f>
        <v>1</v>
      </c>
      <c r="AA448" t="b">
        <f>ISERROR(VLOOKUP(HEVARIM[[#This Row],[קוד תקציב]],'[2]ריכוז נתונים'!A:A,1,0))</f>
        <v>1</v>
      </c>
      <c r="AB448" s="1">
        <f t="shared" si="25"/>
        <v>0</v>
      </c>
      <c r="AC448" s="2">
        <f ca="1">IF(HEVARIM[[#This Row],[בר מצוה]]&gt;0,YEAR(TODAY())+'תקציבים מיוחדים'!$F$5-HEVARIM[[#This Row],[גיל]],0)</f>
        <v>0</v>
      </c>
      <c r="AD448" s="1">
        <f t="shared" si="26"/>
        <v>0</v>
      </c>
      <c r="AE448" s="2">
        <f ca="1">IF(HEVARIM[[#This Row],[בת מצוה]]&gt;0,YEAR(TODAY())+'תקציבים מיוחדים'!$F$5-HEVARIM[[#This Row],[גיל]],0)</f>
        <v>0</v>
      </c>
      <c r="AF448" s="1">
        <f>IF(AND($S448&gt;="רווק",$Z448=1),AF$4*IF(HEVARIM[[#This Row],[גיל]]&gt;$AF$3,1,(($G448-AF$2)/(AF$3-AF$2))),0)</f>
        <v>0</v>
      </c>
      <c r="AG44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8" s="1">
        <f t="shared" si="27"/>
        <v>0</v>
      </c>
      <c r="AI448" s="2">
        <f ca="1">IF(AH448&gt;0,YEAR(TODAY())+'תקציבים מיוחדים'!$F$7-HEVARIM[[#This Row],[גיל]],0)</f>
        <v>0</v>
      </c>
      <c r="AJ448" s="9">
        <f>IF(AND(ISERROR(VLOOKUP(H448,'[2]ריכוז נתונים'!A:L,1,0)),P448="1     "),1,0)</f>
        <v>0</v>
      </c>
      <c r="AK44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48" s="1">
        <f>IF(AND(VALUE(HEVARIM[[#This Row],[קוד מעמד]])=1,HEVARIM[[#This Row],[ותק מחברה 40]]&lt;25),HEVARIM[[#This Row],[ותק מחברה 40]]/25*הנחות!$C$4,0)</f>
        <v>0</v>
      </c>
      <c r="AM448" s="9" t="str">
        <f ca="1">IF(HEVARIM[[#This Row],[דמי עזיבה 25 שנות ותק]]&gt;0,YEAR(TODAY())+25-ROUNDDOWN(HEVARIM[[#This Row],[ותק מחברה 40]],0),"")</f>
        <v/>
      </c>
      <c r="AN44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8" s="9" t="str">
        <f ca="1">IF(HEVARIM[[#This Row],[דמי עזיבה לגיל 65]]&gt;0,YEAR(TODAY())+64-ROUNDDOWN(HEVARIM[[#This Row],[גיל]],0),"")</f>
        <v/>
      </c>
      <c r="AP448" s="1">
        <f>SUMIF(HEVARIM[קוד תקציב],HEVARIM[[#This Row],[קוד תקציב משפחה מקורי]],HEVARIM[ותק מחברה 40])</f>
        <v>30.02</v>
      </c>
      <c r="AQ4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48" s="9">
        <f>IF(HEVARIM[[#This Row],[קוד מעמד]]="1     ",IFERROR(VLOOKUP(HEVARIM[[#This Row],[קוד תקציב]],'תקציב צביעה - לקראת השינוי'!A:F,4,0),0),0)</f>
        <v>0</v>
      </c>
      <c r="AT448" s="1"/>
    </row>
    <row r="449" spans="1:46">
      <c r="A449" t="s">
        <v>2310</v>
      </c>
      <c r="B449" t="s">
        <v>2311</v>
      </c>
      <c r="C449" t="s">
        <v>2312</v>
      </c>
      <c r="D449" t="s">
        <v>2313</v>
      </c>
      <c r="E449" t="s">
        <v>79</v>
      </c>
      <c r="F449" s="4">
        <v>35803</v>
      </c>
      <c r="G449">
        <v>27</v>
      </c>
      <c r="H449" t="s">
        <v>2314</v>
      </c>
      <c r="I449" t="s">
        <v>3768</v>
      </c>
      <c r="J449" s="4" t="s">
        <v>70</v>
      </c>
      <c r="K449" s="4" t="s">
        <v>81</v>
      </c>
      <c r="L449" t="s">
        <v>2315</v>
      </c>
      <c r="M449" t="s">
        <v>3766</v>
      </c>
      <c r="N449" t="s">
        <v>3767</v>
      </c>
      <c r="O449">
        <f>IFERROR(VLOOKUP(HEVARIM[[#This Row],[קוד תקציב]],[2]תקציבים!A:L,6,0),0)</f>
        <v>0</v>
      </c>
      <c r="P449" s="5" t="s">
        <v>129</v>
      </c>
      <c r="Q449" t="s">
        <v>26</v>
      </c>
      <c r="R449" s="4">
        <v>44562</v>
      </c>
      <c r="S449" s="4" t="s">
        <v>74</v>
      </c>
      <c r="T449" s="96" t="s">
        <v>2235</v>
      </c>
      <c r="U449" t="str">
        <f>VLOOKUP(HEVARIM[[#This Row],[גיל]],GIL,2,1)</f>
        <v>--</v>
      </c>
      <c r="V449" t="str">
        <f>IF(HEVARIM[[#This Row],[קוד מעמד]]="4     ",IF(HEVARIM[[#This Row],[גיל]]=1,1,IF(HEVARIM[[#This Row],[גיל]]&lt;=5,5,18)),"")</f>
        <v/>
      </c>
      <c r="W449">
        <f t="shared" si="24"/>
        <v>0</v>
      </c>
      <c r="X44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49">
        <f>IF(HEVARIM[[#This Row],[מצב משפחתי2]]="אלמן",'[2]ריכוז נתונים'!$AC$2,0)</f>
        <v>0</v>
      </c>
      <c r="Z449" s="3">
        <f>VLOOKUP(VALUE(HEVARIM[[#This Row],[קוד מעמד]]),הנחות!$I$2:$K$21,3,0)</f>
        <v>1</v>
      </c>
      <c r="AA449" t="b">
        <f>ISERROR(VLOOKUP(HEVARIM[[#This Row],[קוד תקציב]],'[2]ריכוז נתונים'!A:A,1,0))</f>
        <v>1</v>
      </c>
      <c r="AB449" s="1">
        <f t="shared" si="25"/>
        <v>0</v>
      </c>
      <c r="AC449" s="2">
        <f ca="1">IF(HEVARIM[[#This Row],[בר מצוה]]&gt;0,YEAR(TODAY())+'תקציבים מיוחדים'!$F$5-HEVARIM[[#This Row],[גיל]],0)</f>
        <v>0</v>
      </c>
      <c r="AD449" s="1">
        <f t="shared" si="26"/>
        <v>0</v>
      </c>
      <c r="AE449" s="2">
        <f ca="1">IF(HEVARIM[[#This Row],[בת מצוה]]&gt;0,YEAR(TODAY())+'תקציבים מיוחדים'!$F$5-HEVARIM[[#This Row],[גיל]],0)</f>
        <v>0</v>
      </c>
      <c r="AF449" s="1">
        <f>IF(AND($S449&gt;="רווק",$Z449=1),AF$4*IF(HEVARIM[[#This Row],[גיל]]&gt;$AF$3,1,(($G449-AF$2)/(AF$3-AF$2))),0)</f>
        <v>0</v>
      </c>
      <c r="AG44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49" s="1">
        <f t="shared" si="27"/>
        <v>0</v>
      </c>
      <c r="AI449" s="2">
        <f ca="1">IF(AH449&gt;0,YEAR(TODAY())+'תקציבים מיוחדים'!$F$7-HEVARIM[[#This Row],[גיל]],0)</f>
        <v>0</v>
      </c>
      <c r="AJ449" s="9">
        <f>IF(AND(ISERROR(VLOOKUP(H449,'[2]ריכוז נתונים'!A:L,1,0)),P449="1     "),1,0)</f>
        <v>0</v>
      </c>
      <c r="AK44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49" s="1">
        <f>IF(AND(VALUE(HEVARIM[[#This Row],[קוד מעמד]])=1,HEVARIM[[#This Row],[ותק מחברה 40]]&lt;25),HEVARIM[[#This Row],[ותק מחברה 40]]/25*הנחות!$C$4,0)</f>
        <v>0</v>
      </c>
      <c r="AM449" s="9" t="str">
        <f ca="1">IF(HEVARIM[[#This Row],[דמי עזיבה 25 שנות ותק]]&gt;0,YEAR(TODAY())+25-ROUNDDOWN(HEVARIM[[#This Row],[ותק מחברה 40]],0),"")</f>
        <v/>
      </c>
      <c r="AN44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49" s="9" t="str">
        <f ca="1">IF(HEVARIM[[#This Row],[דמי עזיבה לגיל 65]]&gt;0,YEAR(TODAY())+64-ROUNDDOWN(HEVARIM[[#This Row],[גיל]],0),"")</f>
        <v/>
      </c>
      <c r="AP449" s="1">
        <f>SUMIF(HEVARIM[קוד תקציב],HEVARIM[[#This Row],[קוד תקציב משפחה מקורי]],HEVARIM[ותק מחברה 40])</f>
        <v>30.02</v>
      </c>
      <c r="AQ4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49" s="9">
        <f>IF(HEVARIM[[#This Row],[קוד מעמד]]="1     ",IFERROR(VLOOKUP(HEVARIM[[#This Row],[קוד תקציב]],'תקציב צביעה - לקראת השינוי'!A:F,4,0),0),0)</f>
        <v>0</v>
      </c>
      <c r="AT449" s="1"/>
    </row>
    <row r="450" spans="1:46">
      <c r="A450" t="s">
        <v>2205</v>
      </c>
      <c r="B450" t="s">
        <v>2206</v>
      </c>
      <c r="C450" t="s">
        <v>598</v>
      </c>
      <c r="D450" t="s">
        <v>1083</v>
      </c>
      <c r="E450" t="s">
        <v>79</v>
      </c>
      <c r="F450" s="4">
        <v>35803</v>
      </c>
      <c r="G450">
        <v>27</v>
      </c>
      <c r="H450" t="s">
        <v>2207</v>
      </c>
      <c r="I450" t="s">
        <v>2208</v>
      </c>
      <c r="J450" s="4" t="s">
        <v>70</v>
      </c>
      <c r="K450" s="4" t="s">
        <v>81</v>
      </c>
      <c r="L450" t="s">
        <v>2209</v>
      </c>
      <c r="M450" t="s">
        <v>2205</v>
      </c>
      <c r="N450" t="s">
        <v>2206</v>
      </c>
      <c r="O450">
        <f>IFERROR(VLOOKUP(HEVARIM[[#This Row],[קוד תקציב]],[2]תקציבים!A:L,6,0),0)</f>
        <v>0</v>
      </c>
      <c r="P450" s="5" t="s">
        <v>129</v>
      </c>
      <c r="Q450" t="s">
        <v>26</v>
      </c>
      <c r="R450" s="4">
        <v>44562</v>
      </c>
      <c r="S450" s="4" t="s">
        <v>74</v>
      </c>
      <c r="T450" s="96" t="s">
        <v>2235</v>
      </c>
      <c r="U450" t="str">
        <f>VLOOKUP(HEVARIM[[#This Row],[גיל]],GIL,2,1)</f>
        <v>--</v>
      </c>
      <c r="V450" t="str">
        <f>IF(HEVARIM[[#This Row],[קוד מעמד]]="4     ",IF(HEVARIM[[#This Row],[גיל]]=1,1,IF(HEVARIM[[#This Row],[גיל]]&lt;=5,5,18)),"")</f>
        <v/>
      </c>
      <c r="W450">
        <f t="shared" si="24"/>
        <v>0</v>
      </c>
      <c r="X4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0">
        <f>IF(HEVARIM[[#This Row],[מצב משפחתי2]]="אלמן",'[2]ריכוז נתונים'!$AC$2,0)</f>
        <v>0</v>
      </c>
      <c r="Z450" s="3">
        <f>VLOOKUP(VALUE(HEVARIM[[#This Row],[קוד מעמד]]),הנחות!$I$2:$K$21,3,0)</f>
        <v>1</v>
      </c>
      <c r="AA450" t="b">
        <f>ISERROR(VLOOKUP(HEVARIM[[#This Row],[קוד תקציב]],'[2]ריכוז נתונים'!A:A,1,0))</f>
        <v>1</v>
      </c>
      <c r="AB450" s="1">
        <f t="shared" si="25"/>
        <v>0</v>
      </c>
      <c r="AC450" s="2">
        <f ca="1">IF(HEVARIM[[#This Row],[בר מצוה]]&gt;0,YEAR(TODAY())+'תקציבים מיוחדים'!$F$5-HEVARIM[[#This Row],[גיל]],0)</f>
        <v>0</v>
      </c>
      <c r="AD450" s="1">
        <f t="shared" si="26"/>
        <v>0</v>
      </c>
      <c r="AE450" s="2">
        <f ca="1">IF(HEVARIM[[#This Row],[בת מצוה]]&gt;0,YEAR(TODAY())+'תקציבים מיוחדים'!$F$5-HEVARIM[[#This Row],[גיל]],0)</f>
        <v>0</v>
      </c>
      <c r="AF450" s="1">
        <f>IF(AND($S450&gt;="רווק",$Z450=1),AF$4*IF(HEVARIM[[#This Row],[גיל]]&gt;$AF$3,1,(($G450-AF$2)/(AF$3-AF$2))),0)</f>
        <v>0</v>
      </c>
      <c r="AG45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50" s="1">
        <f t="shared" si="27"/>
        <v>0</v>
      </c>
      <c r="AI450" s="2">
        <f ca="1">IF(AH450&gt;0,YEAR(TODAY())+'תקציבים מיוחדים'!$F$7-HEVARIM[[#This Row],[גיל]],0)</f>
        <v>0</v>
      </c>
      <c r="AJ450" s="9">
        <f>IF(AND(ISERROR(VLOOKUP(H450,'[2]ריכוז נתונים'!A:L,1,0)),P450="1     "),1,0)</f>
        <v>0</v>
      </c>
      <c r="AK45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0" s="1">
        <f>IF(AND(VALUE(HEVARIM[[#This Row],[קוד מעמד]])=1,HEVARIM[[#This Row],[ותק מחברה 40]]&lt;25),HEVARIM[[#This Row],[ותק מחברה 40]]/25*הנחות!$C$4,0)</f>
        <v>0</v>
      </c>
      <c r="AM450" s="9" t="str">
        <f ca="1">IF(HEVARIM[[#This Row],[דמי עזיבה 25 שנות ותק]]&gt;0,YEAR(TODAY())+25-ROUNDDOWN(HEVARIM[[#This Row],[ותק מחברה 40]],0),"")</f>
        <v/>
      </c>
      <c r="AN45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0" s="9" t="str">
        <f ca="1">IF(HEVARIM[[#This Row],[דמי עזיבה לגיל 65]]&gt;0,YEAR(TODAY())+64-ROUNDDOWN(HEVARIM[[#This Row],[גיל]],0),"")</f>
        <v/>
      </c>
      <c r="AP450" s="1">
        <f>SUMIF(HEVARIM[קוד תקציב],HEVARIM[[#This Row],[קוד תקציב משפחה מקורי]],HEVARIM[ותק מחברה 40])</f>
        <v>30.02</v>
      </c>
      <c r="AQ4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0" s="9">
        <f>IF(HEVARIM[[#This Row],[קוד מעמד]]="1     ",IFERROR(VLOOKUP(HEVARIM[[#This Row],[קוד תקציב]],'תקציב צביעה - לקראת השינוי'!A:F,4,0),0),0)</f>
        <v>0</v>
      </c>
      <c r="AT450" s="1"/>
    </row>
    <row r="451" spans="1:46">
      <c r="A451" t="s">
        <v>2238</v>
      </c>
      <c r="B451" t="s">
        <v>2239</v>
      </c>
      <c r="C451" t="s">
        <v>2240</v>
      </c>
      <c r="D451" t="s">
        <v>142</v>
      </c>
      <c r="E451" t="s">
        <v>67</v>
      </c>
      <c r="F451" s="4">
        <v>22244</v>
      </c>
      <c r="G451">
        <v>65</v>
      </c>
      <c r="H451" t="s">
        <v>2241</v>
      </c>
      <c r="I451" t="s">
        <v>2242</v>
      </c>
      <c r="J451" s="4" t="s">
        <v>70</v>
      </c>
      <c r="K451" s="4" t="s">
        <v>71</v>
      </c>
      <c r="L451" t="s">
        <v>2243</v>
      </c>
      <c r="M451" t="s">
        <v>2238</v>
      </c>
      <c r="N451" t="s">
        <v>2239</v>
      </c>
      <c r="O451">
        <f>IFERROR(VLOOKUP(HEVARIM[[#This Row],[קוד תקציב]],[2]תקציבים!A:L,6,0),0)</f>
        <v>2</v>
      </c>
      <c r="P451" s="5" t="s">
        <v>104</v>
      </c>
      <c r="Q451" t="s">
        <v>11</v>
      </c>
      <c r="R451" s="4">
        <v>32714</v>
      </c>
      <c r="S451" s="4" t="s">
        <v>74</v>
      </c>
      <c r="T451" s="96" t="s">
        <v>2241</v>
      </c>
      <c r="U451" t="str">
        <f>VLOOKUP(HEVARIM[[#This Row],[גיל]],GIL,2,1)</f>
        <v>--</v>
      </c>
      <c r="V451" t="str">
        <f>IF(HEVARIM[[#This Row],[קוד מעמד]]="4     ",IF(HEVARIM[[#This Row],[גיל]]=1,1,IF(HEVARIM[[#This Row],[גיל]]&lt;=5,5,18)),"")</f>
        <v/>
      </c>
      <c r="W451">
        <f t="shared" si="24"/>
        <v>0</v>
      </c>
      <c r="X45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1">
        <f>IF(HEVARIM[[#This Row],[מצב משפחתי2]]="אלמן",'[2]ריכוז נתונים'!$AC$2,0)</f>
        <v>0</v>
      </c>
      <c r="Z451" s="3">
        <f>VLOOKUP(VALUE(HEVARIM[[#This Row],[קוד מעמד]]),הנחות!$I$2:$K$21,3,0)</f>
        <v>0</v>
      </c>
      <c r="AA451" t="b">
        <f>ISERROR(VLOOKUP(HEVARIM[[#This Row],[קוד תקציב]],'[2]ריכוז נתונים'!A:A,1,0))</f>
        <v>0</v>
      </c>
      <c r="AB451" s="1">
        <f t="shared" si="25"/>
        <v>0</v>
      </c>
      <c r="AC451" s="2">
        <f ca="1">IF(HEVARIM[[#This Row],[בר מצוה]]&gt;0,YEAR(TODAY())+'תקציבים מיוחדים'!$F$5-HEVARIM[[#This Row],[גיל]],0)</f>
        <v>0</v>
      </c>
      <c r="AD451" s="1">
        <f t="shared" si="26"/>
        <v>0</v>
      </c>
      <c r="AE451" s="2">
        <f ca="1">IF(HEVARIM[[#This Row],[בת מצוה]]&gt;0,YEAR(TODAY())+'תקציבים מיוחדים'!$F$5-HEVARIM[[#This Row],[גיל]],0)</f>
        <v>0</v>
      </c>
      <c r="AF451" s="1">
        <f>IF(AND($S451&gt;="רווק",$Z451=1),AF$4*IF(HEVARIM[[#This Row],[גיל]]&gt;$AF$3,1,(($G451-AF$2)/(AF$3-AF$2))),0)</f>
        <v>0</v>
      </c>
      <c r="AG45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51" s="1">
        <f t="shared" si="27"/>
        <v>0</v>
      </c>
      <c r="AI451" s="2">
        <f ca="1">IF(AH451&gt;0,YEAR(TODAY())+'תקציבים מיוחדים'!$F$7-HEVARIM[[#This Row],[גיל]],0)</f>
        <v>0</v>
      </c>
      <c r="AJ451" s="9">
        <f>IF(AND(ISERROR(VLOOKUP(H451,'[2]ריכוז נתונים'!A:L,1,0)),P451="1     "),1,0)</f>
        <v>0</v>
      </c>
      <c r="AK451" s="1">
        <f>IF(VALUE(HEVARIM[[#This Row],[קוד מעמד]])=1,VLOOKUP((IF(LEFT(HEVARIM[[#This Row],[קוד חבר]],1)="0",HEVARIM[[#This Row],[קוד חבר]],VALUE(HEVARIM[[#This Row],[קוד חבר]]))),'ותק חברה 40'!AQ:AW,7,0),"")</f>
        <v>36.130000000000003</v>
      </c>
      <c r="AL451" s="1">
        <f>IF(AND(VALUE(HEVARIM[[#This Row],[קוד מעמד]])=1,HEVARIM[[#This Row],[ותק מחברה 40]]&lt;25),HEVARIM[[#This Row],[ותק מחברה 40]]/25*הנחות!$C$4,0)</f>
        <v>0</v>
      </c>
      <c r="AM451" s="9" t="str">
        <f ca="1">IF(HEVARIM[[#This Row],[דמי עזיבה 25 שנות ותק]]&gt;0,YEAR(TODAY())+25-ROUNDDOWN(HEVARIM[[#This Row],[ותק מחברה 40]],0),"")</f>
        <v/>
      </c>
      <c r="AN4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1" s="9" t="str">
        <f ca="1">IF(HEVARIM[[#This Row],[דמי עזיבה לגיל 65]]&gt;0,YEAR(TODAY())+64-ROUNDDOWN(HEVARIM[[#This Row],[גיל]],0),"")</f>
        <v/>
      </c>
      <c r="AP451" s="1">
        <f>SUMIF(HEVARIM[קוד תקציב],HEVARIM[[#This Row],[קוד תקציב משפחה מקורי]],HEVARIM[ותק מחברה 40])</f>
        <v>72.260000000000005</v>
      </c>
      <c r="AQ4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451" s="9">
        <f>IF(HEVARIM[[#This Row],[קוד מעמד]]="1     ",IFERROR(VLOOKUP(HEVARIM[[#This Row],[קוד תקציב]],'תקציב צביעה - לקראת השינוי'!A:F,4,0),0),0)</f>
        <v>2028</v>
      </c>
      <c r="AT451" s="1"/>
    </row>
    <row r="452" spans="1:46">
      <c r="A452" t="s">
        <v>2306</v>
      </c>
      <c r="B452" t="s">
        <v>2307</v>
      </c>
      <c r="C452" t="s">
        <v>2240</v>
      </c>
      <c r="D452" t="s">
        <v>2287</v>
      </c>
      <c r="E452" t="s">
        <v>79</v>
      </c>
      <c r="F452" s="4">
        <v>36129</v>
      </c>
      <c r="G452">
        <v>27</v>
      </c>
      <c r="H452" t="s">
        <v>2308</v>
      </c>
      <c r="I452" t="s">
        <v>2307</v>
      </c>
      <c r="J452" s="4" t="s">
        <v>70</v>
      </c>
      <c r="K452" s="4" t="s">
        <v>81</v>
      </c>
      <c r="L452" t="s">
        <v>2309</v>
      </c>
      <c r="M452" t="s">
        <v>2306</v>
      </c>
      <c r="N452" t="s">
        <v>2307</v>
      </c>
      <c r="O452">
        <f>IFERROR(VLOOKUP(HEVARIM[[#This Row],[קוד תקציב]],[2]תקציבים!A:L,6,0),0)</f>
        <v>0</v>
      </c>
      <c r="P452" s="5" t="s">
        <v>129</v>
      </c>
      <c r="Q452" t="s">
        <v>26</v>
      </c>
      <c r="R452" s="4">
        <v>44805</v>
      </c>
      <c r="S452" s="4" t="s">
        <v>90</v>
      </c>
      <c r="T452" s="96" t="s">
        <v>2241</v>
      </c>
      <c r="U452" t="str">
        <f>VLOOKUP(HEVARIM[[#This Row],[גיל]],GIL,2,1)</f>
        <v>--</v>
      </c>
      <c r="V452" t="str">
        <f>IF(HEVARIM[[#This Row],[קוד מעמד]]="4     ",IF(HEVARIM[[#This Row],[גיל]]=1,1,IF(HEVARIM[[#This Row],[גיל]]&lt;=5,5,18)),"")</f>
        <v/>
      </c>
      <c r="W452">
        <f t="shared" si="24"/>
        <v>0</v>
      </c>
      <c r="X4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2">
        <f>IF(HEVARIM[[#This Row],[מצב משפחתי2]]="אלמן",'[2]ריכוז נתונים'!$AC$2,0)</f>
        <v>0</v>
      </c>
      <c r="Z452" s="3">
        <f>VLOOKUP(VALUE(HEVARIM[[#This Row],[קוד מעמד]]),הנחות!$I$2:$K$21,3,0)</f>
        <v>1</v>
      </c>
      <c r="AA452" t="b">
        <f>ISERROR(VLOOKUP(HEVARIM[[#This Row],[קוד תקציב]],'[2]ריכוז נתונים'!A:A,1,0))</f>
        <v>1</v>
      </c>
      <c r="AB452" s="1">
        <f t="shared" si="25"/>
        <v>0</v>
      </c>
      <c r="AC452" s="2">
        <f ca="1">IF(HEVARIM[[#This Row],[בר מצוה]]&gt;0,YEAR(TODAY())+'תקציבים מיוחדים'!$F$5-HEVARIM[[#This Row],[גיל]],0)</f>
        <v>0</v>
      </c>
      <c r="AD452" s="1">
        <f t="shared" si="26"/>
        <v>0</v>
      </c>
      <c r="AE452" s="2">
        <f ca="1">IF(HEVARIM[[#This Row],[בת מצוה]]&gt;0,YEAR(TODAY())+'תקציבים מיוחדים'!$F$5-HEVARIM[[#This Row],[גיל]],0)</f>
        <v>0</v>
      </c>
      <c r="AF452" s="1">
        <f>IF(AND($S452&gt;="רווק",$Z452=1),AF$4*IF(HEVARIM[[#This Row],[גיל]]&gt;$AF$3,1,(($G452-AF$2)/(AF$3-AF$2))),0)</f>
        <v>60512.5</v>
      </c>
      <c r="AG452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52" s="1">
        <f t="shared" si="27"/>
        <v>0</v>
      </c>
      <c r="AI452" s="2">
        <f ca="1">IF(AH452&gt;0,YEAR(TODAY())+'תקציבים מיוחדים'!$F$7-HEVARIM[[#This Row],[גיל]],0)</f>
        <v>0</v>
      </c>
      <c r="AJ452" s="9">
        <f>IF(AND(ISERROR(VLOOKUP(H452,'[2]ריכוז נתונים'!A:L,1,0)),P452="1     "),1,0)</f>
        <v>0</v>
      </c>
      <c r="AK45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2" s="1">
        <f>IF(AND(VALUE(HEVARIM[[#This Row],[קוד מעמד]])=1,HEVARIM[[#This Row],[ותק מחברה 40]]&lt;25),HEVARIM[[#This Row],[ותק מחברה 40]]/25*הנחות!$C$4,0)</f>
        <v>0</v>
      </c>
      <c r="AM452" s="9" t="str">
        <f ca="1">IF(HEVARIM[[#This Row],[דמי עזיבה 25 שנות ותק]]&gt;0,YEAR(TODAY())+25-ROUNDDOWN(HEVARIM[[#This Row],[ותק מחברה 40]],0),"")</f>
        <v/>
      </c>
      <c r="AN45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2" s="9" t="str">
        <f ca="1">IF(HEVARIM[[#This Row],[דמי עזיבה לגיל 65]]&gt;0,YEAR(TODAY())+64-ROUNDDOWN(HEVARIM[[#This Row],[גיל]],0),"")</f>
        <v/>
      </c>
      <c r="AP452" s="1">
        <f>SUMIF(HEVARIM[קוד תקציב],HEVARIM[[#This Row],[קוד תקציב משפחה מקורי]],HEVARIM[ותק מחברה 40])</f>
        <v>72.260000000000005</v>
      </c>
      <c r="AQ4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2" s="9">
        <f>IF(HEVARIM[[#This Row],[קוד מעמד]]="1     ",IFERROR(VLOOKUP(HEVARIM[[#This Row],[קוד תקציב]],'תקציב צביעה - לקראת השינוי'!A:F,4,0),0),0)</f>
        <v>0</v>
      </c>
      <c r="AT452" s="1"/>
    </row>
    <row r="453" spans="1:46">
      <c r="A453" t="s">
        <v>2289</v>
      </c>
      <c r="B453" t="s">
        <v>2290</v>
      </c>
      <c r="C453" t="s">
        <v>2240</v>
      </c>
      <c r="D453" t="s">
        <v>2291</v>
      </c>
      <c r="E453" t="s">
        <v>67</v>
      </c>
      <c r="F453" s="4">
        <v>34377</v>
      </c>
      <c r="G453">
        <v>31</v>
      </c>
      <c r="H453" t="s">
        <v>2292</v>
      </c>
      <c r="I453" t="s">
        <v>2293</v>
      </c>
      <c r="J453" s="4" t="s">
        <v>70</v>
      </c>
      <c r="K453" s="4" t="s">
        <v>81</v>
      </c>
      <c r="L453" t="s">
        <v>2294</v>
      </c>
      <c r="M453" t="s">
        <v>2289</v>
      </c>
      <c r="N453" t="s">
        <v>2290</v>
      </c>
      <c r="O453">
        <f>IFERROR(VLOOKUP(HEVARIM[[#This Row],[קוד תקציב]],[2]תקציבים!A:L,6,0),0)</f>
        <v>0</v>
      </c>
      <c r="P453" s="5" t="s">
        <v>1095</v>
      </c>
      <c r="Q453" t="s">
        <v>12</v>
      </c>
      <c r="R453" s="4">
        <v>45809</v>
      </c>
      <c r="S453" s="4" t="s">
        <v>74</v>
      </c>
      <c r="T453" s="96" t="s">
        <v>2241</v>
      </c>
      <c r="U453" t="str">
        <f>VLOOKUP(HEVARIM[[#This Row],[גיל]],GIL,2,1)</f>
        <v>--</v>
      </c>
      <c r="V453" t="str">
        <f>IF(HEVARIM[[#This Row],[קוד מעמד]]="4     ",IF(HEVARIM[[#This Row],[גיל]]=1,1,IF(HEVARIM[[#This Row],[גיל]]&lt;=5,5,18)),"")</f>
        <v/>
      </c>
      <c r="W453">
        <f t="shared" si="24"/>
        <v>0</v>
      </c>
      <c r="X4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3">
        <f>IF(HEVARIM[[#This Row],[מצב משפחתי2]]="אלמן",'[2]ריכוז נתונים'!$AC$2,0)</f>
        <v>0</v>
      </c>
      <c r="Z453" s="3">
        <f>VLOOKUP(VALUE(HEVARIM[[#This Row],[קוד מעמד]]),הנחות!$I$2:$K$21,3,0)</f>
        <v>0</v>
      </c>
      <c r="AA453" t="b">
        <f>ISERROR(VLOOKUP(HEVARIM[[#This Row],[קוד תקציב]],'[2]ריכוז נתונים'!A:A,1,0))</f>
        <v>1</v>
      </c>
      <c r="AB453" s="1">
        <f t="shared" si="25"/>
        <v>0</v>
      </c>
      <c r="AC453" s="2">
        <f ca="1">IF(HEVARIM[[#This Row],[בר מצוה]]&gt;0,YEAR(TODAY())+'תקציבים מיוחדים'!$F$5-HEVARIM[[#This Row],[גיל]],0)</f>
        <v>0</v>
      </c>
      <c r="AD453" s="1">
        <f t="shared" si="26"/>
        <v>0</v>
      </c>
      <c r="AE453" s="2">
        <f ca="1">IF(HEVARIM[[#This Row],[בת מצוה]]&gt;0,YEAR(TODAY())+'תקציבים מיוחדים'!$F$5-HEVARIM[[#This Row],[גיל]],0)</f>
        <v>0</v>
      </c>
      <c r="AF453" s="1">
        <f>IF(AND($S453&gt;="רווק",$Z453=1),AF$4*IF(HEVARIM[[#This Row],[גיל]]&gt;$AF$3,1,(($G453-AF$2)/(AF$3-AF$2))),0)</f>
        <v>0</v>
      </c>
      <c r="AG45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53" s="1">
        <f t="shared" si="27"/>
        <v>0</v>
      </c>
      <c r="AI453" s="2">
        <f ca="1">IF(AH453&gt;0,YEAR(TODAY())+'תקציבים מיוחדים'!$F$7-HEVARIM[[#This Row],[גיל]],0)</f>
        <v>0</v>
      </c>
      <c r="AJ453" s="9">
        <f>IF(AND(ISERROR(VLOOKUP(H453,'[2]ריכוז נתונים'!A:L,1,0)),P453="1     "),1,0)</f>
        <v>0</v>
      </c>
      <c r="AK45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3" s="1">
        <f>IF(AND(VALUE(HEVARIM[[#This Row],[קוד מעמד]])=1,HEVARIM[[#This Row],[ותק מחברה 40]]&lt;25),HEVARIM[[#This Row],[ותק מחברה 40]]/25*הנחות!$C$4,0)</f>
        <v>0</v>
      </c>
      <c r="AM453" s="9" t="str">
        <f ca="1">IF(HEVARIM[[#This Row],[דמי עזיבה 25 שנות ותק]]&gt;0,YEAR(TODAY())+25-ROUNDDOWN(HEVARIM[[#This Row],[ותק מחברה 40]],0),"")</f>
        <v/>
      </c>
      <c r="AN4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3" s="9" t="str">
        <f ca="1">IF(HEVARIM[[#This Row],[דמי עזיבה לגיל 65]]&gt;0,YEAR(TODAY())+64-ROUNDDOWN(HEVARIM[[#This Row],[גיל]],0),"")</f>
        <v/>
      </c>
      <c r="AP453" s="1">
        <f>SUMIF(HEVARIM[קוד תקציב],HEVARIM[[#This Row],[קוד תקציב משפחה מקורי]],HEVARIM[ותק מחברה 40])</f>
        <v>72.260000000000005</v>
      </c>
      <c r="AQ4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3" s="9">
        <f>IF(HEVARIM[[#This Row],[קוד מעמד]]="1     ",IFERROR(VLOOKUP(HEVARIM[[#This Row],[קוד תקציב]],'תקציב צביעה - לקראת השינוי'!A:F,4,0),0),0)</f>
        <v>0</v>
      </c>
      <c r="AT453" s="1"/>
    </row>
    <row r="454" spans="1:46">
      <c r="A454" t="s">
        <v>2254</v>
      </c>
      <c r="B454" t="s">
        <v>2255</v>
      </c>
      <c r="C454" t="s">
        <v>2249</v>
      </c>
      <c r="D454" t="s">
        <v>2256</v>
      </c>
      <c r="E454" t="s">
        <v>79</v>
      </c>
      <c r="F454" s="4">
        <v>31635</v>
      </c>
      <c r="G454">
        <v>39</v>
      </c>
      <c r="H454" t="s">
        <v>2251</v>
      </c>
      <c r="I454" t="s">
        <v>2252</v>
      </c>
      <c r="J454" s="4" t="s">
        <v>70</v>
      </c>
      <c r="K454" s="4" t="s">
        <v>71</v>
      </c>
      <c r="L454" t="s">
        <v>2257</v>
      </c>
      <c r="M454" t="s">
        <v>2247</v>
      </c>
      <c r="N454" t="s">
        <v>2248</v>
      </c>
      <c r="O454">
        <f>IFERROR(VLOOKUP(HEVARIM[[#This Row],[קוד תקציב]],[2]תקציבים!A:L,6,0),0)</f>
        <v>2</v>
      </c>
      <c r="P454" s="5" t="s">
        <v>104</v>
      </c>
      <c r="Q454" t="s">
        <v>11</v>
      </c>
      <c r="R454" s="4">
        <v>43990</v>
      </c>
      <c r="S454" s="4" t="s">
        <v>74</v>
      </c>
      <c r="T454" s="96" t="s">
        <v>2251</v>
      </c>
      <c r="U454" t="str">
        <f>VLOOKUP(HEVARIM[[#This Row],[גיל]],GIL,2,1)</f>
        <v>--</v>
      </c>
      <c r="V454" t="str">
        <f>IF(HEVARIM[[#This Row],[קוד מעמד]]="4     ",IF(HEVARIM[[#This Row],[גיל]]=1,1,IF(HEVARIM[[#This Row],[גיל]]&lt;=5,5,18)),"")</f>
        <v/>
      </c>
      <c r="W454">
        <f t="shared" ref="W454:W517" si="28">IF(G454&lt;67,0,
 IF(O454=1,
   IF(G454&gt;=80,1896-231,1795-231),
 IF(O454=2,
   IF(G454&gt;=80,2899-332,2697-332),
 0))
)</f>
        <v>0</v>
      </c>
      <c r="X4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4">
        <f>IF(HEVARIM[[#This Row],[מצב משפחתי2]]="אלמן",'[2]ריכוז נתונים'!$AC$2,0)</f>
        <v>0</v>
      </c>
      <c r="Z454" s="3">
        <f>VLOOKUP(VALUE(HEVARIM[[#This Row],[קוד מעמד]]),הנחות!$I$2:$K$21,3,0)</f>
        <v>0</v>
      </c>
      <c r="AA454" t="b">
        <f>ISERROR(VLOOKUP(HEVARIM[[#This Row],[קוד תקציב]],'[2]ריכוז נתונים'!A:A,1,0))</f>
        <v>0</v>
      </c>
      <c r="AB454" s="1">
        <f t="shared" ref="AB454:AB517" si="29">IF(AND($G454&gt;=AC$2,$G454&lt;=AC$3,$E454="ז ",$Z454=1),AC$4*(($G454-AC$2)/(AC$3-AC$2)),0)</f>
        <v>0</v>
      </c>
      <c r="AC454" s="2">
        <f ca="1">IF(HEVARIM[[#This Row],[בר מצוה]]&gt;0,YEAR(TODAY())+'תקציבים מיוחדים'!$F$5-HEVARIM[[#This Row],[גיל]],0)</f>
        <v>0</v>
      </c>
      <c r="AD454" s="1">
        <f t="shared" ref="AD454:AD517" si="30">IF(AND($G454&gt;=AE$2,$G454&lt;=AE$3,$E454="נ ",$Z454=1),AE$4*(($G454-AE$2)/(AE$3-AE$2)),0)</f>
        <v>0</v>
      </c>
      <c r="AE454" s="2">
        <f ca="1">IF(HEVARIM[[#This Row],[בת מצוה]]&gt;0,YEAR(TODAY())+'תקציבים מיוחדים'!$F$5-HEVARIM[[#This Row],[גיל]],0)</f>
        <v>0</v>
      </c>
      <c r="AF454" s="1">
        <f>IF(AND($S454&gt;="רווק",$Z454=1),AF$4*IF(HEVARIM[[#This Row],[גיל]]&gt;$AF$3,1,(($G454-AF$2)/(AF$3-AF$2))),0)</f>
        <v>0</v>
      </c>
      <c r="AG45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54" s="1">
        <f t="shared" ref="AH454:AH517" si="31">IF(AND($G454&gt;=AI$2,$G454&lt;=AI$3,$Z454=1),AI$4*(($G454-AI$2)/(AI$3-AI$2)),0)</f>
        <v>0</v>
      </c>
      <c r="AI454" s="2">
        <f ca="1">IF(AH454&gt;0,YEAR(TODAY())+'תקציבים מיוחדים'!$F$7-HEVARIM[[#This Row],[גיל]],0)</f>
        <v>0</v>
      </c>
      <c r="AJ454" s="9">
        <f>IF(AND(ISERROR(VLOOKUP(H454,'[2]ריכוז נתונים'!A:L,1,0)),P454="1     "),1,0)</f>
        <v>0</v>
      </c>
      <c r="AK454" s="1">
        <f>IF(VALUE(HEVARIM[[#This Row],[קוד מעמד]])=1,VLOOKUP((IF(LEFT(HEVARIM[[#This Row],[קוד חבר]],1)="0",HEVARIM[[#This Row],[קוד חבר]],VALUE(HEVARIM[[#This Row],[קוד חבר]]))),'ותק חברה 40'!AQ:AW,7,0),"")</f>
        <v>7.25</v>
      </c>
      <c r="AL454" s="1">
        <f>IF(AND(VALUE(HEVARIM[[#This Row],[קוד מעמד]])=1,HEVARIM[[#This Row],[ותק מחברה 40]]&lt;25),HEVARIM[[#This Row],[ותק מחברה 40]]/25*הנחות!$C$4,0)</f>
        <v>10885.037624999997</v>
      </c>
      <c r="AM454" s="9">
        <f ca="1">IF(HEVARIM[[#This Row],[דמי עזיבה 25 שנות ותק]]&gt;0,YEAR(TODAY())+25-ROUNDDOWN(HEVARIM[[#This Row],[ותק מחברה 40]],0),"")</f>
        <v>2044</v>
      </c>
      <c r="AN4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4" s="9" t="str">
        <f ca="1">IF(HEVARIM[[#This Row],[דמי עזיבה לגיל 65]]&gt;0,YEAR(TODAY())+64-ROUNDDOWN(HEVARIM[[#This Row],[גיל]],0),"")</f>
        <v/>
      </c>
      <c r="AP454" s="1">
        <f>SUMIF(HEVARIM[קוד תקציב],HEVARIM[[#This Row],[קוד תקציב משפחה מקורי]],HEVARIM[ותק מחברה 40])</f>
        <v>15.46</v>
      </c>
      <c r="AQ4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4" s="9">
        <f>IF(HEVARIM[[#This Row],[קוד מעמד]]="1     ",IFERROR(VLOOKUP(HEVARIM[[#This Row],[קוד תקציב]],'תקציב צביעה - לקראת השינוי'!A:F,4,0),0),0)</f>
        <v>0</v>
      </c>
      <c r="AT454" s="1"/>
    </row>
    <row r="455" spans="1:46">
      <c r="A455" t="s">
        <v>2258</v>
      </c>
      <c r="B455" t="s">
        <v>2259</v>
      </c>
      <c r="C455" t="s">
        <v>2249</v>
      </c>
      <c r="D455" t="s">
        <v>2260</v>
      </c>
      <c r="E455" t="s">
        <v>67</v>
      </c>
      <c r="F455" s="4">
        <v>43322</v>
      </c>
      <c r="G455">
        <v>7</v>
      </c>
      <c r="H455" t="s">
        <v>2251</v>
      </c>
      <c r="I455" t="s">
        <v>2252</v>
      </c>
      <c r="J455" s="4" t="s">
        <v>70</v>
      </c>
      <c r="K455" s="4" t="s">
        <v>71</v>
      </c>
      <c r="L455" t="s">
        <v>2261</v>
      </c>
      <c r="M455" t="s">
        <v>2247</v>
      </c>
      <c r="N455" t="s">
        <v>2248</v>
      </c>
      <c r="O455">
        <f>IFERROR(VLOOKUP(HEVARIM[[#This Row],[קוד תקציב]],[2]תקציבים!A:L,6,0),0)</f>
        <v>2</v>
      </c>
      <c r="P455" s="5" t="s">
        <v>227</v>
      </c>
      <c r="Q455" t="s">
        <v>14</v>
      </c>
      <c r="R455" s="4">
        <v>43322</v>
      </c>
      <c r="S455" s="4" t="s">
        <v>90</v>
      </c>
      <c r="T455" s="96" t="s">
        <v>2251</v>
      </c>
      <c r="U455" t="str">
        <f>VLOOKUP(HEVARIM[[#This Row],[גיל]],GIL,2,1)</f>
        <v>יסודי</v>
      </c>
      <c r="V455">
        <f>IF(HEVARIM[[#This Row],[קוד מעמד]]="4     ",IF(HEVARIM[[#This Row],[גיל]]=1,1,IF(HEVARIM[[#This Row],[גיל]]&lt;=5,5,18)),"")</f>
        <v>18</v>
      </c>
      <c r="W455">
        <f t="shared" si="28"/>
        <v>0</v>
      </c>
      <c r="X4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5">
        <f>IF(HEVARIM[[#This Row],[מצב משפחתי2]]="אלמן",'[2]ריכוז נתונים'!$AC$2,0)</f>
        <v>0</v>
      </c>
      <c r="Z455" s="3">
        <f>VLOOKUP(VALUE(HEVARIM[[#This Row],[קוד מעמד]]),הנחות!$I$2:$K$21,3,0)</f>
        <v>1</v>
      </c>
      <c r="AA455" t="b">
        <f>ISERROR(VLOOKUP(HEVARIM[[#This Row],[קוד תקציב]],'[2]ריכוז נתונים'!A:A,1,0))</f>
        <v>0</v>
      </c>
      <c r="AB455" s="1">
        <f t="shared" si="29"/>
        <v>3858.0769230769229</v>
      </c>
      <c r="AC455" s="2">
        <f ca="1">IF(HEVARIM[[#This Row],[בר מצוה]]&gt;0,YEAR(TODAY())+'תקציבים מיוחדים'!$F$5-HEVARIM[[#This Row],[גיל]],0)</f>
        <v>2032</v>
      </c>
      <c r="AD455" s="1">
        <f t="shared" si="30"/>
        <v>0</v>
      </c>
      <c r="AE455" s="2">
        <f ca="1">IF(HEVARIM[[#This Row],[בת מצוה]]&gt;0,YEAR(TODAY())+'תקציבים מיוחדים'!$F$5-HEVARIM[[#This Row],[גיל]],0)</f>
        <v>0</v>
      </c>
      <c r="AF455" s="1">
        <f>IF(AND($S455&gt;="רווק",$Z455=1),AF$4*IF(HEVARIM[[#This Row],[גיל]]&gt;$AF$3,1,(($G455-AF$2)/(AF$3-AF$2))),0)</f>
        <v>20170.833333333332</v>
      </c>
      <c r="AG455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455" s="1">
        <f t="shared" si="31"/>
        <v>35196.166666666664</v>
      </c>
      <c r="AI455" s="2">
        <f ca="1">IF(AH455&gt;0,YEAR(TODAY())+'תקציבים מיוחדים'!$F$7-HEVARIM[[#This Row],[גיל]],0)</f>
        <v>2040</v>
      </c>
      <c r="AJ455" s="9">
        <f>IF(AND(ISERROR(VLOOKUP(H455,'[2]ריכוז נתונים'!A:L,1,0)),P455="1     "),1,0)</f>
        <v>0</v>
      </c>
      <c r="AK45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5" s="1">
        <f>IF(AND(VALUE(HEVARIM[[#This Row],[קוד מעמד]])=1,HEVARIM[[#This Row],[ותק מחברה 40]]&lt;25),HEVARIM[[#This Row],[ותק מחברה 40]]/25*הנחות!$C$4,0)</f>
        <v>0</v>
      </c>
      <c r="AM455" s="9" t="str">
        <f ca="1">IF(HEVARIM[[#This Row],[דמי עזיבה 25 שנות ותק]]&gt;0,YEAR(TODAY())+25-ROUNDDOWN(HEVARIM[[#This Row],[ותק מחברה 40]],0),"")</f>
        <v/>
      </c>
      <c r="AN4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5" s="9" t="str">
        <f ca="1">IF(HEVARIM[[#This Row],[דמי עזיבה לגיל 65]]&gt;0,YEAR(TODAY())+64-ROUNDDOWN(HEVARIM[[#This Row],[גיל]],0),"")</f>
        <v/>
      </c>
      <c r="AP455" s="1">
        <f>SUMIF(HEVARIM[קוד תקציב],HEVARIM[[#This Row],[קוד תקציב משפחה מקורי]],HEVARIM[ותק מחברה 40])</f>
        <v>15.46</v>
      </c>
      <c r="AQ4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5" s="9">
        <f>IF(HEVARIM[[#This Row],[קוד מעמד]]="1     ",IFERROR(VLOOKUP(HEVARIM[[#This Row],[קוד תקציב]],'תקציב צביעה - לקראת השינוי'!A:F,4,0),0),0)</f>
        <v>0</v>
      </c>
      <c r="AT455" s="1"/>
    </row>
    <row r="456" spans="1:46">
      <c r="A456" t="s">
        <v>2262</v>
      </c>
      <c r="B456" t="s">
        <v>2263</v>
      </c>
      <c r="C456" t="s">
        <v>2249</v>
      </c>
      <c r="D456" t="s">
        <v>558</v>
      </c>
      <c r="E456" t="s">
        <v>79</v>
      </c>
      <c r="F456" s="4">
        <v>44701</v>
      </c>
      <c r="G456">
        <v>3</v>
      </c>
      <c r="H456" t="s">
        <v>2251</v>
      </c>
      <c r="I456" t="s">
        <v>2252</v>
      </c>
      <c r="J456" s="4" t="s">
        <v>70</v>
      </c>
      <c r="K456" s="4" t="s">
        <v>71</v>
      </c>
      <c r="L456" t="s">
        <v>2264</v>
      </c>
      <c r="M456" t="s">
        <v>2247</v>
      </c>
      <c r="N456" t="s">
        <v>2248</v>
      </c>
      <c r="O456">
        <f>IFERROR(VLOOKUP(HEVARIM[[#This Row],[קוד תקציב]],[2]תקציבים!A:L,6,0),0)</f>
        <v>2</v>
      </c>
      <c r="P456" s="5" t="s">
        <v>227</v>
      </c>
      <c r="Q456" t="s">
        <v>14</v>
      </c>
      <c r="R456" s="4">
        <v>44701</v>
      </c>
      <c r="S456" s="4" t="s">
        <v>90</v>
      </c>
      <c r="T456" s="96" t="s">
        <v>2251</v>
      </c>
      <c r="U456" t="str">
        <f>VLOOKUP(HEVARIM[[#This Row],[גיל]],GIL,2,1)</f>
        <v>גנים</v>
      </c>
      <c r="V456">
        <f>IF(HEVARIM[[#This Row],[קוד מעמד]]="4     ",IF(HEVARIM[[#This Row],[גיל]]=1,1,IF(HEVARIM[[#This Row],[גיל]]&lt;=5,5,18)),"")</f>
        <v>5</v>
      </c>
      <c r="W456">
        <f t="shared" si="28"/>
        <v>0</v>
      </c>
      <c r="X4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6">
        <f>IF(HEVARIM[[#This Row],[מצב משפחתי2]]="אלמן",'[2]ריכוז נתונים'!$AC$2,0)</f>
        <v>0</v>
      </c>
      <c r="Z456" s="3">
        <f>VLOOKUP(VALUE(HEVARIM[[#This Row],[קוד מעמד]]),הנחות!$I$2:$K$21,3,0)</f>
        <v>1</v>
      </c>
      <c r="AA456" t="b">
        <f>ISERROR(VLOOKUP(HEVARIM[[#This Row],[קוד תקציב]],'[2]ריכוז נתונים'!A:A,1,0))</f>
        <v>0</v>
      </c>
      <c r="AB456" s="1">
        <f t="shared" si="29"/>
        <v>0</v>
      </c>
      <c r="AC456" s="2">
        <f ca="1">IF(HEVARIM[[#This Row],[בר מצוה]]&gt;0,YEAR(TODAY())+'תקציבים מיוחדים'!$F$5-HEVARIM[[#This Row],[גיל]],0)</f>
        <v>0</v>
      </c>
      <c r="AD456" s="1">
        <f t="shared" si="30"/>
        <v>1653.4615384615386</v>
      </c>
      <c r="AE456" s="2">
        <f ca="1">IF(HEVARIM[[#This Row],[בת מצוה]]&gt;0,YEAR(TODAY())+'תקציבים מיוחדים'!$F$5-HEVARIM[[#This Row],[גיל]],0)</f>
        <v>2036</v>
      </c>
      <c r="AF456" s="1">
        <f>IF(AND($S456&gt;="רווק",$Z456=1),AF$4*IF(HEVARIM[[#This Row],[גיל]]&gt;$AF$3,1,(($G456-AF$2)/(AF$3-AF$2))),0)</f>
        <v>8644.6428571428569</v>
      </c>
      <c r="AG456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456" s="1">
        <f t="shared" si="31"/>
        <v>15084.071428571428</v>
      </c>
      <c r="AI456" s="2">
        <f ca="1">IF(AH456&gt;0,YEAR(TODAY())+'תקציבים מיוחדים'!$F$7-HEVARIM[[#This Row],[גיל]],0)</f>
        <v>2044</v>
      </c>
      <c r="AJ456" s="9">
        <f>IF(AND(ISERROR(VLOOKUP(H456,'[2]ריכוז נתונים'!A:L,1,0)),P456="1     "),1,0)</f>
        <v>0</v>
      </c>
      <c r="AK4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6" s="1">
        <f>IF(AND(VALUE(HEVARIM[[#This Row],[קוד מעמד]])=1,HEVARIM[[#This Row],[ותק מחברה 40]]&lt;25),HEVARIM[[#This Row],[ותק מחברה 40]]/25*הנחות!$C$4,0)</f>
        <v>0</v>
      </c>
      <c r="AM456" s="9" t="str">
        <f ca="1">IF(HEVARIM[[#This Row],[דמי עזיבה 25 שנות ותק]]&gt;0,YEAR(TODAY())+25-ROUNDDOWN(HEVARIM[[#This Row],[ותק מחברה 40]],0),"")</f>
        <v/>
      </c>
      <c r="AN4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6" s="9" t="str">
        <f ca="1">IF(HEVARIM[[#This Row],[דמי עזיבה לגיל 65]]&gt;0,YEAR(TODAY())+64-ROUNDDOWN(HEVARIM[[#This Row],[גיל]],0),"")</f>
        <v/>
      </c>
      <c r="AP456" s="1">
        <f>SUMIF(HEVARIM[קוד תקציב],HEVARIM[[#This Row],[קוד תקציב משפחה מקורי]],HEVARIM[ותק מחברה 40])</f>
        <v>15.46</v>
      </c>
      <c r="AQ4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6" s="9">
        <f>IF(HEVARIM[[#This Row],[קוד מעמד]]="1     ",IFERROR(VLOOKUP(HEVARIM[[#This Row],[קוד תקציב]],'תקציב צביעה - לקראת השינוי'!A:F,4,0),0),0)</f>
        <v>0</v>
      </c>
      <c r="AT456" s="1"/>
    </row>
    <row r="457" spans="1:46">
      <c r="A457" t="s">
        <v>2265</v>
      </c>
      <c r="B457" t="s">
        <v>2266</v>
      </c>
      <c r="C457" t="s">
        <v>2267</v>
      </c>
      <c r="D457" t="s">
        <v>142</v>
      </c>
      <c r="E457" t="s">
        <v>67</v>
      </c>
      <c r="F457" s="4">
        <v>29936</v>
      </c>
      <c r="G457">
        <v>44</v>
      </c>
      <c r="H457" t="s">
        <v>2268</v>
      </c>
      <c r="I457" t="s">
        <v>2269</v>
      </c>
      <c r="J457" s="4" t="s">
        <v>70</v>
      </c>
      <c r="K457" s="4" t="s">
        <v>71</v>
      </c>
      <c r="L457" t="s">
        <v>2270</v>
      </c>
      <c r="M457" t="s">
        <v>2265</v>
      </c>
      <c r="N457" t="s">
        <v>2266</v>
      </c>
      <c r="O457">
        <f>IFERROR(VLOOKUP(HEVARIM[[#This Row],[קוד תקציב]],[2]תקציבים!A:L,6,0),0)</f>
        <v>2</v>
      </c>
      <c r="P457" s="5" t="s">
        <v>104</v>
      </c>
      <c r="Q457" t="s">
        <v>11</v>
      </c>
      <c r="R457" s="4">
        <v>43496</v>
      </c>
      <c r="S457" s="4" t="s">
        <v>74</v>
      </c>
      <c r="T457" s="96" t="s">
        <v>2268</v>
      </c>
      <c r="U457" t="str">
        <f>VLOOKUP(HEVARIM[[#This Row],[גיל]],GIL,2,1)</f>
        <v>--</v>
      </c>
      <c r="V457" t="str">
        <f>IF(HEVARIM[[#This Row],[קוד מעמד]]="4     ",IF(HEVARIM[[#This Row],[גיל]]=1,1,IF(HEVARIM[[#This Row],[גיל]]&lt;=5,5,18)),"")</f>
        <v/>
      </c>
      <c r="W457">
        <f t="shared" si="28"/>
        <v>0</v>
      </c>
      <c r="X4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7">
        <f>IF(HEVARIM[[#This Row],[מצב משפחתי2]]="אלמן",'[2]ריכוז נתונים'!$AC$2,0)</f>
        <v>0</v>
      </c>
      <c r="Z457" s="3">
        <f>VLOOKUP(VALUE(HEVARIM[[#This Row],[קוד מעמד]]),הנחות!$I$2:$K$21,3,0)</f>
        <v>0</v>
      </c>
      <c r="AA457" t="b">
        <f>ISERROR(VLOOKUP(HEVARIM[[#This Row],[קוד תקציב]],'[2]ריכוז נתונים'!A:A,1,0))</f>
        <v>0</v>
      </c>
      <c r="AB457" s="1">
        <f t="shared" si="29"/>
        <v>0</v>
      </c>
      <c r="AC457" s="2">
        <f ca="1">IF(HEVARIM[[#This Row],[בר מצוה]]&gt;0,YEAR(TODAY())+'תקציבים מיוחדים'!$F$5-HEVARIM[[#This Row],[גיל]],0)</f>
        <v>0</v>
      </c>
      <c r="AD457" s="1">
        <f t="shared" si="30"/>
        <v>0</v>
      </c>
      <c r="AE457" s="2">
        <f ca="1">IF(HEVARIM[[#This Row],[בת מצוה]]&gt;0,YEAR(TODAY())+'תקציבים מיוחדים'!$F$5-HEVARIM[[#This Row],[גיל]],0)</f>
        <v>0</v>
      </c>
      <c r="AF457" s="1">
        <f>IF(AND($S457&gt;="רווק",$Z457=1),AF$4*IF(HEVARIM[[#This Row],[גיל]]&gt;$AF$3,1,(($G457-AF$2)/(AF$3-AF$2))),0)</f>
        <v>0</v>
      </c>
      <c r="AG45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57" s="1">
        <f t="shared" si="31"/>
        <v>0</v>
      </c>
      <c r="AI457" s="2">
        <f ca="1">IF(AH457&gt;0,YEAR(TODAY())+'תקציבים מיוחדים'!$F$7-HEVARIM[[#This Row],[גיל]],0)</f>
        <v>0</v>
      </c>
      <c r="AJ457" s="9">
        <f>IF(AND(ISERROR(VLOOKUP(H457,'[2]ריכוז נתונים'!A:L,1,0)),P457="1     "),1,0)</f>
        <v>0</v>
      </c>
      <c r="AK457" s="1">
        <f>IF(VALUE(HEVARIM[[#This Row],[קוד מעמד]])=1,VLOOKUP((IF(LEFT(HEVARIM[[#This Row],[קוד חבר]],1)="0",HEVARIM[[#This Row],[קוד חבר]],VALUE(HEVARIM[[#This Row],[קוד חבר]]))),'ותק חברה 40'!AQ:AW,7,0),"")</f>
        <v>8.59</v>
      </c>
      <c r="AL457" s="1">
        <f>IF(AND(VALUE(HEVARIM[[#This Row],[קוד מעמד]])=1,HEVARIM[[#This Row],[ותק מחברה 40]]&lt;25),HEVARIM[[#This Row],[ותק מחברה 40]]/25*הנחות!$C$4,0)</f>
        <v>12896.892854999998</v>
      </c>
      <c r="AM457" s="9">
        <f ca="1">IF(HEVARIM[[#This Row],[דמי עזיבה 25 שנות ותק]]&gt;0,YEAR(TODAY())+25-ROUNDDOWN(HEVARIM[[#This Row],[ותק מחברה 40]],0),"")</f>
        <v>2043</v>
      </c>
      <c r="AN4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7" s="9" t="str">
        <f ca="1">IF(HEVARIM[[#This Row],[דמי עזיבה לגיל 65]]&gt;0,YEAR(TODAY())+64-ROUNDDOWN(HEVARIM[[#This Row],[גיל]],0),"")</f>
        <v/>
      </c>
      <c r="AP457" s="1">
        <f>SUMIF(HEVARIM[קוד תקציב],HEVARIM[[#This Row],[קוד תקציב משפחה מקורי]],HEVARIM[ותק מחברה 40])</f>
        <v>24.52</v>
      </c>
      <c r="AQ4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457" s="9">
        <f>IF(HEVARIM[[#This Row],[קוד מעמד]]="1     ",IFERROR(VLOOKUP(HEVARIM[[#This Row],[קוד תקציב]],'תקציב צביעה - לקראת השינוי'!A:F,4,0),0),0)</f>
        <v>2034</v>
      </c>
      <c r="AT457" s="1"/>
    </row>
    <row r="458" spans="1:46">
      <c r="A458" t="s">
        <v>2274</v>
      </c>
      <c r="B458" t="s">
        <v>2275</v>
      </c>
      <c r="C458" t="s">
        <v>2267</v>
      </c>
      <c r="D458" t="s">
        <v>2276</v>
      </c>
      <c r="E458" t="s">
        <v>79</v>
      </c>
      <c r="F458" s="4">
        <v>42992</v>
      </c>
      <c r="G458">
        <v>8</v>
      </c>
      <c r="H458" t="s">
        <v>2268</v>
      </c>
      <c r="I458" t="s">
        <v>2269</v>
      </c>
      <c r="J458" s="4" t="s">
        <v>70</v>
      </c>
      <c r="K458" s="4" t="s">
        <v>71</v>
      </c>
      <c r="L458" t="s">
        <v>2277</v>
      </c>
      <c r="M458" t="s">
        <v>2265</v>
      </c>
      <c r="N458" t="s">
        <v>2266</v>
      </c>
      <c r="O458">
        <f>IFERROR(VLOOKUP(HEVARIM[[#This Row],[קוד תקציב]],[2]תקציבים!A:L,6,0),0)</f>
        <v>2</v>
      </c>
      <c r="P458" s="5" t="s">
        <v>227</v>
      </c>
      <c r="Q458" t="s">
        <v>14</v>
      </c>
      <c r="R458" s="4">
        <v>42992</v>
      </c>
      <c r="S458" s="4" t="s">
        <v>90</v>
      </c>
      <c r="T458" s="96" t="s">
        <v>2268</v>
      </c>
      <c r="U458" t="str">
        <f>VLOOKUP(HEVARIM[[#This Row],[גיל]],GIL,2,1)</f>
        <v>יסודי</v>
      </c>
      <c r="V458">
        <f>IF(HEVARIM[[#This Row],[קוד מעמד]]="4     ",IF(HEVARIM[[#This Row],[גיל]]=1,1,IF(HEVARIM[[#This Row],[גיל]]&lt;=5,5,18)),"")</f>
        <v>18</v>
      </c>
      <c r="W458">
        <f t="shared" si="28"/>
        <v>0</v>
      </c>
      <c r="X4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8">
        <f>IF(HEVARIM[[#This Row],[מצב משפחתי2]]="אלמן",'[2]ריכוז נתונים'!$AC$2,0)</f>
        <v>0</v>
      </c>
      <c r="Z458" s="3">
        <f>VLOOKUP(VALUE(HEVARIM[[#This Row],[קוד מעמד]]),הנחות!$I$2:$K$21,3,0)</f>
        <v>1</v>
      </c>
      <c r="AA458" t="b">
        <f>ISERROR(VLOOKUP(HEVARIM[[#This Row],[קוד תקציב]],'[2]ריכוז נתונים'!A:A,1,0))</f>
        <v>0</v>
      </c>
      <c r="AB458" s="1">
        <f t="shared" si="29"/>
        <v>0</v>
      </c>
      <c r="AC458" s="2">
        <f ca="1">IF(HEVARIM[[#This Row],[בר מצוה]]&gt;0,YEAR(TODAY())+'תקציבים מיוחדים'!$F$5-HEVARIM[[#This Row],[גיל]],0)</f>
        <v>0</v>
      </c>
      <c r="AD458" s="1">
        <f t="shared" si="30"/>
        <v>4409.2307692307695</v>
      </c>
      <c r="AE458" s="2">
        <f ca="1">IF(HEVARIM[[#This Row],[בת מצוה]]&gt;0,YEAR(TODAY())+'תקציבים מיוחדים'!$F$5-HEVARIM[[#This Row],[גיל]],0)</f>
        <v>2031</v>
      </c>
      <c r="AF458" s="1">
        <f>IF(AND($S458&gt;="רווק",$Z458=1),AF$4*IF(HEVARIM[[#This Row],[גיל]]&gt;$AF$3,1,(($G458-AF$2)/(AF$3-AF$2))),0)</f>
        <v>23052.38095238095</v>
      </c>
      <c r="AG458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458" s="1">
        <f t="shared" si="31"/>
        <v>40224.190476190473</v>
      </c>
      <c r="AI458" s="2">
        <f ca="1">IF(AH458&gt;0,YEAR(TODAY())+'תקציבים מיוחדים'!$F$7-HEVARIM[[#This Row],[גיל]],0)</f>
        <v>2039</v>
      </c>
      <c r="AJ458" s="9">
        <f>IF(AND(ISERROR(VLOOKUP(H458,'[2]ריכוז נתונים'!A:L,1,0)),P458="1     "),1,0)</f>
        <v>0</v>
      </c>
      <c r="AK45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8" s="1">
        <f>IF(AND(VALUE(HEVARIM[[#This Row],[קוד מעמד]])=1,HEVARIM[[#This Row],[ותק מחברה 40]]&lt;25),HEVARIM[[#This Row],[ותק מחברה 40]]/25*הנחות!$C$4,0)</f>
        <v>0</v>
      </c>
      <c r="AM458" s="9" t="str">
        <f ca="1">IF(HEVARIM[[#This Row],[דמי עזיבה 25 שנות ותק]]&gt;0,YEAR(TODAY())+25-ROUNDDOWN(HEVARIM[[#This Row],[ותק מחברה 40]],0),"")</f>
        <v/>
      </c>
      <c r="AN45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8" s="9" t="str">
        <f ca="1">IF(HEVARIM[[#This Row],[דמי עזיבה לגיל 65]]&gt;0,YEAR(TODAY())+64-ROUNDDOWN(HEVARIM[[#This Row],[גיל]],0),"")</f>
        <v/>
      </c>
      <c r="AP458" s="1">
        <f>SUMIF(HEVARIM[קוד תקציב],HEVARIM[[#This Row],[קוד תקציב משפחה מקורי]],HEVARIM[ותק מחברה 40])</f>
        <v>24.52</v>
      </c>
      <c r="AQ4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8" s="9">
        <f>IF(HEVARIM[[#This Row],[קוד מעמד]]="1     ",IFERROR(VLOOKUP(HEVARIM[[#This Row],[קוד תקציב]],'תקציב צביעה - לקראת השינוי'!A:F,4,0),0),0)</f>
        <v>0</v>
      </c>
      <c r="AT458" s="1"/>
    </row>
    <row r="459" spans="1:46">
      <c r="A459" t="s">
        <v>2278</v>
      </c>
      <c r="B459" t="s">
        <v>2279</v>
      </c>
      <c r="C459" t="s">
        <v>2267</v>
      </c>
      <c r="D459" t="s">
        <v>2280</v>
      </c>
      <c r="E459" t="s">
        <v>67</v>
      </c>
      <c r="F459" s="4">
        <v>43636</v>
      </c>
      <c r="G459">
        <v>6</v>
      </c>
      <c r="H459" t="s">
        <v>2268</v>
      </c>
      <c r="I459" t="s">
        <v>2269</v>
      </c>
      <c r="J459" s="4" t="s">
        <v>70</v>
      </c>
      <c r="K459" s="4" t="s">
        <v>71</v>
      </c>
      <c r="L459" t="s">
        <v>2281</v>
      </c>
      <c r="M459" t="s">
        <v>2265</v>
      </c>
      <c r="N459" t="s">
        <v>2266</v>
      </c>
      <c r="O459">
        <f>IFERROR(VLOOKUP(HEVARIM[[#This Row],[קוד תקציב]],[2]תקציבים!A:L,6,0),0)</f>
        <v>2</v>
      </c>
      <c r="P459" s="5" t="s">
        <v>227</v>
      </c>
      <c r="Q459" t="s">
        <v>14</v>
      </c>
      <c r="R459" s="4">
        <v>43636</v>
      </c>
      <c r="S459" s="4" t="s">
        <v>90</v>
      </c>
      <c r="T459" s="96" t="s">
        <v>2268</v>
      </c>
      <c r="U459" t="str">
        <f>VLOOKUP(HEVARIM[[#This Row],[גיל]],GIL,2,1)</f>
        <v>יסודי</v>
      </c>
      <c r="V459">
        <f>IF(HEVARIM[[#This Row],[קוד מעמד]]="4     ",IF(HEVARIM[[#This Row],[גיל]]=1,1,IF(HEVARIM[[#This Row],[גיל]]&lt;=5,5,18)),"")</f>
        <v>18</v>
      </c>
      <c r="W459">
        <f t="shared" si="28"/>
        <v>0</v>
      </c>
      <c r="X45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59">
        <f>IF(HEVARIM[[#This Row],[מצב משפחתי2]]="אלמן",'[2]ריכוז נתונים'!$AC$2,0)</f>
        <v>0</v>
      </c>
      <c r="Z459" s="3">
        <f>VLOOKUP(VALUE(HEVARIM[[#This Row],[קוד מעמד]]),הנחות!$I$2:$K$21,3,0)</f>
        <v>1</v>
      </c>
      <c r="AA459" t="b">
        <f>ISERROR(VLOOKUP(HEVARIM[[#This Row],[קוד תקציב]],'[2]ריכוז נתונים'!A:A,1,0))</f>
        <v>0</v>
      </c>
      <c r="AB459" s="1">
        <f t="shared" si="29"/>
        <v>3306.9230769230771</v>
      </c>
      <c r="AC459" s="2">
        <f ca="1">IF(HEVARIM[[#This Row],[בר מצוה]]&gt;0,YEAR(TODAY())+'תקציבים מיוחדים'!$F$5-HEVARIM[[#This Row],[גיל]],0)</f>
        <v>2033</v>
      </c>
      <c r="AD459" s="1">
        <f t="shared" si="30"/>
        <v>0</v>
      </c>
      <c r="AE459" s="2">
        <f ca="1">IF(HEVARIM[[#This Row],[בת מצוה]]&gt;0,YEAR(TODAY())+'תקציבים מיוחדים'!$F$5-HEVARIM[[#This Row],[גיל]],0)</f>
        <v>0</v>
      </c>
      <c r="AF459" s="1">
        <f>IF(AND($S459&gt;="רווק",$Z459=1),AF$4*IF(HEVARIM[[#This Row],[גיל]]&gt;$AF$3,1,(($G459-AF$2)/(AF$3-AF$2))),0)</f>
        <v>17289.285714285714</v>
      </c>
      <c r="AG459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459" s="1">
        <f t="shared" si="31"/>
        <v>30168.142857142855</v>
      </c>
      <c r="AI459" s="2">
        <f ca="1">IF(AH459&gt;0,YEAR(TODAY())+'תקציבים מיוחדים'!$F$7-HEVARIM[[#This Row],[גיל]],0)</f>
        <v>2041</v>
      </c>
      <c r="AJ459" s="9">
        <f>IF(AND(ISERROR(VLOOKUP(H459,'[2]ריכוז נתונים'!A:L,1,0)),P459="1     "),1,0)</f>
        <v>0</v>
      </c>
      <c r="AK45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59" s="1">
        <f>IF(AND(VALUE(HEVARIM[[#This Row],[קוד מעמד]])=1,HEVARIM[[#This Row],[ותק מחברה 40]]&lt;25),HEVARIM[[#This Row],[ותק מחברה 40]]/25*הנחות!$C$4,0)</f>
        <v>0</v>
      </c>
      <c r="AM459" s="9" t="str">
        <f ca="1">IF(HEVARIM[[#This Row],[דמי עזיבה 25 שנות ותק]]&gt;0,YEAR(TODAY())+25-ROUNDDOWN(HEVARIM[[#This Row],[ותק מחברה 40]],0),"")</f>
        <v/>
      </c>
      <c r="AN4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59" s="9" t="str">
        <f ca="1">IF(HEVARIM[[#This Row],[דמי עזיבה לגיל 65]]&gt;0,YEAR(TODAY())+64-ROUNDDOWN(HEVARIM[[#This Row],[גיל]],0),"")</f>
        <v/>
      </c>
      <c r="AP459" s="1">
        <f>SUMIF(HEVARIM[קוד תקציב],HEVARIM[[#This Row],[קוד תקציב משפחה מקורי]],HEVARIM[ותק מחברה 40])</f>
        <v>24.52</v>
      </c>
      <c r="AQ4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59" s="9">
        <f>IF(HEVARIM[[#This Row],[קוד מעמד]]="1     ",IFERROR(VLOOKUP(HEVARIM[[#This Row],[קוד תקציב]],'תקציב צביעה - לקראת השינוי'!A:F,4,0),0),0)</f>
        <v>0</v>
      </c>
      <c r="AT459" s="1"/>
    </row>
    <row r="460" spans="1:46">
      <c r="A460" t="s">
        <v>2282</v>
      </c>
      <c r="B460" t="s">
        <v>2283</v>
      </c>
      <c r="C460" t="s">
        <v>2267</v>
      </c>
      <c r="D460" t="s">
        <v>821</v>
      </c>
      <c r="E460" t="s">
        <v>79</v>
      </c>
      <c r="F460" s="4">
        <v>44409</v>
      </c>
      <c r="G460">
        <v>4</v>
      </c>
      <c r="H460" t="s">
        <v>2268</v>
      </c>
      <c r="I460" t="s">
        <v>2269</v>
      </c>
      <c r="J460" s="4" t="s">
        <v>70</v>
      </c>
      <c r="K460" s="4" t="s">
        <v>71</v>
      </c>
      <c r="L460" t="s">
        <v>2284</v>
      </c>
      <c r="M460" t="s">
        <v>2265</v>
      </c>
      <c r="N460" t="s">
        <v>2266</v>
      </c>
      <c r="O460">
        <f>IFERROR(VLOOKUP(HEVARIM[[#This Row],[קוד תקציב]],[2]תקציבים!A:L,6,0),0)</f>
        <v>2</v>
      </c>
      <c r="P460" s="5" t="s">
        <v>227</v>
      </c>
      <c r="Q460" t="s">
        <v>14</v>
      </c>
      <c r="R460" s="4">
        <v>44409</v>
      </c>
      <c r="S460" s="4" t="s">
        <v>90</v>
      </c>
      <c r="T460" s="96" t="s">
        <v>2268</v>
      </c>
      <c r="U460" t="str">
        <f>VLOOKUP(HEVARIM[[#This Row],[גיל]],GIL,2,1)</f>
        <v>גנים</v>
      </c>
      <c r="V460">
        <f>IF(HEVARIM[[#This Row],[קוד מעמד]]="4     ",IF(HEVARIM[[#This Row],[גיל]]=1,1,IF(HEVARIM[[#This Row],[גיל]]&lt;=5,5,18)),"")</f>
        <v>5</v>
      </c>
      <c r="W460">
        <f t="shared" si="28"/>
        <v>0</v>
      </c>
      <c r="X4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0">
        <f>IF(HEVARIM[[#This Row],[מצב משפחתי2]]="אלמן",'[2]ריכוז נתונים'!$AC$2,0)</f>
        <v>0</v>
      </c>
      <c r="Z460" s="3">
        <f>VLOOKUP(VALUE(HEVARIM[[#This Row],[קוד מעמד]]),הנחות!$I$2:$K$21,3,0)</f>
        <v>1</v>
      </c>
      <c r="AA460" t="b">
        <f>ISERROR(VLOOKUP(HEVARIM[[#This Row],[קוד תקציב]],'[2]ריכוז נתונים'!A:A,1,0))</f>
        <v>0</v>
      </c>
      <c r="AB460" s="1">
        <f t="shared" si="29"/>
        <v>0</v>
      </c>
      <c r="AC460" s="2">
        <f ca="1">IF(HEVARIM[[#This Row],[בר מצוה]]&gt;0,YEAR(TODAY())+'תקציבים מיוחדים'!$F$5-HEVARIM[[#This Row],[גיל]],0)</f>
        <v>0</v>
      </c>
      <c r="AD460" s="1">
        <f t="shared" si="30"/>
        <v>2204.6153846153848</v>
      </c>
      <c r="AE460" s="2">
        <f ca="1">IF(HEVARIM[[#This Row],[בת מצוה]]&gt;0,YEAR(TODAY())+'תקציבים מיוחדים'!$F$5-HEVARIM[[#This Row],[גיל]],0)</f>
        <v>2035</v>
      </c>
      <c r="AF460" s="1">
        <f>IF(AND($S460&gt;="רווק",$Z460=1),AF$4*IF(HEVARIM[[#This Row],[גיל]]&gt;$AF$3,1,(($G460-AF$2)/(AF$3-AF$2))),0)</f>
        <v>11526.190476190475</v>
      </c>
      <c r="AG460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460" s="1">
        <f t="shared" si="31"/>
        <v>20112.095238095237</v>
      </c>
      <c r="AI460" s="2">
        <f ca="1">IF(AH460&gt;0,YEAR(TODAY())+'תקציבים מיוחדים'!$F$7-HEVARIM[[#This Row],[גיל]],0)</f>
        <v>2043</v>
      </c>
      <c r="AJ460" s="9">
        <f>IF(AND(ISERROR(VLOOKUP(H460,'[2]ריכוז נתונים'!A:L,1,0)),P460="1     "),1,0)</f>
        <v>0</v>
      </c>
      <c r="AK4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0" s="1">
        <f>IF(AND(VALUE(HEVARIM[[#This Row],[קוד מעמד]])=1,HEVARIM[[#This Row],[ותק מחברה 40]]&lt;25),HEVARIM[[#This Row],[ותק מחברה 40]]/25*הנחות!$C$4,0)</f>
        <v>0</v>
      </c>
      <c r="AM460" s="9" t="str">
        <f ca="1">IF(HEVARIM[[#This Row],[דמי עזיבה 25 שנות ותק]]&gt;0,YEAR(TODAY())+25-ROUNDDOWN(HEVARIM[[#This Row],[ותק מחברה 40]],0),"")</f>
        <v/>
      </c>
      <c r="AN4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0" s="9" t="str">
        <f ca="1">IF(HEVARIM[[#This Row],[דמי עזיבה לגיל 65]]&gt;0,YEAR(TODAY())+64-ROUNDDOWN(HEVARIM[[#This Row],[גיל]],0),"")</f>
        <v/>
      </c>
      <c r="AP460" s="1">
        <f>SUMIF(HEVARIM[קוד תקציב],HEVARIM[[#This Row],[קוד תקציב משפחה מקורי]],HEVARIM[ותק מחברה 40])</f>
        <v>24.52</v>
      </c>
      <c r="AQ4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0" s="9">
        <f>IF(HEVARIM[[#This Row],[קוד מעמד]]="1     ",IFERROR(VLOOKUP(HEVARIM[[#This Row],[קוד תקציב]],'תקציב צביעה - לקראת השינוי'!A:F,4,0),0),0)</f>
        <v>0</v>
      </c>
      <c r="AT460" s="1"/>
    </row>
    <row r="461" spans="1:46">
      <c r="A461" t="s">
        <v>2285</v>
      </c>
      <c r="B461" t="s">
        <v>2286</v>
      </c>
      <c r="C461" t="s">
        <v>2267</v>
      </c>
      <c r="D461" t="s">
        <v>2287</v>
      </c>
      <c r="E461" t="s">
        <v>79</v>
      </c>
      <c r="F461" s="4">
        <v>45121</v>
      </c>
      <c r="G461">
        <v>2</v>
      </c>
      <c r="H461" t="s">
        <v>2268</v>
      </c>
      <c r="I461" t="s">
        <v>2269</v>
      </c>
      <c r="J461" s="4" t="s">
        <v>70</v>
      </c>
      <c r="K461" s="4" t="s">
        <v>71</v>
      </c>
      <c r="L461" t="s">
        <v>2288</v>
      </c>
      <c r="M461" t="s">
        <v>2265</v>
      </c>
      <c r="N461" t="s">
        <v>2266</v>
      </c>
      <c r="O461">
        <f>IFERROR(VLOOKUP(HEVARIM[[#This Row],[קוד תקציב]],[2]תקציבים!A:L,6,0),0)</f>
        <v>2</v>
      </c>
      <c r="P461" s="5" t="s">
        <v>227</v>
      </c>
      <c r="Q461" t="s">
        <v>14</v>
      </c>
      <c r="R461" s="4">
        <v>45121</v>
      </c>
      <c r="S461" s="4" t="s">
        <v>90</v>
      </c>
      <c r="T461" s="96" t="s">
        <v>2268</v>
      </c>
      <c r="U461" t="str">
        <f>VLOOKUP(HEVARIM[[#This Row],[גיל]],GIL,2,1)</f>
        <v>פעוט</v>
      </c>
      <c r="V461">
        <f>IF(HEVARIM[[#This Row],[קוד מעמד]]="4     ",IF(HEVARIM[[#This Row],[גיל]]=1,1,IF(HEVARIM[[#This Row],[גיל]]&lt;=5,5,18)),"")</f>
        <v>5</v>
      </c>
      <c r="W461">
        <f t="shared" si="28"/>
        <v>0</v>
      </c>
      <c r="X4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1">
        <f>IF(HEVARIM[[#This Row],[מצב משפחתי2]]="אלמן",'[2]ריכוז נתונים'!$AC$2,0)</f>
        <v>0</v>
      </c>
      <c r="Z461" s="3">
        <f>VLOOKUP(VALUE(HEVARIM[[#This Row],[קוד מעמד]]),הנחות!$I$2:$K$21,3,0)</f>
        <v>1</v>
      </c>
      <c r="AA461" t="b">
        <f>ISERROR(VLOOKUP(HEVARIM[[#This Row],[קוד תקציב]],'[2]ריכוז נתונים'!A:A,1,0))</f>
        <v>0</v>
      </c>
      <c r="AB461" s="1">
        <f t="shared" si="29"/>
        <v>0</v>
      </c>
      <c r="AC461" s="2">
        <f ca="1">IF(HEVARIM[[#This Row],[בר מצוה]]&gt;0,YEAR(TODAY())+'תקציבים מיוחדים'!$F$5-HEVARIM[[#This Row],[גיל]],0)</f>
        <v>0</v>
      </c>
      <c r="AD461" s="1">
        <f t="shared" si="30"/>
        <v>1102.3076923076924</v>
      </c>
      <c r="AE461" s="2">
        <f ca="1">IF(HEVARIM[[#This Row],[בת מצוה]]&gt;0,YEAR(TODAY())+'תקציבים מיוחדים'!$F$5-HEVARIM[[#This Row],[גיל]],0)</f>
        <v>2037</v>
      </c>
      <c r="AF461" s="1">
        <f>IF(AND($S461&gt;="רווק",$Z461=1),AF$4*IF(HEVARIM[[#This Row],[גיל]]&gt;$AF$3,1,(($G461-AF$2)/(AF$3-AF$2))),0)</f>
        <v>5763.0952380952376</v>
      </c>
      <c r="AG461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461" s="1">
        <f t="shared" si="31"/>
        <v>10056.047619047618</v>
      </c>
      <c r="AI461" s="2">
        <f ca="1">IF(AH461&gt;0,YEAR(TODAY())+'תקציבים מיוחדים'!$F$7-HEVARIM[[#This Row],[גיל]],0)</f>
        <v>2045</v>
      </c>
      <c r="AJ461" s="9">
        <f>IF(AND(ISERROR(VLOOKUP(H461,'[2]ריכוז נתונים'!A:L,1,0)),P461="1     "),1,0)</f>
        <v>0</v>
      </c>
      <c r="AK46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1" s="1">
        <f>IF(AND(VALUE(HEVARIM[[#This Row],[קוד מעמד]])=1,HEVARIM[[#This Row],[ותק מחברה 40]]&lt;25),HEVARIM[[#This Row],[ותק מחברה 40]]/25*הנחות!$C$4,0)</f>
        <v>0</v>
      </c>
      <c r="AM461" s="9" t="str">
        <f ca="1">IF(HEVARIM[[#This Row],[דמי עזיבה 25 שנות ותק]]&gt;0,YEAR(TODAY())+25-ROUNDDOWN(HEVARIM[[#This Row],[ותק מחברה 40]],0),"")</f>
        <v/>
      </c>
      <c r="AN4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1" s="9" t="str">
        <f ca="1">IF(HEVARIM[[#This Row],[דמי עזיבה לגיל 65]]&gt;0,YEAR(TODAY())+64-ROUNDDOWN(HEVARIM[[#This Row],[גיל]],0),"")</f>
        <v/>
      </c>
      <c r="AP461" s="1">
        <f>SUMIF(HEVARIM[קוד תקציב],HEVARIM[[#This Row],[קוד תקציב משפחה מקורי]],HEVARIM[ותק מחברה 40])</f>
        <v>24.52</v>
      </c>
      <c r="AQ4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1" s="9">
        <f>IF(HEVARIM[[#This Row],[קוד מעמד]]="1     ",IFERROR(VLOOKUP(HEVARIM[[#This Row],[קוד תקציב]],'תקציב צביעה - לקראת השינוי'!A:F,4,0),0),0)</f>
        <v>0</v>
      </c>
      <c r="AT461" s="1"/>
    </row>
    <row r="462" spans="1:46">
      <c r="A462" t="s">
        <v>2295</v>
      </c>
      <c r="B462" t="s">
        <v>2296</v>
      </c>
      <c r="C462" t="s">
        <v>2240</v>
      </c>
      <c r="D462" t="s">
        <v>846</v>
      </c>
      <c r="E462" t="s">
        <v>79</v>
      </c>
      <c r="F462" s="4">
        <v>35208</v>
      </c>
      <c r="G462">
        <v>29</v>
      </c>
      <c r="H462" t="s">
        <v>2292</v>
      </c>
      <c r="I462" t="s">
        <v>2293</v>
      </c>
      <c r="J462" s="4" t="s">
        <v>70</v>
      </c>
      <c r="K462" s="4" t="s">
        <v>81</v>
      </c>
      <c r="L462" t="s">
        <v>2297</v>
      </c>
      <c r="M462" t="s">
        <v>2289</v>
      </c>
      <c r="N462" t="s">
        <v>2290</v>
      </c>
      <c r="O462">
        <f>IFERROR(VLOOKUP(HEVARIM[[#This Row],[קוד תקציב]],[2]תקציבים!A:L,6,0),0)</f>
        <v>0</v>
      </c>
      <c r="P462" s="5" t="s">
        <v>1095</v>
      </c>
      <c r="Q462" t="s">
        <v>12</v>
      </c>
      <c r="R462" s="4">
        <v>45809</v>
      </c>
      <c r="S462" s="4" t="s">
        <v>74</v>
      </c>
      <c r="T462" s="96" t="s">
        <v>2292</v>
      </c>
      <c r="U462" t="str">
        <f>VLOOKUP(HEVARIM[[#This Row],[גיל]],GIL,2,1)</f>
        <v>--</v>
      </c>
      <c r="V462" t="str">
        <f>IF(HEVARIM[[#This Row],[קוד מעמד]]="4     ",IF(HEVARIM[[#This Row],[גיל]]=1,1,IF(HEVARIM[[#This Row],[גיל]]&lt;=5,5,18)),"")</f>
        <v/>
      </c>
      <c r="W462">
        <f t="shared" si="28"/>
        <v>0</v>
      </c>
      <c r="X4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2">
        <f>IF(HEVARIM[[#This Row],[מצב משפחתי2]]="אלמן",'[2]ריכוז נתונים'!$AC$2,0)</f>
        <v>0</v>
      </c>
      <c r="Z462" s="3">
        <f>VLOOKUP(VALUE(HEVARIM[[#This Row],[קוד מעמד]]),הנחות!$I$2:$K$21,3,0)</f>
        <v>0</v>
      </c>
      <c r="AA462" t="b">
        <f>ISERROR(VLOOKUP(HEVARIM[[#This Row],[קוד תקציב]],'[2]ריכוז נתונים'!A:A,1,0))</f>
        <v>1</v>
      </c>
      <c r="AB462" s="1">
        <f t="shared" si="29"/>
        <v>0</v>
      </c>
      <c r="AC462" s="2">
        <f ca="1">IF(HEVARIM[[#This Row],[בר מצוה]]&gt;0,YEAR(TODAY())+'תקציבים מיוחדים'!$F$5-HEVARIM[[#This Row],[גיל]],0)</f>
        <v>0</v>
      </c>
      <c r="AD462" s="1">
        <f t="shared" si="30"/>
        <v>0</v>
      </c>
      <c r="AE462" s="2">
        <f ca="1">IF(HEVARIM[[#This Row],[בת מצוה]]&gt;0,YEAR(TODAY())+'תקציבים מיוחדים'!$F$5-HEVARIM[[#This Row],[גיל]],0)</f>
        <v>0</v>
      </c>
      <c r="AF462" s="1">
        <f>IF(AND($S462&gt;="רווק",$Z462=1),AF$4*IF(HEVARIM[[#This Row],[גיל]]&gt;$AF$3,1,(($G462-AF$2)/(AF$3-AF$2))),0)</f>
        <v>0</v>
      </c>
      <c r="AG46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2" s="1">
        <f t="shared" si="31"/>
        <v>0</v>
      </c>
      <c r="AI462" s="2">
        <f ca="1">IF(AH462&gt;0,YEAR(TODAY())+'תקציבים מיוחדים'!$F$7-HEVARIM[[#This Row],[גיל]],0)</f>
        <v>0</v>
      </c>
      <c r="AJ462" s="9">
        <f>IF(AND(ISERROR(VLOOKUP(H462,'[2]ריכוז נתונים'!A:L,1,0)),P462="1     "),1,0)</f>
        <v>0</v>
      </c>
      <c r="AK4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2" s="1">
        <f>IF(AND(VALUE(HEVARIM[[#This Row],[קוד מעמד]])=1,HEVARIM[[#This Row],[ותק מחברה 40]]&lt;25),HEVARIM[[#This Row],[ותק מחברה 40]]/25*הנחות!$C$4,0)</f>
        <v>0</v>
      </c>
      <c r="AM462" s="9" t="str">
        <f ca="1">IF(HEVARIM[[#This Row],[דמי עזיבה 25 שנות ותק]]&gt;0,YEAR(TODAY())+25-ROUNDDOWN(HEVARIM[[#This Row],[ותק מחברה 40]],0),"")</f>
        <v/>
      </c>
      <c r="AN4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2" s="9" t="str">
        <f ca="1">IF(HEVARIM[[#This Row],[דמי עזיבה לגיל 65]]&gt;0,YEAR(TODAY())+64-ROUNDDOWN(HEVARIM[[#This Row],[גיל]],0),"")</f>
        <v/>
      </c>
      <c r="AP462" s="1">
        <f>SUMIF(HEVARIM[קוד תקציב],HEVARIM[[#This Row],[קוד תקציב משפחה מקורי]],HEVARIM[ותק מחברה 40])</f>
        <v>0</v>
      </c>
      <c r="AQ4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2" s="9">
        <f>IF(HEVARIM[[#This Row],[קוד מעמד]]="1     ",IFERROR(VLOOKUP(HEVARIM[[#This Row],[קוד תקציב]],'תקציב צביעה - לקראת השינוי'!A:F,4,0),0),0)</f>
        <v>0</v>
      </c>
      <c r="AT462" s="1"/>
    </row>
    <row r="463" spans="1:46">
      <c r="A463" t="s">
        <v>2298</v>
      </c>
      <c r="B463" t="s">
        <v>2299</v>
      </c>
      <c r="C463" t="s">
        <v>2240</v>
      </c>
      <c r="D463" t="s">
        <v>2300</v>
      </c>
      <c r="E463" t="s">
        <v>79</v>
      </c>
      <c r="F463" s="4">
        <v>45019</v>
      </c>
      <c r="G463">
        <v>2</v>
      </c>
      <c r="H463" t="s">
        <v>2292</v>
      </c>
      <c r="I463" t="s">
        <v>2293</v>
      </c>
      <c r="J463" s="4" t="s">
        <v>70</v>
      </c>
      <c r="K463" s="4" t="s">
        <v>81</v>
      </c>
      <c r="L463" t="s">
        <v>2301</v>
      </c>
      <c r="M463" t="s">
        <v>2289</v>
      </c>
      <c r="N463" t="s">
        <v>2290</v>
      </c>
      <c r="O463">
        <f>IFERROR(VLOOKUP(HEVARIM[[#This Row],[קוד תקציב]],[2]תקציבים!A:L,6,0),0)</f>
        <v>0</v>
      </c>
      <c r="P463" s="5" t="s">
        <v>227</v>
      </c>
      <c r="Q463" t="s">
        <v>14</v>
      </c>
      <c r="R463" s="4">
        <v>45658</v>
      </c>
      <c r="S463" s="4"/>
      <c r="T463" s="96" t="s">
        <v>2292</v>
      </c>
      <c r="U463" t="str">
        <f>VLOOKUP(HEVARIM[[#This Row],[גיל]],GIL,2,1)</f>
        <v>פעוט</v>
      </c>
      <c r="V463">
        <f>IF(HEVARIM[[#This Row],[קוד מעמד]]="4     ",IF(HEVARIM[[#This Row],[גיל]]=1,1,IF(HEVARIM[[#This Row],[גיל]]&lt;=5,5,18)),"")</f>
        <v>5</v>
      </c>
      <c r="W463">
        <f t="shared" si="28"/>
        <v>0</v>
      </c>
      <c r="X46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3">
        <f>IF(HEVARIM[[#This Row],[מצב משפחתי2]]="אלמן",'[2]ריכוז נתונים'!$AC$2,0)</f>
        <v>0</v>
      </c>
      <c r="Z463" s="3">
        <f>VLOOKUP(VALUE(HEVARIM[[#This Row],[קוד מעמד]]),הנחות!$I$2:$K$21,3,0)</f>
        <v>1</v>
      </c>
      <c r="AA463" t="b">
        <f>ISERROR(VLOOKUP(HEVARIM[[#This Row],[קוד תקציב]],'[2]ריכוז נתונים'!A:A,1,0))</f>
        <v>1</v>
      </c>
      <c r="AB463" s="1">
        <f t="shared" si="29"/>
        <v>0</v>
      </c>
      <c r="AC463" s="2">
        <f ca="1">IF(HEVARIM[[#This Row],[בר מצוה]]&gt;0,YEAR(TODAY())+'תקציבים מיוחדים'!$F$5-HEVARIM[[#This Row],[גיל]],0)</f>
        <v>0</v>
      </c>
      <c r="AD463" s="1">
        <f t="shared" si="30"/>
        <v>1102.3076923076924</v>
      </c>
      <c r="AE463" s="2">
        <f ca="1">IF(HEVARIM[[#This Row],[בת מצוה]]&gt;0,YEAR(TODAY())+'תקציבים מיוחדים'!$F$5-HEVARIM[[#This Row],[גיל]],0)</f>
        <v>2037</v>
      </c>
      <c r="AF463" s="1">
        <f>IF(AND($S463&gt;="רווק",$Z463=1),AF$4*IF(HEVARIM[[#This Row],[גיל]]&gt;$AF$3,1,(($G463-AF$2)/(AF$3-AF$2))),0)</f>
        <v>0</v>
      </c>
      <c r="AG46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3" s="1">
        <f t="shared" si="31"/>
        <v>10056.047619047618</v>
      </c>
      <c r="AI463" s="2">
        <f ca="1">IF(AH463&gt;0,YEAR(TODAY())+'תקציבים מיוחדים'!$F$7-HEVARIM[[#This Row],[גיל]],0)</f>
        <v>2045</v>
      </c>
      <c r="AJ463" s="9">
        <f>IF(AND(ISERROR(VLOOKUP(H463,'[2]ריכוז נתונים'!A:L,1,0)),P463="1     "),1,0)</f>
        <v>0</v>
      </c>
      <c r="AK46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3" s="1">
        <f>IF(AND(VALUE(HEVARIM[[#This Row],[קוד מעמד]])=1,HEVARIM[[#This Row],[ותק מחברה 40]]&lt;25),HEVARIM[[#This Row],[ותק מחברה 40]]/25*הנחות!$C$4,0)</f>
        <v>0</v>
      </c>
      <c r="AM463" s="9" t="str">
        <f ca="1">IF(HEVARIM[[#This Row],[דמי עזיבה 25 שנות ותק]]&gt;0,YEAR(TODAY())+25-ROUNDDOWN(HEVARIM[[#This Row],[ותק מחברה 40]],0),"")</f>
        <v/>
      </c>
      <c r="AN4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3" s="9" t="str">
        <f ca="1">IF(HEVARIM[[#This Row],[דמי עזיבה לגיל 65]]&gt;0,YEAR(TODAY())+64-ROUNDDOWN(HEVARIM[[#This Row],[גיל]],0),"")</f>
        <v/>
      </c>
      <c r="AP463" s="1">
        <f>SUMIF(HEVARIM[קוד תקציב],HEVARIM[[#This Row],[קוד תקציב משפחה מקורי]],HEVARIM[ותק מחברה 40])</f>
        <v>0</v>
      </c>
      <c r="AQ4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4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3" s="9">
        <f>IF(HEVARIM[[#This Row],[קוד מעמד]]="1     ",IFERROR(VLOOKUP(HEVARIM[[#This Row],[קוד תקציב]],'תקציב צביעה - לקראת השינוי'!A:F,4,0),0),0)</f>
        <v>0</v>
      </c>
      <c r="AT463" s="1"/>
    </row>
    <row r="464" spans="1:46">
      <c r="A464" t="s">
        <v>3766</v>
      </c>
      <c r="B464" t="s">
        <v>3767</v>
      </c>
      <c r="C464" t="s">
        <v>2566</v>
      </c>
      <c r="D464" t="s">
        <v>392</v>
      </c>
      <c r="E464" t="s">
        <v>67</v>
      </c>
      <c r="F464" s="4">
        <v>36335</v>
      </c>
      <c r="G464">
        <v>26</v>
      </c>
      <c r="H464" t="s">
        <v>2314</v>
      </c>
      <c r="I464" t="s">
        <v>3768</v>
      </c>
      <c r="J464" s="4" t="s">
        <v>70</v>
      </c>
      <c r="K464" s="4" t="s">
        <v>81</v>
      </c>
      <c r="L464" t="s">
        <v>3769</v>
      </c>
      <c r="M464" t="s">
        <v>3766</v>
      </c>
      <c r="N464" t="s">
        <v>3767</v>
      </c>
      <c r="O464">
        <f>IFERROR(VLOOKUP(HEVARIM[[#This Row],[קוד תקציב]],[2]תקציבים!A:L,6,0),0)</f>
        <v>0</v>
      </c>
      <c r="P464" s="5" t="s">
        <v>83</v>
      </c>
      <c r="Q464" t="s">
        <v>15</v>
      </c>
      <c r="R464" s="4">
        <v>45874</v>
      </c>
      <c r="S464" s="4" t="s">
        <v>74</v>
      </c>
      <c r="T464" s="96" t="s">
        <v>2314</v>
      </c>
      <c r="U464" t="str">
        <f>VLOOKUP(HEVARIM[[#This Row],[גיל]],GIL,2,1)</f>
        <v>--</v>
      </c>
      <c r="V464" t="str">
        <f>IF(HEVARIM[[#This Row],[קוד מעמד]]="4     ",IF(HEVARIM[[#This Row],[גיל]]=1,1,IF(HEVARIM[[#This Row],[גיל]]&lt;=5,5,18)),"")</f>
        <v/>
      </c>
      <c r="W464">
        <f t="shared" si="28"/>
        <v>0</v>
      </c>
      <c r="X46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4">
        <f>IF(HEVARIM[[#This Row],[מצב משפחתי2]]="אלמן",'[2]ריכוז נתונים'!$AC$2,0)</f>
        <v>0</v>
      </c>
      <c r="Z464" s="3">
        <f>VLOOKUP(VALUE(HEVARIM[[#This Row],[קוד מעמד]]),הנחות!$I$2:$K$21,3,0)</f>
        <v>0</v>
      </c>
      <c r="AA464" t="b">
        <f>ISERROR(VLOOKUP(HEVARIM[[#This Row],[קוד תקציב]],'[2]ריכוז נתונים'!A:A,1,0))</f>
        <v>1</v>
      </c>
      <c r="AB464" s="1">
        <f t="shared" si="29"/>
        <v>0</v>
      </c>
      <c r="AC464" s="2">
        <f ca="1">IF(HEVARIM[[#This Row],[בר מצוה]]&gt;0,YEAR(TODAY())+'תקציבים מיוחדים'!$F$5-HEVARIM[[#This Row],[גיל]],0)</f>
        <v>0</v>
      </c>
      <c r="AD464" s="1">
        <f t="shared" si="30"/>
        <v>0</v>
      </c>
      <c r="AE464" s="2">
        <f ca="1">IF(HEVARIM[[#This Row],[בת מצוה]]&gt;0,YEAR(TODAY())+'תקציבים מיוחדים'!$F$5-HEVARIM[[#This Row],[גיל]],0)</f>
        <v>0</v>
      </c>
      <c r="AF464" s="1">
        <f>IF(AND($S464&gt;="רווק",$Z464=1),AF$4*IF(HEVARIM[[#This Row],[גיל]]&gt;$AF$3,1,(($G464-AF$2)/(AF$3-AF$2))),0)</f>
        <v>0</v>
      </c>
      <c r="AG46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4" s="1">
        <f t="shared" si="31"/>
        <v>0</v>
      </c>
      <c r="AI464" s="2">
        <f ca="1">IF(AH464&gt;0,YEAR(TODAY())+'תקציבים מיוחדים'!$F$7-HEVARIM[[#This Row],[גיל]],0)</f>
        <v>0</v>
      </c>
      <c r="AJ464" s="9">
        <f>IF(AND(ISERROR(VLOOKUP(H464,'[2]ריכוז נתונים'!A:L,1,0)),P464="1     "),1,0)</f>
        <v>0</v>
      </c>
      <c r="AK46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4" s="1">
        <f>IF(AND(VALUE(HEVARIM[[#This Row],[קוד מעמד]])=1,HEVARIM[[#This Row],[ותק מחברה 40]]&lt;25),HEVARIM[[#This Row],[ותק מחברה 40]]/25*הנחות!$C$4,0)</f>
        <v>0</v>
      </c>
      <c r="AM464" s="9" t="str">
        <f ca="1">IF(HEVARIM[[#This Row],[דמי עזיבה 25 שנות ותק]]&gt;0,YEAR(TODAY())+25-ROUNDDOWN(HEVARIM[[#This Row],[ותק מחברה 40]],0),"")</f>
        <v/>
      </c>
      <c r="AN4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4" s="9" t="str">
        <f ca="1">IF(HEVARIM[[#This Row],[דמי עזיבה לגיל 65]]&gt;0,YEAR(TODAY())+64-ROUNDDOWN(HEVARIM[[#This Row],[גיל]],0),"")</f>
        <v/>
      </c>
      <c r="AP464" s="1">
        <f>SUMIF(HEVARIM[קוד תקציב],HEVARIM[[#This Row],[קוד תקציב משפחה מקורי]],HEVARIM[ותק מחברה 40])</f>
        <v>0</v>
      </c>
      <c r="AQ4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4" s="9">
        <f>IF(HEVARIM[[#This Row],[קוד מעמד]]="1     ",IFERROR(VLOOKUP(HEVARIM[[#This Row],[קוד תקציב]],'תקציב צביעה - לקראת השינוי'!A:F,4,0),0),0)</f>
        <v>0</v>
      </c>
      <c r="AT464" s="1"/>
    </row>
    <row r="465" spans="1:46">
      <c r="A465" t="s">
        <v>3770</v>
      </c>
      <c r="B465" t="s">
        <v>3771</v>
      </c>
      <c r="C465" t="s">
        <v>2566</v>
      </c>
      <c r="D465" t="s">
        <v>3772</v>
      </c>
      <c r="E465" t="s">
        <v>67</v>
      </c>
      <c r="F465" s="4">
        <v>45514</v>
      </c>
      <c r="G465">
        <v>1</v>
      </c>
      <c r="H465" t="s">
        <v>2314</v>
      </c>
      <c r="I465" t="s">
        <v>3768</v>
      </c>
      <c r="J465" s="4" t="s">
        <v>70</v>
      </c>
      <c r="K465" s="4" t="s">
        <v>81</v>
      </c>
      <c r="L465" t="s">
        <v>3773</v>
      </c>
      <c r="M465" t="s">
        <v>3766</v>
      </c>
      <c r="N465" t="s">
        <v>3767</v>
      </c>
      <c r="O465">
        <f>IFERROR(VLOOKUP(HEVARIM[[#This Row],[קוד תקציב]],[2]תקציבים!A:L,6,0),0)</f>
        <v>0</v>
      </c>
      <c r="P465" s="5" t="s">
        <v>89</v>
      </c>
      <c r="Q465" t="s">
        <v>19</v>
      </c>
      <c r="R465" s="4">
        <v>45874</v>
      </c>
      <c r="S465" s="4" t="s">
        <v>90</v>
      </c>
      <c r="T465" s="96" t="s">
        <v>2314</v>
      </c>
      <c r="U465" t="str">
        <f>VLOOKUP(HEVARIM[[#This Row],[גיל]],GIL,2,1)</f>
        <v>פעוט</v>
      </c>
      <c r="V465" t="str">
        <f>IF(HEVARIM[[#This Row],[קוד מעמד]]="4     ",IF(HEVARIM[[#This Row],[גיל]]=1,1,IF(HEVARIM[[#This Row],[גיל]]&lt;=5,5,18)),"")</f>
        <v/>
      </c>
      <c r="W465">
        <f t="shared" si="28"/>
        <v>0</v>
      </c>
      <c r="X46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5">
        <f>IF(HEVARIM[[#This Row],[מצב משפחתי2]]="אלמן",'[2]ריכוז נתונים'!$AC$2,0)</f>
        <v>0</v>
      </c>
      <c r="Z465" s="3">
        <f>VLOOKUP(VALUE(HEVARIM[[#This Row],[קוד מעמד]]),הנחות!$I$2:$K$21,3,0)</f>
        <v>0</v>
      </c>
      <c r="AA465" t="b">
        <f>ISERROR(VLOOKUP(HEVARIM[[#This Row],[קוד תקציב]],'[2]ריכוז נתונים'!A:A,1,0))</f>
        <v>1</v>
      </c>
      <c r="AB465" s="1">
        <f t="shared" si="29"/>
        <v>0</v>
      </c>
      <c r="AC465" s="2">
        <f ca="1">IF(HEVARIM[[#This Row],[בר מצוה]]&gt;0,YEAR(TODAY())+'תקציבים מיוחדים'!$F$5-HEVARIM[[#This Row],[גיל]],0)</f>
        <v>0</v>
      </c>
      <c r="AD465" s="1">
        <f t="shared" si="30"/>
        <v>0</v>
      </c>
      <c r="AE465" s="2">
        <f ca="1">IF(HEVARIM[[#This Row],[בת מצוה]]&gt;0,YEAR(TODAY())+'תקציבים מיוחדים'!$F$5-HEVARIM[[#This Row],[גיל]],0)</f>
        <v>0</v>
      </c>
      <c r="AF465" s="1">
        <f>IF(AND($S465&gt;="רווק",$Z465=1),AF$4*IF(HEVARIM[[#This Row],[גיל]]&gt;$AF$3,1,(($G465-AF$2)/(AF$3-AF$2))),0)</f>
        <v>0</v>
      </c>
      <c r="AG46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5" s="1">
        <f t="shared" si="31"/>
        <v>0</v>
      </c>
      <c r="AI465" s="2">
        <f ca="1">IF(AH465&gt;0,YEAR(TODAY())+'תקציבים מיוחדים'!$F$7-HEVARIM[[#This Row],[גיל]],0)</f>
        <v>0</v>
      </c>
      <c r="AJ465" s="9">
        <f>IF(AND(ISERROR(VLOOKUP(H465,'[2]ריכוז נתונים'!A:L,1,0)),P465="1     "),1,0)</f>
        <v>0</v>
      </c>
      <c r="AK46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65" s="1">
        <f>IF(AND(VALUE(HEVARIM[[#This Row],[קוד מעמד]])=1,HEVARIM[[#This Row],[ותק מחברה 40]]&lt;25),HEVARIM[[#This Row],[ותק מחברה 40]]/25*הנחות!$C$4,0)</f>
        <v>0</v>
      </c>
      <c r="AM465" s="9" t="str">
        <f ca="1">IF(HEVARIM[[#This Row],[דמי עזיבה 25 שנות ותק]]&gt;0,YEAR(TODAY())+25-ROUNDDOWN(HEVARIM[[#This Row],[ותק מחברה 40]],0),"")</f>
        <v/>
      </c>
      <c r="AN4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5" s="9" t="str">
        <f ca="1">IF(HEVARIM[[#This Row],[דמי עזיבה לגיל 65]]&gt;0,YEAR(TODAY())+64-ROUNDDOWN(HEVARIM[[#This Row],[גיל]],0),"")</f>
        <v/>
      </c>
      <c r="AP465" s="1">
        <f>SUMIF(HEVARIM[קוד תקציב],HEVARIM[[#This Row],[קוד תקציב משפחה מקורי]],HEVARIM[ותק מחברה 40])</f>
        <v>0</v>
      </c>
      <c r="AQ4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5" s="9">
        <f>IF(HEVARIM[[#This Row],[קוד מעמד]]="1     ",IFERROR(VLOOKUP(HEVARIM[[#This Row],[קוד תקציב]],'תקציב צביעה - לקראת השינוי'!A:F,4,0),0),0)</f>
        <v>0</v>
      </c>
      <c r="AT465" s="1"/>
    </row>
    <row r="466" spans="1:46">
      <c r="A466" t="s">
        <v>2384</v>
      </c>
      <c r="B466" t="s">
        <v>2385</v>
      </c>
      <c r="C466" t="s">
        <v>458</v>
      </c>
      <c r="D466" t="s">
        <v>2386</v>
      </c>
      <c r="E466" t="s">
        <v>67</v>
      </c>
      <c r="F466" s="4">
        <v>23978</v>
      </c>
      <c r="G466">
        <v>60</v>
      </c>
      <c r="H466" t="s">
        <v>2387</v>
      </c>
      <c r="I466" t="s">
        <v>2388</v>
      </c>
      <c r="J466" s="4" t="s">
        <v>70</v>
      </c>
      <c r="K466" s="4" t="s">
        <v>71</v>
      </c>
      <c r="L466" t="s">
        <v>2389</v>
      </c>
      <c r="M466" t="s">
        <v>2384</v>
      </c>
      <c r="N466" t="s">
        <v>2385</v>
      </c>
      <c r="O466">
        <f>IFERROR(VLOOKUP(HEVARIM[[#This Row],[קוד תקציב]],[2]תקציבים!A:L,6,0),0)</f>
        <v>2</v>
      </c>
      <c r="P466" s="5" t="s">
        <v>104</v>
      </c>
      <c r="Q466" t="s">
        <v>11</v>
      </c>
      <c r="R466" s="4">
        <v>36739</v>
      </c>
      <c r="S466" s="4" t="s">
        <v>74</v>
      </c>
      <c r="T466" s="96" t="s">
        <v>2326</v>
      </c>
      <c r="U466" t="str">
        <f>VLOOKUP(HEVARIM[[#This Row],[גיל]],GIL,2,1)</f>
        <v>--</v>
      </c>
      <c r="V466" t="str">
        <f>IF(HEVARIM[[#This Row],[קוד מעמד]]="4     ",IF(HEVARIM[[#This Row],[גיל]]=1,1,IF(HEVARIM[[#This Row],[גיל]]&lt;=5,5,18)),"")</f>
        <v/>
      </c>
      <c r="W466">
        <f t="shared" si="28"/>
        <v>0</v>
      </c>
      <c r="X46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6">
        <f>IF(HEVARIM[[#This Row],[מצב משפחתי2]]="אלמן",'[2]ריכוז נתונים'!$AC$2,0)</f>
        <v>0</v>
      </c>
      <c r="Z466" s="3">
        <f>VLOOKUP(VALUE(HEVARIM[[#This Row],[קוד מעמד]]),הנחות!$I$2:$K$21,3,0)</f>
        <v>0</v>
      </c>
      <c r="AA466" t="b">
        <f>ISERROR(VLOOKUP(HEVARIM[[#This Row],[קוד תקציב]],'[2]ריכוז נתונים'!A:A,1,0))</f>
        <v>0</v>
      </c>
      <c r="AB466" s="1">
        <f t="shared" si="29"/>
        <v>0</v>
      </c>
      <c r="AC466" s="2">
        <f ca="1">IF(HEVARIM[[#This Row],[בר מצוה]]&gt;0,YEAR(TODAY())+'תקציבים מיוחדים'!$F$5-HEVARIM[[#This Row],[גיל]],0)</f>
        <v>0</v>
      </c>
      <c r="AD466" s="1">
        <f t="shared" si="30"/>
        <v>0</v>
      </c>
      <c r="AE466" s="2">
        <f ca="1">IF(HEVARIM[[#This Row],[בת מצוה]]&gt;0,YEAR(TODAY())+'תקציבים מיוחדים'!$F$5-HEVARIM[[#This Row],[גיל]],0)</f>
        <v>0</v>
      </c>
      <c r="AF466" s="1">
        <f>IF(AND($S466&gt;="רווק",$Z466=1),AF$4*IF(HEVARIM[[#This Row],[גיל]]&gt;$AF$3,1,(($G466-AF$2)/(AF$3-AF$2))),0)</f>
        <v>0</v>
      </c>
      <c r="AG46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6" s="1">
        <f t="shared" si="31"/>
        <v>0</v>
      </c>
      <c r="AI466" s="2">
        <f ca="1">IF(AH466&gt;0,YEAR(TODAY())+'תקציבים מיוחדים'!$F$7-HEVARIM[[#This Row],[גיל]],0)</f>
        <v>0</v>
      </c>
      <c r="AJ466" s="9">
        <f>IF(AND(ISERROR(VLOOKUP(H466,'[2]ריכוז נתונים'!A:L,1,0)),P466="1     "),1,0)</f>
        <v>0</v>
      </c>
      <c r="AK466" s="1">
        <f>IF(VALUE(HEVARIM[[#This Row],[קוד מעמד]])=1,VLOOKUP((IF(LEFT(HEVARIM[[#This Row],[קוד חבר]],1)="0",HEVARIM[[#This Row],[קוד חבר]],VALUE(HEVARIM[[#This Row],[קוד חבר]]))),'ותק חברה 40'!AQ:AW,7,0),"")</f>
        <v>40.950000000000003</v>
      </c>
      <c r="AL466" s="1">
        <f>IF(AND(VALUE(HEVARIM[[#This Row],[קוד מעמד]])=1,HEVARIM[[#This Row],[ותק מחברה 40]]&lt;25),HEVARIM[[#This Row],[ותק מחברה 40]]/25*הנחות!$C$4,0)</f>
        <v>0</v>
      </c>
      <c r="AM466" s="9" t="str">
        <f ca="1">IF(HEVARIM[[#This Row],[דמי עזיבה 25 שנות ותק]]&gt;0,YEAR(TODAY())+25-ROUNDDOWN(HEVARIM[[#This Row],[ותק מחברה 40]],0),"")</f>
        <v/>
      </c>
      <c r="AN466" s="1">
        <f>IF(AND(VALUE(HEVARIM[[#This Row],[קוד מעמד]])=1,HEVARIM[[#This Row],[ותק מחברה 40]]&gt;25,HEVARIM[[#This Row],[גיל]]&lt;65),הנחות!$C$14+(HEVARIM[[#This Row],[ותק מחברה 40]]-25)*הנחות!$C$10*0.25,0)</f>
        <v>69573.085312500014</v>
      </c>
      <c r="AO466" s="9">
        <f ca="1">IF(HEVARIM[[#This Row],[דמי עזיבה לגיל 65]]&gt;0,YEAR(TODAY())+64-ROUNDDOWN(HEVARIM[[#This Row],[גיל]],0),"")</f>
        <v>2030</v>
      </c>
      <c r="AP466" s="1">
        <f>SUMIF(HEVARIM[קוד תקציב],HEVARIM[[#This Row],[קוד תקציב משפחה מקורי]],HEVARIM[ותק מחברה 40])</f>
        <v>0</v>
      </c>
      <c r="AQ4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466" s="9">
        <f>IF(HEVARIM[[#This Row],[קוד מעמד]]="1     ",IFERROR(VLOOKUP(HEVARIM[[#This Row],[קוד תקציב]],'תקציב צביעה - לקראת השינוי'!A:F,4,0),0),0)</f>
        <v>2034</v>
      </c>
      <c r="AT466" s="1"/>
    </row>
    <row r="467" spans="1:46">
      <c r="A467" t="s">
        <v>1032</v>
      </c>
      <c r="B467" t="s">
        <v>1033</v>
      </c>
      <c r="C467" t="s">
        <v>1028</v>
      </c>
      <c r="D467" t="s">
        <v>1034</v>
      </c>
      <c r="E467" t="s">
        <v>79</v>
      </c>
      <c r="F467" s="4">
        <v>20555</v>
      </c>
      <c r="G467">
        <v>69</v>
      </c>
      <c r="H467" t="s">
        <v>1029</v>
      </c>
      <c r="I467" t="s">
        <v>1030</v>
      </c>
      <c r="J467" s="4" t="s">
        <v>70</v>
      </c>
      <c r="K467" s="4" t="s">
        <v>71</v>
      </c>
      <c r="L467" t="s">
        <v>1035</v>
      </c>
      <c r="M467" t="s">
        <v>1026</v>
      </c>
      <c r="N467" t="s">
        <v>1027</v>
      </c>
      <c r="O467">
        <f>IFERROR(VLOOKUP(HEVARIM[[#This Row],[קוד תקציב]],[2]תקציבים!A:L,6,0),0)</f>
        <v>2</v>
      </c>
      <c r="P467" s="5" t="s">
        <v>104</v>
      </c>
      <c r="Q467" t="s">
        <v>11</v>
      </c>
      <c r="R467" s="4">
        <v>29586</v>
      </c>
      <c r="S467" s="4" t="s">
        <v>74</v>
      </c>
      <c r="T467" s="96" t="s">
        <v>2326</v>
      </c>
      <c r="U467" t="str">
        <f>VLOOKUP(HEVARIM[[#This Row],[גיל]],GIL,2,1)</f>
        <v>--</v>
      </c>
      <c r="V467" t="str">
        <f>IF(HEVARIM[[#This Row],[קוד מעמד]]="4     ",IF(HEVARIM[[#This Row],[גיל]]=1,1,IF(HEVARIM[[#This Row],[גיל]]&lt;=5,5,18)),"")</f>
        <v/>
      </c>
      <c r="W467">
        <f t="shared" si="28"/>
        <v>2365</v>
      </c>
      <c r="X46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67">
        <f>IF(HEVARIM[[#This Row],[מצב משפחתי2]]="אלמן",'[2]ריכוז נתונים'!$AC$2,0)</f>
        <v>0</v>
      </c>
      <c r="Z467" s="3">
        <f>VLOOKUP(VALUE(HEVARIM[[#This Row],[קוד מעמד]]),הנחות!$I$2:$K$21,3,0)</f>
        <v>0</v>
      </c>
      <c r="AA467" t="b">
        <f>ISERROR(VLOOKUP(HEVARIM[[#This Row],[קוד תקציב]],'[2]ריכוז נתונים'!A:A,1,0))</f>
        <v>0</v>
      </c>
      <c r="AB467" s="1">
        <f t="shared" si="29"/>
        <v>0</v>
      </c>
      <c r="AC467" s="2">
        <f ca="1">IF(HEVARIM[[#This Row],[בר מצוה]]&gt;0,YEAR(TODAY())+'תקציבים מיוחדים'!$F$5-HEVARIM[[#This Row],[גיל]],0)</f>
        <v>0</v>
      </c>
      <c r="AD467" s="1">
        <f t="shared" si="30"/>
        <v>0</v>
      </c>
      <c r="AE467" s="2">
        <f ca="1">IF(HEVARIM[[#This Row],[בת מצוה]]&gt;0,YEAR(TODAY())+'תקציבים מיוחדים'!$F$5-HEVARIM[[#This Row],[גיל]],0)</f>
        <v>0</v>
      </c>
      <c r="AF467" s="1">
        <f>IF(AND($S467&gt;="רווק",$Z467=1),AF$4*IF(HEVARIM[[#This Row],[גיל]]&gt;$AF$3,1,(($G467-AF$2)/(AF$3-AF$2))),0)</f>
        <v>0</v>
      </c>
      <c r="AG46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7" s="1">
        <f t="shared" si="31"/>
        <v>0</v>
      </c>
      <c r="AI467" s="2">
        <f ca="1">IF(AH467&gt;0,YEAR(TODAY())+'תקציבים מיוחדים'!$F$7-HEVARIM[[#This Row],[גיל]],0)</f>
        <v>0</v>
      </c>
      <c r="AJ467" s="9">
        <f>IF(AND(ISERROR(VLOOKUP(H467,'[2]ריכוז נתונים'!A:L,1,0)),P467="1     "),1,0)</f>
        <v>0</v>
      </c>
      <c r="AK467" s="1">
        <f>IF(VALUE(HEVARIM[[#This Row],[קוד מעמד]])=1,VLOOKUP((IF(LEFT(HEVARIM[[#This Row],[קוד חבר]],1)="0",HEVARIM[[#This Row],[קוד חבר]],VALUE(HEVARIM[[#This Row],[קוד חבר]]))),'ותק חברה 40'!AQ:AW,7,0),"")</f>
        <v>42.33</v>
      </c>
      <c r="AL467" s="1">
        <f>IF(AND(VALUE(HEVARIM[[#This Row],[קוד מעמד]])=1,HEVARIM[[#This Row],[ותק מחברה 40]]&lt;25),HEVARIM[[#This Row],[ותק מחברה 40]]/25*הנחות!$C$4,0)</f>
        <v>0</v>
      </c>
      <c r="AM467" s="9" t="str">
        <f ca="1">IF(HEVARIM[[#This Row],[דמי עזיבה 25 שנות ותק]]&gt;0,YEAR(TODAY())+25-ROUNDDOWN(HEVARIM[[#This Row],[ותק מחברה 40]],0),"")</f>
        <v/>
      </c>
      <c r="AN4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7" s="9" t="str">
        <f ca="1">IF(HEVARIM[[#This Row],[דמי עזיבה לגיל 65]]&gt;0,YEAR(TODAY())+64-ROUNDDOWN(HEVARIM[[#This Row],[גיל]],0),"")</f>
        <v/>
      </c>
      <c r="AP467" s="1">
        <f>SUMIF(HEVARIM[קוד תקציב],HEVARIM[[#This Row],[קוד תקציב משפחה מקורי]],HEVARIM[ותק מחברה 40])</f>
        <v>0</v>
      </c>
      <c r="AQ4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67" s="9">
        <f>IF(HEVARIM[[#This Row],[קוד מעמד]]="1     ",IFERROR(VLOOKUP(HEVARIM[[#This Row],[קוד תקציב]],'תקציב צביעה - לקראת השינוי'!A:F,4,0),0),0)</f>
        <v>2033</v>
      </c>
      <c r="AT467" s="1"/>
    </row>
    <row r="468" spans="1:46">
      <c r="A468" t="s">
        <v>2327</v>
      </c>
      <c r="B468" t="s">
        <v>2328</v>
      </c>
      <c r="C468" t="s">
        <v>2329</v>
      </c>
      <c r="D468" t="s">
        <v>364</v>
      </c>
      <c r="E468" t="s">
        <v>67</v>
      </c>
      <c r="F468" s="4">
        <v>16643</v>
      </c>
      <c r="G468">
        <v>80</v>
      </c>
      <c r="H468" t="s">
        <v>2330</v>
      </c>
      <c r="I468" t="s">
        <v>2331</v>
      </c>
      <c r="J468" s="4" t="s">
        <v>70</v>
      </c>
      <c r="K468" s="4" t="s">
        <v>71</v>
      </c>
      <c r="L468" t="s">
        <v>2332</v>
      </c>
      <c r="M468" t="s">
        <v>2327</v>
      </c>
      <c r="N468" t="s">
        <v>2328</v>
      </c>
      <c r="O468">
        <f>IFERROR(VLOOKUP(HEVARIM[[#This Row],[קוד תקציב]],[2]תקציבים!A:L,6,0),0)</f>
        <v>2</v>
      </c>
      <c r="P468" s="5" t="s">
        <v>104</v>
      </c>
      <c r="Q468" t="s">
        <v>11</v>
      </c>
      <c r="R468" s="4">
        <v>26664</v>
      </c>
      <c r="S468" s="4" t="s">
        <v>74</v>
      </c>
      <c r="T468" s="96" t="s">
        <v>2330</v>
      </c>
      <c r="U468" t="str">
        <f>VLOOKUP(HEVARIM[[#This Row],[גיל]],GIL,2,1)</f>
        <v>--</v>
      </c>
      <c r="V468" t="str">
        <f>IF(HEVARIM[[#This Row],[קוד מעמד]]="4     ",IF(HEVARIM[[#This Row],[גיל]]=1,1,IF(HEVARIM[[#This Row],[גיל]]&lt;=5,5,18)),"")</f>
        <v/>
      </c>
      <c r="W468">
        <f t="shared" si="28"/>
        <v>2567</v>
      </c>
      <c r="X46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68">
        <f>IF(HEVARIM[[#This Row],[מצב משפחתי2]]="אלמן",'[2]ריכוז נתונים'!$AC$2,0)</f>
        <v>0</v>
      </c>
      <c r="Z468" s="3">
        <f>VLOOKUP(VALUE(HEVARIM[[#This Row],[קוד מעמד]]),הנחות!$I$2:$K$21,3,0)</f>
        <v>0</v>
      </c>
      <c r="AA468" t="b">
        <f>ISERROR(VLOOKUP(HEVARIM[[#This Row],[קוד תקציב]],'[2]ריכוז נתונים'!A:A,1,0))</f>
        <v>0</v>
      </c>
      <c r="AB468" s="1">
        <f t="shared" si="29"/>
        <v>0</v>
      </c>
      <c r="AC468" s="2">
        <f ca="1">IF(HEVARIM[[#This Row],[בר מצוה]]&gt;0,YEAR(TODAY())+'תקציבים מיוחדים'!$F$5-HEVARIM[[#This Row],[גיל]],0)</f>
        <v>0</v>
      </c>
      <c r="AD468" s="1">
        <f t="shared" si="30"/>
        <v>0</v>
      </c>
      <c r="AE468" s="2">
        <f ca="1">IF(HEVARIM[[#This Row],[בת מצוה]]&gt;0,YEAR(TODAY())+'תקציבים מיוחדים'!$F$5-HEVARIM[[#This Row],[גיל]],0)</f>
        <v>0</v>
      </c>
      <c r="AF468" s="1">
        <f>IF(AND($S468&gt;="רווק",$Z468=1),AF$4*IF(HEVARIM[[#This Row],[גיל]]&gt;$AF$3,1,(($G468-AF$2)/(AF$3-AF$2))),0)</f>
        <v>0</v>
      </c>
      <c r="AG46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8" s="1">
        <f t="shared" si="31"/>
        <v>0</v>
      </c>
      <c r="AI468" s="2">
        <f ca="1">IF(AH468&gt;0,YEAR(TODAY())+'תקציבים מיוחדים'!$F$7-HEVARIM[[#This Row],[גיל]],0)</f>
        <v>0</v>
      </c>
      <c r="AJ468" s="9">
        <f>IF(AND(ISERROR(VLOOKUP(H468,'[2]ריכוז נתונים'!A:L,1,0)),P468="1     "),1,0)</f>
        <v>0</v>
      </c>
      <c r="AK468" s="1">
        <f>IF(VALUE(HEVARIM[[#This Row],[קוד מעמד]])=1,VLOOKUP((IF(LEFT(HEVARIM[[#This Row],[קוד חבר]],1)="0",HEVARIM[[#This Row],[קוד חבר]],VALUE(HEVARIM[[#This Row],[קוד חבר]]))),'ותק חברה 40'!AQ:AW,7,0),"")</f>
        <v>42.19</v>
      </c>
      <c r="AL468" s="1">
        <f>IF(AND(VALUE(HEVARIM[[#This Row],[קוד מעמד]])=1,HEVARIM[[#This Row],[ותק מחברה 40]]&lt;25),HEVARIM[[#This Row],[ותק מחברה 40]]/25*הנחות!$C$4,0)</f>
        <v>0</v>
      </c>
      <c r="AM468" s="9" t="str">
        <f ca="1">IF(HEVARIM[[#This Row],[דמי עזיבה 25 שנות ותק]]&gt;0,YEAR(TODAY())+25-ROUNDDOWN(HEVARIM[[#This Row],[ותק מחברה 40]],0),"")</f>
        <v/>
      </c>
      <c r="AN4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8" s="9" t="str">
        <f ca="1">IF(HEVARIM[[#This Row],[דמי עזיבה לגיל 65]]&gt;0,YEAR(TODAY())+64-ROUNDDOWN(HEVARIM[[#This Row],[גיל]],0),"")</f>
        <v/>
      </c>
      <c r="AP468" s="1">
        <f>SUMIF(HEVARIM[קוד תקציב],HEVARIM[[#This Row],[קוד תקציב משפחה מקורי]],HEVARIM[ותק מחברה 40])</f>
        <v>77.38</v>
      </c>
      <c r="AQ4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468" s="9">
        <f>IF(HEVARIM[[#This Row],[קוד מעמד]]="1     ",IFERROR(VLOOKUP(HEVARIM[[#This Row],[קוד תקציב]],'תקציב צביעה - לקראת השינוי'!A:F,4,0),0),0)</f>
        <v>2030</v>
      </c>
      <c r="AT468" s="1"/>
    </row>
    <row r="469" spans="1:46">
      <c r="A469" t="s">
        <v>2494</v>
      </c>
      <c r="B469" t="s">
        <v>2495</v>
      </c>
      <c r="C469" t="s">
        <v>2489</v>
      </c>
      <c r="D469" t="s">
        <v>2115</v>
      </c>
      <c r="E469" t="s">
        <v>79</v>
      </c>
      <c r="F469" s="4">
        <v>33145</v>
      </c>
      <c r="G469">
        <v>35</v>
      </c>
      <c r="H469" t="s">
        <v>2491</v>
      </c>
      <c r="I469" t="s">
        <v>2492</v>
      </c>
      <c r="J469" s="4" t="s">
        <v>70</v>
      </c>
      <c r="K469" s="4" t="s">
        <v>71</v>
      </c>
      <c r="L469" t="s">
        <v>2496</v>
      </c>
      <c r="M469" t="s">
        <v>2487</v>
      </c>
      <c r="N469" t="s">
        <v>2488</v>
      </c>
      <c r="O469">
        <f>IFERROR(VLOOKUP(HEVARIM[[#This Row],[קוד תקציב]],[2]תקציבים!A:L,6,0),0)</f>
        <v>2</v>
      </c>
      <c r="P469" s="5" t="s">
        <v>104</v>
      </c>
      <c r="Q469" t="s">
        <v>11</v>
      </c>
      <c r="R469" s="4">
        <v>45062</v>
      </c>
      <c r="S469" s="4" t="s">
        <v>74</v>
      </c>
      <c r="T469" s="96" t="s">
        <v>2330</v>
      </c>
      <c r="U469" t="str">
        <f>VLOOKUP(HEVARIM[[#This Row],[גיל]],GIL,2,1)</f>
        <v>--</v>
      </c>
      <c r="V469" t="str">
        <f>IF(HEVARIM[[#This Row],[קוד מעמד]]="4     ",IF(HEVARIM[[#This Row],[גיל]]=1,1,IF(HEVARIM[[#This Row],[גיל]]&lt;=5,5,18)),"")</f>
        <v/>
      </c>
      <c r="W469">
        <f t="shared" si="28"/>
        <v>0</v>
      </c>
      <c r="X46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69">
        <f>IF(HEVARIM[[#This Row],[מצב משפחתי2]]="אלמן",'[2]ריכוז נתונים'!$AC$2,0)</f>
        <v>0</v>
      </c>
      <c r="Z469" s="3">
        <f>VLOOKUP(VALUE(HEVARIM[[#This Row],[קוד מעמד]]),הנחות!$I$2:$K$21,3,0)</f>
        <v>0</v>
      </c>
      <c r="AA469" t="b">
        <f>ISERROR(VLOOKUP(HEVARIM[[#This Row],[קוד תקציב]],'[2]ריכוז נתונים'!A:A,1,0))</f>
        <v>0</v>
      </c>
      <c r="AB469" s="1">
        <f t="shared" si="29"/>
        <v>0</v>
      </c>
      <c r="AC469" s="2">
        <f ca="1">IF(HEVARIM[[#This Row],[בר מצוה]]&gt;0,YEAR(TODAY())+'תקציבים מיוחדים'!$F$5-HEVARIM[[#This Row],[גיל]],0)</f>
        <v>0</v>
      </c>
      <c r="AD469" s="1">
        <f t="shared" si="30"/>
        <v>0</v>
      </c>
      <c r="AE469" s="2">
        <f ca="1">IF(HEVARIM[[#This Row],[בת מצוה]]&gt;0,YEAR(TODAY())+'תקציבים מיוחדים'!$F$5-HEVARIM[[#This Row],[גיל]],0)</f>
        <v>0</v>
      </c>
      <c r="AF469" s="1">
        <f>IF(AND($S469&gt;="רווק",$Z469=1),AF$4*IF(HEVARIM[[#This Row],[גיל]]&gt;$AF$3,1,(($G469-AF$2)/(AF$3-AF$2))),0)</f>
        <v>0</v>
      </c>
      <c r="AG46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69" s="1">
        <f t="shared" si="31"/>
        <v>0</v>
      </c>
      <c r="AI469" s="2">
        <f ca="1">IF(AH469&gt;0,YEAR(TODAY())+'תקציבים מיוחדים'!$F$7-HEVARIM[[#This Row],[גיל]],0)</f>
        <v>0</v>
      </c>
      <c r="AJ469" s="9">
        <f>IF(AND(ISERROR(VLOOKUP(H469,'[2]ריכוז נתונים'!A:L,1,0)),P469="1     "),1,0)</f>
        <v>0</v>
      </c>
      <c r="AK469" s="1">
        <f>IF(VALUE(HEVARIM[[#This Row],[קוד מעמד]])=1,VLOOKUP((IF(LEFT(HEVARIM[[#This Row],[קוד חבר]],1)="0",HEVARIM[[#This Row],[קוד חבר]],VALUE(HEVARIM[[#This Row],[קוד חבר]]))),'ותק חברה 40'!AQ:AW,7,0),"")</f>
        <v>4.34</v>
      </c>
      <c r="AL469" s="1">
        <f>IF(AND(VALUE(HEVARIM[[#This Row],[קוד מעמד]])=1,HEVARIM[[#This Row],[ותק מחברה 40]]&lt;25),HEVARIM[[#This Row],[ותק מחברה 40]]/25*הנחות!$C$4,0)</f>
        <v>6516.0087299999996</v>
      </c>
      <c r="AM469" s="9">
        <f ca="1">IF(HEVARIM[[#This Row],[דמי עזיבה 25 שנות ותק]]&gt;0,YEAR(TODAY())+25-ROUNDDOWN(HEVARIM[[#This Row],[ותק מחברה 40]],0),"")</f>
        <v>2047</v>
      </c>
      <c r="AN4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69" s="9" t="str">
        <f ca="1">IF(HEVARIM[[#This Row],[דמי עזיבה לגיל 65]]&gt;0,YEAR(TODAY())+64-ROUNDDOWN(HEVARIM[[#This Row],[גיל]],0),"")</f>
        <v/>
      </c>
      <c r="AP469" s="1">
        <f>SUMIF(HEVARIM[קוד תקציב],HEVARIM[[#This Row],[קוד תקציב משפחה מקורי]],HEVARIM[ותק מחברה 40])</f>
        <v>77.38</v>
      </c>
      <c r="AQ4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69" s="9">
        <f>IF(HEVARIM[[#This Row],[קוד מעמד]]="1     ",IFERROR(VLOOKUP(HEVARIM[[#This Row],[קוד תקציב]],'תקציב צביעה - לקראת השינוי'!A:F,4,0),0),0)</f>
        <v>0</v>
      </c>
      <c r="AT469" s="1"/>
    </row>
    <row r="470" spans="1:46">
      <c r="A470" t="s">
        <v>2454</v>
      </c>
      <c r="B470" t="s">
        <v>2455</v>
      </c>
      <c r="C470" t="s">
        <v>2338</v>
      </c>
      <c r="D470" t="s">
        <v>2456</v>
      </c>
      <c r="E470" t="s">
        <v>67</v>
      </c>
      <c r="F470" s="4">
        <v>30608</v>
      </c>
      <c r="G470">
        <v>42</v>
      </c>
      <c r="H470" t="s">
        <v>2457</v>
      </c>
      <c r="I470" t="s">
        <v>2458</v>
      </c>
      <c r="J470" s="4" t="s">
        <v>70</v>
      </c>
      <c r="K470" s="4" t="s">
        <v>71</v>
      </c>
      <c r="L470" t="s">
        <v>2459</v>
      </c>
      <c r="M470" t="s">
        <v>2454</v>
      </c>
      <c r="N470" t="s">
        <v>2455</v>
      </c>
      <c r="O470">
        <f>IFERROR(VLOOKUP(HEVARIM[[#This Row],[קוד תקציב]],[2]תקציבים!A:L,6,0),0)</f>
        <v>2</v>
      </c>
      <c r="P470" s="5" t="s">
        <v>104</v>
      </c>
      <c r="Q470" t="s">
        <v>11</v>
      </c>
      <c r="R470" s="4">
        <v>41821</v>
      </c>
      <c r="S470" s="4" t="s">
        <v>74</v>
      </c>
      <c r="T470" s="96" t="s">
        <v>2339</v>
      </c>
      <c r="U470" t="str">
        <f>VLOOKUP(HEVARIM[[#This Row],[גיל]],GIL,2,1)</f>
        <v>--</v>
      </c>
      <c r="V470" t="str">
        <f>IF(HEVARIM[[#This Row],[קוד מעמד]]="4     ",IF(HEVARIM[[#This Row],[גיל]]=1,1,IF(HEVARIM[[#This Row],[גיל]]&lt;=5,5,18)),"")</f>
        <v/>
      </c>
      <c r="W470">
        <f t="shared" si="28"/>
        <v>0</v>
      </c>
      <c r="X47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0">
        <f>IF(HEVARIM[[#This Row],[מצב משפחתי2]]="אלמן",'[2]ריכוז נתונים'!$AC$2,0)</f>
        <v>0</v>
      </c>
      <c r="Z470" s="3">
        <f>VLOOKUP(VALUE(HEVARIM[[#This Row],[קוד מעמד]]),הנחות!$I$2:$K$21,3,0)</f>
        <v>0</v>
      </c>
      <c r="AA470" t="b">
        <f>ISERROR(VLOOKUP(HEVARIM[[#This Row],[קוד תקציב]],'[2]ריכוז נתונים'!A:A,1,0))</f>
        <v>0</v>
      </c>
      <c r="AB470" s="1">
        <f t="shared" si="29"/>
        <v>0</v>
      </c>
      <c r="AC470" s="2">
        <f ca="1">IF(HEVARIM[[#This Row],[בר מצוה]]&gt;0,YEAR(TODAY())+'תקציבים מיוחדים'!$F$5-HEVARIM[[#This Row],[גיל]],0)</f>
        <v>0</v>
      </c>
      <c r="AD470" s="1">
        <f t="shared" si="30"/>
        <v>0</v>
      </c>
      <c r="AE470" s="2">
        <f ca="1">IF(HEVARIM[[#This Row],[בת מצוה]]&gt;0,YEAR(TODAY())+'תקציבים מיוחדים'!$F$5-HEVARIM[[#This Row],[גיל]],0)</f>
        <v>0</v>
      </c>
      <c r="AF470" s="1">
        <f>IF(AND($S470&gt;="רווק",$Z470=1),AF$4*IF(HEVARIM[[#This Row],[גיל]]&gt;$AF$3,1,(($G470-AF$2)/(AF$3-AF$2))),0)</f>
        <v>0</v>
      </c>
      <c r="AG47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0" s="1">
        <f t="shared" si="31"/>
        <v>0</v>
      </c>
      <c r="AI470" s="2">
        <f ca="1">IF(AH470&gt;0,YEAR(TODAY())+'תקציבים מיוחדים'!$F$7-HEVARIM[[#This Row],[גיל]],0)</f>
        <v>0</v>
      </c>
      <c r="AJ470" s="9">
        <f>IF(AND(ISERROR(VLOOKUP(H470,'[2]ריכוז נתונים'!A:L,1,0)),P470="1     "),1,0)</f>
        <v>0</v>
      </c>
      <c r="AK470" s="1">
        <f>IF(VALUE(HEVARIM[[#This Row],[קוד מעמד]])=1,VLOOKUP((IF(LEFT(HEVARIM[[#This Row],[קוד חבר]],1)="0",HEVARIM[[#This Row],[קוד חבר]],VALUE(HEVARIM[[#This Row],[קוד חבר]]))),'ותק חברה 40'!AQ:AW,7,0),"")</f>
        <v>13.18</v>
      </c>
      <c r="AL470" s="1">
        <f>IF(AND(VALUE(HEVARIM[[#This Row],[קוד מעמד]])=1,HEVARIM[[#This Row],[ותק מחברה 40]]&lt;25),HEVARIM[[#This Row],[ותק מחברה 40]]/25*הנחות!$C$4,0)</f>
        <v>19788.247709999996</v>
      </c>
      <c r="AM470" s="9">
        <f ca="1">IF(HEVARIM[[#This Row],[דמי עזיבה 25 שנות ותק]]&gt;0,YEAR(TODAY())+25-ROUNDDOWN(HEVARIM[[#This Row],[ותק מחברה 40]],0),"")</f>
        <v>2038</v>
      </c>
      <c r="AN47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0" s="9" t="str">
        <f ca="1">IF(HEVARIM[[#This Row],[דמי עזיבה לגיל 65]]&gt;0,YEAR(TODAY())+64-ROUNDDOWN(HEVARIM[[#This Row],[גיל]],0),"")</f>
        <v/>
      </c>
      <c r="AP470" s="1">
        <f>SUMIF(HEVARIM[קוד תקציב],HEVARIM[[#This Row],[קוד תקציב משפחה מקורי]],HEVARIM[ותק מחברה 40])</f>
        <v>93.08</v>
      </c>
      <c r="AQ4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470" s="9">
        <f>IF(HEVARIM[[#This Row],[קוד מעמד]]="1     ",IFERROR(VLOOKUP(HEVARIM[[#This Row],[קוד תקציב]],'תקציב צביעה - לקראת השינוי'!A:F,4,0),0),0)</f>
        <v>2032</v>
      </c>
      <c r="AT470" s="1"/>
    </row>
    <row r="471" spans="1:46">
      <c r="A471" t="s">
        <v>2342</v>
      </c>
      <c r="B471" t="s">
        <v>2343</v>
      </c>
      <c r="C471" t="s">
        <v>2338</v>
      </c>
      <c r="D471" t="s">
        <v>2344</v>
      </c>
      <c r="E471" t="s">
        <v>79</v>
      </c>
      <c r="F471" s="4">
        <v>20930</v>
      </c>
      <c r="G471">
        <v>68</v>
      </c>
      <c r="H471" t="s">
        <v>2339</v>
      </c>
      <c r="I471" t="s">
        <v>2340</v>
      </c>
      <c r="J471" s="4" t="s">
        <v>70</v>
      </c>
      <c r="K471" s="4" t="s">
        <v>71</v>
      </c>
      <c r="L471" t="s">
        <v>2345</v>
      </c>
      <c r="M471" t="s">
        <v>2336</v>
      </c>
      <c r="N471" t="s">
        <v>2337</v>
      </c>
      <c r="O471">
        <f>IFERROR(VLOOKUP(HEVARIM[[#This Row],[קוד תקציב]],[2]תקציבים!A:L,6,0),0)</f>
        <v>2</v>
      </c>
      <c r="P471" s="5" t="s">
        <v>104</v>
      </c>
      <c r="Q471" t="s">
        <v>11</v>
      </c>
      <c r="R471" s="4">
        <v>29525</v>
      </c>
      <c r="S471" s="4" t="s">
        <v>74</v>
      </c>
      <c r="T471" s="96" t="s">
        <v>2339</v>
      </c>
      <c r="U471" t="str">
        <f>VLOOKUP(HEVARIM[[#This Row],[גיל]],GIL,2,1)</f>
        <v>--</v>
      </c>
      <c r="V471" t="str">
        <f>IF(HEVARIM[[#This Row],[קוד מעמד]]="4     ",IF(HEVARIM[[#This Row],[גיל]]=1,1,IF(HEVARIM[[#This Row],[גיל]]&lt;=5,5,18)),"")</f>
        <v/>
      </c>
      <c r="W471">
        <f t="shared" si="28"/>
        <v>2365</v>
      </c>
      <c r="X47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71">
        <f>IF(HEVARIM[[#This Row],[מצב משפחתי2]]="אלמן",'[2]ריכוז נתונים'!$AC$2,0)</f>
        <v>0</v>
      </c>
      <c r="Z471" s="3">
        <f>VLOOKUP(VALUE(HEVARIM[[#This Row],[קוד מעמד]]),הנחות!$I$2:$K$21,3,0)</f>
        <v>0</v>
      </c>
      <c r="AA471" t="b">
        <f>ISERROR(VLOOKUP(HEVARIM[[#This Row],[קוד תקציב]],'[2]ריכוז נתונים'!A:A,1,0))</f>
        <v>0</v>
      </c>
      <c r="AB471" s="1">
        <f t="shared" si="29"/>
        <v>0</v>
      </c>
      <c r="AC471" s="2">
        <f ca="1">IF(HEVARIM[[#This Row],[בר מצוה]]&gt;0,YEAR(TODAY())+'תקציבים מיוחדים'!$F$5-HEVARIM[[#This Row],[גיל]],0)</f>
        <v>0</v>
      </c>
      <c r="AD471" s="1">
        <f t="shared" si="30"/>
        <v>0</v>
      </c>
      <c r="AE471" s="2">
        <f ca="1">IF(HEVARIM[[#This Row],[בת מצוה]]&gt;0,YEAR(TODAY())+'תקציבים מיוחדים'!$F$5-HEVARIM[[#This Row],[גיל]],0)</f>
        <v>0</v>
      </c>
      <c r="AF471" s="1">
        <f>IF(AND($S471&gt;="רווק",$Z471=1),AF$4*IF(HEVARIM[[#This Row],[גיל]]&gt;$AF$3,1,(($G471-AF$2)/(AF$3-AF$2))),0)</f>
        <v>0</v>
      </c>
      <c r="AG47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1" s="1">
        <f t="shared" si="31"/>
        <v>0</v>
      </c>
      <c r="AI471" s="2">
        <f ca="1">IF(AH471&gt;0,YEAR(TODAY())+'תקציבים מיוחדים'!$F$7-HEVARIM[[#This Row],[גיל]],0)</f>
        <v>0</v>
      </c>
      <c r="AJ471" s="9">
        <f>IF(AND(ISERROR(VLOOKUP(H471,'[2]ריכוז נתונים'!A:L,1,0)),P471="1     "),1,0)</f>
        <v>0</v>
      </c>
      <c r="AK471" s="1">
        <f>IF(VALUE(HEVARIM[[#This Row],[קוד מעמד]])=1,VLOOKUP((IF(LEFT(HEVARIM[[#This Row],[קוד חבר]],1)="0",HEVARIM[[#This Row],[קוד חבר]],VALUE(HEVARIM[[#This Row],[קוד חבר]]))),'ותק חברה 40'!AQ:AW,7,0),"")</f>
        <v>45.08</v>
      </c>
      <c r="AL471" s="1">
        <f>IF(AND(VALUE(HEVARIM[[#This Row],[קוד מעמד]])=1,HEVARIM[[#This Row],[ותק מחברה 40]]&lt;25),HEVARIM[[#This Row],[ותק מחברה 40]]/25*הנחות!$C$4,0)</f>
        <v>0</v>
      </c>
      <c r="AM471" s="9" t="str">
        <f ca="1">IF(HEVARIM[[#This Row],[דמי עזיבה 25 שנות ותק]]&gt;0,YEAR(TODAY())+25-ROUNDDOWN(HEVARIM[[#This Row],[ותק מחברה 40]],0),"")</f>
        <v/>
      </c>
      <c r="AN4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1" s="9" t="str">
        <f ca="1">IF(HEVARIM[[#This Row],[דמי עזיבה לגיל 65]]&gt;0,YEAR(TODAY())+64-ROUNDDOWN(HEVARIM[[#This Row],[גיל]],0),"")</f>
        <v/>
      </c>
      <c r="AP471" s="1">
        <f>SUMIF(HEVARIM[קוד תקציב],HEVARIM[[#This Row],[קוד תקציב משפחה מקורי]],HEVARIM[ותק מחברה 40])</f>
        <v>93.08</v>
      </c>
      <c r="AQ4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71" s="9">
        <f>IF(HEVARIM[[#This Row],[קוד מעמד]]="1     ",IFERROR(VLOOKUP(HEVARIM[[#This Row],[קוד תקציב]],'תקציב צביעה - לקראת השינוי'!A:F,4,0),0),0)</f>
        <v>2033</v>
      </c>
      <c r="AT471" s="1"/>
    </row>
    <row r="472" spans="1:46">
      <c r="A472" t="s">
        <v>2353</v>
      </c>
      <c r="B472" t="s">
        <v>2354</v>
      </c>
      <c r="C472" t="s">
        <v>2348</v>
      </c>
      <c r="D472" t="s">
        <v>1462</v>
      </c>
      <c r="E472" t="s">
        <v>79</v>
      </c>
      <c r="F472" s="4">
        <v>21180</v>
      </c>
      <c r="G472">
        <v>68</v>
      </c>
      <c r="H472" t="s">
        <v>2350</v>
      </c>
      <c r="I472" t="s">
        <v>2351</v>
      </c>
      <c r="J472" s="4" t="s">
        <v>70</v>
      </c>
      <c r="K472" s="4" t="s">
        <v>71</v>
      </c>
      <c r="L472" t="s">
        <v>2355</v>
      </c>
      <c r="M472" t="s">
        <v>2346</v>
      </c>
      <c r="N472" t="s">
        <v>2347</v>
      </c>
      <c r="O472">
        <f>IFERROR(VLOOKUP(HEVARIM[[#This Row],[קוד תקציב]],[2]תקציבים!A:L,6,0),0)</f>
        <v>2</v>
      </c>
      <c r="P472" s="5" t="s">
        <v>104</v>
      </c>
      <c r="Q472" t="s">
        <v>11</v>
      </c>
      <c r="R472" s="4">
        <v>29011</v>
      </c>
      <c r="S472" s="4" t="s">
        <v>74</v>
      </c>
      <c r="T472" s="96" t="s">
        <v>2350</v>
      </c>
      <c r="U472" t="str">
        <f>VLOOKUP(HEVARIM[[#This Row],[גיל]],GIL,2,1)</f>
        <v>--</v>
      </c>
      <c r="V472" t="str">
        <f>IF(HEVARIM[[#This Row],[קוד מעמד]]="4     ",IF(HEVARIM[[#This Row],[גיל]]=1,1,IF(HEVARIM[[#This Row],[גיל]]&lt;=5,5,18)),"")</f>
        <v/>
      </c>
      <c r="W472">
        <f t="shared" si="28"/>
        <v>2365</v>
      </c>
      <c r="X47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72">
        <f>IF(HEVARIM[[#This Row],[מצב משפחתי2]]="אלמן",'[2]ריכוז נתונים'!$AC$2,0)</f>
        <v>0</v>
      </c>
      <c r="Z472" s="3">
        <f>VLOOKUP(VALUE(HEVARIM[[#This Row],[קוד מעמד]]),הנחות!$I$2:$K$21,3,0)</f>
        <v>0</v>
      </c>
      <c r="AA472" t="b">
        <f>ISERROR(VLOOKUP(HEVARIM[[#This Row],[קוד תקציב]],'[2]ריכוז נתונים'!A:A,1,0))</f>
        <v>0</v>
      </c>
      <c r="AB472" s="1">
        <f t="shared" si="29"/>
        <v>0</v>
      </c>
      <c r="AC472" s="2">
        <f ca="1">IF(HEVARIM[[#This Row],[בר מצוה]]&gt;0,YEAR(TODAY())+'תקציבים מיוחדים'!$F$5-HEVARIM[[#This Row],[גיל]],0)</f>
        <v>0</v>
      </c>
      <c r="AD472" s="1">
        <f t="shared" si="30"/>
        <v>0</v>
      </c>
      <c r="AE472" s="2">
        <f ca="1">IF(HEVARIM[[#This Row],[בת מצוה]]&gt;0,YEAR(TODAY())+'תקציבים מיוחדים'!$F$5-HEVARIM[[#This Row],[גיל]],0)</f>
        <v>0</v>
      </c>
      <c r="AF472" s="1">
        <f>IF(AND($S472&gt;="רווק",$Z472=1),AF$4*IF(HEVARIM[[#This Row],[גיל]]&gt;$AF$3,1,(($G472-AF$2)/(AF$3-AF$2))),0)</f>
        <v>0</v>
      </c>
      <c r="AG47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2" s="1">
        <f t="shared" si="31"/>
        <v>0</v>
      </c>
      <c r="AI472" s="2">
        <f ca="1">IF(AH472&gt;0,YEAR(TODAY())+'תקציבים מיוחדים'!$F$7-HEVARIM[[#This Row],[גיל]],0)</f>
        <v>0</v>
      </c>
      <c r="AJ472" s="9">
        <f>IF(AND(ISERROR(VLOOKUP(H472,'[2]ריכוז נתונים'!A:L,1,0)),P472="1     "),1,0)</f>
        <v>0</v>
      </c>
      <c r="AK472" s="1">
        <f>IF(VALUE(HEVARIM[[#This Row],[קוד מעמד]])=1,VLOOKUP((IF(LEFT(HEVARIM[[#This Row],[קוד חבר]],1)="0",HEVARIM[[#This Row],[קוד חבר]],VALUE(HEVARIM[[#This Row],[קוד חבר]]))),'ותק חברה 40'!AQ:AW,7,0),"")</f>
        <v>46.27</v>
      </c>
      <c r="AL472" s="1">
        <f>IF(AND(VALUE(HEVARIM[[#This Row],[קוד מעמד]])=1,HEVARIM[[#This Row],[ותק מחברה 40]]&lt;25),HEVARIM[[#This Row],[ותק מחברה 40]]/25*הנחות!$C$4,0)</f>
        <v>0</v>
      </c>
      <c r="AM472" s="9" t="str">
        <f ca="1">IF(HEVARIM[[#This Row],[דמי עזיבה 25 שנות ותק]]&gt;0,YEAR(TODAY())+25-ROUNDDOWN(HEVARIM[[#This Row],[ותק מחברה 40]],0),"")</f>
        <v/>
      </c>
      <c r="AN4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2" s="9" t="str">
        <f ca="1">IF(HEVARIM[[#This Row],[דמי עזיבה לגיל 65]]&gt;0,YEAR(TODAY())+64-ROUNDDOWN(HEVARIM[[#This Row],[גיל]],0),"")</f>
        <v/>
      </c>
      <c r="AP472" s="1">
        <f>SUMIF(HEVARIM[קוד תקציב],HEVARIM[[#This Row],[קוד תקציב משפחה מקורי]],HEVARIM[ותק מחברה 40])</f>
        <v>94.27000000000001</v>
      </c>
      <c r="AQ4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472" s="9">
        <f>IF(HEVARIM[[#This Row],[קוד מעמד]]="1     ",IFERROR(VLOOKUP(HEVARIM[[#This Row],[קוד תקציב]],'תקציב צביעה - לקראת השינוי'!A:F,4,0),0),0)</f>
        <v>2030</v>
      </c>
      <c r="AT472" s="1"/>
    </row>
    <row r="473" spans="1:46">
      <c r="A473" t="s">
        <v>2731</v>
      </c>
      <c r="B473" t="s">
        <v>2732</v>
      </c>
      <c r="C473" t="s">
        <v>2727</v>
      </c>
      <c r="D473" t="s">
        <v>2733</v>
      </c>
      <c r="E473" t="s">
        <v>79</v>
      </c>
      <c r="F473" s="4">
        <v>30029</v>
      </c>
      <c r="G473">
        <v>43</v>
      </c>
      <c r="H473" t="s">
        <v>2728</v>
      </c>
      <c r="I473" t="s">
        <v>2729</v>
      </c>
      <c r="J473" s="4" t="s">
        <v>70</v>
      </c>
      <c r="K473" s="4" t="s">
        <v>71</v>
      </c>
      <c r="L473" t="s">
        <v>2734</v>
      </c>
      <c r="M473" t="s">
        <v>2725</v>
      </c>
      <c r="N473" t="s">
        <v>2726</v>
      </c>
      <c r="O473">
        <f>IFERROR(VLOOKUP(HEVARIM[[#This Row],[קוד תקציב]],[2]תקציבים!A:L,6,0),0)</f>
        <v>2</v>
      </c>
      <c r="P473" s="5" t="s">
        <v>104</v>
      </c>
      <c r="Q473" t="s">
        <v>11</v>
      </c>
      <c r="R473" s="4">
        <v>40510</v>
      </c>
      <c r="S473" s="4" t="s">
        <v>74</v>
      </c>
      <c r="T473" s="96" t="s">
        <v>2350</v>
      </c>
      <c r="U473" t="str">
        <f>VLOOKUP(HEVARIM[[#This Row],[גיל]],GIL,2,1)</f>
        <v>--</v>
      </c>
      <c r="V473" t="str">
        <f>IF(HEVARIM[[#This Row],[קוד מעמד]]="4     ",IF(HEVARIM[[#This Row],[גיל]]=1,1,IF(HEVARIM[[#This Row],[גיל]]&lt;=5,5,18)),"")</f>
        <v/>
      </c>
      <c r="W473">
        <f t="shared" si="28"/>
        <v>0</v>
      </c>
      <c r="X47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3">
        <f>IF(HEVARIM[[#This Row],[מצב משפחתי2]]="אלמן",'[2]ריכוז נתונים'!$AC$2,0)</f>
        <v>0</v>
      </c>
      <c r="Z473" s="3">
        <f>VLOOKUP(VALUE(HEVARIM[[#This Row],[קוד מעמד]]),הנחות!$I$2:$K$21,3,0)</f>
        <v>0</v>
      </c>
      <c r="AA473" t="b">
        <f>ISERROR(VLOOKUP(HEVARIM[[#This Row],[קוד תקציב]],'[2]ריכוז נתונים'!A:A,1,0))</f>
        <v>0</v>
      </c>
      <c r="AB473" s="1">
        <f t="shared" si="29"/>
        <v>0</v>
      </c>
      <c r="AC473" s="2">
        <f ca="1">IF(HEVARIM[[#This Row],[בר מצוה]]&gt;0,YEAR(TODAY())+'תקציבים מיוחדים'!$F$5-HEVARIM[[#This Row],[גיל]],0)</f>
        <v>0</v>
      </c>
      <c r="AD473" s="1">
        <f t="shared" si="30"/>
        <v>0</v>
      </c>
      <c r="AE473" s="2">
        <f ca="1">IF(HEVARIM[[#This Row],[בת מצוה]]&gt;0,YEAR(TODAY())+'תקציבים מיוחדים'!$F$5-HEVARIM[[#This Row],[גיל]],0)</f>
        <v>0</v>
      </c>
      <c r="AF473" s="1">
        <f>IF(AND($S473&gt;="רווק",$Z473=1),AF$4*IF(HEVARIM[[#This Row],[גיל]]&gt;$AF$3,1,(($G473-AF$2)/(AF$3-AF$2))),0)</f>
        <v>0</v>
      </c>
      <c r="AG47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3" s="1">
        <f t="shared" si="31"/>
        <v>0</v>
      </c>
      <c r="AI473" s="2">
        <f ca="1">IF(AH473&gt;0,YEAR(TODAY())+'תקציבים מיוחדים'!$F$7-HEVARIM[[#This Row],[גיל]],0)</f>
        <v>0</v>
      </c>
      <c r="AJ473" s="9">
        <f>IF(AND(ISERROR(VLOOKUP(H473,'[2]ריכוז נתונים'!A:L,1,0)),P473="1     "),1,0)</f>
        <v>0</v>
      </c>
      <c r="AK473" s="1">
        <f>IF(VALUE(HEVARIM[[#This Row],[קוד מעמד]])=1,VLOOKUP((IF(LEFT(HEVARIM[[#This Row],[קוד חבר]],1)="0",HEVARIM[[#This Row],[קוד חבר]],VALUE(HEVARIM[[#This Row],[קוד חבר]]))),'ותק חברה 40'!AQ:AW,7,0),"")</f>
        <v>18.079999999999998</v>
      </c>
      <c r="AL473" s="1">
        <f>IF(AND(VALUE(HEVARIM[[#This Row],[קוד מעמד]])=1,HEVARIM[[#This Row],[ותק מחברה 40]]&lt;25),HEVARIM[[#This Row],[ותק מחברה 40]]/25*הנחות!$C$4,0)</f>
        <v>27145.031759999994</v>
      </c>
      <c r="AM473" s="9">
        <f ca="1">IF(HEVARIM[[#This Row],[דמי עזיבה 25 שנות ותק]]&gt;0,YEAR(TODAY())+25-ROUNDDOWN(HEVARIM[[#This Row],[ותק מחברה 40]],0),"")</f>
        <v>2033</v>
      </c>
      <c r="AN4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3" s="9" t="str">
        <f ca="1">IF(HEVARIM[[#This Row],[דמי עזיבה לגיל 65]]&gt;0,YEAR(TODAY())+64-ROUNDDOWN(HEVARIM[[#This Row],[גיל]],0),"")</f>
        <v/>
      </c>
      <c r="AP473" s="1">
        <f>SUMIF(HEVARIM[קוד תקציב],HEVARIM[[#This Row],[קוד תקציב משפחה מקורי]],HEVARIM[ותק מחברה 40])</f>
        <v>94.27000000000001</v>
      </c>
      <c r="AQ4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73" s="9">
        <f>IF(HEVARIM[[#This Row],[קוד מעמד]]="1     ",IFERROR(VLOOKUP(HEVARIM[[#This Row],[קוד תקציב]],'תקציב צביעה - לקראת השינוי'!A:F,4,0),0),0)</f>
        <v>2033</v>
      </c>
      <c r="AT473" s="1"/>
    </row>
    <row r="474" spans="1:46">
      <c r="A474" t="s">
        <v>2361</v>
      </c>
      <c r="B474" t="s">
        <v>2362</v>
      </c>
      <c r="C474" t="s">
        <v>2322</v>
      </c>
      <c r="D474" t="s">
        <v>2363</v>
      </c>
      <c r="E474" t="s">
        <v>79</v>
      </c>
      <c r="F474" s="4">
        <v>33849</v>
      </c>
      <c r="G474">
        <v>33</v>
      </c>
      <c r="H474" t="s">
        <v>2358</v>
      </c>
      <c r="I474" t="s">
        <v>2359</v>
      </c>
      <c r="J474" s="4" t="s">
        <v>70</v>
      </c>
      <c r="K474" s="4" t="s">
        <v>71</v>
      </c>
      <c r="L474" t="s">
        <v>2364</v>
      </c>
      <c r="M474" t="s">
        <v>2356</v>
      </c>
      <c r="N474" t="s">
        <v>2357</v>
      </c>
      <c r="O474">
        <f>IFERROR(VLOOKUP(HEVARIM[[#This Row],[קוד תקציב]],[2]תקציבים!A:L,6,0),0)</f>
        <v>2</v>
      </c>
      <c r="P474" s="5" t="s">
        <v>104</v>
      </c>
      <c r="Q474" t="s">
        <v>11</v>
      </c>
      <c r="R474" s="4">
        <v>45621</v>
      </c>
      <c r="S474" s="4" t="s">
        <v>74</v>
      </c>
      <c r="T474" s="96" t="s">
        <v>2358</v>
      </c>
      <c r="U474" t="str">
        <f>VLOOKUP(HEVARIM[[#This Row],[גיל]],GIL,2,1)</f>
        <v>--</v>
      </c>
      <c r="V474" t="str">
        <f>IF(HEVARIM[[#This Row],[קוד מעמד]]="4     ",IF(HEVARIM[[#This Row],[גיל]]=1,1,IF(HEVARIM[[#This Row],[גיל]]&lt;=5,5,18)),"")</f>
        <v/>
      </c>
      <c r="W474">
        <f t="shared" si="28"/>
        <v>0</v>
      </c>
      <c r="X47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4">
        <f>IF(HEVARIM[[#This Row],[מצב משפחתי2]]="אלמן",'[2]ריכוז נתונים'!$AC$2,0)</f>
        <v>0</v>
      </c>
      <c r="Z474" s="3">
        <f>VLOOKUP(VALUE(HEVARIM[[#This Row],[קוד מעמד]]),הנחות!$I$2:$K$21,3,0)</f>
        <v>0</v>
      </c>
      <c r="AA474" t="b">
        <f>ISERROR(VLOOKUP(HEVARIM[[#This Row],[קוד תקציב]],'[2]ריכוז נתונים'!A:A,1,0))</f>
        <v>0</v>
      </c>
      <c r="AB474" s="1">
        <f t="shared" si="29"/>
        <v>0</v>
      </c>
      <c r="AC474" s="2">
        <f ca="1">IF(HEVARIM[[#This Row],[בר מצוה]]&gt;0,YEAR(TODAY())+'תקציבים מיוחדים'!$F$5-HEVARIM[[#This Row],[גיל]],0)</f>
        <v>0</v>
      </c>
      <c r="AD474" s="1">
        <f t="shared" si="30"/>
        <v>0</v>
      </c>
      <c r="AE474" s="2">
        <f ca="1">IF(HEVARIM[[#This Row],[בת מצוה]]&gt;0,YEAR(TODAY())+'תקציבים מיוחדים'!$F$5-HEVARIM[[#This Row],[גיל]],0)</f>
        <v>0</v>
      </c>
      <c r="AF474" s="1">
        <f>IF(AND($S474&gt;="רווק",$Z474=1),AF$4*IF(HEVARIM[[#This Row],[גיל]]&gt;$AF$3,1,(($G474-AF$2)/(AF$3-AF$2))),0)</f>
        <v>0</v>
      </c>
      <c r="AG47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4" s="1">
        <f t="shared" si="31"/>
        <v>0</v>
      </c>
      <c r="AI474" s="2">
        <f ca="1">IF(AH474&gt;0,YEAR(TODAY())+'תקציבים מיוחדים'!$F$7-HEVARIM[[#This Row],[גיל]],0)</f>
        <v>0</v>
      </c>
      <c r="AJ474" s="9">
        <f>IF(AND(ISERROR(VLOOKUP(H474,'[2]ריכוז נתונים'!A:L,1,0)),P474="1     "),1,0)</f>
        <v>0</v>
      </c>
      <c r="AK474" s="1">
        <f>IF(VALUE(HEVARIM[[#This Row],[קוד מעמד]])=1,VLOOKUP((IF(LEFT(HEVARIM[[#This Row],[קוד חבר]],1)="0",HEVARIM[[#This Row],[קוד חבר]],VALUE(HEVARIM[[#This Row],[קוד חבר]]))),'ותק חברה 40'!AQ:AW,7,0),"")</f>
        <v>2.99</v>
      </c>
      <c r="AL474" s="1">
        <f>IF(AND(VALUE(HEVARIM[[#This Row],[קוד מעמד]])=1,HEVARIM[[#This Row],[ותק מחברה 40]]&lt;25),HEVARIM[[#This Row],[ותק מחברה 40]]/25*הנחות!$C$4,0)</f>
        <v>4489.1396549999999</v>
      </c>
      <c r="AM474" s="9">
        <f ca="1">IF(HEVARIM[[#This Row],[דמי עזיבה 25 שנות ותק]]&gt;0,YEAR(TODAY())+25-ROUNDDOWN(HEVARIM[[#This Row],[ותק מחברה 40]],0),"")</f>
        <v>2049</v>
      </c>
      <c r="AN47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4" s="9" t="str">
        <f ca="1">IF(HEVARIM[[#This Row],[דמי עזיבה לגיל 65]]&gt;0,YEAR(TODAY())+64-ROUNDDOWN(HEVARIM[[#This Row],[גיל]],0),"")</f>
        <v/>
      </c>
      <c r="AP474" s="1">
        <f>SUMIF(HEVARIM[קוד תקציב],HEVARIM[[#This Row],[קוד תקציב משפחה מקורי]],HEVARIM[ותק מחברה 40])</f>
        <v>5.98</v>
      </c>
      <c r="AQ4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74" s="9">
        <f>IF(HEVARIM[[#This Row],[קוד מעמד]]="1     ",IFERROR(VLOOKUP(HEVARIM[[#This Row],[קוד תקציב]],'תקציב צביעה - לקראת השינוי'!A:F,4,0),0),0)</f>
        <v>0</v>
      </c>
      <c r="AT474" s="1"/>
    </row>
    <row r="475" spans="1:46">
      <c r="A475" t="s">
        <v>2365</v>
      </c>
      <c r="B475" t="s">
        <v>2366</v>
      </c>
      <c r="C475" t="s">
        <v>2322</v>
      </c>
      <c r="D475" t="s">
        <v>2367</v>
      </c>
      <c r="E475" t="s">
        <v>67</v>
      </c>
      <c r="F475" s="4">
        <v>44695</v>
      </c>
      <c r="G475">
        <v>3</v>
      </c>
      <c r="H475" t="s">
        <v>2358</v>
      </c>
      <c r="I475" t="s">
        <v>2359</v>
      </c>
      <c r="J475" s="4" t="s">
        <v>70</v>
      </c>
      <c r="K475" s="4" t="s">
        <v>71</v>
      </c>
      <c r="L475" t="s">
        <v>2368</v>
      </c>
      <c r="M475" t="s">
        <v>2356</v>
      </c>
      <c r="N475" t="s">
        <v>2357</v>
      </c>
      <c r="O475">
        <f>IFERROR(VLOOKUP(HEVARIM[[#This Row],[קוד תקציב]],[2]תקציבים!A:L,6,0),0)</f>
        <v>2</v>
      </c>
      <c r="P475" s="5" t="s">
        <v>227</v>
      </c>
      <c r="Q475" t="s">
        <v>14</v>
      </c>
      <c r="R475" s="4">
        <v>44805</v>
      </c>
      <c r="S475" s="4" t="s">
        <v>90</v>
      </c>
      <c r="T475" s="96" t="s">
        <v>2358</v>
      </c>
      <c r="U475" t="str">
        <f>VLOOKUP(HEVARIM[[#This Row],[גיל]],GIL,2,1)</f>
        <v>גנים</v>
      </c>
      <c r="V475">
        <f>IF(HEVARIM[[#This Row],[קוד מעמד]]="4     ",IF(HEVARIM[[#This Row],[גיל]]=1,1,IF(HEVARIM[[#This Row],[גיל]]&lt;=5,5,18)),"")</f>
        <v>5</v>
      </c>
      <c r="W475">
        <f t="shared" si="28"/>
        <v>0</v>
      </c>
      <c r="X47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5">
        <f>IF(HEVARIM[[#This Row],[מצב משפחתי2]]="אלמן",'[2]ריכוז נתונים'!$AC$2,0)</f>
        <v>0</v>
      </c>
      <c r="Z475" s="3">
        <f>VLOOKUP(VALUE(HEVARIM[[#This Row],[קוד מעמד]]),הנחות!$I$2:$K$21,3,0)</f>
        <v>1</v>
      </c>
      <c r="AA475" t="b">
        <f>ISERROR(VLOOKUP(HEVARIM[[#This Row],[קוד תקציב]],'[2]ריכוז נתונים'!A:A,1,0))</f>
        <v>0</v>
      </c>
      <c r="AB475" s="1">
        <f t="shared" si="29"/>
        <v>1653.4615384615386</v>
      </c>
      <c r="AC475" s="2">
        <f ca="1">IF(HEVARIM[[#This Row],[בר מצוה]]&gt;0,YEAR(TODAY())+'תקציבים מיוחדים'!$F$5-HEVARIM[[#This Row],[גיל]],0)</f>
        <v>2036</v>
      </c>
      <c r="AD475" s="1">
        <f t="shared" si="30"/>
        <v>0</v>
      </c>
      <c r="AE475" s="2">
        <f ca="1">IF(HEVARIM[[#This Row],[בת מצוה]]&gt;0,YEAR(TODAY())+'תקציבים מיוחדים'!$F$5-HEVARIM[[#This Row],[גיל]],0)</f>
        <v>0</v>
      </c>
      <c r="AF475" s="1">
        <f>IF(AND($S475&gt;="רווק",$Z475=1),AF$4*IF(HEVARIM[[#This Row],[גיל]]&gt;$AF$3,1,(($G475-AF$2)/(AF$3-AF$2))),0)</f>
        <v>8644.6428571428569</v>
      </c>
      <c r="AG475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475" s="1">
        <f t="shared" si="31"/>
        <v>15084.071428571428</v>
      </c>
      <c r="AI475" s="2">
        <f ca="1">IF(AH475&gt;0,YEAR(TODAY())+'תקציבים מיוחדים'!$F$7-HEVARIM[[#This Row],[גיל]],0)</f>
        <v>2044</v>
      </c>
      <c r="AJ475" s="9">
        <f>IF(AND(ISERROR(VLOOKUP(H475,'[2]ריכוז נתונים'!A:L,1,0)),P475="1     "),1,0)</f>
        <v>0</v>
      </c>
      <c r="AK47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75" s="1">
        <f>IF(AND(VALUE(HEVARIM[[#This Row],[קוד מעמד]])=1,HEVARIM[[#This Row],[ותק מחברה 40]]&lt;25),HEVARIM[[#This Row],[ותק מחברה 40]]/25*הנחות!$C$4,0)</f>
        <v>0</v>
      </c>
      <c r="AM475" s="9" t="str">
        <f ca="1">IF(HEVARIM[[#This Row],[דמי עזיבה 25 שנות ותק]]&gt;0,YEAR(TODAY())+25-ROUNDDOWN(HEVARIM[[#This Row],[ותק מחברה 40]],0),"")</f>
        <v/>
      </c>
      <c r="AN47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5" s="9" t="str">
        <f ca="1">IF(HEVARIM[[#This Row],[דמי עזיבה לגיל 65]]&gt;0,YEAR(TODAY())+64-ROUNDDOWN(HEVARIM[[#This Row],[גיל]],0),"")</f>
        <v/>
      </c>
      <c r="AP475" s="1">
        <f>SUMIF(HEVARIM[קוד תקציב],HEVARIM[[#This Row],[קוד תקציב משפחה מקורי]],HEVARIM[ותק מחברה 40])</f>
        <v>5.98</v>
      </c>
      <c r="AQ4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75" s="9">
        <f>IF(HEVARIM[[#This Row],[קוד מעמד]]="1     ",IFERROR(VLOOKUP(HEVARIM[[#This Row],[קוד תקציב]],'תקציב צביעה - לקראת השינוי'!A:F,4,0),0),0)</f>
        <v>0</v>
      </c>
      <c r="AT475" s="1"/>
    </row>
    <row r="476" spans="1:46">
      <c r="A476" t="s">
        <v>2369</v>
      </c>
      <c r="B476" t="s">
        <v>2370</v>
      </c>
      <c r="C476" t="s">
        <v>2322</v>
      </c>
      <c r="D476" t="s">
        <v>1295</v>
      </c>
      <c r="E476" t="s">
        <v>67</v>
      </c>
      <c r="F476" s="4">
        <v>45246</v>
      </c>
      <c r="G476">
        <v>2</v>
      </c>
      <c r="H476" t="s">
        <v>2358</v>
      </c>
      <c r="I476" t="s">
        <v>2359</v>
      </c>
      <c r="J476" s="4" t="s">
        <v>70</v>
      </c>
      <c r="K476" s="4" t="s">
        <v>71</v>
      </c>
      <c r="L476" t="s">
        <v>2371</v>
      </c>
      <c r="M476" t="s">
        <v>2356</v>
      </c>
      <c r="N476" t="s">
        <v>2357</v>
      </c>
      <c r="O476">
        <f>IFERROR(VLOOKUP(HEVARIM[[#This Row],[קוד תקציב]],[2]תקציבים!A:L,6,0),0)</f>
        <v>2</v>
      </c>
      <c r="P476" s="5" t="s">
        <v>227</v>
      </c>
      <c r="Q476" t="s">
        <v>14</v>
      </c>
      <c r="R476" s="4">
        <v>45246</v>
      </c>
      <c r="S476" s="4" t="s">
        <v>90</v>
      </c>
      <c r="T476" s="96" t="s">
        <v>2358</v>
      </c>
      <c r="U476" t="str">
        <f>VLOOKUP(HEVARIM[[#This Row],[גיל]],GIL,2,1)</f>
        <v>פעוט</v>
      </c>
      <c r="V476">
        <f>IF(HEVARIM[[#This Row],[קוד מעמד]]="4     ",IF(HEVARIM[[#This Row],[גיל]]=1,1,IF(HEVARIM[[#This Row],[גיל]]&lt;=5,5,18)),"")</f>
        <v>5</v>
      </c>
      <c r="W476">
        <f t="shared" si="28"/>
        <v>0</v>
      </c>
      <c r="X47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6">
        <f>IF(HEVARIM[[#This Row],[מצב משפחתי2]]="אלמן",'[2]ריכוז נתונים'!$AC$2,0)</f>
        <v>0</v>
      </c>
      <c r="Z476" s="3">
        <f>VLOOKUP(VALUE(HEVARIM[[#This Row],[קוד מעמד]]),הנחות!$I$2:$K$21,3,0)</f>
        <v>1</v>
      </c>
      <c r="AA476" t="b">
        <f>ISERROR(VLOOKUP(HEVARIM[[#This Row],[קוד תקציב]],'[2]ריכוז נתונים'!A:A,1,0))</f>
        <v>0</v>
      </c>
      <c r="AB476" s="1">
        <f t="shared" si="29"/>
        <v>1102.3076923076924</v>
      </c>
      <c r="AC476" s="2">
        <f ca="1">IF(HEVARIM[[#This Row],[בר מצוה]]&gt;0,YEAR(TODAY())+'תקציבים מיוחדים'!$F$5-HEVARIM[[#This Row],[גיל]],0)</f>
        <v>2037</v>
      </c>
      <c r="AD476" s="1">
        <f t="shared" si="30"/>
        <v>0</v>
      </c>
      <c r="AE476" s="2">
        <f ca="1">IF(HEVARIM[[#This Row],[בת מצוה]]&gt;0,YEAR(TODAY())+'תקציבים מיוחדים'!$F$5-HEVARIM[[#This Row],[גיל]],0)</f>
        <v>0</v>
      </c>
      <c r="AF476" s="1">
        <f>IF(AND($S476&gt;="רווק",$Z476=1),AF$4*IF(HEVARIM[[#This Row],[גיל]]&gt;$AF$3,1,(($G476-AF$2)/(AF$3-AF$2))),0)</f>
        <v>5763.0952380952376</v>
      </c>
      <c r="AG476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476" s="1">
        <f t="shared" si="31"/>
        <v>10056.047619047618</v>
      </c>
      <c r="AI476" s="2">
        <f ca="1">IF(AH476&gt;0,YEAR(TODAY())+'תקציבים מיוחדים'!$F$7-HEVARIM[[#This Row],[גיל]],0)</f>
        <v>2045</v>
      </c>
      <c r="AJ476" s="9">
        <f>IF(AND(ISERROR(VLOOKUP(H476,'[2]ריכוז נתונים'!A:L,1,0)),P476="1     "),1,0)</f>
        <v>0</v>
      </c>
      <c r="AK47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76" s="1">
        <f>IF(AND(VALUE(HEVARIM[[#This Row],[קוד מעמד]])=1,HEVARIM[[#This Row],[ותק מחברה 40]]&lt;25),HEVARIM[[#This Row],[ותק מחברה 40]]/25*הנחות!$C$4,0)</f>
        <v>0</v>
      </c>
      <c r="AM476" s="9" t="str">
        <f ca="1">IF(HEVARIM[[#This Row],[דמי עזיבה 25 שנות ותק]]&gt;0,YEAR(TODAY())+25-ROUNDDOWN(HEVARIM[[#This Row],[ותק מחברה 40]],0),"")</f>
        <v/>
      </c>
      <c r="AN4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6" s="9" t="str">
        <f ca="1">IF(HEVARIM[[#This Row],[דמי עזיבה לגיל 65]]&gt;0,YEAR(TODAY())+64-ROUNDDOWN(HEVARIM[[#This Row],[גיל]],0),"")</f>
        <v/>
      </c>
      <c r="AP476" s="1">
        <f>SUMIF(HEVARIM[קוד תקציב],HEVARIM[[#This Row],[קוד תקציב משפחה מקורי]],HEVARIM[ותק מחברה 40])</f>
        <v>5.98</v>
      </c>
      <c r="AQ4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76" s="9">
        <f>IF(HEVARIM[[#This Row],[קוד מעמד]]="1     ",IFERROR(VLOOKUP(HEVARIM[[#This Row],[קוד תקציב]],'תקציב צביעה - לקראת השינוי'!A:F,4,0),0),0)</f>
        <v>0</v>
      </c>
      <c r="AT476" s="1"/>
    </row>
    <row r="477" spans="1:46">
      <c r="A477" t="s">
        <v>2356</v>
      </c>
      <c r="B477" t="s">
        <v>2357</v>
      </c>
      <c r="C477" t="s">
        <v>2322</v>
      </c>
      <c r="D477" t="s">
        <v>462</v>
      </c>
      <c r="E477" t="s">
        <v>67</v>
      </c>
      <c r="F477" s="4">
        <v>33854</v>
      </c>
      <c r="G477">
        <v>33</v>
      </c>
      <c r="H477" t="s">
        <v>2358</v>
      </c>
      <c r="I477" t="s">
        <v>2359</v>
      </c>
      <c r="J477" s="4" t="s">
        <v>70</v>
      </c>
      <c r="K477" s="4" t="s">
        <v>71</v>
      </c>
      <c r="L477" t="s">
        <v>2360</v>
      </c>
      <c r="M477" t="s">
        <v>2356</v>
      </c>
      <c r="N477" t="s">
        <v>2357</v>
      </c>
      <c r="O477">
        <f>IFERROR(VLOOKUP(HEVARIM[[#This Row],[קוד תקציב]],[2]תקציבים!A:L,6,0),0)</f>
        <v>2</v>
      </c>
      <c r="P477" s="5" t="s">
        <v>104</v>
      </c>
      <c r="Q477" t="s">
        <v>11</v>
      </c>
      <c r="R477" s="4">
        <v>45621</v>
      </c>
      <c r="S477" s="4" t="s">
        <v>74</v>
      </c>
      <c r="T477" s="96" t="s">
        <v>2374</v>
      </c>
      <c r="U477" t="str">
        <f>VLOOKUP(HEVARIM[[#This Row],[גיל]],GIL,2,1)</f>
        <v>--</v>
      </c>
      <c r="V477" t="str">
        <f>IF(HEVARIM[[#This Row],[קוד מעמד]]="4     ",IF(HEVARIM[[#This Row],[גיל]]=1,1,IF(HEVARIM[[#This Row],[גיל]]&lt;=5,5,18)),"")</f>
        <v/>
      </c>
      <c r="W477">
        <f t="shared" si="28"/>
        <v>0</v>
      </c>
      <c r="X47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7">
        <f>IF(HEVARIM[[#This Row],[מצב משפחתי2]]="אלמן",'[2]ריכוז נתונים'!$AC$2,0)</f>
        <v>0</v>
      </c>
      <c r="Z477" s="3">
        <f>VLOOKUP(VALUE(HEVARIM[[#This Row],[קוד מעמד]]),הנחות!$I$2:$K$21,3,0)</f>
        <v>0</v>
      </c>
      <c r="AA477" t="b">
        <f>ISERROR(VLOOKUP(HEVARIM[[#This Row],[קוד תקציב]],'[2]ריכוז נתונים'!A:A,1,0))</f>
        <v>0</v>
      </c>
      <c r="AB477" s="1">
        <f t="shared" si="29"/>
        <v>0</v>
      </c>
      <c r="AC477" s="2">
        <f ca="1">IF(HEVARIM[[#This Row],[בר מצוה]]&gt;0,YEAR(TODAY())+'תקציבים מיוחדים'!$F$5-HEVARIM[[#This Row],[גיל]],0)</f>
        <v>0</v>
      </c>
      <c r="AD477" s="1">
        <f t="shared" si="30"/>
        <v>0</v>
      </c>
      <c r="AE477" s="2">
        <f ca="1">IF(HEVARIM[[#This Row],[בת מצוה]]&gt;0,YEAR(TODAY())+'תקציבים מיוחדים'!$F$5-HEVARIM[[#This Row],[גיל]],0)</f>
        <v>0</v>
      </c>
      <c r="AF477" s="1">
        <f>IF(AND($S477&gt;="רווק",$Z477=1),AF$4*IF(HEVARIM[[#This Row],[גיל]]&gt;$AF$3,1,(($G477-AF$2)/(AF$3-AF$2))),0)</f>
        <v>0</v>
      </c>
      <c r="AG47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7" s="1">
        <f t="shared" si="31"/>
        <v>0</v>
      </c>
      <c r="AI477" s="2">
        <f ca="1">IF(AH477&gt;0,YEAR(TODAY())+'תקציבים מיוחדים'!$F$7-HEVARIM[[#This Row],[גיל]],0)</f>
        <v>0</v>
      </c>
      <c r="AJ477" s="9">
        <f>IF(AND(ISERROR(VLOOKUP(H477,'[2]ריכוז נתונים'!A:L,1,0)),P477="1     "),1,0)</f>
        <v>0</v>
      </c>
      <c r="AK477" s="1">
        <f>IF(VALUE(HEVARIM[[#This Row],[קוד מעמד]])=1,VLOOKUP((IF(LEFT(HEVARIM[[#This Row],[קוד חבר]],1)="0",HEVARIM[[#This Row],[קוד חבר]],VALUE(HEVARIM[[#This Row],[קוד חבר]]))),'ותק חברה 40'!AQ:AW,7,0),"")</f>
        <v>2.99</v>
      </c>
      <c r="AL477" s="1">
        <f>IF(AND(VALUE(HEVARIM[[#This Row],[קוד מעמד]])=1,HEVARIM[[#This Row],[ותק מחברה 40]]&lt;25),HEVARIM[[#This Row],[ותק מחברה 40]]/25*הנחות!$C$4,0)</f>
        <v>4489.1396549999999</v>
      </c>
      <c r="AM477" s="9">
        <f ca="1">IF(HEVARIM[[#This Row],[דמי עזיבה 25 שנות ותק]]&gt;0,YEAR(TODAY())+25-ROUNDDOWN(HEVARIM[[#This Row],[ותק מחברה 40]],0),"")</f>
        <v>2049</v>
      </c>
      <c r="AN47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7" s="9" t="str">
        <f ca="1">IF(HEVARIM[[#This Row],[דמי עזיבה לגיל 65]]&gt;0,YEAR(TODAY())+64-ROUNDDOWN(HEVARIM[[#This Row],[גיל]],0),"")</f>
        <v/>
      </c>
      <c r="AP477" s="1">
        <f>SUMIF(HEVARIM[קוד תקציב],HEVARIM[[#This Row],[קוד תקציב משפחה מקורי]],HEVARIM[ותק מחברה 40])</f>
        <v>77.09</v>
      </c>
      <c r="AQ4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77" s="9">
        <f>IF(HEVARIM[[#This Row],[קוד מעמד]]="1     ",IFERROR(VLOOKUP(HEVARIM[[#This Row],[קוד תקציב]],'תקציב צביעה - לקראת השינוי'!A:F,4,0),0),0)</f>
        <v>0</v>
      </c>
      <c r="AT477" s="1"/>
    </row>
    <row r="478" spans="1:46">
      <c r="A478" t="s">
        <v>2377</v>
      </c>
      <c r="B478" t="s">
        <v>2378</v>
      </c>
      <c r="C478" t="s">
        <v>2322</v>
      </c>
      <c r="D478" t="s">
        <v>655</v>
      </c>
      <c r="E478" t="s">
        <v>79</v>
      </c>
      <c r="F478" s="4">
        <v>20239</v>
      </c>
      <c r="G478">
        <v>70</v>
      </c>
      <c r="H478" t="s">
        <v>2374</v>
      </c>
      <c r="I478" t="s">
        <v>2375</v>
      </c>
      <c r="J478" s="4" t="s">
        <v>70</v>
      </c>
      <c r="K478" s="4" t="s">
        <v>71</v>
      </c>
      <c r="L478" t="s">
        <v>2379</v>
      </c>
      <c r="M478" t="s">
        <v>2372</v>
      </c>
      <c r="N478" t="s">
        <v>2373</v>
      </c>
      <c r="O478">
        <f>IFERROR(VLOOKUP(HEVARIM[[#This Row],[קוד תקציב]],[2]תקציבים!A:L,6,0),0)</f>
        <v>2</v>
      </c>
      <c r="P478" s="5" t="s">
        <v>104</v>
      </c>
      <c r="Q478" t="s">
        <v>11</v>
      </c>
      <c r="R478" s="4">
        <v>31260</v>
      </c>
      <c r="S478" s="4" t="s">
        <v>74</v>
      </c>
      <c r="T478" s="96" t="s">
        <v>2374</v>
      </c>
      <c r="U478" t="str">
        <f>VLOOKUP(HEVARIM[[#This Row],[גיל]],GIL,2,1)</f>
        <v>--</v>
      </c>
      <c r="V478" t="str">
        <f>IF(HEVARIM[[#This Row],[קוד מעמד]]="4     ",IF(HEVARIM[[#This Row],[גיל]]=1,1,IF(HEVARIM[[#This Row],[גיל]]&lt;=5,5,18)),"")</f>
        <v/>
      </c>
      <c r="W478">
        <f t="shared" si="28"/>
        <v>2365</v>
      </c>
      <c r="X47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478">
        <f>IF(HEVARIM[[#This Row],[מצב משפחתי2]]="אלמן",'[2]ריכוז נתונים'!$AC$2,0)</f>
        <v>0</v>
      </c>
      <c r="Z478" s="3">
        <f>VLOOKUP(VALUE(HEVARIM[[#This Row],[קוד מעמד]]),הנחות!$I$2:$K$21,3,0)</f>
        <v>0</v>
      </c>
      <c r="AA478" t="b">
        <f>ISERROR(VLOOKUP(HEVARIM[[#This Row],[קוד תקציב]],'[2]ריכוז נתונים'!A:A,1,0))</f>
        <v>0</v>
      </c>
      <c r="AB478" s="1">
        <f t="shared" si="29"/>
        <v>0</v>
      </c>
      <c r="AC478" s="2">
        <f ca="1">IF(HEVARIM[[#This Row],[בר מצוה]]&gt;0,YEAR(TODAY())+'תקציבים מיוחדים'!$F$5-HEVARIM[[#This Row],[גיל]],0)</f>
        <v>0</v>
      </c>
      <c r="AD478" s="1">
        <f t="shared" si="30"/>
        <v>0</v>
      </c>
      <c r="AE478" s="2">
        <f ca="1">IF(HEVARIM[[#This Row],[בת מצוה]]&gt;0,YEAR(TODAY())+'תקציבים מיוחדים'!$F$5-HEVARIM[[#This Row],[גיל]],0)</f>
        <v>0</v>
      </c>
      <c r="AF478" s="1">
        <f>IF(AND($S478&gt;="רווק",$Z478=1),AF$4*IF(HEVARIM[[#This Row],[גיל]]&gt;$AF$3,1,(($G478-AF$2)/(AF$3-AF$2))),0)</f>
        <v>0</v>
      </c>
      <c r="AG47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8" s="1">
        <f t="shared" si="31"/>
        <v>0</v>
      </c>
      <c r="AI478" s="2">
        <f ca="1">IF(AH478&gt;0,YEAR(TODAY())+'תקציבים מיוחדים'!$F$7-HEVARIM[[#This Row],[גיל]],0)</f>
        <v>0</v>
      </c>
      <c r="AJ478" s="9">
        <f>IF(AND(ISERROR(VLOOKUP(H478,'[2]ריכוז נתונים'!A:L,1,0)),P478="1     "),1,0)</f>
        <v>0</v>
      </c>
      <c r="AK478" s="1">
        <f>IF(VALUE(HEVARIM[[#This Row],[קוד מעמד]])=1,VLOOKUP((IF(LEFT(HEVARIM[[#This Row],[קוד חבר]],1)="0",HEVARIM[[#This Row],[קוד חבר]],VALUE(HEVARIM[[#This Row],[קוד חבר]]))),'ותק חברה 40'!AQ:AW,7,0),"")</f>
        <v>39.840000000000003</v>
      </c>
      <c r="AL478" s="1">
        <f>IF(AND(VALUE(HEVARIM[[#This Row],[קוד מעמד]])=1,HEVARIM[[#This Row],[ותק מחברה 40]]&lt;25),HEVARIM[[#This Row],[ותק מחברה 40]]/25*הנחות!$C$4,0)</f>
        <v>0</v>
      </c>
      <c r="AM478" s="9" t="str">
        <f ca="1">IF(HEVARIM[[#This Row],[דמי עזיבה 25 שנות ותק]]&gt;0,YEAR(TODAY())+25-ROUNDDOWN(HEVARIM[[#This Row],[ותק מחברה 40]],0),"")</f>
        <v/>
      </c>
      <c r="AN4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8" s="9" t="str">
        <f ca="1">IF(HEVARIM[[#This Row],[דמי עזיבה לגיל 65]]&gt;0,YEAR(TODAY())+64-ROUNDDOWN(HEVARIM[[#This Row],[גיל]],0),"")</f>
        <v/>
      </c>
      <c r="AP478" s="1">
        <f>SUMIF(HEVARIM[קוד תקציב],HEVARIM[[#This Row],[קוד תקציב משפחה מקורי]],HEVARIM[ותק מחברה 40])</f>
        <v>77.09</v>
      </c>
      <c r="AQ4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478" s="9">
        <f>IF(HEVARIM[[#This Row],[קוד מעמד]]="1     ",IFERROR(VLOOKUP(HEVARIM[[#This Row],[קוד תקציב]],'תקציב צביעה - לקראת השינוי'!A:F,4,0),0),0)</f>
        <v>2029</v>
      </c>
      <c r="AT478" s="1"/>
    </row>
    <row r="479" spans="1:46">
      <c r="A479" t="s">
        <v>2426</v>
      </c>
      <c r="B479" t="s">
        <v>2427</v>
      </c>
      <c r="C479" t="s">
        <v>2322</v>
      </c>
      <c r="D479" t="s">
        <v>1614</v>
      </c>
      <c r="E479" t="s">
        <v>67</v>
      </c>
      <c r="F479" s="4">
        <v>29955</v>
      </c>
      <c r="G479">
        <v>43</v>
      </c>
      <c r="H479" t="s">
        <v>2428</v>
      </c>
      <c r="I479" t="s">
        <v>2429</v>
      </c>
      <c r="J479" s="4" t="s">
        <v>70</v>
      </c>
      <c r="K479" s="4" t="s">
        <v>71</v>
      </c>
      <c r="L479" t="s">
        <v>2430</v>
      </c>
      <c r="M479" t="s">
        <v>2426</v>
      </c>
      <c r="N479" t="s">
        <v>2427</v>
      </c>
      <c r="O479">
        <f>IFERROR(VLOOKUP(HEVARIM[[#This Row],[קוד תקציב]],[2]תקציבים!A:L,6,0),0)</f>
        <v>2</v>
      </c>
      <c r="P479" s="5" t="s">
        <v>104</v>
      </c>
      <c r="Q479" t="s">
        <v>11</v>
      </c>
      <c r="R479" s="4">
        <v>43990</v>
      </c>
      <c r="S479" s="4" t="s">
        <v>74</v>
      </c>
      <c r="T479" s="96" t="s">
        <v>2374</v>
      </c>
      <c r="U479" t="str">
        <f>VLOOKUP(HEVARIM[[#This Row],[גיל]],GIL,2,1)</f>
        <v>--</v>
      </c>
      <c r="V479" t="str">
        <f>IF(HEVARIM[[#This Row],[קוד מעמד]]="4     ",IF(HEVARIM[[#This Row],[גיל]]=1,1,IF(HEVARIM[[#This Row],[גיל]]&lt;=5,5,18)),"")</f>
        <v/>
      </c>
      <c r="W479">
        <f t="shared" si="28"/>
        <v>0</v>
      </c>
      <c r="X47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79">
        <f>IF(HEVARIM[[#This Row],[מצב משפחתי2]]="אלמן",'[2]ריכוז נתונים'!$AC$2,0)</f>
        <v>0</v>
      </c>
      <c r="Z479" s="3">
        <f>VLOOKUP(VALUE(HEVARIM[[#This Row],[קוד מעמד]]),הנחות!$I$2:$K$21,3,0)</f>
        <v>0</v>
      </c>
      <c r="AA479" t="b">
        <f>ISERROR(VLOOKUP(HEVARIM[[#This Row],[קוד תקציב]],'[2]ריכוז נתונים'!A:A,1,0))</f>
        <v>0</v>
      </c>
      <c r="AB479" s="1">
        <f t="shared" si="29"/>
        <v>0</v>
      </c>
      <c r="AC479" s="2">
        <f ca="1">IF(HEVARIM[[#This Row],[בר מצוה]]&gt;0,YEAR(TODAY())+'תקציבים מיוחדים'!$F$5-HEVARIM[[#This Row],[גיל]],0)</f>
        <v>0</v>
      </c>
      <c r="AD479" s="1">
        <f t="shared" si="30"/>
        <v>0</v>
      </c>
      <c r="AE479" s="2">
        <f ca="1">IF(HEVARIM[[#This Row],[בת מצוה]]&gt;0,YEAR(TODAY())+'תקציבים מיוחדים'!$F$5-HEVARIM[[#This Row],[גיל]],0)</f>
        <v>0</v>
      </c>
      <c r="AF479" s="1">
        <f>IF(AND($S479&gt;="רווק",$Z479=1),AF$4*IF(HEVARIM[[#This Row],[גיל]]&gt;$AF$3,1,(($G479-AF$2)/(AF$3-AF$2))),0)</f>
        <v>0</v>
      </c>
      <c r="AG47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79" s="1">
        <f t="shared" si="31"/>
        <v>0</v>
      </c>
      <c r="AI479" s="2">
        <f ca="1">IF(AH479&gt;0,YEAR(TODAY())+'תקציבים מיוחדים'!$F$7-HEVARIM[[#This Row],[גיל]],0)</f>
        <v>0</v>
      </c>
      <c r="AJ479" s="9">
        <f>IF(AND(ISERROR(VLOOKUP(H479,'[2]ריכוז נתונים'!A:L,1,0)),P479="1     "),1,0)</f>
        <v>0</v>
      </c>
      <c r="AK479" s="1">
        <f>IF(VALUE(HEVARIM[[#This Row],[קוד מעמד]])=1,VLOOKUP((IF(LEFT(HEVARIM[[#This Row],[קוד חבר]],1)="0",HEVARIM[[#This Row],[קוד חבר]],VALUE(HEVARIM[[#This Row],[קוד חבר]]))),'ותק חברה 40'!AQ:AW,7,0),"")</f>
        <v>8.0500000000000007</v>
      </c>
      <c r="AL479" s="1">
        <f>IF(AND(VALUE(HEVARIM[[#This Row],[קוד מעמד]])=1,HEVARIM[[#This Row],[ותק מחברה 40]]&lt;25),HEVARIM[[#This Row],[ותק מחברה 40]]/25*הנחות!$C$4,0)</f>
        <v>12086.145224999998</v>
      </c>
      <c r="AM479" s="9">
        <f ca="1">IF(HEVARIM[[#This Row],[דמי עזיבה 25 שנות ותק]]&gt;0,YEAR(TODAY())+25-ROUNDDOWN(HEVARIM[[#This Row],[ותק מחברה 40]],0),"")</f>
        <v>2043</v>
      </c>
      <c r="AN4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79" s="9" t="str">
        <f ca="1">IF(HEVARIM[[#This Row],[דמי עזיבה לגיל 65]]&gt;0,YEAR(TODAY())+64-ROUNDDOWN(HEVARIM[[#This Row],[גיל]],0),"")</f>
        <v/>
      </c>
      <c r="AP479" s="1">
        <f>SUMIF(HEVARIM[קוד תקציב],HEVARIM[[#This Row],[קוד תקציב משפחה מקורי]],HEVARIM[ותק מחברה 40])</f>
        <v>77.09</v>
      </c>
      <c r="AQ4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79" s="9">
        <f>IF(HEVARIM[[#This Row],[קוד מעמד]]="1     ",IFERROR(VLOOKUP(HEVARIM[[#This Row],[קוד תקציב]],'תקציב צביעה - לקראת השינוי'!A:F,4,0),0),0)</f>
        <v>2033</v>
      </c>
      <c r="AT479" s="1"/>
    </row>
    <row r="480" spans="1:46">
      <c r="A480" t="s">
        <v>2417</v>
      </c>
      <c r="B480" t="s">
        <v>2418</v>
      </c>
      <c r="C480" t="s">
        <v>458</v>
      </c>
      <c r="D480" t="s">
        <v>2419</v>
      </c>
      <c r="E480" t="s">
        <v>79</v>
      </c>
      <c r="F480" s="4">
        <v>37026</v>
      </c>
      <c r="G480">
        <v>24</v>
      </c>
      <c r="H480" t="s">
        <v>2420</v>
      </c>
      <c r="I480" t="s">
        <v>2418</v>
      </c>
      <c r="J480" s="4" t="s">
        <v>70</v>
      </c>
      <c r="K480" s="4" t="s">
        <v>81</v>
      </c>
      <c r="L480" t="s">
        <v>2421</v>
      </c>
      <c r="M480" t="s">
        <v>2417</v>
      </c>
      <c r="N480" t="s">
        <v>2418</v>
      </c>
      <c r="O480">
        <f>IFERROR(VLOOKUP(HEVARIM[[#This Row],[קוד תקציב]],[2]תקציבים!A:L,6,0),0)</f>
        <v>0</v>
      </c>
      <c r="P480" s="5" t="s">
        <v>860</v>
      </c>
      <c r="Q480" t="s">
        <v>34</v>
      </c>
      <c r="R480" s="4">
        <v>45536</v>
      </c>
      <c r="S480" s="4" t="s">
        <v>90</v>
      </c>
      <c r="T480" s="96" t="s">
        <v>2387</v>
      </c>
      <c r="U480" t="str">
        <f>VLOOKUP(HEVARIM[[#This Row],[גיל]],GIL,2,1)</f>
        <v>--</v>
      </c>
      <c r="V480" t="str">
        <f>IF(HEVARIM[[#This Row],[קוד מעמד]]="4     ",IF(HEVARIM[[#This Row],[גיל]]=1,1,IF(HEVARIM[[#This Row],[גיל]]&lt;=5,5,18)),"")</f>
        <v/>
      </c>
      <c r="W480">
        <f t="shared" si="28"/>
        <v>0</v>
      </c>
      <c r="X48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0">
        <f>IF(HEVARIM[[#This Row],[מצב משפחתי2]]="אלמן",'[2]ריכוז נתונים'!$AC$2,0)</f>
        <v>0</v>
      </c>
      <c r="Z480" s="3">
        <f>VLOOKUP(VALUE(HEVARIM[[#This Row],[קוד מעמד]]),הנחות!$I$2:$K$21,3,0)</f>
        <v>1</v>
      </c>
      <c r="AA480" t="b">
        <f>ISERROR(VLOOKUP(HEVARIM[[#This Row],[קוד תקציב]],'[2]ריכוז נתונים'!A:A,1,0))</f>
        <v>1</v>
      </c>
      <c r="AB480" s="1">
        <f t="shared" si="29"/>
        <v>0</v>
      </c>
      <c r="AC480" s="2">
        <f ca="1">IF(HEVARIM[[#This Row],[בר מצוה]]&gt;0,YEAR(TODAY())+'תקציבים מיוחדים'!$F$5-HEVARIM[[#This Row],[גיל]],0)</f>
        <v>0</v>
      </c>
      <c r="AD480" s="1">
        <f t="shared" si="30"/>
        <v>0</v>
      </c>
      <c r="AE480" s="2">
        <f ca="1">IF(HEVARIM[[#This Row],[בת מצוה]]&gt;0,YEAR(TODAY())+'תקציבים מיוחדים'!$F$5-HEVARIM[[#This Row],[גיל]],0)</f>
        <v>0</v>
      </c>
      <c r="AF480" s="1">
        <f>IF(AND($S480&gt;="רווק",$Z480=1),AF$4*IF(HEVARIM[[#This Row],[גיל]]&gt;$AF$3,1,(($G480-AF$2)/(AF$3-AF$2))),0)</f>
        <v>60512.5</v>
      </c>
      <c r="AG480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80" s="1">
        <f t="shared" si="31"/>
        <v>0</v>
      </c>
      <c r="AI480" s="2">
        <f ca="1">IF(AH480&gt;0,YEAR(TODAY())+'תקציבים מיוחדים'!$F$7-HEVARIM[[#This Row],[גיל]],0)</f>
        <v>0</v>
      </c>
      <c r="AJ480" s="9">
        <f>IF(AND(ISERROR(VLOOKUP(H480,'[2]ריכוז נתונים'!A:L,1,0)),P480="1     "),1,0)</f>
        <v>0</v>
      </c>
      <c r="AK48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0" s="1">
        <f>IF(AND(VALUE(HEVARIM[[#This Row],[קוד מעמד]])=1,HEVARIM[[#This Row],[ותק מחברה 40]]&lt;25),HEVARIM[[#This Row],[ותק מחברה 40]]/25*הנחות!$C$4,0)</f>
        <v>0</v>
      </c>
      <c r="AM480" s="9" t="str">
        <f ca="1">IF(HEVARIM[[#This Row],[דמי עזיבה 25 שנות ותק]]&gt;0,YEAR(TODAY())+25-ROUNDDOWN(HEVARIM[[#This Row],[ותק מחברה 40]],0),"")</f>
        <v/>
      </c>
      <c r="AN4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0" s="9" t="str">
        <f ca="1">IF(HEVARIM[[#This Row],[דמי עזיבה לגיל 65]]&gt;0,YEAR(TODAY())+64-ROUNDDOWN(HEVARIM[[#This Row],[גיל]],0),"")</f>
        <v/>
      </c>
      <c r="AP480" s="1">
        <f>SUMIF(HEVARIM[קוד תקציב],HEVARIM[[#This Row],[קוד תקציב משפחה מקורי]],HEVARIM[ותק מחברה 40])</f>
        <v>69.89</v>
      </c>
      <c r="AQ4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0" s="9">
        <f>IF(HEVARIM[[#This Row],[קוד מעמד]]="1     ",IFERROR(VLOOKUP(HEVARIM[[#This Row],[קוד תקציב]],'תקציב צביעה - לקראת השינוי'!A:F,4,0),0),0)</f>
        <v>0</v>
      </c>
      <c r="AT480" s="1"/>
    </row>
    <row r="481" spans="1:46">
      <c r="A481" t="s">
        <v>2422</v>
      </c>
      <c r="B481" t="s">
        <v>2423</v>
      </c>
      <c r="C481" t="s">
        <v>458</v>
      </c>
      <c r="D481" t="s">
        <v>734</v>
      </c>
      <c r="E481" t="s">
        <v>79</v>
      </c>
      <c r="F481" s="4">
        <v>37398</v>
      </c>
      <c r="G481">
        <v>23</v>
      </c>
      <c r="H481" t="s">
        <v>2424</v>
      </c>
      <c r="I481" t="s">
        <v>2423</v>
      </c>
      <c r="J481" s="4" t="s">
        <v>70</v>
      </c>
      <c r="K481" s="4" t="s">
        <v>81</v>
      </c>
      <c r="L481" t="s">
        <v>2425</v>
      </c>
      <c r="M481" t="s">
        <v>2422</v>
      </c>
      <c r="N481" t="s">
        <v>2423</v>
      </c>
      <c r="O481">
        <f>IFERROR(VLOOKUP(HEVARIM[[#This Row],[קוד תקציב]],[2]תקציבים!A:L,6,0),0)</f>
        <v>0</v>
      </c>
      <c r="P481" s="5" t="s">
        <v>860</v>
      </c>
      <c r="Q481" t="s">
        <v>34</v>
      </c>
      <c r="R481" s="4">
        <v>45597</v>
      </c>
      <c r="S481" s="4" t="s">
        <v>90</v>
      </c>
      <c r="T481" s="96" t="s">
        <v>2387</v>
      </c>
      <c r="U481" t="str">
        <f>VLOOKUP(HEVARIM[[#This Row],[גיל]],GIL,2,1)</f>
        <v>--</v>
      </c>
      <c r="V481" t="str">
        <f>IF(HEVARIM[[#This Row],[קוד מעמד]]="4     ",IF(HEVARIM[[#This Row],[גיל]]=1,1,IF(HEVARIM[[#This Row],[גיל]]&lt;=5,5,18)),"")</f>
        <v/>
      </c>
      <c r="W481">
        <f t="shared" si="28"/>
        <v>0</v>
      </c>
      <c r="X48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1">
        <f>IF(HEVARIM[[#This Row],[מצב משפחתי2]]="אלמן",'[2]ריכוז נתונים'!$AC$2,0)</f>
        <v>0</v>
      </c>
      <c r="Z481" s="3">
        <f>VLOOKUP(VALUE(HEVARIM[[#This Row],[קוד מעמד]]),הנחות!$I$2:$K$21,3,0)</f>
        <v>1</v>
      </c>
      <c r="AA481" t="b">
        <f>ISERROR(VLOOKUP(HEVARIM[[#This Row],[קוד תקציב]],'[2]ריכוז נתונים'!A:A,1,0))</f>
        <v>1</v>
      </c>
      <c r="AB481" s="1">
        <f t="shared" si="29"/>
        <v>0</v>
      </c>
      <c r="AC481" s="2">
        <f ca="1">IF(HEVARIM[[#This Row],[בר מצוה]]&gt;0,YEAR(TODAY())+'תקציבים מיוחדים'!$F$5-HEVARIM[[#This Row],[גיל]],0)</f>
        <v>0</v>
      </c>
      <c r="AD481" s="1">
        <f t="shared" si="30"/>
        <v>0</v>
      </c>
      <c r="AE481" s="2">
        <f ca="1">IF(HEVARIM[[#This Row],[בת מצוה]]&gt;0,YEAR(TODAY())+'תקציבים מיוחדים'!$F$5-HEVARIM[[#This Row],[גיל]],0)</f>
        <v>0</v>
      </c>
      <c r="AF481" s="1">
        <f>IF(AND($S481&gt;="רווק",$Z481=1),AF$4*IF(HEVARIM[[#This Row],[גיל]]&gt;$AF$3,1,(($G481-AF$2)/(AF$3-AF$2))),0)</f>
        <v>60512.5</v>
      </c>
      <c r="AG481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81" s="1">
        <f t="shared" si="31"/>
        <v>0</v>
      </c>
      <c r="AI481" s="2">
        <f ca="1">IF(AH481&gt;0,YEAR(TODAY())+'תקציבים מיוחדים'!$F$7-HEVARIM[[#This Row],[גיל]],0)</f>
        <v>0</v>
      </c>
      <c r="AJ481" s="9">
        <f>IF(AND(ISERROR(VLOOKUP(H481,'[2]ריכוז נתונים'!A:L,1,0)),P481="1     "),1,0)</f>
        <v>0</v>
      </c>
      <c r="AK48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1" s="1">
        <f>IF(AND(VALUE(HEVARIM[[#This Row],[קוד מעמד]])=1,HEVARIM[[#This Row],[ותק מחברה 40]]&lt;25),HEVARIM[[#This Row],[ותק מחברה 40]]/25*הנחות!$C$4,0)</f>
        <v>0</v>
      </c>
      <c r="AM481" s="9" t="str">
        <f ca="1">IF(HEVARIM[[#This Row],[דמי עזיבה 25 שנות ותק]]&gt;0,YEAR(TODAY())+25-ROUNDDOWN(HEVARIM[[#This Row],[ותק מחברה 40]],0),"")</f>
        <v/>
      </c>
      <c r="AN4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1" s="9" t="str">
        <f ca="1">IF(HEVARIM[[#This Row],[דמי עזיבה לגיל 65]]&gt;0,YEAR(TODAY())+64-ROUNDDOWN(HEVARIM[[#This Row],[גיל]],0),"")</f>
        <v/>
      </c>
      <c r="AP481" s="1">
        <f>SUMIF(HEVARIM[קוד תקציב],HEVARIM[[#This Row],[קוד תקציב משפחה מקורי]],HEVARIM[ותק מחברה 40])</f>
        <v>69.89</v>
      </c>
      <c r="AQ4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1" s="9">
        <f>IF(HEVARIM[[#This Row],[קוד מעמד]]="1     ",IFERROR(VLOOKUP(HEVARIM[[#This Row],[קוד תקציב]],'תקציב צביעה - לקראת השינוי'!A:F,4,0),0),0)</f>
        <v>0</v>
      </c>
      <c r="AT481" s="1"/>
    </row>
    <row r="482" spans="1:46">
      <c r="A482" t="s">
        <v>2483</v>
      </c>
      <c r="B482" t="s">
        <v>2484</v>
      </c>
      <c r="C482" t="s">
        <v>458</v>
      </c>
      <c r="D482" t="s">
        <v>375</v>
      </c>
      <c r="E482" t="s">
        <v>79</v>
      </c>
      <c r="F482" s="4">
        <v>38286</v>
      </c>
      <c r="G482">
        <v>21</v>
      </c>
      <c r="H482" t="s">
        <v>2485</v>
      </c>
      <c r="I482" t="s">
        <v>2484</v>
      </c>
      <c r="J482" s="4" t="s">
        <v>70</v>
      </c>
      <c r="K482" s="4" t="s">
        <v>71</v>
      </c>
      <c r="L482" t="s">
        <v>2486</v>
      </c>
      <c r="M482" t="s">
        <v>2483</v>
      </c>
      <c r="N482" t="s">
        <v>2484</v>
      </c>
      <c r="O482">
        <f>IFERROR(VLOOKUP(HEVARIM[[#This Row],[קוד תקציב]],[2]תקציבים!A:L,6,0),0)</f>
        <v>0</v>
      </c>
      <c r="P482" s="5" t="s">
        <v>73</v>
      </c>
      <c r="Q482" t="s">
        <v>27</v>
      </c>
      <c r="R482" s="4">
        <v>45604</v>
      </c>
      <c r="S482" s="4" t="s">
        <v>90</v>
      </c>
      <c r="T482" s="96" t="s">
        <v>2387</v>
      </c>
      <c r="U482" t="str">
        <f>VLOOKUP(HEVARIM[[#This Row],[גיל]],GIL,2,1)</f>
        <v>--</v>
      </c>
      <c r="V482" t="str">
        <f>IF(HEVARIM[[#This Row],[קוד מעמד]]="4     ",IF(HEVARIM[[#This Row],[גיל]]=1,1,IF(HEVARIM[[#This Row],[גיל]]&lt;=5,5,18)),"")</f>
        <v/>
      </c>
      <c r="W482">
        <f t="shared" si="28"/>
        <v>0</v>
      </c>
      <c r="X48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2">
        <f>IF(HEVARIM[[#This Row],[מצב משפחתי2]]="אלמן",'[2]ריכוז נתונים'!$AC$2,0)</f>
        <v>0</v>
      </c>
      <c r="Z482" s="3">
        <f>VLOOKUP(VALUE(HEVARIM[[#This Row],[קוד מעמד]]),הנחות!$I$2:$K$21,3,0)</f>
        <v>1</v>
      </c>
      <c r="AA482" t="b">
        <f>ISERROR(VLOOKUP(HEVARIM[[#This Row],[קוד תקציב]],'[2]ריכוז נתונים'!A:A,1,0))</f>
        <v>1</v>
      </c>
      <c r="AB482" s="1">
        <f t="shared" si="29"/>
        <v>0</v>
      </c>
      <c r="AC482" s="2">
        <f ca="1">IF(HEVARIM[[#This Row],[בר מצוה]]&gt;0,YEAR(TODAY())+'תקציבים מיוחדים'!$F$5-HEVARIM[[#This Row],[גיל]],0)</f>
        <v>0</v>
      </c>
      <c r="AD482" s="1">
        <f t="shared" si="30"/>
        <v>0</v>
      </c>
      <c r="AE482" s="2">
        <f ca="1">IF(HEVARIM[[#This Row],[בת מצוה]]&gt;0,YEAR(TODAY())+'תקציבים מיוחדים'!$F$5-HEVARIM[[#This Row],[גיל]],0)</f>
        <v>0</v>
      </c>
      <c r="AF482" s="1">
        <f>IF(AND($S482&gt;="רווק",$Z482=1),AF$4*IF(HEVARIM[[#This Row],[גיל]]&gt;$AF$3,1,(($G482-AF$2)/(AF$3-AF$2))),0)</f>
        <v>60512.5</v>
      </c>
      <c r="AG482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482" s="1">
        <f t="shared" si="31"/>
        <v>105588.5</v>
      </c>
      <c r="AI482" s="2">
        <f ca="1">IF(AH482&gt;0,YEAR(TODAY())+'תקציבים מיוחדים'!$F$7-HEVARIM[[#This Row],[גיל]],0)</f>
        <v>2026</v>
      </c>
      <c r="AJ482" s="9">
        <f>IF(AND(ISERROR(VLOOKUP(H482,'[2]ריכוז נתונים'!A:L,1,0)),P482="1     "),1,0)</f>
        <v>0</v>
      </c>
      <c r="AK48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2" s="1">
        <f>IF(AND(VALUE(HEVARIM[[#This Row],[קוד מעמד]])=1,HEVARIM[[#This Row],[ותק מחברה 40]]&lt;25),HEVARIM[[#This Row],[ותק מחברה 40]]/25*הנחות!$C$4,0)</f>
        <v>0</v>
      </c>
      <c r="AM482" s="9" t="str">
        <f ca="1">IF(HEVARIM[[#This Row],[דמי עזיבה 25 שנות ותק]]&gt;0,YEAR(TODAY())+25-ROUNDDOWN(HEVARIM[[#This Row],[ותק מחברה 40]],0),"")</f>
        <v/>
      </c>
      <c r="AN4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2" s="9" t="str">
        <f ca="1">IF(HEVARIM[[#This Row],[דמי עזיבה לגיל 65]]&gt;0,YEAR(TODAY())+64-ROUNDDOWN(HEVARIM[[#This Row],[גיל]],0),"")</f>
        <v/>
      </c>
      <c r="AP482" s="1">
        <f>SUMIF(HEVARIM[קוד תקציב],HEVARIM[[#This Row],[קוד תקציב משפחה מקורי]],HEVARIM[ותק מחברה 40])</f>
        <v>69.89</v>
      </c>
      <c r="AQ4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2" s="9">
        <f>IF(HEVARIM[[#This Row],[קוד מעמד]]="1     ",IFERROR(VLOOKUP(HEVARIM[[#This Row],[קוד תקציב]],'תקציב צביעה - לקראת השינוי'!A:F,4,0),0),0)</f>
        <v>0</v>
      </c>
      <c r="AT482" s="1"/>
    </row>
    <row r="483" spans="1:46">
      <c r="A483" t="s">
        <v>2380</v>
      </c>
      <c r="B483" t="s">
        <v>2381</v>
      </c>
      <c r="C483" t="s">
        <v>458</v>
      </c>
      <c r="D483" t="s">
        <v>209</v>
      </c>
      <c r="E483" t="s">
        <v>79</v>
      </c>
      <c r="F483" s="4">
        <v>36289</v>
      </c>
      <c r="G483">
        <v>26</v>
      </c>
      <c r="H483" t="s">
        <v>2382</v>
      </c>
      <c r="I483" t="s">
        <v>2381</v>
      </c>
      <c r="J483" s="4" t="s">
        <v>70</v>
      </c>
      <c r="K483" s="4" t="s">
        <v>81</v>
      </c>
      <c r="L483" t="s">
        <v>2383</v>
      </c>
      <c r="M483" t="s">
        <v>2380</v>
      </c>
      <c r="N483" t="s">
        <v>2381</v>
      </c>
      <c r="O483">
        <f>IFERROR(VLOOKUP(HEVARIM[[#This Row],[קוד תקציב]],[2]תקציבים!A:L,6,0),0)</f>
        <v>0</v>
      </c>
      <c r="P483" s="5" t="s">
        <v>129</v>
      </c>
      <c r="Q483" t="s">
        <v>26</v>
      </c>
      <c r="R483" s="4">
        <v>45170</v>
      </c>
      <c r="S483" s="4" t="s">
        <v>90</v>
      </c>
      <c r="T483" s="96" t="s">
        <v>2387</v>
      </c>
      <c r="U483" t="str">
        <f>VLOOKUP(HEVARIM[[#This Row],[גיל]],GIL,2,1)</f>
        <v>--</v>
      </c>
      <c r="V483" t="str">
        <f>IF(HEVARIM[[#This Row],[קוד מעמד]]="4     ",IF(HEVARIM[[#This Row],[גיל]]=1,1,IF(HEVARIM[[#This Row],[גיל]]&lt;=5,5,18)),"")</f>
        <v/>
      </c>
      <c r="W483">
        <f t="shared" si="28"/>
        <v>0</v>
      </c>
      <c r="X48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3">
        <f>IF(HEVARIM[[#This Row],[מצב משפחתי2]]="אלמן",'[2]ריכוז נתונים'!$AC$2,0)</f>
        <v>0</v>
      </c>
      <c r="Z483" s="3">
        <f>VLOOKUP(VALUE(HEVARIM[[#This Row],[קוד מעמד]]),הנחות!$I$2:$K$21,3,0)</f>
        <v>1</v>
      </c>
      <c r="AA483" t="b">
        <f>ISERROR(VLOOKUP(HEVARIM[[#This Row],[קוד תקציב]],'[2]ריכוז נתונים'!A:A,1,0))</f>
        <v>1</v>
      </c>
      <c r="AB483" s="1">
        <f t="shared" si="29"/>
        <v>0</v>
      </c>
      <c r="AC483" s="2">
        <f ca="1">IF(HEVARIM[[#This Row],[בר מצוה]]&gt;0,YEAR(TODAY())+'תקציבים מיוחדים'!$F$5-HEVARIM[[#This Row],[גיל]],0)</f>
        <v>0</v>
      </c>
      <c r="AD483" s="1">
        <f t="shared" si="30"/>
        <v>0</v>
      </c>
      <c r="AE483" s="2">
        <f ca="1">IF(HEVARIM[[#This Row],[בת מצוה]]&gt;0,YEAR(TODAY())+'תקציבים מיוחדים'!$F$5-HEVARIM[[#This Row],[גיל]],0)</f>
        <v>0</v>
      </c>
      <c r="AF483" s="1">
        <f>IF(AND($S483&gt;="רווק",$Z483=1),AF$4*IF(HEVARIM[[#This Row],[גיל]]&gt;$AF$3,1,(($G483-AF$2)/(AF$3-AF$2))),0)</f>
        <v>60512.5</v>
      </c>
      <c r="AG483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83" s="1">
        <f t="shared" si="31"/>
        <v>0</v>
      </c>
      <c r="AI483" s="2">
        <f ca="1">IF(AH483&gt;0,YEAR(TODAY())+'תקציבים מיוחדים'!$F$7-HEVARIM[[#This Row],[גיל]],0)</f>
        <v>0</v>
      </c>
      <c r="AJ483" s="9">
        <f>IF(AND(ISERROR(VLOOKUP(H483,'[2]ריכוז נתונים'!A:L,1,0)),P483="1     "),1,0)</f>
        <v>0</v>
      </c>
      <c r="AK48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3" s="1">
        <f>IF(AND(VALUE(HEVARIM[[#This Row],[קוד מעמד]])=1,HEVARIM[[#This Row],[ותק מחברה 40]]&lt;25),HEVARIM[[#This Row],[ותק מחברה 40]]/25*הנחות!$C$4,0)</f>
        <v>0</v>
      </c>
      <c r="AM483" s="9" t="str">
        <f ca="1">IF(HEVARIM[[#This Row],[דמי עזיבה 25 שנות ותק]]&gt;0,YEAR(TODAY())+25-ROUNDDOWN(HEVARIM[[#This Row],[ותק מחברה 40]],0),"")</f>
        <v/>
      </c>
      <c r="AN4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3" s="9" t="str">
        <f ca="1">IF(HEVARIM[[#This Row],[דמי עזיבה לגיל 65]]&gt;0,YEAR(TODAY())+64-ROUNDDOWN(HEVARIM[[#This Row],[גיל]],0),"")</f>
        <v/>
      </c>
      <c r="AP483" s="1">
        <f>SUMIF(HEVARIM[קוד תקציב],HEVARIM[[#This Row],[קוד תקציב משפחה מקורי]],HEVARIM[ותק מחברה 40])</f>
        <v>69.89</v>
      </c>
      <c r="AQ4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3" s="9">
        <f>IF(HEVARIM[[#This Row],[קוד מעמד]]="1     ",IFERROR(VLOOKUP(HEVARIM[[#This Row],[קוד תקציב]],'תקציב צביעה - לקראת השינוי'!A:F,4,0),0),0)</f>
        <v>0</v>
      </c>
      <c r="AT483" s="1"/>
    </row>
    <row r="484" spans="1:46">
      <c r="A484" t="s">
        <v>2390</v>
      </c>
      <c r="B484" t="s">
        <v>2391</v>
      </c>
      <c r="C484" t="s">
        <v>458</v>
      </c>
      <c r="D484" t="s">
        <v>503</v>
      </c>
      <c r="E484" t="s">
        <v>79</v>
      </c>
      <c r="F484" s="4">
        <v>25560</v>
      </c>
      <c r="G484">
        <v>56</v>
      </c>
      <c r="H484" t="s">
        <v>2387</v>
      </c>
      <c r="I484" t="s">
        <v>2388</v>
      </c>
      <c r="J484" s="4" t="s">
        <v>70</v>
      </c>
      <c r="K484" s="4" t="s">
        <v>71</v>
      </c>
      <c r="L484" t="s">
        <v>2392</v>
      </c>
      <c r="M484" t="s">
        <v>2384</v>
      </c>
      <c r="N484" t="s">
        <v>2385</v>
      </c>
      <c r="O484">
        <f>IFERROR(VLOOKUP(HEVARIM[[#This Row],[קוד תקציב]],[2]תקציבים!A:L,6,0),0)</f>
        <v>2</v>
      </c>
      <c r="P484" s="5" t="s">
        <v>104</v>
      </c>
      <c r="Q484" t="s">
        <v>11</v>
      </c>
      <c r="R484" s="4">
        <v>36739</v>
      </c>
      <c r="S484" s="4" t="s">
        <v>74</v>
      </c>
      <c r="T484" s="96" t="s">
        <v>2387</v>
      </c>
      <c r="U484" t="str">
        <f>VLOOKUP(HEVARIM[[#This Row],[גיל]],GIL,2,1)</f>
        <v>--</v>
      </c>
      <c r="V484" t="str">
        <f>IF(HEVARIM[[#This Row],[קוד מעמד]]="4     ",IF(HEVARIM[[#This Row],[גיל]]=1,1,IF(HEVARIM[[#This Row],[גיל]]&lt;=5,5,18)),"")</f>
        <v/>
      </c>
      <c r="W484">
        <f t="shared" si="28"/>
        <v>0</v>
      </c>
      <c r="X48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4">
        <f>IF(HEVARIM[[#This Row],[מצב משפחתי2]]="אלמן",'[2]ריכוז נתונים'!$AC$2,0)</f>
        <v>0</v>
      </c>
      <c r="Z484" s="3">
        <f>VLOOKUP(VALUE(HEVARIM[[#This Row],[קוד מעמד]]),הנחות!$I$2:$K$21,3,0)</f>
        <v>0</v>
      </c>
      <c r="AA484" t="b">
        <f>ISERROR(VLOOKUP(HEVARIM[[#This Row],[קוד תקציב]],'[2]ריכוז נתונים'!A:A,1,0))</f>
        <v>0</v>
      </c>
      <c r="AB484" s="1">
        <f t="shared" si="29"/>
        <v>0</v>
      </c>
      <c r="AC484" s="2">
        <f ca="1">IF(HEVARIM[[#This Row],[בר מצוה]]&gt;0,YEAR(TODAY())+'תקציבים מיוחדים'!$F$5-HEVARIM[[#This Row],[גיל]],0)</f>
        <v>0</v>
      </c>
      <c r="AD484" s="1">
        <f t="shared" si="30"/>
        <v>0</v>
      </c>
      <c r="AE484" s="2">
        <f ca="1">IF(HEVARIM[[#This Row],[בת מצוה]]&gt;0,YEAR(TODAY())+'תקציבים מיוחדים'!$F$5-HEVARIM[[#This Row],[גיל]],0)</f>
        <v>0</v>
      </c>
      <c r="AF484" s="1">
        <f>IF(AND($S484&gt;="רווק",$Z484=1),AF$4*IF(HEVARIM[[#This Row],[גיל]]&gt;$AF$3,1,(($G484-AF$2)/(AF$3-AF$2))),0)</f>
        <v>0</v>
      </c>
      <c r="AG48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84" s="1">
        <f t="shared" si="31"/>
        <v>0</v>
      </c>
      <c r="AI484" s="2">
        <f ca="1">IF(AH484&gt;0,YEAR(TODAY())+'תקציבים מיוחדים'!$F$7-HEVARIM[[#This Row],[גיל]],0)</f>
        <v>0</v>
      </c>
      <c r="AJ484" s="9">
        <f>IF(AND(ISERROR(VLOOKUP(H484,'[2]ריכוז נתונים'!A:L,1,0)),P484="1     "),1,0)</f>
        <v>0</v>
      </c>
      <c r="AK484" s="1">
        <f>IF(VALUE(HEVARIM[[#This Row],[קוד מעמד]])=1,VLOOKUP((IF(LEFT(HEVARIM[[#This Row],[קוד חבר]],1)="0",HEVARIM[[#This Row],[קוד חבר]],VALUE(HEVARIM[[#This Row],[קוד חבר]]))),'ותק חברה 40'!AQ:AW,7,0),"")</f>
        <v>28.94</v>
      </c>
      <c r="AL484" s="1">
        <f>IF(AND(VALUE(HEVARIM[[#This Row],[קוד מעמד]])=1,HEVARIM[[#This Row],[ותק מחברה 40]]&lt;25),HEVARIM[[#This Row],[ותק מחברה 40]]/25*הנחות!$C$4,0)</f>
        <v>0</v>
      </c>
      <c r="AM484" s="9" t="str">
        <f ca="1">IF(HEVARIM[[#This Row],[דמי עזיבה 25 שנות ותק]]&gt;0,YEAR(TODAY())+25-ROUNDDOWN(HEVARIM[[#This Row],[ותק מחברה 40]],0),"")</f>
        <v/>
      </c>
      <c r="AN484" s="1">
        <f>IF(AND(VALUE(HEVARIM[[#This Row],[קוד מעמד]])=1,HEVARIM[[#This Row],[ותק מחברה 40]]&gt;25,HEVARIM[[#This Row],[גיל]]&lt;65),הנחות!$C$14+(HEVARIM[[#This Row],[ותק מחברה 40]]-25)*הנחות!$C$10*0.25,0)</f>
        <v>37373.749875000001</v>
      </c>
      <c r="AO484" s="9">
        <f ca="1">IF(HEVARIM[[#This Row],[דמי עזיבה לגיל 65]]&gt;0,YEAR(TODAY())+64-ROUNDDOWN(HEVARIM[[#This Row],[גיל]],0),"")</f>
        <v>2034</v>
      </c>
      <c r="AP484" s="1">
        <f>SUMIF(HEVARIM[קוד תקציב],HEVARIM[[#This Row],[קוד תקציב משפחה מקורי]],HEVARIM[ותק מחברה 40])</f>
        <v>69.89</v>
      </c>
      <c r="AQ4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484" s="9">
        <f>IF(HEVARIM[[#This Row],[קוד מעמד]]="1     ",IFERROR(VLOOKUP(HEVARIM[[#This Row],[קוד תקציב]],'תקציב צביעה - לקראת השינוי'!A:F,4,0),0),0)</f>
        <v>2034</v>
      </c>
      <c r="AT484" s="1"/>
    </row>
    <row r="485" spans="1:46">
      <c r="A485" t="s">
        <v>2393</v>
      </c>
      <c r="B485" t="s">
        <v>2394</v>
      </c>
      <c r="C485" t="s">
        <v>458</v>
      </c>
      <c r="D485" t="s">
        <v>2395</v>
      </c>
      <c r="E485" t="s">
        <v>67</v>
      </c>
      <c r="F485" s="4">
        <v>39422</v>
      </c>
      <c r="G485">
        <v>18</v>
      </c>
      <c r="H485" t="s">
        <v>2387</v>
      </c>
      <c r="I485" t="s">
        <v>2388</v>
      </c>
      <c r="J485" s="4" t="s">
        <v>70</v>
      </c>
      <c r="K485" s="4" t="s">
        <v>71</v>
      </c>
      <c r="L485" t="s">
        <v>2396</v>
      </c>
      <c r="M485" t="s">
        <v>2384</v>
      </c>
      <c r="N485" t="s">
        <v>2385</v>
      </c>
      <c r="O485">
        <f>IFERROR(VLOOKUP(HEVARIM[[#This Row],[קוד תקציב]],[2]תקציבים!A:L,6,0),0)</f>
        <v>2</v>
      </c>
      <c r="P485" s="5" t="s">
        <v>227</v>
      </c>
      <c r="Q485" t="s">
        <v>14</v>
      </c>
      <c r="R485" s="4">
        <v>39422</v>
      </c>
      <c r="S485" s="4" t="s">
        <v>90</v>
      </c>
      <c r="T485" s="96" t="s">
        <v>2387</v>
      </c>
      <c r="U485" t="str">
        <f>VLOOKUP(HEVARIM[[#This Row],[גיל]],GIL,2,1)</f>
        <v>--</v>
      </c>
      <c r="V485">
        <f>IF(HEVARIM[[#This Row],[קוד מעמד]]="4     ",IF(HEVARIM[[#This Row],[גיל]]=1,1,IF(HEVARIM[[#This Row],[גיל]]&lt;=5,5,18)),"")</f>
        <v>18</v>
      </c>
      <c r="W485">
        <f t="shared" si="28"/>
        <v>0</v>
      </c>
      <c r="X48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5">
        <f>IF(HEVARIM[[#This Row],[מצב משפחתי2]]="אלמן",'[2]ריכוז נתונים'!$AC$2,0)</f>
        <v>0</v>
      </c>
      <c r="Z485" s="3">
        <f>VLOOKUP(VALUE(HEVARIM[[#This Row],[קוד מעמד]]),הנחות!$I$2:$K$21,3,0)</f>
        <v>1</v>
      </c>
      <c r="AA485" t="b">
        <f>ISERROR(VLOOKUP(HEVARIM[[#This Row],[קוד תקציב]],'[2]ריכוז נתונים'!A:A,1,0))</f>
        <v>0</v>
      </c>
      <c r="AB485" s="1">
        <f t="shared" si="29"/>
        <v>0</v>
      </c>
      <c r="AC485" s="2">
        <f ca="1">IF(HEVARIM[[#This Row],[בר מצוה]]&gt;0,YEAR(TODAY())+'תקציבים מיוחדים'!$F$5-HEVARIM[[#This Row],[גיל]],0)</f>
        <v>0</v>
      </c>
      <c r="AD485" s="1">
        <f t="shared" si="30"/>
        <v>0</v>
      </c>
      <c r="AE485" s="2">
        <f ca="1">IF(HEVARIM[[#This Row],[בת מצוה]]&gt;0,YEAR(TODAY())+'תקציבים מיוחדים'!$F$5-HEVARIM[[#This Row],[גיל]],0)</f>
        <v>0</v>
      </c>
      <c r="AF485" s="1">
        <f>IF(AND($S485&gt;="רווק",$Z485=1),AF$4*IF(HEVARIM[[#This Row],[גיל]]&gt;$AF$3,1,(($G485-AF$2)/(AF$3-AF$2))),0)</f>
        <v>51867.857142857138</v>
      </c>
      <c r="AG485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485" s="1">
        <f t="shared" si="31"/>
        <v>90504.428571428565</v>
      </c>
      <c r="AI485" s="2">
        <f ca="1">IF(AH485&gt;0,YEAR(TODAY())+'תקציבים מיוחדים'!$F$7-HEVARIM[[#This Row],[גיל]],0)</f>
        <v>2029</v>
      </c>
      <c r="AJ485" s="9">
        <f>IF(AND(ISERROR(VLOOKUP(H485,'[2]ריכוז נתונים'!A:L,1,0)),P485="1     "),1,0)</f>
        <v>0</v>
      </c>
      <c r="AK48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5" s="1">
        <f>IF(AND(VALUE(HEVARIM[[#This Row],[קוד מעמד]])=1,HEVARIM[[#This Row],[ותק מחברה 40]]&lt;25),HEVARIM[[#This Row],[ותק מחברה 40]]/25*הנחות!$C$4,0)</f>
        <v>0</v>
      </c>
      <c r="AM485" s="9" t="str">
        <f ca="1">IF(HEVARIM[[#This Row],[דמי עזיבה 25 שנות ותק]]&gt;0,YEAR(TODAY())+25-ROUNDDOWN(HEVARIM[[#This Row],[ותק מחברה 40]],0),"")</f>
        <v/>
      </c>
      <c r="AN48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5" s="9" t="str">
        <f ca="1">IF(HEVARIM[[#This Row],[דמי עזיבה לגיל 65]]&gt;0,YEAR(TODAY())+64-ROUNDDOWN(HEVARIM[[#This Row],[גיל]],0),"")</f>
        <v/>
      </c>
      <c r="AP485" s="1">
        <f>SUMIF(HEVARIM[קוד תקציב],HEVARIM[[#This Row],[קוד תקציב משפחה מקורי]],HEVARIM[ותק מחברה 40])</f>
        <v>69.89</v>
      </c>
      <c r="AQ4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5" s="9">
        <f>IF(HEVARIM[[#This Row],[קוד מעמד]]="1     ",IFERROR(VLOOKUP(HEVARIM[[#This Row],[קוד תקציב]],'תקציב צביעה - לקראת השינוי'!A:F,4,0),0),0)</f>
        <v>0</v>
      </c>
      <c r="AT485" s="1"/>
    </row>
    <row r="486" spans="1:46">
      <c r="A486" t="s">
        <v>2316</v>
      </c>
      <c r="B486" t="s">
        <v>2317</v>
      </c>
      <c r="C486" t="s">
        <v>458</v>
      </c>
      <c r="D486" t="s">
        <v>556</v>
      </c>
      <c r="E486" t="s">
        <v>67</v>
      </c>
      <c r="F486" s="4">
        <v>35517</v>
      </c>
      <c r="G486">
        <v>28</v>
      </c>
      <c r="H486" t="s">
        <v>2318</v>
      </c>
      <c r="I486" t="s">
        <v>2317</v>
      </c>
      <c r="J486" s="4" t="s">
        <v>70</v>
      </c>
      <c r="K486" s="4" t="s">
        <v>81</v>
      </c>
      <c r="L486" t="s">
        <v>2319</v>
      </c>
      <c r="M486" t="s">
        <v>2316</v>
      </c>
      <c r="N486" t="s">
        <v>2317</v>
      </c>
      <c r="O486">
        <f>IFERROR(VLOOKUP(HEVARIM[[#This Row],[קוד תקציב]],[2]תקציבים!A:L,6,0),0)</f>
        <v>0</v>
      </c>
      <c r="P486" s="5" t="s">
        <v>129</v>
      </c>
      <c r="Q486" t="s">
        <v>26</v>
      </c>
      <c r="R486" s="4">
        <v>45536</v>
      </c>
      <c r="S486" s="4" t="s">
        <v>90</v>
      </c>
      <c r="T486" s="96" t="s">
        <v>2387</v>
      </c>
      <c r="U486" t="str">
        <f>VLOOKUP(HEVARIM[[#This Row],[גיל]],GIL,2,1)</f>
        <v>--</v>
      </c>
      <c r="V486" t="str">
        <f>IF(HEVARIM[[#This Row],[קוד מעמד]]="4     ",IF(HEVARIM[[#This Row],[גיל]]=1,1,IF(HEVARIM[[#This Row],[גיל]]&lt;=5,5,18)),"")</f>
        <v/>
      </c>
      <c r="W486">
        <f t="shared" si="28"/>
        <v>0</v>
      </c>
      <c r="X48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6">
        <f>IF(HEVARIM[[#This Row],[מצב משפחתי2]]="אלמן",'[2]ריכוז נתונים'!$AC$2,0)</f>
        <v>0</v>
      </c>
      <c r="Z486" s="3">
        <f>VLOOKUP(VALUE(HEVARIM[[#This Row],[קוד מעמד]]),הנחות!$I$2:$K$21,3,0)</f>
        <v>1</v>
      </c>
      <c r="AA486" t="b">
        <f>ISERROR(VLOOKUP(HEVARIM[[#This Row],[קוד תקציב]],'[2]ריכוז נתונים'!A:A,1,0))</f>
        <v>1</v>
      </c>
      <c r="AB486" s="1">
        <f t="shared" si="29"/>
        <v>0</v>
      </c>
      <c r="AC486" s="2">
        <f ca="1">IF(HEVARIM[[#This Row],[בר מצוה]]&gt;0,YEAR(TODAY())+'תקציבים מיוחדים'!$F$5-HEVARIM[[#This Row],[גיל]],0)</f>
        <v>0</v>
      </c>
      <c r="AD486" s="1">
        <f t="shared" si="30"/>
        <v>0</v>
      </c>
      <c r="AE486" s="2">
        <f ca="1">IF(HEVARIM[[#This Row],[בת מצוה]]&gt;0,YEAR(TODAY())+'תקציבים מיוחדים'!$F$5-HEVARIM[[#This Row],[גיל]],0)</f>
        <v>0</v>
      </c>
      <c r="AF486" s="1">
        <f>IF(AND($S486&gt;="רווק",$Z486=1),AF$4*IF(HEVARIM[[#This Row],[גיל]]&gt;$AF$3,1,(($G486-AF$2)/(AF$3-AF$2))),0)</f>
        <v>60512.5</v>
      </c>
      <c r="AG486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86" s="1">
        <f t="shared" si="31"/>
        <v>0</v>
      </c>
      <c r="AI486" s="2">
        <f ca="1">IF(AH486&gt;0,YEAR(TODAY())+'תקציבים מיוחדים'!$F$7-HEVARIM[[#This Row],[גיל]],0)</f>
        <v>0</v>
      </c>
      <c r="AJ486" s="9">
        <f>IF(AND(ISERROR(VLOOKUP(H486,'[2]ריכוז נתונים'!A:L,1,0)),P486="1     "),1,0)</f>
        <v>0</v>
      </c>
      <c r="AK48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6" s="1">
        <f>IF(AND(VALUE(HEVARIM[[#This Row],[קוד מעמד]])=1,HEVARIM[[#This Row],[ותק מחברה 40]]&lt;25),HEVARIM[[#This Row],[ותק מחברה 40]]/25*הנחות!$C$4,0)</f>
        <v>0</v>
      </c>
      <c r="AM486" s="9" t="str">
        <f ca="1">IF(HEVARIM[[#This Row],[דמי עזיבה 25 שנות ותק]]&gt;0,YEAR(TODAY())+25-ROUNDDOWN(HEVARIM[[#This Row],[ותק מחברה 40]],0),"")</f>
        <v/>
      </c>
      <c r="AN4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6" s="9" t="str">
        <f ca="1">IF(HEVARIM[[#This Row],[דמי עזיבה לגיל 65]]&gt;0,YEAR(TODAY())+64-ROUNDDOWN(HEVARIM[[#This Row],[גיל]],0),"")</f>
        <v/>
      </c>
      <c r="AP486" s="1">
        <f>SUMIF(HEVARIM[קוד תקציב],HEVARIM[[#This Row],[קוד תקציב משפחה מקורי]],HEVARIM[ותק מחברה 40])</f>
        <v>69.89</v>
      </c>
      <c r="AQ4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6" s="9">
        <f>IF(HEVARIM[[#This Row],[קוד מעמד]]="1     ",IFERROR(VLOOKUP(HEVARIM[[#This Row],[קוד תקציב]],'תקציב צביעה - לקראת השינוי'!A:F,4,0),0),0)</f>
        <v>0</v>
      </c>
      <c r="AT486" s="1"/>
    </row>
    <row r="487" spans="1:46">
      <c r="A487" t="s">
        <v>2320</v>
      </c>
      <c r="B487" t="s">
        <v>2321</v>
      </c>
      <c r="C487" t="s">
        <v>2322</v>
      </c>
      <c r="D487" t="s">
        <v>383</v>
      </c>
      <c r="E487" t="s">
        <v>67</v>
      </c>
      <c r="F487" s="4">
        <v>36219</v>
      </c>
      <c r="G487">
        <v>26</v>
      </c>
      <c r="H487" t="s">
        <v>2323</v>
      </c>
      <c r="I487" t="s">
        <v>2321</v>
      </c>
      <c r="J487" s="4" t="s">
        <v>70</v>
      </c>
      <c r="K487" s="4" t="s">
        <v>81</v>
      </c>
      <c r="L487" t="s">
        <v>2324</v>
      </c>
      <c r="M487" t="s">
        <v>2320</v>
      </c>
      <c r="N487" t="s">
        <v>2321</v>
      </c>
      <c r="O487">
        <f>IFERROR(VLOOKUP(HEVARIM[[#This Row],[קוד תקציב]],[2]תקציבים!A:L,6,0),0)</f>
        <v>0</v>
      </c>
      <c r="P487" s="5" t="s">
        <v>1761</v>
      </c>
      <c r="Q487" t="s">
        <v>33</v>
      </c>
      <c r="R487" s="4">
        <v>45742</v>
      </c>
      <c r="S487" s="4" t="s">
        <v>90</v>
      </c>
      <c r="T487" s="96" t="s">
        <v>2399</v>
      </c>
      <c r="U487" t="str">
        <f>VLOOKUP(HEVARIM[[#This Row],[גיל]],GIL,2,1)</f>
        <v>--</v>
      </c>
      <c r="V487" t="str">
        <f>IF(HEVARIM[[#This Row],[קוד מעמד]]="4     ",IF(HEVARIM[[#This Row],[גיל]]=1,1,IF(HEVARIM[[#This Row],[גיל]]&lt;=5,5,18)),"")</f>
        <v/>
      </c>
      <c r="W487">
        <f t="shared" si="28"/>
        <v>0</v>
      </c>
      <c r="X48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7">
        <f>IF(HEVARIM[[#This Row],[מצב משפחתי2]]="אלמן",'[2]ריכוז נתונים'!$AC$2,0)</f>
        <v>0</v>
      </c>
      <c r="Z487" s="3">
        <f>VLOOKUP(VALUE(HEVARIM[[#This Row],[קוד מעמד]]),הנחות!$I$2:$K$21,3,0)</f>
        <v>1</v>
      </c>
      <c r="AA487" t="b">
        <f>ISERROR(VLOOKUP(HEVARIM[[#This Row],[קוד תקציב]],'[2]ריכוז נתונים'!A:A,1,0))</f>
        <v>1</v>
      </c>
      <c r="AB487" s="1">
        <f t="shared" si="29"/>
        <v>0</v>
      </c>
      <c r="AC487" s="2">
        <f ca="1">IF(HEVARIM[[#This Row],[בר מצוה]]&gt;0,YEAR(TODAY())+'תקציבים מיוחדים'!$F$5-HEVARIM[[#This Row],[גיל]],0)</f>
        <v>0</v>
      </c>
      <c r="AD487" s="1">
        <f t="shared" si="30"/>
        <v>0</v>
      </c>
      <c r="AE487" s="2">
        <f ca="1">IF(HEVARIM[[#This Row],[בת מצוה]]&gt;0,YEAR(TODAY())+'תקציבים מיוחדים'!$F$5-HEVARIM[[#This Row],[גיל]],0)</f>
        <v>0</v>
      </c>
      <c r="AF487" s="1">
        <f>IF(AND($S487&gt;="רווק",$Z487=1),AF$4*IF(HEVARIM[[#This Row],[גיל]]&gt;$AF$3,1,(($G487-AF$2)/(AF$3-AF$2))),0)</f>
        <v>60512.5</v>
      </c>
      <c r="AG487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87" s="1">
        <f t="shared" si="31"/>
        <v>0</v>
      </c>
      <c r="AI487" s="2">
        <f ca="1">IF(AH487&gt;0,YEAR(TODAY())+'תקציבים מיוחדים'!$F$7-HEVARIM[[#This Row],[גיל]],0)</f>
        <v>0</v>
      </c>
      <c r="AJ487" s="9">
        <f>IF(AND(ISERROR(VLOOKUP(H487,'[2]ריכוז נתונים'!A:L,1,0)),P487="1     "),1,0)</f>
        <v>0</v>
      </c>
      <c r="AK48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7" s="1">
        <f>IF(AND(VALUE(HEVARIM[[#This Row],[קוד מעמד]])=1,HEVARIM[[#This Row],[ותק מחברה 40]]&lt;25),HEVARIM[[#This Row],[ותק מחברה 40]]/25*הנחות!$C$4,0)</f>
        <v>0</v>
      </c>
      <c r="AM487" s="9" t="str">
        <f ca="1">IF(HEVARIM[[#This Row],[דמי עזיבה 25 שנות ותק]]&gt;0,YEAR(TODAY())+25-ROUNDDOWN(HEVARIM[[#This Row],[ותק מחברה 40]],0),"")</f>
        <v/>
      </c>
      <c r="AN4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7" s="9" t="str">
        <f ca="1">IF(HEVARIM[[#This Row],[דמי עזיבה לגיל 65]]&gt;0,YEAR(TODAY())+64-ROUNDDOWN(HEVARIM[[#This Row],[גיל]],0),"")</f>
        <v/>
      </c>
      <c r="AP487" s="1">
        <f>SUMIF(HEVARIM[קוד תקציב],HEVARIM[[#This Row],[קוד תקציב משפחה מקורי]],HEVARIM[ותק מחברה 40])</f>
        <v>58.629999999999995</v>
      </c>
      <c r="AQ4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7" s="9">
        <f>IF(HEVARIM[[#This Row],[קוד מעמד]]="1     ",IFERROR(VLOOKUP(HEVARIM[[#This Row],[קוד תקציב]],'תקציב צביעה - לקראת השינוי'!A:F,4,0),0),0)</f>
        <v>0</v>
      </c>
      <c r="AT487" s="1"/>
    </row>
    <row r="488" spans="1:46">
      <c r="A488" t="s">
        <v>2505</v>
      </c>
      <c r="B488" t="s">
        <v>2506</v>
      </c>
      <c r="C488" t="s">
        <v>2322</v>
      </c>
      <c r="D488" t="s">
        <v>2115</v>
      </c>
      <c r="E488" t="s">
        <v>79</v>
      </c>
      <c r="F488" s="4">
        <v>39058</v>
      </c>
      <c r="G488">
        <v>19</v>
      </c>
      <c r="H488" t="s">
        <v>2399</v>
      </c>
      <c r="I488" t="s">
        <v>2400</v>
      </c>
      <c r="J488" s="4" t="s">
        <v>70</v>
      </c>
      <c r="K488" s="4" t="s">
        <v>71</v>
      </c>
      <c r="L488" t="s">
        <v>2507</v>
      </c>
      <c r="M488" t="s">
        <v>2397</v>
      </c>
      <c r="N488" t="s">
        <v>2398</v>
      </c>
      <c r="O488">
        <f>IFERROR(VLOOKUP(HEVARIM[[#This Row],[קוד תקציב]],[2]תקציבים!A:L,6,0),0)</f>
        <v>2</v>
      </c>
      <c r="P488" s="5" t="s">
        <v>1688</v>
      </c>
      <c r="Q488" t="s">
        <v>20</v>
      </c>
      <c r="R488" s="4">
        <v>45901</v>
      </c>
      <c r="S488" s="4" t="s">
        <v>90</v>
      </c>
      <c r="T488" s="96" t="s">
        <v>2399</v>
      </c>
      <c r="U488" t="str">
        <f>VLOOKUP(HEVARIM[[#This Row],[גיל]],GIL,2,1)</f>
        <v>--</v>
      </c>
      <c r="V488" t="str">
        <f>IF(HEVARIM[[#This Row],[קוד מעמד]]="4     ",IF(HEVARIM[[#This Row],[גיל]]=1,1,IF(HEVARIM[[#This Row],[גיל]]&lt;=5,5,18)),"")</f>
        <v/>
      </c>
      <c r="W488">
        <f t="shared" si="28"/>
        <v>0</v>
      </c>
      <c r="X48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8">
        <f>IF(HEVARIM[[#This Row],[מצב משפחתי2]]="אלמן",'[2]ריכוז נתונים'!$AC$2,0)</f>
        <v>0</v>
      </c>
      <c r="Z488" s="3">
        <f>VLOOKUP(VALUE(HEVARIM[[#This Row],[קוד מעמד]]),הנחות!$I$2:$K$21,3,0)</f>
        <v>1</v>
      </c>
      <c r="AA488" t="b">
        <f>ISERROR(VLOOKUP(HEVARIM[[#This Row],[קוד תקציב]],'[2]ריכוז נתונים'!A:A,1,0))</f>
        <v>0</v>
      </c>
      <c r="AB488" s="1">
        <f t="shared" si="29"/>
        <v>0</v>
      </c>
      <c r="AC488" s="2">
        <f ca="1">IF(HEVARIM[[#This Row],[בר מצוה]]&gt;0,YEAR(TODAY())+'תקציבים מיוחדים'!$F$5-HEVARIM[[#This Row],[גיל]],0)</f>
        <v>0</v>
      </c>
      <c r="AD488" s="1">
        <f t="shared" si="30"/>
        <v>0</v>
      </c>
      <c r="AE488" s="2">
        <f ca="1">IF(HEVARIM[[#This Row],[בת מצוה]]&gt;0,YEAR(TODAY())+'תקציבים מיוחדים'!$F$5-HEVARIM[[#This Row],[גיל]],0)</f>
        <v>0</v>
      </c>
      <c r="AF488" s="1">
        <f>IF(AND($S488&gt;="רווק",$Z488=1),AF$4*IF(HEVARIM[[#This Row],[גיל]]&gt;$AF$3,1,(($G488-AF$2)/(AF$3-AF$2))),0)</f>
        <v>54749.404761904763</v>
      </c>
      <c r="AG488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488" s="1">
        <f t="shared" si="31"/>
        <v>95532.452380952382</v>
      </c>
      <c r="AI488" s="2">
        <f ca="1">IF(AH488&gt;0,YEAR(TODAY())+'תקציבים מיוחדים'!$F$7-HEVARIM[[#This Row],[גיל]],0)</f>
        <v>2028</v>
      </c>
      <c r="AJ488" s="9">
        <f>IF(AND(ISERROR(VLOOKUP(H488,'[2]ריכוז נתונים'!A:L,1,0)),P488="1     "),1,0)</f>
        <v>0</v>
      </c>
      <c r="AK48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8" s="1">
        <f>IF(AND(VALUE(HEVARIM[[#This Row],[קוד מעמד]])=1,HEVARIM[[#This Row],[ותק מחברה 40]]&lt;25),HEVARIM[[#This Row],[ותק מחברה 40]]/25*הנחות!$C$4,0)</f>
        <v>0</v>
      </c>
      <c r="AM488" s="9" t="str">
        <f ca="1">IF(HEVARIM[[#This Row],[דמי עזיבה 25 שנות ותק]]&gt;0,YEAR(TODAY())+25-ROUNDDOWN(HEVARIM[[#This Row],[ותק מחברה 40]],0),"")</f>
        <v/>
      </c>
      <c r="AN4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8" s="9" t="str">
        <f ca="1">IF(HEVARIM[[#This Row],[דמי עזיבה לגיל 65]]&gt;0,YEAR(TODAY())+64-ROUNDDOWN(HEVARIM[[#This Row],[גיל]],0),"")</f>
        <v/>
      </c>
      <c r="AP488" s="1">
        <f>SUMIF(HEVARIM[קוד תקציב],HEVARIM[[#This Row],[קוד תקציב משפחה מקורי]],HEVARIM[ותק מחברה 40])</f>
        <v>58.629999999999995</v>
      </c>
      <c r="AQ4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8" s="9">
        <f>IF(HEVARIM[[#This Row],[קוד מעמד]]="1     ",IFERROR(VLOOKUP(HEVARIM[[#This Row],[קוד תקציב]],'תקציב צביעה - לקראת השינוי'!A:F,4,0),0),0)</f>
        <v>0</v>
      </c>
      <c r="AT488" s="1"/>
    </row>
    <row r="489" spans="1:46">
      <c r="A489" t="s">
        <v>2481</v>
      </c>
      <c r="B489" t="s">
        <v>3774</v>
      </c>
      <c r="C489" t="s">
        <v>2322</v>
      </c>
      <c r="D489" t="s">
        <v>3775</v>
      </c>
      <c r="E489" t="s">
        <v>79</v>
      </c>
      <c r="F489" s="4">
        <v>37594</v>
      </c>
      <c r="G489">
        <v>23</v>
      </c>
      <c r="H489" t="s">
        <v>3776</v>
      </c>
      <c r="I489" t="s">
        <v>3777</v>
      </c>
      <c r="J489" s="4" t="s">
        <v>70</v>
      </c>
      <c r="K489" s="4" t="s">
        <v>81</v>
      </c>
      <c r="L489" t="s">
        <v>2482</v>
      </c>
      <c r="M489" t="s">
        <v>2481</v>
      </c>
      <c r="N489" t="s">
        <v>3774</v>
      </c>
      <c r="O489">
        <f>IFERROR(VLOOKUP(HEVARIM[[#This Row],[קוד תקציב]],[2]תקציבים!A:L,6,0),0)</f>
        <v>0</v>
      </c>
      <c r="P489" s="5" t="s">
        <v>73</v>
      </c>
      <c r="Q489" t="s">
        <v>27</v>
      </c>
      <c r="R489" s="4">
        <v>45744</v>
      </c>
      <c r="S489" s="4" t="s">
        <v>90</v>
      </c>
      <c r="T489" s="96" t="s">
        <v>2399</v>
      </c>
      <c r="U489" t="str">
        <f>VLOOKUP(HEVARIM[[#This Row],[גיל]],GIL,2,1)</f>
        <v>--</v>
      </c>
      <c r="V489" t="str">
        <f>IF(HEVARIM[[#This Row],[קוד מעמד]]="4     ",IF(HEVARIM[[#This Row],[גיל]]=1,1,IF(HEVARIM[[#This Row],[גיל]]&lt;=5,5,18)),"")</f>
        <v/>
      </c>
      <c r="W489">
        <f t="shared" si="28"/>
        <v>0</v>
      </c>
      <c r="X48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89">
        <f>IF(HEVARIM[[#This Row],[מצב משפחתי2]]="אלמן",'[2]ריכוז נתונים'!$AC$2,0)</f>
        <v>0</v>
      </c>
      <c r="Z489" s="3">
        <f>VLOOKUP(VALUE(HEVARIM[[#This Row],[קוד מעמד]]),הנחות!$I$2:$K$21,3,0)</f>
        <v>1</v>
      </c>
      <c r="AA489" t="b">
        <f>ISERROR(VLOOKUP(HEVARIM[[#This Row],[קוד תקציב]],'[2]ריכוז נתונים'!A:A,1,0))</f>
        <v>1</v>
      </c>
      <c r="AB489" s="1">
        <f t="shared" si="29"/>
        <v>0</v>
      </c>
      <c r="AC489" s="2">
        <f ca="1">IF(HEVARIM[[#This Row],[בר מצוה]]&gt;0,YEAR(TODAY())+'תקציבים מיוחדים'!$F$5-HEVARIM[[#This Row],[גיל]],0)</f>
        <v>0</v>
      </c>
      <c r="AD489" s="1">
        <f t="shared" si="30"/>
        <v>0</v>
      </c>
      <c r="AE489" s="2">
        <f ca="1">IF(HEVARIM[[#This Row],[בת מצוה]]&gt;0,YEAR(TODAY())+'תקציבים מיוחדים'!$F$5-HEVARIM[[#This Row],[גיל]],0)</f>
        <v>0</v>
      </c>
      <c r="AF489" s="1">
        <f>IF(AND($S489&gt;="רווק",$Z489=1),AF$4*IF(HEVARIM[[#This Row],[גיל]]&gt;$AF$3,1,(($G489-AF$2)/(AF$3-AF$2))),0)</f>
        <v>60512.5</v>
      </c>
      <c r="AG489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89" s="1">
        <f t="shared" si="31"/>
        <v>0</v>
      </c>
      <c r="AI489" s="2">
        <f ca="1">IF(AH489&gt;0,YEAR(TODAY())+'תקציבים מיוחדים'!$F$7-HEVARIM[[#This Row],[גיל]],0)</f>
        <v>0</v>
      </c>
      <c r="AJ489" s="9">
        <f>IF(AND(ISERROR(VLOOKUP(H489,'[2]ריכוז נתונים'!A:L,1,0)),P489="1     "),1,0)</f>
        <v>0</v>
      </c>
      <c r="AK48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89" s="1">
        <f>IF(AND(VALUE(HEVARIM[[#This Row],[קוד מעמד]])=1,HEVARIM[[#This Row],[ותק מחברה 40]]&lt;25),HEVARIM[[#This Row],[ותק מחברה 40]]/25*הנחות!$C$4,0)</f>
        <v>0</v>
      </c>
      <c r="AM489" s="9" t="str">
        <f ca="1">IF(HEVARIM[[#This Row],[דמי עזיבה 25 שנות ותק]]&gt;0,YEAR(TODAY())+25-ROUNDDOWN(HEVARIM[[#This Row],[ותק מחברה 40]],0),"")</f>
        <v/>
      </c>
      <c r="AN48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89" s="9" t="str">
        <f ca="1">IF(HEVARIM[[#This Row],[דמי עזיבה לגיל 65]]&gt;0,YEAR(TODAY())+64-ROUNDDOWN(HEVARIM[[#This Row],[גיל]],0),"")</f>
        <v/>
      </c>
      <c r="AP489" s="1">
        <f>SUMIF(HEVARIM[קוד תקציב],HEVARIM[[#This Row],[קוד תקציב משפחה מקורי]],HEVARIM[ותק מחברה 40])</f>
        <v>58.629999999999995</v>
      </c>
      <c r="AQ4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89" s="9">
        <f>IF(HEVARIM[[#This Row],[קוד מעמד]]="1     ",IFERROR(VLOOKUP(HEVARIM[[#This Row],[קוד תקציב]],'תקציב צביעה - לקראת השינוי'!A:F,4,0),0),0)</f>
        <v>0</v>
      </c>
      <c r="AT489" s="1"/>
    </row>
    <row r="490" spans="1:46">
      <c r="A490" t="s">
        <v>2402</v>
      </c>
      <c r="B490" t="s">
        <v>2403</v>
      </c>
      <c r="C490" t="s">
        <v>2322</v>
      </c>
      <c r="D490" t="s">
        <v>2404</v>
      </c>
      <c r="E490" t="s">
        <v>79</v>
      </c>
      <c r="F490" s="4">
        <v>26007</v>
      </c>
      <c r="G490">
        <v>54</v>
      </c>
      <c r="H490" t="s">
        <v>2399</v>
      </c>
      <c r="I490" t="s">
        <v>2400</v>
      </c>
      <c r="J490" s="4" t="s">
        <v>70</v>
      </c>
      <c r="K490" s="4" t="s">
        <v>71</v>
      </c>
      <c r="L490" t="s">
        <v>2405</v>
      </c>
      <c r="M490" t="s">
        <v>2397</v>
      </c>
      <c r="N490" t="s">
        <v>2398</v>
      </c>
      <c r="O490">
        <f>IFERROR(VLOOKUP(HEVARIM[[#This Row],[קוד תקציב]],[2]תקציבים!A:L,6,0),0)</f>
        <v>2</v>
      </c>
      <c r="P490" s="5" t="s">
        <v>104</v>
      </c>
      <c r="Q490" t="s">
        <v>11</v>
      </c>
      <c r="R490" s="4">
        <v>37514</v>
      </c>
      <c r="S490" s="4" t="s">
        <v>74</v>
      </c>
      <c r="T490" s="96" t="s">
        <v>2399</v>
      </c>
      <c r="U490" t="str">
        <f>VLOOKUP(HEVARIM[[#This Row],[גיל]],GIL,2,1)</f>
        <v>--</v>
      </c>
      <c r="V490" t="str">
        <f>IF(HEVARIM[[#This Row],[קוד מעמד]]="4     ",IF(HEVARIM[[#This Row],[גיל]]=1,1,IF(HEVARIM[[#This Row],[גיל]]&lt;=5,5,18)),"")</f>
        <v/>
      </c>
      <c r="W490">
        <f t="shared" si="28"/>
        <v>0</v>
      </c>
      <c r="X49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0">
        <f>IF(HEVARIM[[#This Row],[מצב משפחתי2]]="אלמן",'[2]ריכוז נתונים'!$AC$2,0)</f>
        <v>0</v>
      </c>
      <c r="Z490" s="3">
        <f>VLOOKUP(VALUE(HEVARIM[[#This Row],[קוד מעמד]]),הנחות!$I$2:$K$21,3,0)</f>
        <v>0</v>
      </c>
      <c r="AA490" t="b">
        <f>ISERROR(VLOOKUP(HEVARIM[[#This Row],[קוד תקציב]],'[2]ריכוז נתונים'!A:A,1,0))</f>
        <v>0</v>
      </c>
      <c r="AB490" s="1">
        <f t="shared" si="29"/>
        <v>0</v>
      </c>
      <c r="AC490" s="2">
        <f ca="1">IF(HEVARIM[[#This Row],[בר מצוה]]&gt;0,YEAR(TODAY())+'תקציבים מיוחדים'!$F$5-HEVARIM[[#This Row],[גיל]],0)</f>
        <v>0</v>
      </c>
      <c r="AD490" s="1">
        <f t="shared" si="30"/>
        <v>0</v>
      </c>
      <c r="AE490" s="2">
        <f ca="1">IF(HEVARIM[[#This Row],[בת מצוה]]&gt;0,YEAR(TODAY())+'תקציבים מיוחדים'!$F$5-HEVARIM[[#This Row],[גיל]],0)</f>
        <v>0</v>
      </c>
      <c r="AF490" s="1">
        <f>IF(AND($S490&gt;="רווק",$Z490=1),AF$4*IF(HEVARIM[[#This Row],[גיל]]&gt;$AF$3,1,(($G490-AF$2)/(AF$3-AF$2))),0)</f>
        <v>0</v>
      </c>
      <c r="AG49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90" s="1">
        <f t="shared" si="31"/>
        <v>0</v>
      </c>
      <c r="AI490" s="2">
        <f ca="1">IF(AH490&gt;0,YEAR(TODAY())+'תקציבים מיוחדים'!$F$7-HEVARIM[[#This Row],[גיל]],0)</f>
        <v>0</v>
      </c>
      <c r="AJ490" s="9">
        <f>IF(AND(ISERROR(VLOOKUP(H490,'[2]ריכוז נתונים'!A:L,1,0)),P490="1     "),1,0)</f>
        <v>0</v>
      </c>
      <c r="AK490" s="216">
        <f>IF(VALUE(HEVARIM[[#This Row],[קוד מעמד]])=1,VLOOKUP((IF(LEFT(HEVARIM[[#This Row],[קוד חבר]],1)="0",HEVARIM[[#This Row],[קוד חבר]],VALUE(HEVARIM[[#This Row],[קוד חבר]]))),'ותק חברה 40'!AQ:AW,7,0),"")</f>
        <v>24.98</v>
      </c>
      <c r="AL490" s="1">
        <f>IF(AND(VALUE(HEVARIM[[#This Row],[קוד מעמד]])=1,HEVARIM[[#This Row],[ותק מחברה 40]]&lt;25),HEVARIM[[#This Row],[ותק מחברה 40]]/25*הנחות!$C$4,0)</f>
        <v>37504.584809999993</v>
      </c>
      <c r="AM490" s="9">
        <f ca="1">IF(HEVARIM[[#This Row],[דמי עזיבה 25 שנות ותק]]&gt;0,YEAR(TODAY())+25-ROUNDDOWN(HEVARIM[[#This Row],[ותק מחברה 40]],0),"")</f>
        <v>2027</v>
      </c>
      <c r="AN4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0" s="9" t="str">
        <f ca="1">IF(HEVARIM[[#This Row],[דמי עזיבה לגיל 65]]&gt;0,YEAR(TODAY())+64-ROUNDDOWN(HEVARIM[[#This Row],[גיל]],0),"")</f>
        <v/>
      </c>
      <c r="AP490" s="1">
        <f>SUMIF(HEVARIM[קוד תקציב],HEVARIM[[#This Row],[קוד תקציב משפחה מקורי]],HEVARIM[ותק מחברה 40])</f>
        <v>58.629999999999995</v>
      </c>
      <c r="AQ4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490" s="9">
        <f>IF(HEVARIM[[#This Row],[קוד מעמד]]="1     ",IFERROR(VLOOKUP(HEVARIM[[#This Row],[קוד תקציב]],'תקציב צביעה - לקראת השינוי'!A:F,4,0),0),0)</f>
        <v>2027</v>
      </c>
      <c r="AT490" s="1"/>
    </row>
    <row r="491" spans="1:46">
      <c r="A491" t="s">
        <v>2406</v>
      </c>
      <c r="B491" t="s">
        <v>2407</v>
      </c>
      <c r="C491" t="s">
        <v>2322</v>
      </c>
      <c r="D491" t="s">
        <v>977</v>
      </c>
      <c r="E491" t="s">
        <v>79</v>
      </c>
      <c r="F491" s="4">
        <v>39623</v>
      </c>
      <c r="G491">
        <v>17</v>
      </c>
      <c r="H491" t="s">
        <v>2399</v>
      </c>
      <c r="I491" t="s">
        <v>2400</v>
      </c>
      <c r="J491" s="4" t="s">
        <v>70</v>
      </c>
      <c r="K491" s="4" t="s">
        <v>71</v>
      </c>
      <c r="L491" t="s">
        <v>2408</v>
      </c>
      <c r="M491" t="s">
        <v>2397</v>
      </c>
      <c r="N491" t="s">
        <v>2398</v>
      </c>
      <c r="O491">
        <f>IFERROR(VLOOKUP(HEVARIM[[#This Row],[קוד תקציב]],[2]תקציבים!A:L,6,0),0)</f>
        <v>2</v>
      </c>
      <c r="P491" s="5" t="s">
        <v>227</v>
      </c>
      <c r="Q491" t="s">
        <v>14</v>
      </c>
      <c r="R491" s="4">
        <v>39623</v>
      </c>
      <c r="S491" s="4" t="s">
        <v>90</v>
      </c>
      <c r="T491" s="96" t="s">
        <v>2399</v>
      </c>
      <c r="U491" t="str">
        <f>VLOOKUP(HEVARIM[[#This Row],[גיל]],GIL,2,1)</f>
        <v>תיכון</v>
      </c>
      <c r="V491">
        <f>IF(HEVARIM[[#This Row],[קוד מעמד]]="4     ",IF(HEVARIM[[#This Row],[גיל]]=1,1,IF(HEVARIM[[#This Row],[גיל]]&lt;=5,5,18)),"")</f>
        <v>18</v>
      </c>
      <c r="W491">
        <f t="shared" si="28"/>
        <v>0</v>
      </c>
      <c r="X49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1">
        <f>IF(HEVARIM[[#This Row],[מצב משפחתי2]]="אלמן",'[2]ריכוז נתונים'!$AC$2,0)</f>
        <v>0</v>
      </c>
      <c r="Z491" s="3">
        <f>VLOOKUP(VALUE(HEVARIM[[#This Row],[קוד מעמד]]),הנחות!$I$2:$K$21,3,0)</f>
        <v>1</v>
      </c>
      <c r="AA491" t="b">
        <f>ISERROR(VLOOKUP(HEVARIM[[#This Row],[קוד תקציב]],'[2]ריכוז נתונים'!A:A,1,0))</f>
        <v>0</v>
      </c>
      <c r="AB491" s="1">
        <f t="shared" si="29"/>
        <v>0</v>
      </c>
      <c r="AC491" s="2">
        <f ca="1">IF(HEVARIM[[#This Row],[בר מצוה]]&gt;0,YEAR(TODAY())+'תקציבים מיוחדים'!$F$5-HEVARIM[[#This Row],[גיל]],0)</f>
        <v>0</v>
      </c>
      <c r="AD491" s="1">
        <f t="shared" si="30"/>
        <v>0</v>
      </c>
      <c r="AE491" s="2">
        <f ca="1">IF(HEVARIM[[#This Row],[בת מצוה]]&gt;0,YEAR(TODAY())+'תקציבים מיוחדים'!$F$5-HEVARIM[[#This Row],[גיל]],0)</f>
        <v>0</v>
      </c>
      <c r="AF491" s="1">
        <f>IF(AND($S491&gt;="רווק",$Z491=1),AF$4*IF(HEVARIM[[#This Row],[גיל]]&gt;$AF$3,1,(($G491-AF$2)/(AF$3-AF$2))),0)</f>
        <v>48986.309523809527</v>
      </c>
      <c r="AG491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491" s="1">
        <f t="shared" si="31"/>
        <v>85476.404761904763</v>
      </c>
      <c r="AI491" s="2">
        <f ca="1">IF(AH491&gt;0,YEAR(TODAY())+'תקציבים מיוחדים'!$F$7-HEVARIM[[#This Row],[גיל]],0)</f>
        <v>2030</v>
      </c>
      <c r="AJ491" s="9">
        <f>IF(AND(ISERROR(VLOOKUP(H491,'[2]ריכוז נתונים'!A:L,1,0)),P491="1     "),1,0)</f>
        <v>0</v>
      </c>
      <c r="AK49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1" s="1">
        <f>IF(AND(VALUE(HEVARIM[[#This Row],[קוד מעמד]])=1,HEVARIM[[#This Row],[ותק מחברה 40]]&lt;25),HEVARIM[[#This Row],[ותק מחברה 40]]/25*הנחות!$C$4,0)</f>
        <v>0</v>
      </c>
      <c r="AM491" s="9" t="str">
        <f ca="1">IF(HEVARIM[[#This Row],[דמי עזיבה 25 שנות ותק]]&gt;0,YEAR(TODAY())+25-ROUNDDOWN(HEVARIM[[#This Row],[ותק מחברה 40]],0),"")</f>
        <v/>
      </c>
      <c r="AN49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1" s="9" t="str">
        <f ca="1">IF(HEVARIM[[#This Row],[דמי עזיבה לגיל 65]]&gt;0,YEAR(TODAY())+64-ROUNDDOWN(HEVARIM[[#This Row],[גיל]],0),"")</f>
        <v/>
      </c>
      <c r="AP491" s="1">
        <f>SUMIF(HEVARIM[קוד תקציב],HEVARIM[[#This Row],[קוד תקציב משפחה מקורי]],HEVARIM[ותק מחברה 40])</f>
        <v>58.629999999999995</v>
      </c>
      <c r="AQ4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1" s="9">
        <f>IF(HEVARIM[[#This Row],[קוד מעמד]]="1     ",IFERROR(VLOOKUP(HEVARIM[[#This Row],[קוד תקציב]],'תקציב צביעה - לקראת השינוי'!A:F,4,0),0),0)</f>
        <v>0</v>
      </c>
      <c r="AT491" s="1"/>
    </row>
    <row r="492" spans="1:46">
      <c r="A492" t="s">
        <v>2409</v>
      </c>
      <c r="B492" t="s">
        <v>2410</v>
      </c>
      <c r="C492" t="s">
        <v>2322</v>
      </c>
      <c r="D492" t="s">
        <v>2411</v>
      </c>
      <c r="E492" t="s">
        <v>79</v>
      </c>
      <c r="F492" s="4">
        <v>40865</v>
      </c>
      <c r="G492">
        <v>14</v>
      </c>
      <c r="H492" t="s">
        <v>2399</v>
      </c>
      <c r="I492" t="s">
        <v>2400</v>
      </c>
      <c r="J492" s="4" t="s">
        <v>70</v>
      </c>
      <c r="K492" s="4" t="s">
        <v>71</v>
      </c>
      <c r="L492" t="s">
        <v>2412</v>
      </c>
      <c r="M492" t="s">
        <v>2397</v>
      </c>
      <c r="N492" t="s">
        <v>2398</v>
      </c>
      <c r="O492">
        <f>IFERROR(VLOOKUP(HEVARIM[[#This Row],[קוד תקציב]],[2]תקציבים!A:L,6,0),0)</f>
        <v>2</v>
      </c>
      <c r="P492" s="5" t="s">
        <v>227</v>
      </c>
      <c r="Q492" t="s">
        <v>14</v>
      </c>
      <c r="R492" s="4">
        <v>40865</v>
      </c>
      <c r="S492" s="4" t="s">
        <v>90</v>
      </c>
      <c r="T492" s="96" t="s">
        <v>2399</v>
      </c>
      <c r="U492" t="str">
        <f>VLOOKUP(HEVARIM[[#This Row],[גיל]],GIL,2,1)</f>
        <v>חטיבה</v>
      </c>
      <c r="V492">
        <f>IF(HEVARIM[[#This Row],[קוד מעמד]]="4     ",IF(HEVARIM[[#This Row],[גיל]]=1,1,IF(HEVARIM[[#This Row],[גיל]]&lt;=5,5,18)),"")</f>
        <v>18</v>
      </c>
      <c r="W492">
        <f t="shared" si="28"/>
        <v>0</v>
      </c>
      <c r="X49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2">
        <f>IF(HEVARIM[[#This Row],[מצב משפחתי2]]="אלמן",'[2]ריכוז נתונים'!$AC$2,0)</f>
        <v>0</v>
      </c>
      <c r="Z492" s="3">
        <f>VLOOKUP(VALUE(HEVARIM[[#This Row],[קוד מעמד]]),הנחות!$I$2:$K$21,3,0)</f>
        <v>1</v>
      </c>
      <c r="AA492" t="b">
        <f>ISERROR(VLOOKUP(HEVARIM[[#This Row],[קוד תקציב]],'[2]ריכוז נתונים'!A:A,1,0))</f>
        <v>0</v>
      </c>
      <c r="AB492" s="1">
        <f t="shared" si="29"/>
        <v>0</v>
      </c>
      <c r="AC492" s="2">
        <f ca="1">IF(HEVARIM[[#This Row],[בר מצוה]]&gt;0,YEAR(TODAY())+'תקציבים מיוחדים'!$F$5-HEVARIM[[#This Row],[גיל]],0)</f>
        <v>0</v>
      </c>
      <c r="AD492" s="1">
        <f t="shared" si="30"/>
        <v>0</v>
      </c>
      <c r="AE492" s="2">
        <f ca="1">IF(HEVARIM[[#This Row],[בת מצוה]]&gt;0,YEAR(TODAY())+'תקציבים מיוחדים'!$F$5-HEVARIM[[#This Row],[גיל]],0)</f>
        <v>0</v>
      </c>
      <c r="AF492" s="1">
        <f>IF(AND($S492&gt;="רווק",$Z492=1),AF$4*IF(HEVARIM[[#This Row],[גיל]]&gt;$AF$3,1,(($G492-AF$2)/(AF$3-AF$2))),0)</f>
        <v>40341.666666666664</v>
      </c>
      <c r="AG492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492" s="1">
        <f t="shared" si="31"/>
        <v>70392.333333333328</v>
      </c>
      <c r="AI492" s="2">
        <f ca="1">IF(AH492&gt;0,YEAR(TODAY())+'תקציבים מיוחדים'!$F$7-HEVARIM[[#This Row],[גיל]],0)</f>
        <v>2033</v>
      </c>
      <c r="AJ492" s="9">
        <f>IF(AND(ISERROR(VLOOKUP(H492,'[2]ריכוז נתונים'!A:L,1,0)),P492="1     "),1,0)</f>
        <v>0</v>
      </c>
      <c r="AK49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2" s="1">
        <f>IF(AND(VALUE(HEVARIM[[#This Row],[קוד מעמד]])=1,HEVARIM[[#This Row],[ותק מחברה 40]]&lt;25),HEVARIM[[#This Row],[ותק מחברה 40]]/25*הנחות!$C$4,0)</f>
        <v>0</v>
      </c>
      <c r="AM492" s="9" t="str">
        <f ca="1">IF(HEVARIM[[#This Row],[דמי עזיבה 25 שנות ותק]]&gt;0,YEAR(TODAY())+25-ROUNDDOWN(HEVARIM[[#This Row],[ותק מחברה 40]],0),"")</f>
        <v/>
      </c>
      <c r="AN4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2" s="9" t="str">
        <f ca="1">IF(HEVARIM[[#This Row],[דמי עזיבה לגיל 65]]&gt;0,YEAR(TODAY())+64-ROUNDDOWN(HEVARIM[[#This Row],[גיל]],0),"")</f>
        <v/>
      </c>
      <c r="AP492" s="1">
        <f>SUMIF(HEVARIM[קוד תקציב],HEVARIM[[#This Row],[קוד תקציב משפחה מקורי]],HEVARIM[ותק מחברה 40])</f>
        <v>58.629999999999995</v>
      </c>
      <c r="AQ4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2" s="9">
        <f>IF(HEVARIM[[#This Row],[קוד מעמד]]="1     ",IFERROR(VLOOKUP(HEVARIM[[#This Row],[קוד תקציב]],'תקציב צביעה - לקראת השינוי'!A:F,4,0),0),0)</f>
        <v>0</v>
      </c>
      <c r="AT492" s="1"/>
    </row>
    <row r="493" spans="1:46">
      <c r="A493" t="s">
        <v>2413</v>
      </c>
      <c r="B493" t="s">
        <v>2414</v>
      </c>
      <c r="C493" t="s">
        <v>2322</v>
      </c>
      <c r="D493" t="s">
        <v>1216</v>
      </c>
      <c r="E493" t="s">
        <v>79</v>
      </c>
      <c r="F493" s="4">
        <v>36700</v>
      </c>
      <c r="G493">
        <v>25</v>
      </c>
      <c r="H493" t="s">
        <v>2415</v>
      </c>
      <c r="I493" t="s">
        <v>2414</v>
      </c>
      <c r="J493" s="4" t="s">
        <v>70</v>
      </c>
      <c r="K493" s="4" t="s">
        <v>81</v>
      </c>
      <c r="L493" t="s">
        <v>2416</v>
      </c>
      <c r="M493" t="s">
        <v>2413</v>
      </c>
      <c r="N493" t="s">
        <v>2414</v>
      </c>
      <c r="O493">
        <f>IFERROR(VLOOKUP(HEVARIM[[#This Row],[קוד תקציב]],[2]תקציבים!A:L,6,0),0)</f>
        <v>0</v>
      </c>
      <c r="P493" s="5" t="s">
        <v>129</v>
      </c>
      <c r="Q493" t="s">
        <v>26</v>
      </c>
      <c r="R493" s="4">
        <v>45474</v>
      </c>
      <c r="S493" s="4" t="s">
        <v>90</v>
      </c>
      <c r="T493" s="96" t="s">
        <v>2399</v>
      </c>
      <c r="U493" t="str">
        <f>VLOOKUP(HEVARIM[[#This Row],[גיל]],GIL,2,1)</f>
        <v>--</v>
      </c>
      <c r="V493" t="str">
        <f>IF(HEVARIM[[#This Row],[קוד מעמד]]="4     ",IF(HEVARIM[[#This Row],[גיל]]=1,1,IF(HEVARIM[[#This Row],[גיל]]&lt;=5,5,18)),"")</f>
        <v/>
      </c>
      <c r="W493">
        <f t="shared" si="28"/>
        <v>0</v>
      </c>
      <c r="X49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3">
        <f>IF(HEVARIM[[#This Row],[מצב משפחתי2]]="אלמן",'[2]ריכוז נתונים'!$AC$2,0)</f>
        <v>0</v>
      </c>
      <c r="Z493" s="3">
        <f>VLOOKUP(VALUE(HEVARIM[[#This Row],[קוד מעמד]]),הנחות!$I$2:$K$21,3,0)</f>
        <v>1</v>
      </c>
      <c r="AA493" t="b">
        <f>ISERROR(VLOOKUP(HEVARIM[[#This Row],[קוד תקציב]],'[2]ריכוז נתונים'!A:A,1,0))</f>
        <v>1</v>
      </c>
      <c r="AB493" s="1">
        <f t="shared" si="29"/>
        <v>0</v>
      </c>
      <c r="AC493" s="2">
        <f ca="1">IF(HEVARIM[[#This Row],[בר מצוה]]&gt;0,YEAR(TODAY())+'תקציבים מיוחדים'!$F$5-HEVARIM[[#This Row],[גיל]],0)</f>
        <v>0</v>
      </c>
      <c r="AD493" s="1">
        <f t="shared" si="30"/>
        <v>0</v>
      </c>
      <c r="AE493" s="2">
        <f ca="1">IF(HEVARIM[[#This Row],[בת מצוה]]&gt;0,YEAR(TODAY())+'תקציבים מיוחדים'!$F$5-HEVARIM[[#This Row],[גיל]],0)</f>
        <v>0</v>
      </c>
      <c r="AF493" s="1">
        <f>IF(AND($S493&gt;="רווק",$Z493=1),AF$4*IF(HEVARIM[[#This Row],[גיל]]&gt;$AF$3,1,(($G493-AF$2)/(AF$3-AF$2))),0)</f>
        <v>60512.5</v>
      </c>
      <c r="AG493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493" s="1">
        <f t="shared" si="31"/>
        <v>0</v>
      </c>
      <c r="AI493" s="2">
        <f ca="1">IF(AH493&gt;0,YEAR(TODAY())+'תקציבים מיוחדים'!$F$7-HEVARIM[[#This Row],[גיל]],0)</f>
        <v>0</v>
      </c>
      <c r="AJ493" s="9">
        <f>IF(AND(ISERROR(VLOOKUP(H493,'[2]ריכוז נתונים'!A:L,1,0)),P493="1     "),1,0)</f>
        <v>0</v>
      </c>
      <c r="AK49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3" s="1">
        <f>IF(AND(VALUE(HEVARIM[[#This Row],[קוד מעמד]])=1,HEVARIM[[#This Row],[ותק מחברה 40]]&lt;25),HEVARIM[[#This Row],[ותק מחברה 40]]/25*הנחות!$C$4,0)</f>
        <v>0</v>
      </c>
      <c r="AM493" s="9" t="str">
        <f ca="1">IF(HEVARIM[[#This Row],[דמי עזיבה 25 שנות ותק]]&gt;0,YEAR(TODAY())+25-ROUNDDOWN(HEVARIM[[#This Row],[ותק מחברה 40]],0),"")</f>
        <v/>
      </c>
      <c r="AN49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3" s="9" t="str">
        <f ca="1">IF(HEVARIM[[#This Row],[דמי עזיבה לגיל 65]]&gt;0,YEAR(TODAY())+64-ROUNDDOWN(HEVARIM[[#This Row],[גיל]],0),"")</f>
        <v/>
      </c>
      <c r="AP493" s="1">
        <f>SUMIF(HEVARIM[קוד תקציב],HEVARIM[[#This Row],[קוד תקציב משפחה מקורי]],HEVARIM[ותק מחברה 40])</f>
        <v>58.629999999999995</v>
      </c>
      <c r="AQ4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3" s="9">
        <f>IF(HEVARIM[[#This Row],[קוד מעמד]]="1     ",IFERROR(VLOOKUP(HEVARIM[[#This Row],[קוד תקציב]],'תקציב צביעה - לקראת השינוי'!A:F,4,0),0),0)</f>
        <v>0</v>
      </c>
      <c r="AT493" s="1"/>
    </row>
    <row r="494" spans="1:46">
      <c r="A494" t="s">
        <v>2431</v>
      </c>
      <c r="B494" t="s">
        <v>2432</v>
      </c>
      <c r="C494" t="s">
        <v>2322</v>
      </c>
      <c r="D494" t="s">
        <v>2433</v>
      </c>
      <c r="E494" t="s">
        <v>79</v>
      </c>
      <c r="F494" s="4">
        <v>31038</v>
      </c>
      <c r="G494">
        <v>41</v>
      </c>
      <c r="H494" t="s">
        <v>2428</v>
      </c>
      <c r="I494" t="s">
        <v>2429</v>
      </c>
      <c r="J494" s="4" t="s">
        <v>70</v>
      </c>
      <c r="K494" s="4" t="s">
        <v>71</v>
      </c>
      <c r="L494" t="s">
        <v>2434</v>
      </c>
      <c r="M494" t="s">
        <v>2426</v>
      </c>
      <c r="N494" t="s">
        <v>2427</v>
      </c>
      <c r="O494">
        <f>IFERROR(VLOOKUP(HEVARIM[[#This Row],[קוד תקציב]],[2]תקציבים!A:L,6,0),0)</f>
        <v>2</v>
      </c>
      <c r="P494" s="5" t="s">
        <v>104</v>
      </c>
      <c r="Q494" t="s">
        <v>11</v>
      </c>
      <c r="R494" s="4">
        <v>43990</v>
      </c>
      <c r="S494" s="4" t="s">
        <v>74</v>
      </c>
      <c r="T494" s="96" t="s">
        <v>2428</v>
      </c>
      <c r="U494" t="str">
        <f>VLOOKUP(HEVARIM[[#This Row],[גיל]],GIL,2,1)</f>
        <v>--</v>
      </c>
      <c r="V494" t="str">
        <f>IF(HEVARIM[[#This Row],[קוד מעמד]]="4     ",IF(HEVARIM[[#This Row],[גיל]]=1,1,IF(HEVARIM[[#This Row],[גיל]]&lt;=5,5,18)),"")</f>
        <v/>
      </c>
      <c r="W494">
        <f t="shared" si="28"/>
        <v>0</v>
      </c>
      <c r="X49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4">
        <f>IF(HEVARIM[[#This Row],[מצב משפחתי2]]="אלמן",'[2]ריכוז נתונים'!$AC$2,0)</f>
        <v>0</v>
      </c>
      <c r="Z494" s="3">
        <f>VLOOKUP(VALUE(HEVARIM[[#This Row],[קוד מעמד]]),הנחות!$I$2:$K$21,3,0)</f>
        <v>0</v>
      </c>
      <c r="AA494" t="b">
        <f>ISERROR(VLOOKUP(HEVARIM[[#This Row],[קוד תקציב]],'[2]ריכוז נתונים'!A:A,1,0))</f>
        <v>0</v>
      </c>
      <c r="AB494" s="1">
        <f t="shared" si="29"/>
        <v>0</v>
      </c>
      <c r="AC494" s="2">
        <f ca="1">IF(HEVARIM[[#This Row],[בר מצוה]]&gt;0,YEAR(TODAY())+'תקציבים מיוחדים'!$F$5-HEVARIM[[#This Row],[גיל]],0)</f>
        <v>0</v>
      </c>
      <c r="AD494" s="1">
        <f t="shared" si="30"/>
        <v>0</v>
      </c>
      <c r="AE494" s="2">
        <f ca="1">IF(HEVARIM[[#This Row],[בת מצוה]]&gt;0,YEAR(TODAY())+'תקציבים מיוחדים'!$F$5-HEVARIM[[#This Row],[גיל]],0)</f>
        <v>0</v>
      </c>
      <c r="AF494" s="1">
        <f>IF(AND($S494&gt;="רווק",$Z494=1),AF$4*IF(HEVARIM[[#This Row],[גיל]]&gt;$AF$3,1,(($G494-AF$2)/(AF$3-AF$2))),0)</f>
        <v>0</v>
      </c>
      <c r="AG49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494" s="1">
        <f t="shared" si="31"/>
        <v>0</v>
      </c>
      <c r="AI494" s="2">
        <f ca="1">IF(AH494&gt;0,YEAR(TODAY())+'תקציבים מיוחדים'!$F$7-HEVARIM[[#This Row],[גיל]],0)</f>
        <v>0</v>
      </c>
      <c r="AJ494" s="9">
        <f>IF(AND(ISERROR(VLOOKUP(H494,'[2]ריכוז נתונים'!A:L,1,0)),P494="1     "),1,0)</f>
        <v>0</v>
      </c>
      <c r="AK494" s="1">
        <f>IF(VALUE(HEVARIM[[#This Row],[קוד מעמד]])=1,VLOOKUP((IF(LEFT(HEVARIM[[#This Row],[קוד חבר]],1)="0",HEVARIM[[#This Row],[קוד חבר]],VALUE(HEVARIM[[#This Row],[קוד חבר]]))),'ותק חברה 40'!AQ:AW,7,0),"")</f>
        <v>8.0500000000000007</v>
      </c>
      <c r="AL494" s="1">
        <f>IF(AND(VALUE(HEVARIM[[#This Row],[קוד מעמד]])=1,HEVARIM[[#This Row],[ותק מחברה 40]]&lt;25),HEVARIM[[#This Row],[ותק מחברה 40]]/25*הנחות!$C$4,0)</f>
        <v>12086.145224999998</v>
      </c>
      <c r="AM494" s="9">
        <f ca="1">IF(HEVARIM[[#This Row],[דמי עזיבה 25 שנות ותק]]&gt;0,YEAR(TODAY())+25-ROUNDDOWN(HEVARIM[[#This Row],[ותק מחברה 40]],0),"")</f>
        <v>2043</v>
      </c>
      <c r="AN49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4" s="9" t="str">
        <f ca="1">IF(HEVARIM[[#This Row],[דמי עזיבה לגיל 65]]&gt;0,YEAR(TODAY())+64-ROUNDDOWN(HEVARIM[[#This Row],[גיל]],0),"")</f>
        <v/>
      </c>
      <c r="AP494" s="1">
        <f>SUMIF(HEVARIM[קוד תקציב],HEVARIM[[#This Row],[קוד תקציב משפחה מקורי]],HEVARIM[ותק מחברה 40])</f>
        <v>16.100000000000001</v>
      </c>
      <c r="AQ4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494" s="9">
        <f>IF(HEVARIM[[#This Row],[קוד מעמד]]="1     ",IFERROR(VLOOKUP(HEVARIM[[#This Row],[קוד תקציב]],'תקציב צביעה - לקראת השינוי'!A:F,4,0),0),0)</f>
        <v>2033</v>
      </c>
      <c r="AT494" s="1"/>
    </row>
    <row r="495" spans="1:46">
      <c r="A495" t="s">
        <v>2435</v>
      </c>
      <c r="B495" t="s">
        <v>2436</v>
      </c>
      <c r="C495" t="s">
        <v>2322</v>
      </c>
      <c r="D495" t="s">
        <v>2437</v>
      </c>
      <c r="E495" t="s">
        <v>67</v>
      </c>
      <c r="F495" s="4">
        <v>40196</v>
      </c>
      <c r="G495">
        <v>15</v>
      </c>
      <c r="H495" t="s">
        <v>2428</v>
      </c>
      <c r="I495" t="s">
        <v>2429</v>
      </c>
      <c r="J495" s="4" t="s">
        <v>70</v>
      </c>
      <c r="K495" s="4" t="s">
        <v>71</v>
      </c>
      <c r="L495" t="s">
        <v>2438</v>
      </c>
      <c r="M495" t="s">
        <v>2426</v>
      </c>
      <c r="N495" t="s">
        <v>2427</v>
      </c>
      <c r="O495">
        <f>IFERROR(VLOOKUP(HEVARIM[[#This Row],[קוד תקציב]],[2]תקציבים!A:L,6,0),0)</f>
        <v>2</v>
      </c>
      <c r="P495" s="5" t="s">
        <v>227</v>
      </c>
      <c r="Q495" t="s">
        <v>14</v>
      </c>
      <c r="R495" s="4">
        <v>42962</v>
      </c>
      <c r="S495" s="4" t="s">
        <v>90</v>
      </c>
      <c r="T495" s="96" t="s">
        <v>2428</v>
      </c>
      <c r="U495" t="str">
        <f>VLOOKUP(HEVARIM[[#This Row],[גיל]],GIL,2,1)</f>
        <v>תיכון</v>
      </c>
      <c r="V495">
        <f>IF(HEVARIM[[#This Row],[קוד מעמד]]="4     ",IF(HEVARIM[[#This Row],[גיל]]=1,1,IF(HEVARIM[[#This Row],[גיל]]&lt;=5,5,18)),"")</f>
        <v>18</v>
      </c>
      <c r="W495">
        <f t="shared" si="28"/>
        <v>0</v>
      </c>
      <c r="X49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5">
        <f>IF(HEVARIM[[#This Row],[מצב משפחתי2]]="אלמן",'[2]ריכוז נתונים'!$AC$2,0)</f>
        <v>0</v>
      </c>
      <c r="Z495" s="3">
        <f>VLOOKUP(VALUE(HEVARIM[[#This Row],[קוד מעמד]]),הנחות!$I$2:$K$21,3,0)</f>
        <v>1</v>
      </c>
      <c r="AA495" t="b">
        <f>ISERROR(VLOOKUP(HEVARIM[[#This Row],[קוד תקציב]],'[2]ריכוז נתונים'!A:A,1,0))</f>
        <v>0</v>
      </c>
      <c r="AB495" s="1">
        <f t="shared" si="29"/>
        <v>0</v>
      </c>
      <c r="AC495" s="2">
        <f ca="1">IF(HEVARIM[[#This Row],[בר מצוה]]&gt;0,YEAR(TODAY())+'תקציבים מיוחדים'!$F$5-HEVARIM[[#This Row],[גיל]],0)</f>
        <v>0</v>
      </c>
      <c r="AD495" s="1">
        <f t="shared" si="30"/>
        <v>0</v>
      </c>
      <c r="AE495" s="2">
        <f ca="1">IF(HEVARIM[[#This Row],[בת מצוה]]&gt;0,YEAR(TODAY())+'תקציבים מיוחדים'!$F$5-HEVARIM[[#This Row],[גיל]],0)</f>
        <v>0</v>
      </c>
      <c r="AF495" s="1">
        <f>IF(AND($S495&gt;="רווק",$Z495=1),AF$4*IF(HEVARIM[[#This Row],[גיל]]&gt;$AF$3,1,(($G495-AF$2)/(AF$3-AF$2))),0)</f>
        <v>43223.21428571429</v>
      </c>
      <c r="AG495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495" s="1">
        <f t="shared" si="31"/>
        <v>75420.357142857145</v>
      </c>
      <c r="AI495" s="2">
        <f ca="1">IF(AH495&gt;0,YEAR(TODAY())+'תקציבים מיוחדים'!$F$7-HEVARIM[[#This Row],[גיל]],0)</f>
        <v>2032</v>
      </c>
      <c r="AJ495" s="9">
        <f>IF(AND(ISERROR(VLOOKUP(H495,'[2]ריכוז נתונים'!A:L,1,0)),P495="1     "),1,0)</f>
        <v>0</v>
      </c>
      <c r="AK49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5" s="1">
        <f>IF(AND(VALUE(HEVARIM[[#This Row],[קוד מעמד]])=1,HEVARIM[[#This Row],[ותק מחברה 40]]&lt;25),HEVARIM[[#This Row],[ותק מחברה 40]]/25*הנחות!$C$4,0)</f>
        <v>0</v>
      </c>
      <c r="AM495" s="9" t="str">
        <f ca="1">IF(HEVARIM[[#This Row],[דמי עזיבה 25 שנות ותק]]&gt;0,YEAR(TODAY())+25-ROUNDDOWN(HEVARIM[[#This Row],[ותק מחברה 40]],0),"")</f>
        <v/>
      </c>
      <c r="AN4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5" s="9" t="str">
        <f ca="1">IF(HEVARIM[[#This Row],[דמי עזיבה לגיל 65]]&gt;0,YEAR(TODAY())+64-ROUNDDOWN(HEVARIM[[#This Row],[גיל]],0),"")</f>
        <v/>
      </c>
      <c r="AP495" s="1">
        <f>SUMIF(HEVARIM[קוד תקציב],HEVARIM[[#This Row],[קוד תקציב משפחה מקורי]],HEVARIM[ותק מחברה 40])</f>
        <v>16.100000000000001</v>
      </c>
      <c r="AQ4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5" s="9">
        <f>IF(HEVARIM[[#This Row],[קוד מעמד]]="1     ",IFERROR(VLOOKUP(HEVARIM[[#This Row],[קוד תקציב]],'תקציב צביעה - לקראת השינוי'!A:F,4,0),0),0)</f>
        <v>0</v>
      </c>
      <c r="AT495" s="1"/>
    </row>
    <row r="496" spans="1:46">
      <c r="A496" t="s">
        <v>2439</v>
      </c>
      <c r="B496" t="s">
        <v>2440</v>
      </c>
      <c r="C496" t="s">
        <v>2322</v>
      </c>
      <c r="D496" t="s">
        <v>2441</v>
      </c>
      <c r="E496" t="s">
        <v>67</v>
      </c>
      <c r="F496" s="4">
        <v>40870</v>
      </c>
      <c r="G496">
        <v>14</v>
      </c>
      <c r="H496" t="s">
        <v>2428</v>
      </c>
      <c r="I496" t="s">
        <v>2429</v>
      </c>
      <c r="J496" s="4" t="s">
        <v>70</v>
      </c>
      <c r="K496" s="4" t="s">
        <v>71</v>
      </c>
      <c r="L496" t="s">
        <v>2442</v>
      </c>
      <c r="M496" t="s">
        <v>2426</v>
      </c>
      <c r="N496" t="s">
        <v>2427</v>
      </c>
      <c r="O496">
        <f>IFERROR(VLOOKUP(HEVARIM[[#This Row],[קוד תקציב]],[2]תקציבים!A:L,6,0),0)</f>
        <v>2</v>
      </c>
      <c r="P496" s="5" t="s">
        <v>227</v>
      </c>
      <c r="Q496" t="s">
        <v>14</v>
      </c>
      <c r="R496" s="4">
        <v>42962</v>
      </c>
      <c r="S496" s="4" t="s">
        <v>90</v>
      </c>
      <c r="T496" s="96" t="s">
        <v>2428</v>
      </c>
      <c r="U496" t="str">
        <f>VLOOKUP(HEVARIM[[#This Row],[גיל]],GIL,2,1)</f>
        <v>חטיבה</v>
      </c>
      <c r="V496">
        <f>IF(HEVARIM[[#This Row],[קוד מעמד]]="4     ",IF(HEVARIM[[#This Row],[גיל]]=1,1,IF(HEVARIM[[#This Row],[גיל]]&lt;=5,5,18)),"")</f>
        <v>18</v>
      </c>
      <c r="W496">
        <f t="shared" si="28"/>
        <v>0</v>
      </c>
      <c r="X49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6">
        <f>IF(HEVARIM[[#This Row],[מצב משפחתי2]]="אלמן",'[2]ריכוז נתונים'!$AC$2,0)</f>
        <v>0</v>
      </c>
      <c r="Z496" s="3">
        <f>VLOOKUP(VALUE(HEVARIM[[#This Row],[קוד מעמד]]),הנחות!$I$2:$K$21,3,0)</f>
        <v>1</v>
      </c>
      <c r="AA496" t="b">
        <f>ISERROR(VLOOKUP(HEVARIM[[#This Row],[קוד תקציב]],'[2]ריכוז נתונים'!A:A,1,0))</f>
        <v>0</v>
      </c>
      <c r="AB496" s="1">
        <f t="shared" si="29"/>
        <v>0</v>
      </c>
      <c r="AC496" s="2">
        <f ca="1">IF(HEVARIM[[#This Row],[בר מצוה]]&gt;0,YEAR(TODAY())+'תקציבים מיוחדים'!$F$5-HEVARIM[[#This Row],[גיל]],0)</f>
        <v>0</v>
      </c>
      <c r="AD496" s="1">
        <f t="shared" si="30"/>
        <v>0</v>
      </c>
      <c r="AE496" s="2">
        <f ca="1">IF(HEVARIM[[#This Row],[בת מצוה]]&gt;0,YEAR(TODAY())+'תקציבים מיוחדים'!$F$5-HEVARIM[[#This Row],[גיל]],0)</f>
        <v>0</v>
      </c>
      <c r="AF496" s="1">
        <f>IF(AND($S496&gt;="רווק",$Z496=1),AF$4*IF(HEVARIM[[#This Row],[גיל]]&gt;$AF$3,1,(($G496-AF$2)/(AF$3-AF$2))),0)</f>
        <v>40341.666666666664</v>
      </c>
      <c r="AG496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496" s="1">
        <f t="shared" si="31"/>
        <v>70392.333333333328</v>
      </c>
      <c r="AI496" s="2">
        <f ca="1">IF(AH496&gt;0,YEAR(TODAY())+'תקציבים מיוחדים'!$F$7-HEVARIM[[#This Row],[גיל]],0)</f>
        <v>2033</v>
      </c>
      <c r="AJ496" s="9">
        <f>IF(AND(ISERROR(VLOOKUP(H496,'[2]ריכוז נתונים'!A:L,1,0)),P496="1     "),1,0)</f>
        <v>0</v>
      </c>
      <c r="AK49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6" s="1">
        <f>IF(AND(VALUE(HEVARIM[[#This Row],[קוד מעמד]])=1,HEVARIM[[#This Row],[ותק מחברה 40]]&lt;25),HEVARIM[[#This Row],[ותק מחברה 40]]/25*הנחות!$C$4,0)</f>
        <v>0</v>
      </c>
      <c r="AM496" s="9" t="str">
        <f ca="1">IF(HEVARIM[[#This Row],[דמי עזיבה 25 שנות ותק]]&gt;0,YEAR(TODAY())+25-ROUNDDOWN(HEVARIM[[#This Row],[ותק מחברה 40]],0),"")</f>
        <v/>
      </c>
      <c r="AN4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6" s="9" t="str">
        <f ca="1">IF(HEVARIM[[#This Row],[דמי עזיבה לגיל 65]]&gt;0,YEAR(TODAY())+64-ROUNDDOWN(HEVARIM[[#This Row],[גיל]],0),"")</f>
        <v/>
      </c>
      <c r="AP496" s="1">
        <f>SUMIF(HEVARIM[קוד תקציב],HEVARIM[[#This Row],[קוד תקציב משפחה מקורי]],HEVARIM[ותק מחברה 40])</f>
        <v>16.100000000000001</v>
      </c>
      <c r="AQ4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6" s="9">
        <f>IF(HEVARIM[[#This Row],[קוד מעמד]]="1     ",IFERROR(VLOOKUP(HEVARIM[[#This Row],[קוד תקציב]],'תקציב צביעה - לקראת השינוי'!A:F,4,0),0),0)</f>
        <v>0</v>
      </c>
      <c r="AT496" s="1"/>
    </row>
    <row r="497" spans="1:46">
      <c r="A497" t="s">
        <v>2443</v>
      </c>
      <c r="B497" t="s">
        <v>2444</v>
      </c>
      <c r="C497" t="s">
        <v>2322</v>
      </c>
      <c r="D497" t="s">
        <v>2445</v>
      </c>
      <c r="E497" t="s">
        <v>67</v>
      </c>
      <c r="F497" s="4">
        <v>41703</v>
      </c>
      <c r="G497">
        <v>11</v>
      </c>
      <c r="H497" t="s">
        <v>2428</v>
      </c>
      <c r="I497" t="s">
        <v>2429</v>
      </c>
      <c r="J497" s="4" t="s">
        <v>70</v>
      </c>
      <c r="K497" s="4" t="s">
        <v>71</v>
      </c>
      <c r="L497" t="s">
        <v>2446</v>
      </c>
      <c r="M497" t="s">
        <v>2426</v>
      </c>
      <c r="N497" t="s">
        <v>2427</v>
      </c>
      <c r="O497">
        <f>IFERROR(VLOOKUP(HEVARIM[[#This Row],[קוד תקציב]],[2]תקציבים!A:L,6,0),0)</f>
        <v>2</v>
      </c>
      <c r="P497" s="5" t="s">
        <v>227</v>
      </c>
      <c r="Q497" t="s">
        <v>14</v>
      </c>
      <c r="R497" s="4">
        <v>42962</v>
      </c>
      <c r="S497" s="4" t="s">
        <v>90</v>
      </c>
      <c r="T497" s="96" t="s">
        <v>2428</v>
      </c>
      <c r="U497" t="str">
        <f>VLOOKUP(HEVARIM[[#This Row],[גיל]],GIL,2,1)</f>
        <v>יסודי</v>
      </c>
      <c r="V497">
        <f>IF(HEVARIM[[#This Row],[קוד מעמד]]="4     ",IF(HEVARIM[[#This Row],[גיל]]=1,1,IF(HEVARIM[[#This Row],[גיל]]&lt;=5,5,18)),"")</f>
        <v>18</v>
      </c>
      <c r="W497">
        <f t="shared" si="28"/>
        <v>0</v>
      </c>
      <c r="X49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7">
        <f>IF(HEVARIM[[#This Row],[מצב משפחתי2]]="אלמן",'[2]ריכוז נתונים'!$AC$2,0)</f>
        <v>0</v>
      </c>
      <c r="Z497" s="3">
        <f>VLOOKUP(VALUE(HEVARIM[[#This Row],[קוד מעמד]]),הנחות!$I$2:$K$21,3,0)</f>
        <v>1</v>
      </c>
      <c r="AA497" t="b">
        <f>ISERROR(VLOOKUP(HEVARIM[[#This Row],[קוד תקציב]],'[2]ריכוז נתונים'!A:A,1,0))</f>
        <v>0</v>
      </c>
      <c r="AB497" s="1">
        <f t="shared" si="29"/>
        <v>6062.6923076923076</v>
      </c>
      <c r="AC497" s="2">
        <f ca="1">IF(HEVARIM[[#This Row],[בר מצוה]]&gt;0,YEAR(TODAY())+'תקציבים מיוחדים'!$F$5-HEVARIM[[#This Row],[גיל]],0)</f>
        <v>2028</v>
      </c>
      <c r="AD497" s="1">
        <f t="shared" si="30"/>
        <v>0</v>
      </c>
      <c r="AE497" s="2">
        <f ca="1">IF(HEVARIM[[#This Row],[בת מצוה]]&gt;0,YEAR(TODAY())+'תקציבים מיוחדים'!$F$5-HEVARIM[[#This Row],[גיל]],0)</f>
        <v>0</v>
      </c>
      <c r="AF497" s="1">
        <f>IF(AND($S497&gt;="רווק",$Z497=1),AF$4*IF(HEVARIM[[#This Row],[גיל]]&gt;$AF$3,1,(($G497-AF$2)/(AF$3-AF$2))),0)</f>
        <v>31697.023809523813</v>
      </c>
      <c r="AG497" s="2">
        <f ca="1">IF(HEVARIM[[#This Row],[מענק חתונה]]&gt;0,IF(HEVARIM[[#This Row],[גיל]]&gt;'תקציבים מיוחדים'!$F$6,2025,YEAR(TODAY())+'תקציבים מיוחדים'!$F$6-HEVARIM[[#This Row],[גיל]]),0)</f>
        <v>2036</v>
      </c>
      <c r="AH497" s="1">
        <f t="shared" si="31"/>
        <v>55308.261904761908</v>
      </c>
      <c r="AI497" s="2">
        <f ca="1">IF(AH497&gt;0,YEAR(TODAY())+'תקציבים מיוחדים'!$F$7-HEVARIM[[#This Row],[גיל]],0)</f>
        <v>2036</v>
      </c>
      <c r="AJ497" s="9">
        <f>IF(AND(ISERROR(VLOOKUP(H497,'[2]ריכוז נתונים'!A:L,1,0)),P497="1     "),1,0)</f>
        <v>0</v>
      </c>
      <c r="AK49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7" s="1">
        <f>IF(AND(VALUE(HEVARIM[[#This Row],[קוד מעמד]])=1,HEVARIM[[#This Row],[ותק מחברה 40]]&lt;25),HEVARIM[[#This Row],[ותק מחברה 40]]/25*הנחות!$C$4,0)</f>
        <v>0</v>
      </c>
      <c r="AM497" s="9" t="str">
        <f ca="1">IF(HEVARIM[[#This Row],[דמי עזיבה 25 שנות ותק]]&gt;0,YEAR(TODAY())+25-ROUNDDOWN(HEVARIM[[#This Row],[ותק מחברה 40]],0),"")</f>
        <v/>
      </c>
      <c r="AN4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7" s="9" t="str">
        <f ca="1">IF(HEVARIM[[#This Row],[דמי עזיבה לגיל 65]]&gt;0,YEAR(TODAY())+64-ROUNDDOWN(HEVARIM[[#This Row],[גיל]],0),"")</f>
        <v/>
      </c>
      <c r="AP497" s="1">
        <f>SUMIF(HEVARIM[קוד תקציב],HEVARIM[[#This Row],[קוד תקציב משפחה מקורי]],HEVARIM[ותק מחברה 40])</f>
        <v>16.100000000000001</v>
      </c>
      <c r="AQ4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7" s="9">
        <f>IF(HEVARIM[[#This Row],[קוד מעמד]]="1     ",IFERROR(VLOOKUP(HEVARIM[[#This Row],[קוד תקציב]],'תקציב צביעה - לקראת השינוי'!A:F,4,0),0),0)</f>
        <v>0</v>
      </c>
      <c r="AT497" s="1"/>
    </row>
    <row r="498" spans="1:46">
      <c r="A498" t="s">
        <v>2447</v>
      </c>
      <c r="B498" t="s">
        <v>2448</v>
      </c>
      <c r="C498" t="s">
        <v>2322</v>
      </c>
      <c r="D498" t="s">
        <v>928</v>
      </c>
      <c r="E498" t="s">
        <v>79</v>
      </c>
      <c r="F498" s="4">
        <v>42213</v>
      </c>
      <c r="G498">
        <v>10</v>
      </c>
      <c r="H498" t="s">
        <v>2428</v>
      </c>
      <c r="I498" t="s">
        <v>2429</v>
      </c>
      <c r="J498" s="4" t="s">
        <v>70</v>
      </c>
      <c r="K498" s="4" t="s">
        <v>71</v>
      </c>
      <c r="L498" t="s">
        <v>2449</v>
      </c>
      <c r="M498" t="s">
        <v>2426</v>
      </c>
      <c r="N498" t="s">
        <v>2427</v>
      </c>
      <c r="O498">
        <f>IFERROR(VLOOKUP(HEVARIM[[#This Row],[קוד תקציב]],[2]תקציבים!A:L,6,0),0)</f>
        <v>2</v>
      </c>
      <c r="P498" s="5" t="s">
        <v>227</v>
      </c>
      <c r="Q498" t="s">
        <v>14</v>
      </c>
      <c r="R498" s="4">
        <v>42962</v>
      </c>
      <c r="S498" s="4" t="s">
        <v>90</v>
      </c>
      <c r="T498" s="96" t="s">
        <v>2428</v>
      </c>
      <c r="U498" t="str">
        <f>VLOOKUP(HEVARIM[[#This Row],[גיל]],GIL,2,1)</f>
        <v>יסודי</v>
      </c>
      <c r="V498">
        <f>IF(HEVARIM[[#This Row],[קוד מעמד]]="4     ",IF(HEVARIM[[#This Row],[גיל]]=1,1,IF(HEVARIM[[#This Row],[גיל]]&lt;=5,5,18)),"")</f>
        <v>18</v>
      </c>
      <c r="W498">
        <f t="shared" si="28"/>
        <v>0</v>
      </c>
      <c r="X49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8">
        <f>IF(HEVARIM[[#This Row],[מצב משפחתי2]]="אלמן",'[2]ריכוז נתונים'!$AC$2,0)</f>
        <v>0</v>
      </c>
      <c r="Z498" s="3">
        <f>VLOOKUP(VALUE(HEVARIM[[#This Row],[קוד מעמד]]),הנחות!$I$2:$K$21,3,0)</f>
        <v>1</v>
      </c>
      <c r="AA498" t="b">
        <f>ISERROR(VLOOKUP(HEVARIM[[#This Row],[קוד תקציב]],'[2]ריכוז נתונים'!A:A,1,0))</f>
        <v>0</v>
      </c>
      <c r="AB498" s="1">
        <f t="shared" si="29"/>
        <v>0</v>
      </c>
      <c r="AC498" s="2">
        <f ca="1">IF(HEVARIM[[#This Row],[בר מצוה]]&gt;0,YEAR(TODAY())+'תקציבים מיוחדים'!$F$5-HEVARIM[[#This Row],[גיל]],0)</f>
        <v>0</v>
      </c>
      <c r="AD498" s="1">
        <f t="shared" si="30"/>
        <v>5511.5384615384619</v>
      </c>
      <c r="AE498" s="2">
        <f ca="1">IF(HEVARIM[[#This Row],[בת מצוה]]&gt;0,YEAR(TODAY())+'תקציבים מיוחדים'!$F$5-HEVARIM[[#This Row],[גיל]],0)</f>
        <v>2029</v>
      </c>
      <c r="AF498" s="1">
        <f>IF(AND($S498&gt;="רווק",$Z498=1),AF$4*IF(HEVARIM[[#This Row],[גיל]]&gt;$AF$3,1,(($G498-AF$2)/(AF$3-AF$2))),0)</f>
        <v>28815.476190476187</v>
      </c>
      <c r="AG498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498" s="1">
        <f t="shared" si="31"/>
        <v>50280.238095238092</v>
      </c>
      <c r="AI498" s="2">
        <f ca="1">IF(AH498&gt;0,YEAR(TODAY())+'תקציבים מיוחדים'!$F$7-HEVARIM[[#This Row],[גיל]],0)</f>
        <v>2037</v>
      </c>
      <c r="AJ498" s="9">
        <f>IF(AND(ISERROR(VLOOKUP(H498,'[2]ריכוז נתונים'!A:L,1,0)),P498="1     "),1,0)</f>
        <v>0</v>
      </c>
      <c r="AK49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8" s="1">
        <f>IF(AND(VALUE(HEVARIM[[#This Row],[קוד מעמד]])=1,HEVARIM[[#This Row],[ותק מחברה 40]]&lt;25),HEVARIM[[#This Row],[ותק מחברה 40]]/25*הנחות!$C$4,0)</f>
        <v>0</v>
      </c>
      <c r="AM498" s="9" t="str">
        <f ca="1">IF(HEVARIM[[#This Row],[דמי עזיבה 25 שנות ותק]]&gt;0,YEAR(TODAY())+25-ROUNDDOWN(HEVARIM[[#This Row],[ותק מחברה 40]],0),"")</f>
        <v/>
      </c>
      <c r="AN49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8" s="9" t="str">
        <f ca="1">IF(HEVARIM[[#This Row],[דמי עזיבה לגיל 65]]&gt;0,YEAR(TODAY())+64-ROUNDDOWN(HEVARIM[[#This Row],[גיל]],0),"")</f>
        <v/>
      </c>
      <c r="AP498" s="1">
        <f>SUMIF(HEVARIM[קוד תקציב],HEVARIM[[#This Row],[קוד תקציב משפחה מקורי]],HEVARIM[ותק מחברה 40])</f>
        <v>16.100000000000001</v>
      </c>
      <c r="AQ4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8" s="9">
        <f>IF(HEVARIM[[#This Row],[קוד מעמד]]="1     ",IFERROR(VLOOKUP(HEVARIM[[#This Row],[קוד תקציב]],'תקציב צביעה - לקראת השינוי'!A:F,4,0),0),0)</f>
        <v>0</v>
      </c>
      <c r="AT498" s="1"/>
    </row>
    <row r="499" spans="1:46">
      <c r="A499" t="s">
        <v>2450</v>
      </c>
      <c r="B499" t="s">
        <v>2451</v>
      </c>
      <c r="C499" t="s">
        <v>2322</v>
      </c>
      <c r="D499" t="s">
        <v>2452</v>
      </c>
      <c r="E499" t="s">
        <v>67</v>
      </c>
      <c r="F499" s="4">
        <v>43459</v>
      </c>
      <c r="G499">
        <v>7</v>
      </c>
      <c r="H499" t="s">
        <v>2428</v>
      </c>
      <c r="I499" t="s">
        <v>2429</v>
      </c>
      <c r="J499" s="4" t="s">
        <v>70</v>
      </c>
      <c r="K499" s="4" t="s">
        <v>71</v>
      </c>
      <c r="L499" t="s">
        <v>2453</v>
      </c>
      <c r="M499" t="s">
        <v>2426</v>
      </c>
      <c r="N499" t="s">
        <v>2427</v>
      </c>
      <c r="O499">
        <f>IFERROR(VLOOKUP(HEVARIM[[#This Row],[קוד תקציב]],[2]תקציבים!A:L,6,0),0)</f>
        <v>2</v>
      </c>
      <c r="P499" s="5" t="s">
        <v>227</v>
      </c>
      <c r="Q499" t="s">
        <v>14</v>
      </c>
      <c r="R499" s="4">
        <v>43459</v>
      </c>
      <c r="S499" s="4" t="s">
        <v>90</v>
      </c>
      <c r="T499" s="96" t="s">
        <v>2428</v>
      </c>
      <c r="U499" t="str">
        <f>VLOOKUP(HEVARIM[[#This Row],[גיל]],GIL,2,1)</f>
        <v>יסודי</v>
      </c>
      <c r="V499">
        <f>IF(HEVARIM[[#This Row],[קוד מעמד]]="4     ",IF(HEVARIM[[#This Row],[גיל]]=1,1,IF(HEVARIM[[#This Row],[גיל]]&lt;=5,5,18)),"")</f>
        <v>18</v>
      </c>
      <c r="W499">
        <f t="shared" si="28"/>
        <v>0</v>
      </c>
      <c r="X49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499">
        <f>IF(HEVARIM[[#This Row],[מצב משפחתי2]]="אלמן",'[2]ריכוז נתונים'!$AC$2,0)</f>
        <v>0</v>
      </c>
      <c r="Z499" s="3">
        <f>VLOOKUP(VALUE(HEVARIM[[#This Row],[קוד מעמד]]),הנחות!$I$2:$K$21,3,0)</f>
        <v>1</v>
      </c>
      <c r="AA499" t="b">
        <f>ISERROR(VLOOKUP(HEVARIM[[#This Row],[קוד תקציב]],'[2]ריכוז נתונים'!A:A,1,0))</f>
        <v>0</v>
      </c>
      <c r="AB499" s="1">
        <f t="shared" si="29"/>
        <v>3858.0769230769229</v>
      </c>
      <c r="AC499" s="2">
        <f ca="1">IF(HEVARIM[[#This Row],[בר מצוה]]&gt;0,YEAR(TODAY())+'תקציבים מיוחדים'!$F$5-HEVARIM[[#This Row],[גיל]],0)</f>
        <v>2032</v>
      </c>
      <c r="AD499" s="1">
        <f t="shared" si="30"/>
        <v>0</v>
      </c>
      <c r="AE499" s="2">
        <f ca="1">IF(HEVARIM[[#This Row],[בת מצוה]]&gt;0,YEAR(TODAY())+'תקציבים מיוחדים'!$F$5-HEVARIM[[#This Row],[גיל]],0)</f>
        <v>0</v>
      </c>
      <c r="AF499" s="1">
        <f>IF(AND($S499&gt;="רווק",$Z499=1),AF$4*IF(HEVARIM[[#This Row],[גיל]]&gt;$AF$3,1,(($G499-AF$2)/(AF$3-AF$2))),0)</f>
        <v>20170.833333333332</v>
      </c>
      <c r="AG499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499" s="1">
        <f t="shared" si="31"/>
        <v>35196.166666666664</v>
      </c>
      <c r="AI499" s="2">
        <f ca="1">IF(AH499&gt;0,YEAR(TODAY())+'תקציבים מיוחדים'!$F$7-HEVARIM[[#This Row],[גיל]],0)</f>
        <v>2040</v>
      </c>
      <c r="AJ499" s="9">
        <f>IF(AND(ISERROR(VLOOKUP(H499,'[2]ריכוז נתונים'!A:L,1,0)),P499="1     "),1,0)</f>
        <v>0</v>
      </c>
      <c r="AK49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499" s="1">
        <f>IF(AND(VALUE(HEVARIM[[#This Row],[קוד מעמד]])=1,HEVARIM[[#This Row],[ותק מחברה 40]]&lt;25),HEVARIM[[#This Row],[ותק מחברה 40]]/25*הנחות!$C$4,0)</f>
        <v>0</v>
      </c>
      <c r="AM499" s="9" t="str">
        <f ca="1">IF(HEVARIM[[#This Row],[דמי עזיבה 25 שנות ותק]]&gt;0,YEAR(TODAY())+25-ROUNDDOWN(HEVARIM[[#This Row],[ותק מחברה 40]],0),"")</f>
        <v/>
      </c>
      <c r="AN49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499" s="9" t="str">
        <f ca="1">IF(HEVARIM[[#This Row],[דמי עזיבה לגיל 65]]&gt;0,YEAR(TODAY())+64-ROUNDDOWN(HEVARIM[[#This Row],[גיל]],0),"")</f>
        <v/>
      </c>
      <c r="AP499" s="1">
        <f>SUMIF(HEVARIM[קוד תקציב],HEVARIM[[#This Row],[קוד תקציב משפחה מקורי]],HEVARIM[ותק מחברה 40])</f>
        <v>16.100000000000001</v>
      </c>
      <c r="AQ4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4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499" s="9">
        <f>IF(HEVARIM[[#This Row],[קוד מעמד]]="1     ",IFERROR(VLOOKUP(HEVARIM[[#This Row],[קוד תקציב]],'תקציב צביעה - לקראת השינוי'!A:F,4,0),0),0)</f>
        <v>0</v>
      </c>
      <c r="AT499" s="1"/>
    </row>
    <row r="500" spans="1:46">
      <c r="A500" t="s">
        <v>2460</v>
      </c>
      <c r="B500" t="s">
        <v>2461</v>
      </c>
      <c r="C500" t="s">
        <v>2338</v>
      </c>
      <c r="D500" t="s">
        <v>2462</v>
      </c>
      <c r="E500" t="s">
        <v>79</v>
      </c>
      <c r="F500" s="4">
        <v>31980</v>
      </c>
      <c r="G500">
        <v>38</v>
      </c>
      <c r="H500" t="s">
        <v>2457</v>
      </c>
      <c r="I500" t="s">
        <v>2458</v>
      </c>
      <c r="J500" s="4" t="s">
        <v>70</v>
      </c>
      <c r="K500" s="4" t="s">
        <v>71</v>
      </c>
      <c r="L500" t="s">
        <v>2463</v>
      </c>
      <c r="M500" t="s">
        <v>2454</v>
      </c>
      <c r="N500" t="s">
        <v>2455</v>
      </c>
      <c r="O500">
        <f>IFERROR(VLOOKUP(HEVARIM[[#This Row],[קוד תקציב]],[2]תקציבים!A:L,6,0),0)</f>
        <v>2</v>
      </c>
      <c r="P500" s="5" t="s">
        <v>104</v>
      </c>
      <c r="Q500" t="s">
        <v>11</v>
      </c>
      <c r="R500" s="4">
        <v>41821</v>
      </c>
      <c r="S500" s="4" t="s">
        <v>74</v>
      </c>
      <c r="T500" s="96" t="s">
        <v>2457</v>
      </c>
      <c r="U500" t="str">
        <f>VLOOKUP(HEVARIM[[#This Row],[גיל]],GIL,2,1)</f>
        <v>--</v>
      </c>
      <c r="V500" t="str">
        <f>IF(HEVARIM[[#This Row],[קוד מעמד]]="4     ",IF(HEVARIM[[#This Row],[גיל]]=1,1,IF(HEVARIM[[#This Row],[גיל]]&lt;=5,5,18)),"")</f>
        <v/>
      </c>
      <c r="W500">
        <f t="shared" si="28"/>
        <v>0</v>
      </c>
      <c r="X50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0">
        <f>IF(HEVARIM[[#This Row],[מצב משפחתי2]]="אלמן",'[2]ריכוז נתונים'!$AC$2,0)</f>
        <v>0</v>
      </c>
      <c r="Z500" s="3">
        <f>VLOOKUP(VALUE(HEVARIM[[#This Row],[קוד מעמד]]),הנחות!$I$2:$K$21,3,0)</f>
        <v>0</v>
      </c>
      <c r="AA500" t="b">
        <f>ISERROR(VLOOKUP(HEVARIM[[#This Row],[קוד תקציב]],'[2]ריכוז נתונים'!A:A,1,0))</f>
        <v>0</v>
      </c>
      <c r="AB500" s="1">
        <f t="shared" si="29"/>
        <v>0</v>
      </c>
      <c r="AC500" s="2">
        <f ca="1">IF(HEVARIM[[#This Row],[בר מצוה]]&gt;0,YEAR(TODAY())+'תקציבים מיוחדים'!$F$5-HEVARIM[[#This Row],[גיל]],0)</f>
        <v>0</v>
      </c>
      <c r="AD500" s="1">
        <f t="shared" si="30"/>
        <v>0</v>
      </c>
      <c r="AE500" s="2">
        <f ca="1">IF(HEVARIM[[#This Row],[בת מצוה]]&gt;0,YEAR(TODAY())+'תקציבים מיוחדים'!$F$5-HEVARIM[[#This Row],[גיל]],0)</f>
        <v>0</v>
      </c>
      <c r="AF500" s="1">
        <f>IF(AND($S500&gt;="רווק",$Z500=1),AF$4*IF(HEVARIM[[#This Row],[גיל]]&gt;$AF$3,1,(($G500-AF$2)/(AF$3-AF$2))),0)</f>
        <v>0</v>
      </c>
      <c r="AG50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00" s="1">
        <f t="shared" si="31"/>
        <v>0</v>
      </c>
      <c r="AI500" s="2">
        <f ca="1">IF(AH500&gt;0,YEAR(TODAY())+'תקציבים מיוחדים'!$F$7-HEVARIM[[#This Row],[גיל]],0)</f>
        <v>0</v>
      </c>
      <c r="AJ500" s="9">
        <f>IF(AND(ISERROR(VLOOKUP(H500,'[2]ריכוז נתונים'!A:L,1,0)),P500="1     "),1,0)</f>
        <v>0</v>
      </c>
      <c r="AK500" s="1">
        <f>IF(VALUE(HEVARIM[[#This Row],[קוד מעמד]])=1,VLOOKUP((IF(LEFT(HEVARIM[[#This Row],[קוד חבר]],1)="0",HEVARIM[[#This Row],[קוד חבר]],VALUE(HEVARIM[[#This Row],[קוד חבר]]))),'ותק חברה 40'!AQ:AW,7,0),"")</f>
        <v>13.18</v>
      </c>
      <c r="AL500" s="1">
        <f>IF(AND(VALUE(HEVARIM[[#This Row],[קוד מעמד]])=1,HEVARIM[[#This Row],[ותק מחברה 40]]&lt;25),HEVARIM[[#This Row],[ותק מחברה 40]]/25*הנחות!$C$4,0)</f>
        <v>19788.247709999996</v>
      </c>
      <c r="AM500" s="9">
        <f ca="1">IF(HEVARIM[[#This Row],[דמי עזיבה 25 שנות ותק]]&gt;0,YEAR(TODAY())+25-ROUNDDOWN(HEVARIM[[#This Row],[ותק מחברה 40]],0),"")</f>
        <v>2038</v>
      </c>
      <c r="AN5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0" s="9" t="str">
        <f ca="1">IF(HEVARIM[[#This Row],[דמי עזיבה לגיל 65]]&gt;0,YEAR(TODAY())+64-ROUNDDOWN(HEVARIM[[#This Row],[גיל]],0),"")</f>
        <v/>
      </c>
      <c r="AP500" s="1">
        <f>SUMIF(HEVARIM[קוד תקציב],HEVARIM[[#This Row],[קוד תקציב משפחה מקורי]],HEVARIM[ותק מחברה 40])</f>
        <v>26.36</v>
      </c>
      <c r="AQ5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00" s="9">
        <f>IF(HEVARIM[[#This Row],[קוד מעמד]]="1     ",IFERROR(VLOOKUP(HEVARIM[[#This Row],[קוד תקציב]],'תקציב צביעה - לקראת השינוי'!A:F,4,0),0),0)</f>
        <v>2032</v>
      </c>
      <c r="AT500" s="1"/>
    </row>
    <row r="501" spans="1:46">
      <c r="A501" t="s">
        <v>2464</v>
      </c>
      <c r="B501" t="s">
        <v>2465</v>
      </c>
      <c r="C501" t="s">
        <v>2338</v>
      </c>
      <c r="D501" t="s">
        <v>387</v>
      </c>
      <c r="E501" t="s">
        <v>79</v>
      </c>
      <c r="F501" s="4">
        <v>39675</v>
      </c>
      <c r="G501">
        <v>17</v>
      </c>
      <c r="H501" t="s">
        <v>2457</v>
      </c>
      <c r="I501" t="s">
        <v>2458</v>
      </c>
      <c r="J501" s="4" t="s">
        <v>70</v>
      </c>
      <c r="K501" s="4" t="s">
        <v>71</v>
      </c>
      <c r="L501" t="s">
        <v>2466</v>
      </c>
      <c r="M501" t="s">
        <v>2454</v>
      </c>
      <c r="N501" t="s">
        <v>2455</v>
      </c>
      <c r="O501">
        <f>IFERROR(VLOOKUP(HEVARIM[[#This Row],[קוד תקציב]],[2]תקציבים!A:L,6,0),0)</f>
        <v>2</v>
      </c>
      <c r="P501" s="5" t="s">
        <v>227</v>
      </c>
      <c r="Q501" t="s">
        <v>14</v>
      </c>
      <c r="R501" s="4">
        <v>41091</v>
      </c>
      <c r="S501" s="4" t="s">
        <v>90</v>
      </c>
      <c r="T501" s="96" t="s">
        <v>2457</v>
      </c>
      <c r="U501" t="str">
        <f>VLOOKUP(HEVARIM[[#This Row],[גיל]],GIL,2,1)</f>
        <v>תיכון</v>
      </c>
      <c r="V501">
        <f>IF(HEVARIM[[#This Row],[קוד מעמד]]="4     ",IF(HEVARIM[[#This Row],[גיל]]=1,1,IF(HEVARIM[[#This Row],[גיל]]&lt;=5,5,18)),"")</f>
        <v>18</v>
      </c>
      <c r="W501">
        <f t="shared" si="28"/>
        <v>0</v>
      </c>
      <c r="X5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1">
        <f>IF(HEVARIM[[#This Row],[מצב משפחתי2]]="אלמן",'[2]ריכוז נתונים'!$AC$2,0)</f>
        <v>0</v>
      </c>
      <c r="Z501" s="3">
        <f>VLOOKUP(VALUE(HEVARIM[[#This Row],[קוד מעמד]]),הנחות!$I$2:$K$21,3,0)</f>
        <v>1</v>
      </c>
      <c r="AA501" t="b">
        <f>ISERROR(VLOOKUP(HEVARIM[[#This Row],[קוד תקציב]],'[2]ריכוז נתונים'!A:A,1,0))</f>
        <v>0</v>
      </c>
      <c r="AB501" s="1">
        <f t="shared" si="29"/>
        <v>0</v>
      </c>
      <c r="AC501" s="2">
        <f ca="1">IF(HEVARIM[[#This Row],[בר מצוה]]&gt;0,YEAR(TODAY())+'תקציבים מיוחדים'!$F$5-HEVARIM[[#This Row],[גיל]],0)</f>
        <v>0</v>
      </c>
      <c r="AD501" s="1">
        <f t="shared" si="30"/>
        <v>0</v>
      </c>
      <c r="AE501" s="2">
        <f ca="1">IF(HEVARIM[[#This Row],[בת מצוה]]&gt;0,YEAR(TODAY())+'תקציבים מיוחדים'!$F$5-HEVARIM[[#This Row],[גיל]],0)</f>
        <v>0</v>
      </c>
      <c r="AF501" s="1">
        <f>IF(AND($S501&gt;="רווק",$Z501=1),AF$4*IF(HEVARIM[[#This Row],[גיל]]&gt;$AF$3,1,(($G501-AF$2)/(AF$3-AF$2))),0)</f>
        <v>48986.309523809527</v>
      </c>
      <c r="AG501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501" s="1">
        <f t="shared" si="31"/>
        <v>85476.404761904763</v>
      </c>
      <c r="AI501" s="2">
        <f ca="1">IF(AH501&gt;0,YEAR(TODAY())+'תקציבים מיוחדים'!$F$7-HEVARIM[[#This Row],[גיל]],0)</f>
        <v>2030</v>
      </c>
      <c r="AJ501" s="9">
        <f>IF(AND(ISERROR(VLOOKUP(H501,'[2]ריכוז נתונים'!A:L,1,0)),P501="1     "),1,0)</f>
        <v>0</v>
      </c>
      <c r="AK50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1" s="1">
        <f>IF(AND(VALUE(HEVARIM[[#This Row],[קוד מעמד]])=1,HEVARIM[[#This Row],[ותק מחברה 40]]&lt;25),HEVARIM[[#This Row],[ותק מחברה 40]]/25*הנחות!$C$4,0)</f>
        <v>0</v>
      </c>
      <c r="AM501" s="9" t="str">
        <f ca="1">IF(HEVARIM[[#This Row],[דמי עזיבה 25 שנות ותק]]&gt;0,YEAR(TODAY())+25-ROUNDDOWN(HEVARIM[[#This Row],[ותק מחברה 40]],0),"")</f>
        <v/>
      </c>
      <c r="AN50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1" s="9" t="str">
        <f ca="1">IF(HEVARIM[[#This Row],[דמי עזיבה לגיל 65]]&gt;0,YEAR(TODAY())+64-ROUNDDOWN(HEVARIM[[#This Row],[גיל]],0),"")</f>
        <v/>
      </c>
      <c r="AP501" s="1">
        <f>SUMIF(HEVARIM[קוד תקציב],HEVARIM[[#This Row],[קוד תקציב משפחה מקורי]],HEVARIM[ותק מחברה 40])</f>
        <v>26.36</v>
      </c>
      <c r="AQ5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1" s="9">
        <f>IF(HEVARIM[[#This Row],[קוד מעמד]]="1     ",IFERROR(VLOOKUP(HEVARIM[[#This Row],[קוד תקציב]],'תקציב צביעה - לקראת השינוי'!A:F,4,0),0),0)</f>
        <v>0</v>
      </c>
      <c r="AT501" s="1"/>
    </row>
    <row r="502" spans="1:46">
      <c r="A502" t="s">
        <v>2467</v>
      </c>
      <c r="B502" t="s">
        <v>2468</v>
      </c>
      <c r="C502" t="s">
        <v>2338</v>
      </c>
      <c r="D502" t="s">
        <v>928</v>
      </c>
      <c r="E502" t="s">
        <v>79</v>
      </c>
      <c r="F502" s="4">
        <v>40746</v>
      </c>
      <c r="G502">
        <v>14</v>
      </c>
      <c r="H502" t="s">
        <v>2457</v>
      </c>
      <c r="I502" t="s">
        <v>2458</v>
      </c>
      <c r="J502" s="4" t="s">
        <v>70</v>
      </c>
      <c r="K502" s="4" t="s">
        <v>71</v>
      </c>
      <c r="L502" t="s">
        <v>2469</v>
      </c>
      <c r="M502" t="s">
        <v>2454</v>
      </c>
      <c r="N502" t="s">
        <v>2455</v>
      </c>
      <c r="O502">
        <f>IFERROR(VLOOKUP(HEVARIM[[#This Row],[קוד תקציב]],[2]תקציבים!A:L,6,0),0)</f>
        <v>2</v>
      </c>
      <c r="P502" s="5" t="s">
        <v>227</v>
      </c>
      <c r="Q502" t="s">
        <v>14</v>
      </c>
      <c r="R502" s="4">
        <v>41091</v>
      </c>
      <c r="S502" s="4" t="s">
        <v>90</v>
      </c>
      <c r="T502" s="96" t="s">
        <v>2457</v>
      </c>
      <c r="U502" t="str">
        <f>VLOOKUP(HEVARIM[[#This Row],[גיל]],GIL,2,1)</f>
        <v>חטיבה</v>
      </c>
      <c r="V502">
        <f>IF(HEVARIM[[#This Row],[קוד מעמד]]="4     ",IF(HEVARIM[[#This Row],[גיל]]=1,1,IF(HEVARIM[[#This Row],[גיל]]&lt;=5,5,18)),"")</f>
        <v>18</v>
      </c>
      <c r="W502">
        <f t="shared" si="28"/>
        <v>0</v>
      </c>
      <c r="X50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2">
        <f>IF(HEVARIM[[#This Row],[מצב משפחתי2]]="אלמן",'[2]ריכוז נתונים'!$AC$2,0)</f>
        <v>0</v>
      </c>
      <c r="Z502" s="3">
        <f>VLOOKUP(VALUE(HEVARIM[[#This Row],[קוד מעמד]]),הנחות!$I$2:$K$21,3,0)</f>
        <v>1</v>
      </c>
      <c r="AA502" t="b">
        <f>ISERROR(VLOOKUP(HEVARIM[[#This Row],[קוד תקציב]],'[2]ריכוז נתונים'!A:A,1,0))</f>
        <v>0</v>
      </c>
      <c r="AB502" s="1">
        <f t="shared" si="29"/>
        <v>0</v>
      </c>
      <c r="AC502" s="2">
        <f ca="1">IF(HEVARIM[[#This Row],[בר מצוה]]&gt;0,YEAR(TODAY())+'תקציבים מיוחדים'!$F$5-HEVARIM[[#This Row],[גיל]],0)</f>
        <v>0</v>
      </c>
      <c r="AD502" s="1">
        <f t="shared" si="30"/>
        <v>0</v>
      </c>
      <c r="AE502" s="2">
        <f ca="1">IF(HEVARIM[[#This Row],[בת מצוה]]&gt;0,YEAR(TODAY())+'תקציבים מיוחדים'!$F$5-HEVARIM[[#This Row],[גיל]],0)</f>
        <v>0</v>
      </c>
      <c r="AF502" s="1">
        <f>IF(AND($S502&gt;="רווק",$Z502=1),AF$4*IF(HEVARIM[[#This Row],[גיל]]&gt;$AF$3,1,(($G502-AF$2)/(AF$3-AF$2))),0)</f>
        <v>40341.666666666664</v>
      </c>
      <c r="AG502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502" s="1">
        <f t="shared" si="31"/>
        <v>70392.333333333328</v>
      </c>
      <c r="AI502" s="2">
        <f ca="1">IF(AH502&gt;0,YEAR(TODAY())+'תקציבים מיוחדים'!$F$7-HEVARIM[[#This Row],[גיל]],0)</f>
        <v>2033</v>
      </c>
      <c r="AJ502" s="9">
        <f>IF(AND(ISERROR(VLOOKUP(H502,'[2]ריכוז נתונים'!A:L,1,0)),P502="1     "),1,0)</f>
        <v>0</v>
      </c>
      <c r="AK50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2" s="1">
        <f>IF(AND(VALUE(HEVARIM[[#This Row],[קוד מעמד]])=1,HEVARIM[[#This Row],[ותק מחברה 40]]&lt;25),HEVARIM[[#This Row],[ותק מחברה 40]]/25*הנחות!$C$4,0)</f>
        <v>0</v>
      </c>
      <c r="AM502" s="9" t="str">
        <f ca="1">IF(HEVARIM[[#This Row],[דמי עזיבה 25 שנות ותק]]&gt;0,YEAR(TODAY())+25-ROUNDDOWN(HEVARIM[[#This Row],[ותק מחברה 40]],0),"")</f>
        <v/>
      </c>
      <c r="AN5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2" s="9" t="str">
        <f ca="1">IF(HEVARIM[[#This Row],[דמי עזיבה לגיל 65]]&gt;0,YEAR(TODAY())+64-ROUNDDOWN(HEVARIM[[#This Row],[גיל]],0),"")</f>
        <v/>
      </c>
      <c r="AP502" s="1">
        <f>SUMIF(HEVARIM[קוד תקציב],HEVARIM[[#This Row],[קוד תקציב משפחה מקורי]],HEVARIM[ותק מחברה 40])</f>
        <v>26.36</v>
      </c>
      <c r="AQ5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2" s="9">
        <f>IF(HEVARIM[[#This Row],[קוד מעמד]]="1     ",IFERROR(VLOOKUP(HEVARIM[[#This Row],[קוד תקציב]],'תקציב צביעה - לקראת השינוי'!A:F,4,0),0),0)</f>
        <v>0</v>
      </c>
      <c r="AT502" s="1"/>
    </row>
    <row r="503" spans="1:46">
      <c r="A503" t="s">
        <v>2470</v>
      </c>
      <c r="B503" t="s">
        <v>2471</v>
      </c>
      <c r="C503" t="s">
        <v>2338</v>
      </c>
      <c r="D503" t="s">
        <v>132</v>
      </c>
      <c r="E503" t="s">
        <v>67</v>
      </c>
      <c r="F503" s="4">
        <v>41445</v>
      </c>
      <c r="G503">
        <v>12</v>
      </c>
      <c r="H503" t="s">
        <v>2457</v>
      </c>
      <c r="I503" t="s">
        <v>2458</v>
      </c>
      <c r="J503" s="4" t="s">
        <v>70</v>
      </c>
      <c r="K503" s="4" t="s">
        <v>71</v>
      </c>
      <c r="L503" t="s">
        <v>2472</v>
      </c>
      <c r="M503" t="s">
        <v>2454</v>
      </c>
      <c r="N503" t="s">
        <v>2455</v>
      </c>
      <c r="O503">
        <f>IFERROR(VLOOKUP(HEVARIM[[#This Row],[קוד תקציב]],[2]תקציבים!A:L,6,0),0)</f>
        <v>2</v>
      </c>
      <c r="P503" s="5" t="s">
        <v>227</v>
      </c>
      <c r="Q503" t="s">
        <v>14</v>
      </c>
      <c r="R503" s="4">
        <v>41445</v>
      </c>
      <c r="S503" s="4" t="s">
        <v>90</v>
      </c>
      <c r="T503" s="96" t="s">
        <v>2457</v>
      </c>
      <c r="U503" t="str">
        <f>VLOOKUP(HEVARIM[[#This Row],[גיל]],GIL,2,1)</f>
        <v>יסודי</v>
      </c>
      <c r="V503">
        <f>IF(HEVARIM[[#This Row],[קוד מעמד]]="4     ",IF(HEVARIM[[#This Row],[גיל]]=1,1,IF(HEVARIM[[#This Row],[גיל]]&lt;=5,5,18)),"")</f>
        <v>18</v>
      </c>
      <c r="W503">
        <f t="shared" si="28"/>
        <v>0</v>
      </c>
      <c r="X50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3">
        <f>IF(HEVARIM[[#This Row],[מצב משפחתי2]]="אלמן",'[2]ריכוז נתונים'!$AC$2,0)</f>
        <v>0</v>
      </c>
      <c r="Z503" s="3">
        <f>VLOOKUP(VALUE(HEVARIM[[#This Row],[קוד מעמד]]),הנחות!$I$2:$K$21,3,0)</f>
        <v>1</v>
      </c>
      <c r="AA503" t="b">
        <f>ISERROR(VLOOKUP(HEVARIM[[#This Row],[קוד תקציב]],'[2]ריכוז נתונים'!A:A,1,0))</f>
        <v>0</v>
      </c>
      <c r="AB503" s="1">
        <f t="shared" si="29"/>
        <v>6613.8461538461543</v>
      </c>
      <c r="AC503" s="2">
        <f ca="1">IF(HEVARIM[[#This Row],[בר מצוה]]&gt;0,YEAR(TODAY())+'תקציבים מיוחדים'!$F$5-HEVARIM[[#This Row],[גיל]],0)</f>
        <v>2027</v>
      </c>
      <c r="AD503" s="1">
        <f t="shared" si="30"/>
        <v>0</v>
      </c>
      <c r="AE503" s="2">
        <f ca="1">IF(HEVARIM[[#This Row],[בת מצוה]]&gt;0,YEAR(TODAY())+'תקציבים מיוחדים'!$F$5-HEVARIM[[#This Row],[גיל]],0)</f>
        <v>0</v>
      </c>
      <c r="AF503" s="1">
        <f>IF(AND($S503&gt;="רווק",$Z503=1),AF$4*IF(HEVARIM[[#This Row],[גיל]]&gt;$AF$3,1,(($G503-AF$2)/(AF$3-AF$2))),0)</f>
        <v>34578.571428571428</v>
      </c>
      <c r="AG503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503" s="1">
        <f t="shared" si="31"/>
        <v>60336.28571428571</v>
      </c>
      <c r="AI503" s="2">
        <f ca="1">IF(AH503&gt;0,YEAR(TODAY())+'תקציבים מיוחדים'!$F$7-HEVARIM[[#This Row],[גיל]],0)</f>
        <v>2035</v>
      </c>
      <c r="AJ503" s="9">
        <f>IF(AND(ISERROR(VLOOKUP(H503,'[2]ריכוז נתונים'!A:L,1,0)),P503="1     "),1,0)</f>
        <v>0</v>
      </c>
      <c r="AK50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3" s="1">
        <f>IF(AND(VALUE(HEVARIM[[#This Row],[קוד מעמד]])=1,HEVARIM[[#This Row],[ותק מחברה 40]]&lt;25),HEVARIM[[#This Row],[ותק מחברה 40]]/25*הנחות!$C$4,0)</f>
        <v>0</v>
      </c>
      <c r="AM503" s="9" t="str">
        <f ca="1">IF(HEVARIM[[#This Row],[דמי עזיבה 25 שנות ותק]]&gt;0,YEAR(TODAY())+25-ROUNDDOWN(HEVARIM[[#This Row],[ותק מחברה 40]],0),"")</f>
        <v/>
      </c>
      <c r="AN5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3" s="9" t="str">
        <f ca="1">IF(HEVARIM[[#This Row],[דמי עזיבה לגיל 65]]&gt;0,YEAR(TODAY())+64-ROUNDDOWN(HEVARIM[[#This Row],[גיל]],0),"")</f>
        <v/>
      </c>
      <c r="AP503" s="1">
        <f>SUMIF(HEVARIM[קוד תקציב],HEVARIM[[#This Row],[קוד תקציב משפחה מקורי]],HEVARIM[ותק מחברה 40])</f>
        <v>26.36</v>
      </c>
      <c r="AQ5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3" s="9">
        <f>IF(HEVARIM[[#This Row],[קוד מעמד]]="1     ",IFERROR(VLOOKUP(HEVARIM[[#This Row],[קוד תקציב]],'תקציב צביעה - לקראת השינוי'!A:F,4,0),0),0)</f>
        <v>0</v>
      </c>
      <c r="AT503" s="1"/>
    </row>
    <row r="504" spans="1:46">
      <c r="A504" t="s">
        <v>2473</v>
      </c>
      <c r="B504" t="s">
        <v>2474</v>
      </c>
      <c r="C504" t="s">
        <v>2338</v>
      </c>
      <c r="D504" t="s">
        <v>2475</v>
      </c>
      <c r="E504" t="s">
        <v>67</v>
      </c>
      <c r="F504" s="4">
        <v>42481</v>
      </c>
      <c r="G504">
        <v>9</v>
      </c>
      <c r="H504" t="s">
        <v>2457</v>
      </c>
      <c r="I504" t="s">
        <v>2458</v>
      </c>
      <c r="J504" s="4" t="s">
        <v>70</v>
      </c>
      <c r="K504" s="4" t="s">
        <v>71</v>
      </c>
      <c r="L504" t="s">
        <v>2476</v>
      </c>
      <c r="M504" t="s">
        <v>2454</v>
      </c>
      <c r="N504" t="s">
        <v>2455</v>
      </c>
      <c r="O504">
        <f>IFERROR(VLOOKUP(HEVARIM[[#This Row],[קוד תקציב]],[2]תקציבים!A:L,6,0),0)</f>
        <v>2</v>
      </c>
      <c r="P504" s="5" t="s">
        <v>227</v>
      </c>
      <c r="Q504" t="s">
        <v>14</v>
      </c>
      <c r="R504" s="4">
        <v>42481</v>
      </c>
      <c r="S504" s="4" t="s">
        <v>90</v>
      </c>
      <c r="T504" s="96" t="s">
        <v>2457</v>
      </c>
      <c r="U504" t="str">
        <f>VLOOKUP(HEVARIM[[#This Row],[גיל]],GIL,2,1)</f>
        <v>יסודי</v>
      </c>
      <c r="V504">
        <f>IF(HEVARIM[[#This Row],[קוד מעמד]]="4     ",IF(HEVARIM[[#This Row],[גיל]]=1,1,IF(HEVARIM[[#This Row],[גיל]]&lt;=5,5,18)),"")</f>
        <v>18</v>
      </c>
      <c r="W504">
        <f t="shared" si="28"/>
        <v>0</v>
      </c>
      <c r="X50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4">
        <f>IF(HEVARIM[[#This Row],[מצב משפחתי2]]="אלמן",'[2]ריכוז נתונים'!$AC$2,0)</f>
        <v>0</v>
      </c>
      <c r="Z504" s="3">
        <f>VLOOKUP(VALUE(HEVARIM[[#This Row],[קוד מעמד]]),הנחות!$I$2:$K$21,3,0)</f>
        <v>1</v>
      </c>
      <c r="AA504" t="b">
        <f>ISERROR(VLOOKUP(HEVARIM[[#This Row],[קוד תקציב]],'[2]ריכוז נתונים'!A:A,1,0))</f>
        <v>0</v>
      </c>
      <c r="AB504" s="1">
        <f t="shared" si="29"/>
        <v>4960.3846153846152</v>
      </c>
      <c r="AC504" s="2">
        <f ca="1">IF(HEVARIM[[#This Row],[בר מצוה]]&gt;0,YEAR(TODAY())+'תקציבים מיוחדים'!$F$5-HEVARIM[[#This Row],[גיל]],0)</f>
        <v>2030</v>
      </c>
      <c r="AD504" s="1">
        <f t="shared" si="30"/>
        <v>0</v>
      </c>
      <c r="AE504" s="2">
        <f ca="1">IF(HEVARIM[[#This Row],[בת מצוה]]&gt;0,YEAR(TODAY())+'תקציבים מיוחדים'!$F$5-HEVARIM[[#This Row],[גיל]],0)</f>
        <v>0</v>
      </c>
      <c r="AF504" s="1">
        <f>IF(AND($S504&gt;="רווק",$Z504=1),AF$4*IF(HEVARIM[[#This Row],[גיל]]&gt;$AF$3,1,(($G504-AF$2)/(AF$3-AF$2))),0)</f>
        <v>25933.928571428569</v>
      </c>
      <c r="AG504" s="2">
        <f ca="1">IF(HEVARIM[[#This Row],[מענק חתונה]]&gt;0,IF(HEVARIM[[#This Row],[גיל]]&gt;'תקציבים מיוחדים'!$F$6,2025,YEAR(TODAY())+'תקציבים מיוחדים'!$F$6-HEVARIM[[#This Row],[גיל]]),0)</f>
        <v>2038</v>
      </c>
      <c r="AH504" s="1">
        <f t="shared" si="31"/>
        <v>45252.214285714283</v>
      </c>
      <c r="AI504" s="2">
        <f ca="1">IF(AH504&gt;0,YEAR(TODAY())+'תקציבים מיוחדים'!$F$7-HEVARIM[[#This Row],[גיל]],0)</f>
        <v>2038</v>
      </c>
      <c r="AJ504" s="9">
        <f>IF(AND(ISERROR(VLOOKUP(H504,'[2]ריכוז נתונים'!A:L,1,0)),P504="1     "),1,0)</f>
        <v>0</v>
      </c>
      <c r="AK50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4" s="1">
        <f>IF(AND(VALUE(HEVARIM[[#This Row],[קוד מעמד]])=1,HEVARIM[[#This Row],[ותק מחברה 40]]&lt;25),HEVARIM[[#This Row],[ותק מחברה 40]]/25*הנחות!$C$4,0)</f>
        <v>0</v>
      </c>
      <c r="AM504" s="9" t="str">
        <f ca="1">IF(HEVARIM[[#This Row],[דמי עזיבה 25 שנות ותק]]&gt;0,YEAR(TODAY())+25-ROUNDDOWN(HEVARIM[[#This Row],[ותק מחברה 40]],0),"")</f>
        <v/>
      </c>
      <c r="AN5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4" s="9" t="str">
        <f ca="1">IF(HEVARIM[[#This Row],[דמי עזיבה לגיל 65]]&gt;0,YEAR(TODAY())+64-ROUNDDOWN(HEVARIM[[#This Row],[גיל]],0),"")</f>
        <v/>
      </c>
      <c r="AP504" s="1">
        <f>SUMIF(HEVARIM[קוד תקציב],HEVARIM[[#This Row],[קוד תקציב משפחה מקורי]],HEVARIM[ותק מחברה 40])</f>
        <v>26.36</v>
      </c>
      <c r="AQ5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4" s="9">
        <f>IF(HEVARIM[[#This Row],[קוד מעמד]]="1     ",IFERROR(VLOOKUP(HEVARIM[[#This Row],[קוד תקציב]],'תקציב צביעה - לקראת השינוי'!A:F,4,0),0),0)</f>
        <v>0</v>
      </c>
      <c r="AT504" s="1"/>
    </row>
    <row r="505" spans="1:46">
      <c r="A505" t="s">
        <v>2477</v>
      </c>
      <c r="B505" t="s">
        <v>2478</v>
      </c>
      <c r="C505" t="s">
        <v>2338</v>
      </c>
      <c r="D505" t="s">
        <v>2479</v>
      </c>
      <c r="E505" t="s">
        <v>67</v>
      </c>
      <c r="F505" s="4">
        <v>43285</v>
      </c>
      <c r="G505">
        <v>7</v>
      </c>
      <c r="H505" t="s">
        <v>2457</v>
      </c>
      <c r="I505" t="s">
        <v>2458</v>
      </c>
      <c r="J505" s="4" t="s">
        <v>70</v>
      </c>
      <c r="K505" s="4" t="s">
        <v>71</v>
      </c>
      <c r="L505" t="s">
        <v>2480</v>
      </c>
      <c r="M505" t="s">
        <v>2454</v>
      </c>
      <c r="N505" t="s">
        <v>2455</v>
      </c>
      <c r="O505">
        <f>IFERROR(VLOOKUP(HEVARIM[[#This Row],[קוד תקציב]],[2]תקציבים!A:L,6,0),0)</f>
        <v>2</v>
      </c>
      <c r="P505" s="5" t="s">
        <v>227</v>
      </c>
      <c r="Q505" t="s">
        <v>14</v>
      </c>
      <c r="R505" s="4">
        <v>43285</v>
      </c>
      <c r="S505" s="4" t="s">
        <v>90</v>
      </c>
      <c r="T505" s="96" t="s">
        <v>2457</v>
      </c>
      <c r="U505" t="str">
        <f>VLOOKUP(HEVARIM[[#This Row],[גיל]],GIL,2,1)</f>
        <v>יסודי</v>
      </c>
      <c r="V505">
        <f>IF(HEVARIM[[#This Row],[קוד מעמד]]="4     ",IF(HEVARIM[[#This Row],[גיל]]=1,1,IF(HEVARIM[[#This Row],[גיל]]&lt;=5,5,18)),"")</f>
        <v>18</v>
      </c>
      <c r="W505">
        <f t="shared" si="28"/>
        <v>0</v>
      </c>
      <c r="X5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5">
        <f>IF(HEVARIM[[#This Row],[מצב משפחתי2]]="אלמן",'[2]ריכוז נתונים'!$AC$2,0)</f>
        <v>0</v>
      </c>
      <c r="Z505" s="3">
        <f>VLOOKUP(VALUE(HEVARIM[[#This Row],[קוד מעמד]]),הנחות!$I$2:$K$21,3,0)</f>
        <v>1</v>
      </c>
      <c r="AA505" t="b">
        <f>ISERROR(VLOOKUP(HEVARIM[[#This Row],[קוד תקציב]],'[2]ריכוז נתונים'!A:A,1,0))</f>
        <v>0</v>
      </c>
      <c r="AB505" s="1">
        <f t="shared" si="29"/>
        <v>3858.0769230769229</v>
      </c>
      <c r="AC505" s="2">
        <f ca="1">IF(HEVARIM[[#This Row],[בר מצוה]]&gt;0,YEAR(TODAY())+'תקציבים מיוחדים'!$F$5-HEVARIM[[#This Row],[גיל]],0)</f>
        <v>2032</v>
      </c>
      <c r="AD505" s="1">
        <f t="shared" si="30"/>
        <v>0</v>
      </c>
      <c r="AE505" s="2">
        <f ca="1">IF(HEVARIM[[#This Row],[בת מצוה]]&gt;0,YEAR(TODAY())+'תקציבים מיוחדים'!$F$5-HEVARIM[[#This Row],[גיל]],0)</f>
        <v>0</v>
      </c>
      <c r="AF505" s="1">
        <f>IF(AND($S505&gt;="רווק",$Z505=1),AF$4*IF(HEVARIM[[#This Row],[גיל]]&gt;$AF$3,1,(($G505-AF$2)/(AF$3-AF$2))),0)</f>
        <v>20170.833333333332</v>
      </c>
      <c r="AG505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505" s="1">
        <f t="shared" si="31"/>
        <v>35196.166666666664</v>
      </c>
      <c r="AI505" s="2">
        <f ca="1">IF(AH505&gt;0,YEAR(TODAY())+'תקציבים מיוחדים'!$F$7-HEVARIM[[#This Row],[גיל]],0)</f>
        <v>2040</v>
      </c>
      <c r="AJ505" s="9">
        <f>IF(AND(ISERROR(VLOOKUP(H505,'[2]ריכוז נתונים'!A:L,1,0)),P505="1     "),1,0)</f>
        <v>0</v>
      </c>
      <c r="AK50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5" s="1">
        <f>IF(AND(VALUE(HEVARIM[[#This Row],[קוד מעמד]])=1,HEVARIM[[#This Row],[ותק מחברה 40]]&lt;25),HEVARIM[[#This Row],[ותק מחברה 40]]/25*הנחות!$C$4,0)</f>
        <v>0</v>
      </c>
      <c r="AM505" s="9" t="str">
        <f ca="1">IF(HEVARIM[[#This Row],[דמי עזיבה 25 שנות ותק]]&gt;0,YEAR(TODAY())+25-ROUNDDOWN(HEVARIM[[#This Row],[ותק מחברה 40]],0),"")</f>
        <v/>
      </c>
      <c r="AN50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5" s="9" t="str">
        <f ca="1">IF(HEVARIM[[#This Row],[דמי עזיבה לגיל 65]]&gt;0,YEAR(TODAY())+64-ROUNDDOWN(HEVARIM[[#This Row],[גיל]],0),"")</f>
        <v/>
      </c>
      <c r="AP505" s="1">
        <f>SUMIF(HEVARIM[קוד תקציב],HEVARIM[[#This Row],[קוד תקציב משפחה מקורי]],HEVARIM[ותק מחברה 40])</f>
        <v>26.36</v>
      </c>
      <c r="AQ5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5" s="9">
        <f>IF(HEVARIM[[#This Row],[קוד מעמד]]="1     ",IFERROR(VLOOKUP(HEVARIM[[#This Row],[קוד תקציב]],'תקציב צביעה - לקראת השינוי'!A:F,4,0),0),0)</f>
        <v>0</v>
      </c>
      <c r="AT505" s="1"/>
    </row>
    <row r="506" spans="1:46">
      <c r="A506" t="s">
        <v>2487</v>
      </c>
      <c r="B506" t="s">
        <v>2488</v>
      </c>
      <c r="C506" t="s">
        <v>2489</v>
      </c>
      <c r="D506" t="s">
        <v>2490</v>
      </c>
      <c r="E506" t="s">
        <v>67</v>
      </c>
      <c r="F506" s="4">
        <v>32306</v>
      </c>
      <c r="G506">
        <v>37</v>
      </c>
      <c r="H506" t="s">
        <v>2491</v>
      </c>
      <c r="I506" t="s">
        <v>2492</v>
      </c>
      <c r="J506" s="4" t="s">
        <v>70</v>
      </c>
      <c r="K506" s="4" t="s">
        <v>71</v>
      </c>
      <c r="L506" t="s">
        <v>2493</v>
      </c>
      <c r="M506" t="s">
        <v>2487</v>
      </c>
      <c r="N506" t="s">
        <v>2488</v>
      </c>
      <c r="O506">
        <f>IFERROR(VLOOKUP(HEVARIM[[#This Row],[קוד תקציב]],[2]תקציבים!A:L,6,0),0)</f>
        <v>2</v>
      </c>
      <c r="P506" s="5" t="s">
        <v>104</v>
      </c>
      <c r="Q506" t="s">
        <v>11</v>
      </c>
      <c r="R506" s="4">
        <v>45062</v>
      </c>
      <c r="S506" s="4" t="s">
        <v>74</v>
      </c>
      <c r="T506" s="96" t="s">
        <v>2491</v>
      </c>
      <c r="U506" t="str">
        <f>VLOOKUP(HEVARIM[[#This Row],[גיל]],GIL,2,1)</f>
        <v>--</v>
      </c>
      <c r="V506" t="str">
        <f>IF(HEVARIM[[#This Row],[קוד מעמד]]="4     ",IF(HEVARIM[[#This Row],[גיל]]=1,1,IF(HEVARIM[[#This Row],[גיל]]&lt;=5,5,18)),"")</f>
        <v/>
      </c>
      <c r="W506">
        <f t="shared" si="28"/>
        <v>0</v>
      </c>
      <c r="X50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6">
        <f>IF(HEVARIM[[#This Row],[מצב משפחתי2]]="אלמן",'[2]ריכוז נתונים'!$AC$2,0)</f>
        <v>0</v>
      </c>
      <c r="Z506" s="3">
        <f>VLOOKUP(VALUE(HEVARIM[[#This Row],[קוד מעמד]]),הנחות!$I$2:$K$21,3,0)</f>
        <v>0</v>
      </c>
      <c r="AA506" t="b">
        <f>ISERROR(VLOOKUP(HEVARIM[[#This Row],[קוד תקציב]],'[2]ריכוז נתונים'!A:A,1,0))</f>
        <v>0</v>
      </c>
      <c r="AB506" s="1">
        <f t="shared" si="29"/>
        <v>0</v>
      </c>
      <c r="AC506" s="2">
        <f ca="1">IF(HEVARIM[[#This Row],[בר מצוה]]&gt;0,YEAR(TODAY())+'תקציבים מיוחדים'!$F$5-HEVARIM[[#This Row],[גיל]],0)</f>
        <v>0</v>
      </c>
      <c r="AD506" s="1">
        <f t="shared" si="30"/>
        <v>0</v>
      </c>
      <c r="AE506" s="2">
        <f ca="1">IF(HEVARIM[[#This Row],[בת מצוה]]&gt;0,YEAR(TODAY())+'תקציבים מיוחדים'!$F$5-HEVARIM[[#This Row],[גיל]],0)</f>
        <v>0</v>
      </c>
      <c r="AF506" s="1">
        <f>IF(AND($S506&gt;="רווק",$Z506=1),AF$4*IF(HEVARIM[[#This Row],[גיל]]&gt;$AF$3,1,(($G506-AF$2)/(AF$3-AF$2))),0)</f>
        <v>0</v>
      </c>
      <c r="AG50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06" s="1">
        <f t="shared" si="31"/>
        <v>0</v>
      </c>
      <c r="AI506" s="2">
        <f ca="1">IF(AH506&gt;0,YEAR(TODAY())+'תקציבים מיוחדים'!$F$7-HEVARIM[[#This Row],[גיל]],0)</f>
        <v>0</v>
      </c>
      <c r="AJ506" s="9">
        <f>IF(AND(ISERROR(VLOOKUP(H506,'[2]ריכוז נתונים'!A:L,1,0)),P506="1     "),1,0)</f>
        <v>0</v>
      </c>
      <c r="AK506" s="1">
        <f>IF(VALUE(HEVARIM[[#This Row],[קוד מעמד]])=1,VLOOKUP((IF(LEFT(HEVARIM[[#This Row],[קוד חבר]],1)="0",HEVARIM[[#This Row],[קוד חבר]],VALUE(HEVARIM[[#This Row],[קוד חבר]]))),'ותק חברה 40'!AQ:AW,7,0),"")</f>
        <v>4.34</v>
      </c>
      <c r="AL506" s="1">
        <f>IF(AND(VALUE(HEVARIM[[#This Row],[קוד מעמד]])=1,HEVARIM[[#This Row],[ותק מחברה 40]]&lt;25),HEVARIM[[#This Row],[ותק מחברה 40]]/25*הנחות!$C$4,0)</f>
        <v>6516.0087299999996</v>
      </c>
      <c r="AM506" s="9">
        <f ca="1">IF(HEVARIM[[#This Row],[דמי עזיבה 25 שנות ותק]]&gt;0,YEAR(TODAY())+25-ROUNDDOWN(HEVARIM[[#This Row],[ותק מחברה 40]],0),"")</f>
        <v>2047</v>
      </c>
      <c r="AN5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6" s="9" t="str">
        <f ca="1">IF(HEVARIM[[#This Row],[דמי עזיבה לגיל 65]]&gt;0,YEAR(TODAY())+64-ROUNDDOWN(HEVARIM[[#This Row],[גיל]],0),"")</f>
        <v/>
      </c>
      <c r="AP506" s="1">
        <f>SUMIF(HEVARIM[קוד תקציב],HEVARIM[[#This Row],[קוד תקציב משפחה מקורי]],HEVARIM[ותק מחברה 40])</f>
        <v>8.68</v>
      </c>
      <c r="AQ5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6" s="9">
        <f>IF(HEVARIM[[#This Row],[קוד מעמד]]="1     ",IFERROR(VLOOKUP(HEVARIM[[#This Row],[קוד תקציב]],'תקציב צביעה - לקראת השינוי'!A:F,4,0),0),0)</f>
        <v>0</v>
      </c>
      <c r="AT506" s="1"/>
    </row>
    <row r="507" spans="1:46">
      <c r="A507" t="s">
        <v>2497</v>
      </c>
      <c r="B507" t="s">
        <v>2498</v>
      </c>
      <c r="C507" t="s">
        <v>2489</v>
      </c>
      <c r="D507" t="s">
        <v>2499</v>
      </c>
      <c r="E507" t="s">
        <v>79</v>
      </c>
      <c r="F507" s="4">
        <v>44324</v>
      </c>
      <c r="G507">
        <v>4</v>
      </c>
      <c r="H507" t="s">
        <v>2491</v>
      </c>
      <c r="I507" t="s">
        <v>2492</v>
      </c>
      <c r="J507" s="4" t="s">
        <v>70</v>
      </c>
      <c r="K507" s="4" t="s">
        <v>71</v>
      </c>
      <c r="L507" t="s">
        <v>2500</v>
      </c>
      <c r="M507" t="s">
        <v>2487</v>
      </c>
      <c r="N507" t="s">
        <v>2488</v>
      </c>
      <c r="O507">
        <f>IFERROR(VLOOKUP(HEVARIM[[#This Row],[קוד תקציב]],[2]תקציבים!A:L,6,0),0)</f>
        <v>2</v>
      </c>
      <c r="P507" s="5" t="s">
        <v>227</v>
      </c>
      <c r="Q507" t="s">
        <v>14</v>
      </c>
      <c r="R507" s="4">
        <v>44324</v>
      </c>
      <c r="S507" s="4" t="s">
        <v>90</v>
      </c>
      <c r="T507" s="96" t="s">
        <v>2491</v>
      </c>
      <c r="U507" t="str">
        <f>VLOOKUP(HEVARIM[[#This Row],[גיל]],GIL,2,1)</f>
        <v>גנים</v>
      </c>
      <c r="V507">
        <f>IF(HEVARIM[[#This Row],[קוד מעמד]]="4     ",IF(HEVARIM[[#This Row],[גיל]]=1,1,IF(HEVARIM[[#This Row],[גיל]]&lt;=5,5,18)),"")</f>
        <v>5</v>
      </c>
      <c r="W507">
        <f t="shared" si="28"/>
        <v>0</v>
      </c>
      <c r="X50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7">
        <f>IF(HEVARIM[[#This Row],[מצב משפחתי2]]="אלמן",'[2]ריכוז נתונים'!$AC$2,0)</f>
        <v>0</v>
      </c>
      <c r="Z507" s="3">
        <f>VLOOKUP(VALUE(HEVARIM[[#This Row],[קוד מעמד]]),הנחות!$I$2:$K$21,3,0)</f>
        <v>1</v>
      </c>
      <c r="AA507" t="b">
        <f>ISERROR(VLOOKUP(HEVARIM[[#This Row],[קוד תקציב]],'[2]ריכוז נתונים'!A:A,1,0))</f>
        <v>0</v>
      </c>
      <c r="AB507" s="1">
        <f t="shared" si="29"/>
        <v>0</v>
      </c>
      <c r="AC507" s="2">
        <f ca="1">IF(HEVARIM[[#This Row],[בר מצוה]]&gt;0,YEAR(TODAY())+'תקציבים מיוחדים'!$F$5-HEVARIM[[#This Row],[גיל]],0)</f>
        <v>0</v>
      </c>
      <c r="AD507" s="1">
        <f t="shared" si="30"/>
        <v>2204.6153846153848</v>
      </c>
      <c r="AE507" s="2">
        <f ca="1">IF(HEVARIM[[#This Row],[בת מצוה]]&gt;0,YEAR(TODAY())+'תקציבים מיוחדים'!$F$5-HEVARIM[[#This Row],[גיל]],0)</f>
        <v>2035</v>
      </c>
      <c r="AF507" s="1">
        <f>IF(AND($S507&gt;="רווק",$Z507=1),AF$4*IF(HEVARIM[[#This Row],[גיל]]&gt;$AF$3,1,(($G507-AF$2)/(AF$3-AF$2))),0)</f>
        <v>11526.190476190475</v>
      </c>
      <c r="AG507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507" s="1">
        <f t="shared" si="31"/>
        <v>20112.095238095237</v>
      </c>
      <c r="AI507" s="2">
        <f ca="1">IF(AH507&gt;0,YEAR(TODAY())+'תקציבים מיוחדים'!$F$7-HEVARIM[[#This Row],[גיל]],0)</f>
        <v>2043</v>
      </c>
      <c r="AJ507" s="9">
        <f>IF(AND(ISERROR(VLOOKUP(H507,'[2]ריכוז נתונים'!A:L,1,0)),P507="1     "),1,0)</f>
        <v>0</v>
      </c>
      <c r="AK50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7" s="1">
        <f>IF(AND(VALUE(HEVARIM[[#This Row],[קוד מעמד]])=1,HEVARIM[[#This Row],[ותק מחברה 40]]&lt;25),HEVARIM[[#This Row],[ותק מחברה 40]]/25*הנחות!$C$4,0)</f>
        <v>0</v>
      </c>
      <c r="AM507" s="9" t="str">
        <f ca="1">IF(HEVARIM[[#This Row],[דמי עזיבה 25 שנות ותק]]&gt;0,YEAR(TODAY())+25-ROUNDDOWN(HEVARIM[[#This Row],[ותק מחברה 40]],0),"")</f>
        <v/>
      </c>
      <c r="AN50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7" s="9" t="str">
        <f ca="1">IF(HEVARIM[[#This Row],[דמי עזיבה לגיל 65]]&gt;0,YEAR(TODAY())+64-ROUNDDOWN(HEVARIM[[#This Row],[גיל]],0),"")</f>
        <v/>
      </c>
      <c r="AP507" s="1">
        <f>SUMIF(HEVARIM[קוד תקציב],HEVARIM[[#This Row],[קוד תקציב משפחה מקורי]],HEVARIM[ותק מחברה 40])</f>
        <v>8.68</v>
      </c>
      <c r="AQ5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7" s="9">
        <f>IF(HEVARIM[[#This Row],[קוד מעמד]]="1     ",IFERROR(VLOOKUP(HEVARIM[[#This Row],[קוד תקציב]],'תקציב צביעה - לקראת השינוי'!A:F,4,0),0),0)</f>
        <v>0</v>
      </c>
      <c r="AT507" s="1"/>
    </row>
    <row r="508" spans="1:46">
      <c r="A508" t="s">
        <v>2501</v>
      </c>
      <c r="B508" t="s">
        <v>2502</v>
      </c>
      <c r="C508" t="s">
        <v>2489</v>
      </c>
      <c r="D508" t="s">
        <v>2503</v>
      </c>
      <c r="E508" t="s">
        <v>79</v>
      </c>
      <c r="F508" s="4">
        <v>45123</v>
      </c>
      <c r="G508">
        <v>2</v>
      </c>
      <c r="H508" t="s">
        <v>2491</v>
      </c>
      <c r="I508" t="s">
        <v>2492</v>
      </c>
      <c r="J508" s="4" t="s">
        <v>70</v>
      </c>
      <c r="K508" s="4" t="s">
        <v>71</v>
      </c>
      <c r="L508" t="s">
        <v>2504</v>
      </c>
      <c r="M508" t="s">
        <v>2487</v>
      </c>
      <c r="N508" t="s">
        <v>2488</v>
      </c>
      <c r="O508">
        <f>IFERROR(VLOOKUP(HEVARIM[[#This Row],[קוד תקציב]],[2]תקציבים!A:L,6,0),0)</f>
        <v>2</v>
      </c>
      <c r="P508" s="5" t="s">
        <v>227</v>
      </c>
      <c r="Q508" t="s">
        <v>14</v>
      </c>
      <c r="R508" s="4">
        <v>45123</v>
      </c>
      <c r="S508" s="4" t="s">
        <v>90</v>
      </c>
      <c r="T508" s="96" t="s">
        <v>2491</v>
      </c>
      <c r="U508" t="str">
        <f>VLOOKUP(HEVARIM[[#This Row],[גיל]],GIL,2,1)</f>
        <v>פעוט</v>
      </c>
      <c r="V508">
        <f>IF(HEVARIM[[#This Row],[קוד מעמד]]="4     ",IF(HEVARIM[[#This Row],[גיל]]=1,1,IF(HEVARIM[[#This Row],[גיל]]&lt;=5,5,18)),"")</f>
        <v>5</v>
      </c>
      <c r="W508">
        <f t="shared" si="28"/>
        <v>0</v>
      </c>
      <c r="X5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8">
        <f>IF(HEVARIM[[#This Row],[מצב משפחתי2]]="אלמן",'[2]ריכוז נתונים'!$AC$2,0)</f>
        <v>0</v>
      </c>
      <c r="Z508" s="3">
        <f>VLOOKUP(VALUE(HEVARIM[[#This Row],[קוד מעמד]]),הנחות!$I$2:$K$21,3,0)</f>
        <v>1</v>
      </c>
      <c r="AA508" t="b">
        <f>ISERROR(VLOOKUP(HEVARIM[[#This Row],[קוד תקציב]],'[2]ריכוז נתונים'!A:A,1,0))</f>
        <v>0</v>
      </c>
      <c r="AB508" s="1">
        <f t="shared" si="29"/>
        <v>0</v>
      </c>
      <c r="AC508" s="2">
        <f ca="1">IF(HEVARIM[[#This Row],[בר מצוה]]&gt;0,YEAR(TODAY())+'תקציבים מיוחדים'!$F$5-HEVARIM[[#This Row],[גיל]],0)</f>
        <v>0</v>
      </c>
      <c r="AD508" s="1">
        <f t="shared" si="30"/>
        <v>1102.3076923076924</v>
      </c>
      <c r="AE508" s="2">
        <f ca="1">IF(HEVARIM[[#This Row],[בת מצוה]]&gt;0,YEAR(TODAY())+'תקציבים מיוחדים'!$F$5-HEVARIM[[#This Row],[גיל]],0)</f>
        <v>2037</v>
      </c>
      <c r="AF508" s="1">
        <f>IF(AND($S508&gt;="רווק",$Z508=1),AF$4*IF(HEVARIM[[#This Row],[גיל]]&gt;$AF$3,1,(($G508-AF$2)/(AF$3-AF$2))),0)</f>
        <v>5763.0952380952376</v>
      </c>
      <c r="AG508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508" s="1">
        <f t="shared" si="31"/>
        <v>10056.047619047618</v>
      </c>
      <c r="AI508" s="2">
        <f ca="1">IF(AH508&gt;0,YEAR(TODAY())+'תקציבים מיוחדים'!$F$7-HEVARIM[[#This Row],[גיל]],0)</f>
        <v>2045</v>
      </c>
      <c r="AJ508" s="9">
        <f>IF(AND(ISERROR(VLOOKUP(H508,'[2]ריכוז נתונים'!A:L,1,0)),P508="1     "),1,0)</f>
        <v>0</v>
      </c>
      <c r="AK50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08" s="1">
        <f>IF(AND(VALUE(HEVARIM[[#This Row],[קוד מעמד]])=1,HEVARIM[[#This Row],[ותק מחברה 40]]&lt;25),HEVARIM[[#This Row],[ותק מחברה 40]]/25*הנחות!$C$4,0)</f>
        <v>0</v>
      </c>
      <c r="AM508" s="9" t="str">
        <f ca="1">IF(HEVARIM[[#This Row],[דמי עזיבה 25 שנות ותק]]&gt;0,YEAR(TODAY())+25-ROUNDDOWN(HEVARIM[[#This Row],[ותק מחברה 40]],0),"")</f>
        <v/>
      </c>
      <c r="AN50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8" s="9" t="str">
        <f ca="1">IF(HEVARIM[[#This Row],[דמי עזיבה לגיל 65]]&gt;0,YEAR(TODAY())+64-ROUNDDOWN(HEVARIM[[#This Row],[גיל]],0),"")</f>
        <v/>
      </c>
      <c r="AP508" s="1">
        <f>SUMIF(HEVARIM[קוד תקציב],HEVARIM[[#This Row],[קוד תקציב משפחה מקורי]],HEVARIM[ותק מחברה 40])</f>
        <v>8.68</v>
      </c>
      <c r="AQ5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8" s="9">
        <f>IF(HEVARIM[[#This Row],[קוד מעמד]]="1     ",IFERROR(VLOOKUP(HEVARIM[[#This Row],[קוד תקציב]],'תקציב צביעה - לקראת השינוי'!A:F,4,0),0),0)</f>
        <v>0</v>
      </c>
      <c r="AT508" s="1"/>
    </row>
    <row r="509" spans="1:46">
      <c r="A509" t="s">
        <v>2508</v>
      </c>
      <c r="B509" t="s">
        <v>2509</v>
      </c>
      <c r="C509" t="s">
        <v>2338</v>
      </c>
      <c r="D509" t="s">
        <v>2510</v>
      </c>
      <c r="E509" t="s">
        <v>67</v>
      </c>
      <c r="F509" s="4">
        <v>30083</v>
      </c>
      <c r="G509">
        <v>43</v>
      </c>
      <c r="H509" t="s">
        <v>2511</v>
      </c>
      <c r="I509" t="s">
        <v>2512</v>
      </c>
      <c r="J509" s="4" t="s">
        <v>70</v>
      </c>
      <c r="K509" s="4" t="s">
        <v>71</v>
      </c>
      <c r="L509" t="s">
        <v>2513</v>
      </c>
      <c r="M509" t="s">
        <v>2508</v>
      </c>
      <c r="N509" t="s">
        <v>2509</v>
      </c>
      <c r="O509">
        <f>IFERROR(VLOOKUP(HEVARIM[[#This Row],[קוד תקציב]],[2]תקציבים!A:L,6,0),0)</f>
        <v>2</v>
      </c>
      <c r="P509" s="5" t="s">
        <v>104</v>
      </c>
      <c r="Q509" t="s">
        <v>11</v>
      </c>
      <c r="R509" s="4">
        <v>42949</v>
      </c>
      <c r="S509" s="4" t="s">
        <v>74</v>
      </c>
      <c r="T509" s="96" t="s">
        <v>2511</v>
      </c>
      <c r="U509" t="str">
        <f>VLOOKUP(HEVARIM[[#This Row],[גיל]],GIL,2,1)</f>
        <v>--</v>
      </c>
      <c r="V509" t="str">
        <f>IF(HEVARIM[[#This Row],[קוד מעמד]]="4     ",IF(HEVARIM[[#This Row],[גיל]]=1,1,IF(HEVARIM[[#This Row],[גיל]]&lt;=5,5,18)),"")</f>
        <v/>
      </c>
      <c r="W509">
        <f t="shared" si="28"/>
        <v>0</v>
      </c>
      <c r="X5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09">
        <f>IF(HEVARIM[[#This Row],[מצב משפחתי2]]="אלמן",'[2]ריכוז נתונים'!$AC$2,0)</f>
        <v>0</v>
      </c>
      <c r="Z509" s="3">
        <f>VLOOKUP(VALUE(HEVARIM[[#This Row],[קוד מעמד]]),הנחות!$I$2:$K$21,3,0)</f>
        <v>0</v>
      </c>
      <c r="AA509" t="b">
        <f>ISERROR(VLOOKUP(HEVARIM[[#This Row],[קוד תקציב]],'[2]ריכוז נתונים'!A:A,1,0))</f>
        <v>0</v>
      </c>
      <c r="AB509" s="1">
        <f t="shared" si="29"/>
        <v>0</v>
      </c>
      <c r="AC509" s="2">
        <f ca="1">IF(HEVARIM[[#This Row],[בר מצוה]]&gt;0,YEAR(TODAY())+'תקציבים מיוחדים'!$F$5-HEVARIM[[#This Row],[גיל]],0)</f>
        <v>0</v>
      </c>
      <c r="AD509" s="1">
        <f t="shared" si="30"/>
        <v>0</v>
      </c>
      <c r="AE509" s="2">
        <f ca="1">IF(HEVARIM[[#This Row],[בת מצוה]]&gt;0,YEAR(TODAY())+'תקציבים מיוחדים'!$F$5-HEVARIM[[#This Row],[גיל]],0)</f>
        <v>0</v>
      </c>
      <c r="AF509" s="1">
        <f>IF(AND($S509&gt;="רווק",$Z509=1),AF$4*IF(HEVARIM[[#This Row],[גיל]]&gt;$AF$3,1,(($G509-AF$2)/(AF$3-AF$2))),0)</f>
        <v>0</v>
      </c>
      <c r="AG50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09" s="1">
        <f t="shared" si="31"/>
        <v>0</v>
      </c>
      <c r="AI509" s="2">
        <f ca="1">IF(AH509&gt;0,YEAR(TODAY())+'תקציבים מיוחדים'!$F$7-HEVARIM[[#This Row],[גיל]],0)</f>
        <v>0</v>
      </c>
      <c r="AJ509" s="9">
        <f>IF(AND(ISERROR(VLOOKUP(H509,'[2]ריכוז נתונים'!A:L,1,0)),P509="1     "),1,0)</f>
        <v>0</v>
      </c>
      <c r="AK509" s="1">
        <f>IF(VALUE(HEVARIM[[#This Row],[קוד מעמד]])=1,VLOOKUP((IF(LEFT(HEVARIM[[#This Row],[קוד חבר]],1)="0",HEVARIM[[#This Row],[קוד חבר]],VALUE(HEVARIM[[#This Row],[קוד חבר]]))),'ותק חברה 40'!AQ:AW,7,0),"")</f>
        <v>10.01</v>
      </c>
      <c r="AL509" s="1">
        <f>IF(AND(VALUE(HEVARIM[[#This Row],[קוד מעמד]])=1,HEVARIM[[#This Row],[ותק מחברה 40]]&lt;25),HEVARIM[[#This Row],[ותק מחברה 40]]/25*הנחות!$C$4,0)</f>
        <v>15028.858844999997</v>
      </c>
      <c r="AM509" s="9">
        <f ca="1">IF(HEVARIM[[#This Row],[דמי עזיבה 25 שנות ותק]]&gt;0,YEAR(TODAY())+25-ROUNDDOWN(HEVARIM[[#This Row],[ותק מחברה 40]],0),"")</f>
        <v>2041</v>
      </c>
      <c r="AN50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09" s="9" t="str">
        <f ca="1">IF(HEVARIM[[#This Row],[דמי עזיבה לגיל 65]]&gt;0,YEAR(TODAY())+64-ROUNDDOWN(HEVARIM[[#This Row],[גיל]],0),"")</f>
        <v/>
      </c>
      <c r="AP509" s="1">
        <f>SUMIF(HEVARIM[קוד תקציב],HEVARIM[[#This Row],[קוד תקציב משפחה מקורי]],HEVARIM[ותק מחברה 40])</f>
        <v>20.02</v>
      </c>
      <c r="AQ5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09" s="9">
        <f>IF(HEVARIM[[#This Row],[קוד מעמד]]="1     ",IFERROR(VLOOKUP(HEVARIM[[#This Row],[קוד תקציב]],'תקציב צביעה - לקראת השינוי'!A:F,4,0),0),0)</f>
        <v>0</v>
      </c>
      <c r="AT509" s="1"/>
    </row>
    <row r="510" spans="1:46">
      <c r="A510" t="s">
        <v>2514</v>
      </c>
      <c r="B510" t="s">
        <v>2515</v>
      </c>
      <c r="C510" t="s">
        <v>2338</v>
      </c>
      <c r="D510" t="s">
        <v>1462</v>
      </c>
      <c r="E510" t="s">
        <v>79</v>
      </c>
      <c r="F510" s="4">
        <v>31209</v>
      </c>
      <c r="G510">
        <v>40</v>
      </c>
      <c r="H510" t="s">
        <v>2511</v>
      </c>
      <c r="I510" t="s">
        <v>2512</v>
      </c>
      <c r="J510" s="4" t="s">
        <v>70</v>
      </c>
      <c r="K510" s="4" t="s">
        <v>71</v>
      </c>
      <c r="L510" t="s">
        <v>2516</v>
      </c>
      <c r="M510" t="s">
        <v>2508</v>
      </c>
      <c r="N510" t="s">
        <v>2509</v>
      </c>
      <c r="O510">
        <f>IFERROR(VLOOKUP(HEVARIM[[#This Row],[קוד תקציב]],[2]תקציבים!A:L,6,0),0)</f>
        <v>2</v>
      </c>
      <c r="P510" s="5" t="s">
        <v>104</v>
      </c>
      <c r="Q510" t="s">
        <v>11</v>
      </c>
      <c r="R510" s="4">
        <v>42949</v>
      </c>
      <c r="S510" s="4" t="s">
        <v>74</v>
      </c>
      <c r="T510" s="96" t="s">
        <v>2511</v>
      </c>
      <c r="U510" t="str">
        <f>VLOOKUP(HEVARIM[[#This Row],[גיל]],GIL,2,1)</f>
        <v>--</v>
      </c>
      <c r="V510" t="str">
        <f>IF(HEVARIM[[#This Row],[קוד מעמד]]="4     ",IF(HEVARIM[[#This Row],[גיל]]=1,1,IF(HEVARIM[[#This Row],[גיל]]&lt;=5,5,18)),"")</f>
        <v/>
      </c>
      <c r="W510">
        <f t="shared" si="28"/>
        <v>0</v>
      </c>
      <c r="X51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0">
        <f>IF(HEVARIM[[#This Row],[מצב משפחתי2]]="אלמן",'[2]ריכוז נתונים'!$AC$2,0)</f>
        <v>0</v>
      </c>
      <c r="Z510" s="3">
        <f>VLOOKUP(VALUE(HEVARIM[[#This Row],[קוד מעמד]]),הנחות!$I$2:$K$21,3,0)</f>
        <v>0</v>
      </c>
      <c r="AA510" t="b">
        <f>ISERROR(VLOOKUP(HEVARIM[[#This Row],[קוד תקציב]],'[2]ריכוז נתונים'!A:A,1,0))</f>
        <v>0</v>
      </c>
      <c r="AB510" s="1">
        <f t="shared" si="29"/>
        <v>0</v>
      </c>
      <c r="AC510" s="2">
        <f ca="1">IF(HEVARIM[[#This Row],[בר מצוה]]&gt;0,YEAR(TODAY())+'תקציבים מיוחדים'!$F$5-HEVARIM[[#This Row],[גיל]],0)</f>
        <v>0</v>
      </c>
      <c r="AD510" s="1">
        <f t="shared" si="30"/>
        <v>0</v>
      </c>
      <c r="AE510" s="2">
        <f ca="1">IF(HEVARIM[[#This Row],[בת מצוה]]&gt;0,YEAR(TODAY())+'תקציבים מיוחדים'!$F$5-HEVARIM[[#This Row],[גיל]],0)</f>
        <v>0</v>
      </c>
      <c r="AF510" s="1">
        <f>IF(AND($S510&gt;="רווק",$Z510=1),AF$4*IF(HEVARIM[[#This Row],[גיל]]&gt;$AF$3,1,(($G510-AF$2)/(AF$3-AF$2))),0)</f>
        <v>0</v>
      </c>
      <c r="AG51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10" s="1">
        <f t="shared" si="31"/>
        <v>0</v>
      </c>
      <c r="AI510" s="2">
        <f ca="1">IF(AH510&gt;0,YEAR(TODAY())+'תקציבים מיוחדים'!$F$7-HEVARIM[[#This Row],[גיל]],0)</f>
        <v>0</v>
      </c>
      <c r="AJ510" s="9">
        <f>IF(AND(ISERROR(VLOOKUP(H510,'[2]ריכוז נתונים'!A:L,1,0)),P510="1     "),1,0)</f>
        <v>0</v>
      </c>
      <c r="AK510" s="1">
        <f>IF(VALUE(HEVARIM[[#This Row],[קוד מעמד]])=1,VLOOKUP((IF(LEFT(HEVARIM[[#This Row],[קוד חבר]],1)="0",HEVARIM[[#This Row],[קוד חבר]],VALUE(HEVARIM[[#This Row],[קוד חבר]]))),'ותק חברה 40'!AQ:AW,7,0),"")</f>
        <v>10.01</v>
      </c>
      <c r="AL510" s="1">
        <f>IF(AND(VALUE(HEVARIM[[#This Row],[קוד מעמד]])=1,HEVARIM[[#This Row],[ותק מחברה 40]]&lt;25),HEVARIM[[#This Row],[ותק מחברה 40]]/25*הנחות!$C$4,0)</f>
        <v>15028.858844999997</v>
      </c>
      <c r="AM510" s="9">
        <f ca="1">IF(HEVARIM[[#This Row],[דמי עזיבה 25 שנות ותק]]&gt;0,YEAR(TODAY())+25-ROUNDDOWN(HEVARIM[[#This Row],[ותק מחברה 40]],0),"")</f>
        <v>2041</v>
      </c>
      <c r="AN5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0" s="9" t="str">
        <f ca="1">IF(HEVARIM[[#This Row],[דמי עזיבה לגיל 65]]&gt;0,YEAR(TODAY())+64-ROUNDDOWN(HEVARIM[[#This Row],[גיל]],0),"")</f>
        <v/>
      </c>
      <c r="AP510" s="1">
        <f>SUMIF(HEVARIM[קוד תקציב],HEVARIM[[#This Row],[קוד תקציב משפחה מקורי]],HEVARIM[ותק מחברה 40])</f>
        <v>20.02</v>
      </c>
      <c r="AQ5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0" s="9">
        <f>IF(HEVARIM[[#This Row],[קוד מעמד]]="1     ",IFERROR(VLOOKUP(HEVARIM[[#This Row],[קוד תקציב]],'תקציב צביעה - לקראת השינוי'!A:F,4,0),0),0)</f>
        <v>0</v>
      </c>
      <c r="AT510" s="1"/>
    </row>
    <row r="511" spans="1:46">
      <c r="A511" t="s">
        <v>2517</v>
      </c>
      <c r="B511" t="s">
        <v>2518</v>
      </c>
      <c r="C511" t="s">
        <v>2338</v>
      </c>
      <c r="D511" t="s">
        <v>2519</v>
      </c>
      <c r="E511" t="s">
        <v>79</v>
      </c>
      <c r="F511" s="4">
        <v>39842</v>
      </c>
      <c r="G511">
        <v>16</v>
      </c>
      <c r="H511" t="s">
        <v>2511</v>
      </c>
      <c r="I511" t="s">
        <v>2512</v>
      </c>
      <c r="J511" s="4" t="s">
        <v>70</v>
      </c>
      <c r="K511" s="4" t="s">
        <v>71</v>
      </c>
      <c r="L511" t="s">
        <v>2520</v>
      </c>
      <c r="M511" t="s">
        <v>2508</v>
      </c>
      <c r="N511" t="s">
        <v>2509</v>
      </c>
      <c r="O511">
        <f>IFERROR(VLOOKUP(HEVARIM[[#This Row],[קוד תקציב]],[2]תקציבים!A:L,6,0),0)</f>
        <v>2</v>
      </c>
      <c r="P511" s="5" t="s">
        <v>227</v>
      </c>
      <c r="Q511" t="s">
        <v>14</v>
      </c>
      <c r="R511" s="4">
        <v>42248</v>
      </c>
      <c r="S511" s="4" t="s">
        <v>90</v>
      </c>
      <c r="T511" s="96" t="s">
        <v>2511</v>
      </c>
      <c r="U511" t="str">
        <f>VLOOKUP(HEVARIM[[#This Row],[גיל]],GIL,2,1)</f>
        <v>תיכון</v>
      </c>
      <c r="V511">
        <f>IF(HEVARIM[[#This Row],[קוד מעמד]]="4     ",IF(HEVARIM[[#This Row],[גיל]]=1,1,IF(HEVARIM[[#This Row],[גיל]]&lt;=5,5,18)),"")</f>
        <v>18</v>
      </c>
      <c r="W511">
        <f t="shared" si="28"/>
        <v>0</v>
      </c>
      <c r="X5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1">
        <f>IF(HEVARIM[[#This Row],[מצב משפחתי2]]="אלמן",'[2]ריכוז נתונים'!$AC$2,0)</f>
        <v>0</v>
      </c>
      <c r="Z511" s="3">
        <f>VLOOKUP(VALUE(HEVARIM[[#This Row],[קוד מעמד]]),הנחות!$I$2:$K$21,3,0)</f>
        <v>1</v>
      </c>
      <c r="AA511" t="b">
        <f>ISERROR(VLOOKUP(HEVARIM[[#This Row],[קוד תקציב]],'[2]ריכוז נתונים'!A:A,1,0))</f>
        <v>0</v>
      </c>
      <c r="AB511" s="1">
        <f t="shared" si="29"/>
        <v>0</v>
      </c>
      <c r="AC511" s="2">
        <f ca="1">IF(HEVARIM[[#This Row],[בר מצוה]]&gt;0,YEAR(TODAY())+'תקציבים מיוחדים'!$F$5-HEVARIM[[#This Row],[גיל]],0)</f>
        <v>0</v>
      </c>
      <c r="AD511" s="1">
        <f t="shared" si="30"/>
        <v>0</v>
      </c>
      <c r="AE511" s="2">
        <f ca="1">IF(HEVARIM[[#This Row],[בת מצוה]]&gt;0,YEAR(TODAY())+'תקציבים מיוחדים'!$F$5-HEVARIM[[#This Row],[גיל]],0)</f>
        <v>0</v>
      </c>
      <c r="AF511" s="1">
        <f>IF(AND($S511&gt;="רווק",$Z511=1),AF$4*IF(HEVARIM[[#This Row],[גיל]]&gt;$AF$3,1,(($G511-AF$2)/(AF$3-AF$2))),0)</f>
        <v>46104.761904761901</v>
      </c>
      <c r="AG511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511" s="1">
        <f t="shared" si="31"/>
        <v>80448.380952380947</v>
      </c>
      <c r="AI511" s="2">
        <f ca="1">IF(AH511&gt;0,YEAR(TODAY())+'תקציבים מיוחדים'!$F$7-HEVARIM[[#This Row],[גיל]],0)</f>
        <v>2031</v>
      </c>
      <c r="AJ511" s="9">
        <f>IF(AND(ISERROR(VLOOKUP(H511,'[2]ריכוז נתונים'!A:L,1,0)),P511="1     "),1,0)</f>
        <v>0</v>
      </c>
      <c r="AK51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1" s="1">
        <f>IF(AND(VALUE(HEVARIM[[#This Row],[קוד מעמד]])=1,HEVARIM[[#This Row],[ותק מחברה 40]]&lt;25),HEVARIM[[#This Row],[ותק מחברה 40]]/25*הנחות!$C$4,0)</f>
        <v>0</v>
      </c>
      <c r="AM511" s="9" t="str">
        <f ca="1">IF(HEVARIM[[#This Row],[דמי עזיבה 25 שנות ותק]]&gt;0,YEAR(TODAY())+25-ROUNDDOWN(HEVARIM[[#This Row],[ותק מחברה 40]],0),"")</f>
        <v/>
      </c>
      <c r="AN51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1" s="9" t="str">
        <f ca="1">IF(HEVARIM[[#This Row],[דמי עזיבה לגיל 65]]&gt;0,YEAR(TODAY())+64-ROUNDDOWN(HEVARIM[[#This Row],[גיל]],0),"")</f>
        <v/>
      </c>
      <c r="AP511" s="1">
        <f>SUMIF(HEVARIM[קוד תקציב],HEVARIM[[#This Row],[קוד תקציב משפחה מקורי]],HEVARIM[ותק מחברה 40])</f>
        <v>20.02</v>
      </c>
      <c r="AQ5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1" s="9">
        <f>IF(HEVARIM[[#This Row],[קוד מעמד]]="1     ",IFERROR(VLOOKUP(HEVARIM[[#This Row],[קוד תקציב]],'תקציב צביעה - לקראת השינוי'!A:F,4,0),0),0)</f>
        <v>0</v>
      </c>
      <c r="AT511" s="1"/>
    </row>
    <row r="512" spans="1:46">
      <c r="A512" t="s">
        <v>2521</v>
      </c>
      <c r="B512" t="s">
        <v>2522</v>
      </c>
      <c r="C512" t="s">
        <v>2338</v>
      </c>
      <c r="D512" t="s">
        <v>2523</v>
      </c>
      <c r="E512" t="s">
        <v>79</v>
      </c>
      <c r="F512" s="4">
        <v>40671</v>
      </c>
      <c r="G512">
        <v>14</v>
      </c>
      <c r="H512" t="s">
        <v>2511</v>
      </c>
      <c r="I512" t="s">
        <v>2512</v>
      </c>
      <c r="J512" s="4" t="s">
        <v>70</v>
      </c>
      <c r="K512" s="4" t="s">
        <v>71</v>
      </c>
      <c r="L512" t="s">
        <v>2524</v>
      </c>
      <c r="M512" t="s">
        <v>2508</v>
      </c>
      <c r="N512" t="s">
        <v>2509</v>
      </c>
      <c r="O512">
        <f>IFERROR(VLOOKUP(HEVARIM[[#This Row],[קוד תקציב]],[2]תקציבים!A:L,6,0),0)</f>
        <v>2</v>
      </c>
      <c r="P512" s="5" t="s">
        <v>227</v>
      </c>
      <c r="Q512" t="s">
        <v>14</v>
      </c>
      <c r="R512" s="4">
        <v>42248</v>
      </c>
      <c r="S512" s="4" t="s">
        <v>90</v>
      </c>
      <c r="T512" s="96" t="s">
        <v>2511</v>
      </c>
      <c r="U512" t="str">
        <f>VLOOKUP(HEVARIM[[#This Row],[גיל]],GIL,2,1)</f>
        <v>חטיבה</v>
      </c>
      <c r="V512">
        <f>IF(HEVARIM[[#This Row],[קוד מעמד]]="4     ",IF(HEVARIM[[#This Row],[גיל]]=1,1,IF(HEVARIM[[#This Row],[גיל]]&lt;=5,5,18)),"")</f>
        <v>18</v>
      </c>
      <c r="W512">
        <f t="shared" si="28"/>
        <v>0</v>
      </c>
      <c r="X5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2">
        <f>IF(HEVARIM[[#This Row],[מצב משפחתי2]]="אלמן",'[2]ריכוז נתונים'!$AC$2,0)</f>
        <v>0</v>
      </c>
      <c r="Z512" s="3">
        <f>VLOOKUP(VALUE(HEVARIM[[#This Row],[קוד מעמד]]),הנחות!$I$2:$K$21,3,0)</f>
        <v>1</v>
      </c>
      <c r="AA512" t="b">
        <f>ISERROR(VLOOKUP(HEVARIM[[#This Row],[קוד תקציב]],'[2]ריכוז נתונים'!A:A,1,0))</f>
        <v>0</v>
      </c>
      <c r="AB512" s="1">
        <f t="shared" si="29"/>
        <v>0</v>
      </c>
      <c r="AC512" s="2">
        <f ca="1">IF(HEVARIM[[#This Row],[בר מצוה]]&gt;0,YEAR(TODAY())+'תקציבים מיוחדים'!$F$5-HEVARIM[[#This Row],[גיל]],0)</f>
        <v>0</v>
      </c>
      <c r="AD512" s="1">
        <f t="shared" si="30"/>
        <v>0</v>
      </c>
      <c r="AE512" s="2">
        <f ca="1">IF(HEVARIM[[#This Row],[בת מצוה]]&gt;0,YEAR(TODAY())+'תקציבים מיוחדים'!$F$5-HEVARIM[[#This Row],[גיל]],0)</f>
        <v>0</v>
      </c>
      <c r="AF512" s="1">
        <f>IF(AND($S512&gt;="רווק",$Z512=1),AF$4*IF(HEVARIM[[#This Row],[גיל]]&gt;$AF$3,1,(($G512-AF$2)/(AF$3-AF$2))),0)</f>
        <v>40341.666666666664</v>
      </c>
      <c r="AG512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512" s="1">
        <f t="shared" si="31"/>
        <v>70392.333333333328</v>
      </c>
      <c r="AI512" s="2">
        <f ca="1">IF(AH512&gt;0,YEAR(TODAY())+'תקציבים מיוחדים'!$F$7-HEVARIM[[#This Row],[גיל]],0)</f>
        <v>2033</v>
      </c>
      <c r="AJ512" s="9">
        <f>IF(AND(ISERROR(VLOOKUP(H512,'[2]ריכוז נתונים'!A:L,1,0)),P512="1     "),1,0)</f>
        <v>0</v>
      </c>
      <c r="AK51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2" s="1">
        <f>IF(AND(VALUE(HEVARIM[[#This Row],[קוד מעמד]])=1,HEVARIM[[#This Row],[ותק מחברה 40]]&lt;25),HEVARIM[[#This Row],[ותק מחברה 40]]/25*הנחות!$C$4,0)</f>
        <v>0</v>
      </c>
      <c r="AM512" s="9" t="str">
        <f ca="1">IF(HEVARIM[[#This Row],[דמי עזיבה 25 שנות ותק]]&gt;0,YEAR(TODAY())+25-ROUNDDOWN(HEVARIM[[#This Row],[ותק מחברה 40]],0),"")</f>
        <v/>
      </c>
      <c r="AN51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2" s="9" t="str">
        <f ca="1">IF(HEVARIM[[#This Row],[דמי עזיבה לגיל 65]]&gt;0,YEAR(TODAY())+64-ROUNDDOWN(HEVARIM[[#This Row],[גיל]],0),"")</f>
        <v/>
      </c>
      <c r="AP512" s="1">
        <f>SUMIF(HEVARIM[קוד תקציב],HEVARIM[[#This Row],[קוד תקציב משפחה מקורי]],HEVARIM[ותק מחברה 40])</f>
        <v>20.02</v>
      </c>
      <c r="AQ5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2" s="9">
        <f>IF(HEVARIM[[#This Row],[קוד מעמד]]="1     ",IFERROR(VLOOKUP(HEVARIM[[#This Row],[קוד תקציב]],'תקציב צביעה - לקראת השינוי'!A:F,4,0),0),0)</f>
        <v>0</v>
      </c>
      <c r="AT512" s="1"/>
    </row>
    <row r="513" spans="1:46">
      <c r="A513" t="s">
        <v>2525</v>
      </c>
      <c r="B513" t="s">
        <v>2526</v>
      </c>
      <c r="C513" t="s">
        <v>2338</v>
      </c>
      <c r="D513" t="s">
        <v>2527</v>
      </c>
      <c r="E513" t="s">
        <v>67</v>
      </c>
      <c r="F513" s="4">
        <v>41603</v>
      </c>
      <c r="G513">
        <v>12</v>
      </c>
      <c r="H513" t="s">
        <v>2511</v>
      </c>
      <c r="I513" t="s">
        <v>2512</v>
      </c>
      <c r="J513" s="4" t="s">
        <v>70</v>
      </c>
      <c r="K513" s="4" t="s">
        <v>71</v>
      </c>
      <c r="L513" t="s">
        <v>2528</v>
      </c>
      <c r="M513" t="s">
        <v>2508</v>
      </c>
      <c r="N513" t="s">
        <v>2509</v>
      </c>
      <c r="O513">
        <f>IFERROR(VLOOKUP(HEVARIM[[#This Row],[קוד תקציב]],[2]תקציבים!A:L,6,0),0)</f>
        <v>2</v>
      </c>
      <c r="P513" s="5" t="s">
        <v>227</v>
      </c>
      <c r="Q513" t="s">
        <v>14</v>
      </c>
      <c r="R513" s="4">
        <v>42248</v>
      </c>
      <c r="S513" s="4" t="s">
        <v>90</v>
      </c>
      <c r="T513" s="96" t="s">
        <v>2511</v>
      </c>
      <c r="U513" t="str">
        <f>VLOOKUP(HEVARIM[[#This Row],[גיל]],GIL,2,1)</f>
        <v>יסודי</v>
      </c>
      <c r="V513">
        <f>IF(HEVARIM[[#This Row],[קוד מעמד]]="4     ",IF(HEVARIM[[#This Row],[גיל]]=1,1,IF(HEVARIM[[#This Row],[גיל]]&lt;=5,5,18)),"")</f>
        <v>18</v>
      </c>
      <c r="W513">
        <f t="shared" si="28"/>
        <v>0</v>
      </c>
      <c r="X5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3">
        <f>IF(HEVARIM[[#This Row],[מצב משפחתי2]]="אלמן",'[2]ריכוז נתונים'!$AC$2,0)</f>
        <v>0</v>
      </c>
      <c r="Z513" s="3">
        <f>VLOOKUP(VALUE(HEVARIM[[#This Row],[קוד מעמד]]),הנחות!$I$2:$K$21,3,0)</f>
        <v>1</v>
      </c>
      <c r="AA513" t="b">
        <f>ISERROR(VLOOKUP(HEVARIM[[#This Row],[קוד תקציב]],'[2]ריכוז נתונים'!A:A,1,0))</f>
        <v>0</v>
      </c>
      <c r="AB513" s="1">
        <f t="shared" si="29"/>
        <v>6613.8461538461543</v>
      </c>
      <c r="AC513" s="2">
        <f ca="1">IF(HEVARIM[[#This Row],[בר מצוה]]&gt;0,YEAR(TODAY())+'תקציבים מיוחדים'!$F$5-HEVARIM[[#This Row],[גיל]],0)</f>
        <v>2027</v>
      </c>
      <c r="AD513" s="1">
        <f t="shared" si="30"/>
        <v>0</v>
      </c>
      <c r="AE513" s="2">
        <f ca="1">IF(HEVARIM[[#This Row],[בת מצוה]]&gt;0,YEAR(TODAY())+'תקציבים מיוחדים'!$F$5-HEVARIM[[#This Row],[גיל]],0)</f>
        <v>0</v>
      </c>
      <c r="AF513" s="1">
        <f>IF(AND($S513&gt;="רווק",$Z513=1),AF$4*IF(HEVARIM[[#This Row],[גיל]]&gt;$AF$3,1,(($G513-AF$2)/(AF$3-AF$2))),0)</f>
        <v>34578.571428571428</v>
      </c>
      <c r="AG513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513" s="1">
        <f t="shared" si="31"/>
        <v>60336.28571428571</v>
      </c>
      <c r="AI513" s="2">
        <f ca="1">IF(AH513&gt;0,YEAR(TODAY())+'תקציבים מיוחדים'!$F$7-HEVARIM[[#This Row],[גיל]],0)</f>
        <v>2035</v>
      </c>
      <c r="AJ513" s="9">
        <f>IF(AND(ISERROR(VLOOKUP(H513,'[2]ריכוז נתונים'!A:L,1,0)),P513="1     "),1,0)</f>
        <v>0</v>
      </c>
      <c r="AK51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3" s="1">
        <f>IF(AND(VALUE(HEVARIM[[#This Row],[קוד מעמד]])=1,HEVARIM[[#This Row],[ותק מחברה 40]]&lt;25),HEVARIM[[#This Row],[ותק מחברה 40]]/25*הנחות!$C$4,0)</f>
        <v>0</v>
      </c>
      <c r="AM513" s="9" t="str">
        <f ca="1">IF(HEVARIM[[#This Row],[דמי עזיבה 25 שנות ותק]]&gt;0,YEAR(TODAY())+25-ROUNDDOWN(HEVARIM[[#This Row],[ותק מחברה 40]],0),"")</f>
        <v/>
      </c>
      <c r="AN5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3" s="9" t="str">
        <f ca="1">IF(HEVARIM[[#This Row],[דמי עזיבה לגיל 65]]&gt;0,YEAR(TODAY())+64-ROUNDDOWN(HEVARIM[[#This Row],[גיל]],0),"")</f>
        <v/>
      </c>
      <c r="AP513" s="1">
        <f>SUMIF(HEVARIM[קוד תקציב],HEVARIM[[#This Row],[קוד תקציב משפחה מקורי]],HEVARIM[ותק מחברה 40])</f>
        <v>20.02</v>
      </c>
      <c r="AQ5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3" s="9">
        <f>IF(HEVARIM[[#This Row],[קוד מעמד]]="1     ",IFERROR(VLOOKUP(HEVARIM[[#This Row],[קוד תקציב]],'תקציב צביעה - לקראת השינוי'!A:F,4,0),0),0)</f>
        <v>0</v>
      </c>
      <c r="AT513" s="1"/>
    </row>
    <row r="514" spans="1:46">
      <c r="A514" t="s">
        <v>2529</v>
      </c>
      <c r="B514" t="s">
        <v>2530</v>
      </c>
      <c r="C514" t="s">
        <v>2338</v>
      </c>
      <c r="D514" t="s">
        <v>2531</v>
      </c>
      <c r="E514" t="s">
        <v>67</v>
      </c>
      <c r="F514" s="4">
        <v>42954</v>
      </c>
      <c r="G514">
        <v>8</v>
      </c>
      <c r="H514" t="s">
        <v>2511</v>
      </c>
      <c r="I514" t="s">
        <v>2512</v>
      </c>
      <c r="J514" s="4" t="s">
        <v>70</v>
      </c>
      <c r="K514" s="4" t="s">
        <v>71</v>
      </c>
      <c r="L514" t="s">
        <v>2532</v>
      </c>
      <c r="M514" t="s">
        <v>2508</v>
      </c>
      <c r="N514" t="s">
        <v>2509</v>
      </c>
      <c r="O514">
        <f>IFERROR(VLOOKUP(HEVARIM[[#This Row],[קוד תקציב]],[2]תקציבים!A:L,6,0),0)</f>
        <v>2</v>
      </c>
      <c r="P514" s="5" t="s">
        <v>227</v>
      </c>
      <c r="Q514" t="s">
        <v>14</v>
      </c>
      <c r="R514" s="4">
        <v>42954</v>
      </c>
      <c r="S514" s="4" t="s">
        <v>90</v>
      </c>
      <c r="T514" s="96" t="s">
        <v>2511</v>
      </c>
      <c r="U514" t="str">
        <f>VLOOKUP(HEVARIM[[#This Row],[גיל]],GIL,2,1)</f>
        <v>יסודי</v>
      </c>
      <c r="V514">
        <f>IF(HEVARIM[[#This Row],[קוד מעמד]]="4     ",IF(HEVARIM[[#This Row],[גיל]]=1,1,IF(HEVARIM[[#This Row],[גיל]]&lt;=5,5,18)),"")</f>
        <v>18</v>
      </c>
      <c r="W514">
        <f t="shared" si="28"/>
        <v>0</v>
      </c>
      <c r="X51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4">
        <f>IF(HEVARIM[[#This Row],[מצב משפחתי2]]="אלמן",'[2]ריכוז נתונים'!$AC$2,0)</f>
        <v>0</v>
      </c>
      <c r="Z514" s="3">
        <f>VLOOKUP(VALUE(HEVARIM[[#This Row],[קוד מעמד]]),הנחות!$I$2:$K$21,3,0)</f>
        <v>1</v>
      </c>
      <c r="AA514" t="b">
        <f>ISERROR(VLOOKUP(HEVARIM[[#This Row],[קוד תקציב]],'[2]ריכוז נתונים'!A:A,1,0))</f>
        <v>0</v>
      </c>
      <c r="AB514" s="1">
        <f t="shared" si="29"/>
        <v>4409.2307692307695</v>
      </c>
      <c r="AC514" s="2">
        <f ca="1">IF(HEVARIM[[#This Row],[בר מצוה]]&gt;0,YEAR(TODAY())+'תקציבים מיוחדים'!$F$5-HEVARIM[[#This Row],[גיל]],0)</f>
        <v>2031</v>
      </c>
      <c r="AD514" s="1">
        <f t="shared" si="30"/>
        <v>0</v>
      </c>
      <c r="AE514" s="2">
        <f ca="1">IF(HEVARIM[[#This Row],[בת מצוה]]&gt;0,YEAR(TODAY())+'תקציבים מיוחדים'!$F$5-HEVARIM[[#This Row],[גיל]],0)</f>
        <v>0</v>
      </c>
      <c r="AF514" s="1">
        <f>IF(AND($S514&gt;="רווק",$Z514=1),AF$4*IF(HEVARIM[[#This Row],[גיל]]&gt;$AF$3,1,(($G514-AF$2)/(AF$3-AF$2))),0)</f>
        <v>23052.38095238095</v>
      </c>
      <c r="AG514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514" s="1">
        <f t="shared" si="31"/>
        <v>40224.190476190473</v>
      </c>
      <c r="AI514" s="2">
        <f ca="1">IF(AH514&gt;0,YEAR(TODAY())+'תקציבים מיוחדים'!$F$7-HEVARIM[[#This Row],[גיל]],0)</f>
        <v>2039</v>
      </c>
      <c r="AJ514" s="9">
        <f>IF(AND(ISERROR(VLOOKUP(H514,'[2]ריכוז נתונים'!A:L,1,0)),P514="1     "),1,0)</f>
        <v>0</v>
      </c>
      <c r="AK51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4" s="1">
        <f>IF(AND(VALUE(HEVARIM[[#This Row],[קוד מעמד]])=1,HEVARIM[[#This Row],[ותק מחברה 40]]&lt;25),HEVARIM[[#This Row],[ותק מחברה 40]]/25*הנחות!$C$4,0)</f>
        <v>0</v>
      </c>
      <c r="AM514" s="9" t="str">
        <f ca="1">IF(HEVARIM[[#This Row],[דמי עזיבה 25 שנות ותק]]&gt;0,YEAR(TODAY())+25-ROUNDDOWN(HEVARIM[[#This Row],[ותק מחברה 40]],0),"")</f>
        <v/>
      </c>
      <c r="AN5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4" s="9" t="str">
        <f ca="1">IF(HEVARIM[[#This Row],[דמי עזיבה לגיל 65]]&gt;0,YEAR(TODAY())+64-ROUNDDOWN(HEVARIM[[#This Row],[גיל]],0),"")</f>
        <v/>
      </c>
      <c r="AP514" s="1">
        <f>SUMIF(HEVARIM[קוד תקציב],HEVARIM[[#This Row],[קוד תקציב משפחה מקורי]],HEVARIM[ותק מחברה 40])</f>
        <v>20.02</v>
      </c>
      <c r="AQ5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4" s="9">
        <f>IF(HEVARIM[[#This Row],[קוד מעמד]]="1     ",IFERROR(VLOOKUP(HEVARIM[[#This Row],[קוד תקציב]],'תקציב צביעה - לקראת השינוי'!A:F,4,0),0),0)</f>
        <v>0</v>
      </c>
      <c r="AT514" s="1"/>
    </row>
    <row r="515" spans="1:46">
      <c r="A515" t="s">
        <v>2533</v>
      </c>
      <c r="B515" t="s">
        <v>2534</v>
      </c>
      <c r="C515" t="s">
        <v>2338</v>
      </c>
      <c r="D515" t="s">
        <v>2535</v>
      </c>
      <c r="E515" t="s">
        <v>67</v>
      </c>
      <c r="F515" s="4">
        <v>43741</v>
      </c>
      <c r="G515">
        <v>6</v>
      </c>
      <c r="H515" t="s">
        <v>2511</v>
      </c>
      <c r="I515" t="s">
        <v>2512</v>
      </c>
      <c r="J515" s="4" t="s">
        <v>70</v>
      </c>
      <c r="K515" s="4" t="s">
        <v>71</v>
      </c>
      <c r="L515" t="s">
        <v>2536</v>
      </c>
      <c r="M515" t="s">
        <v>2508</v>
      </c>
      <c r="N515" t="s">
        <v>2509</v>
      </c>
      <c r="O515">
        <f>IFERROR(VLOOKUP(HEVARIM[[#This Row],[קוד תקציב]],[2]תקציבים!A:L,6,0),0)</f>
        <v>2</v>
      </c>
      <c r="P515" s="5" t="s">
        <v>227</v>
      </c>
      <c r="Q515" t="s">
        <v>14</v>
      </c>
      <c r="R515" s="4">
        <v>43741</v>
      </c>
      <c r="S515" s="4" t="s">
        <v>90</v>
      </c>
      <c r="T515" s="96" t="s">
        <v>2511</v>
      </c>
      <c r="U515" t="str">
        <f>VLOOKUP(HEVARIM[[#This Row],[גיל]],GIL,2,1)</f>
        <v>יסודי</v>
      </c>
      <c r="V515">
        <f>IF(HEVARIM[[#This Row],[קוד מעמד]]="4     ",IF(HEVARIM[[#This Row],[גיל]]=1,1,IF(HEVARIM[[#This Row],[גיל]]&lt;=5,5,18)),"")</f>
        <v>18</v>
      </c>
      <c r="W515">
        <f t="shared" si="28"/>
        <v>0</v>
      </c>
      <c r="X51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5">
        <f>IF(HEVARIM[[#This Row],[מצב משפחתי2]]="אלמן",'[2]ריכוז נתונים'!$AC$2,0)</f>
        <v>0</v>
      </c>
      <c r="Z515" s="3">
        <f>VLOOKUP(VALUE(HEVARIM[[#This Row],[קוד מעמד]]),הנחות!$I$2:$K$21,3,0)</f>
        <v>1</v>
      </c>
      <c r="AA515" t="b">
        <f>ISERROR(VLOOKUP(HEVARIM[[#This Row],[קוד תקציב]],'[2]ריכוז נתונים'!A:A,1,0))</f>
        <v>0</v>
      </c>
      <c r="AB515" s="1">
        <f t="shared" si="29"/>
        <v>3306.9230769230771</v>
      </c>
      <c r="AC515" s="2">
        <f ca="1">IF(HEVARIM[[#This Row],[בר מצוה]]&gt;0,YEAR(TODAY())+'תקציבים מיוחדים'!$F$5-HEVARIM[[#This Row],[גיל]],0)</f>
        <v>2033</v>
      </c>
      <c r="AD515" s="1">
        <f t="shared" si="30"/>
        <v>0</v>
      </c>
      <c r="AE515" s="2">
        <f ca="1">IF(HEVARIM[[#This Row],[בת מצוה]]&gt;0,YEAR(TODAY())+'תקציבים מיוחדים'!$F$5-HEVARIM[[#This Row],[גיל]],0)</f>
        <v>0</v>
      </c>
      <c r="AF515" s="1">
        <f>IF(AND($S515&gt;="רווק",$Z515=1),AF$4*IF(HEVARIM[[#This Row],[גיל]]&gt;$AF$3,1,(($G515-AF$2)/(AF$3-AF$2))),0)</f>
        <v>17289.285714285714</v>
      </c>
      <c r="AG515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515" s="1">
        <f t="shared" si="31"/>
        <v>30168.142857142855</v>
      </c>
      <c r="AI515" s="2">
        <f ca="1">IF(AH515&gt;0,YEAR(TODAY())+'תקציבים מיוחדים'!$F$7-HEVARIM[[#This Row],[גיל]],0)</f>
        <v>2041</v>
      </c>
      <c r="AJ515" s="9">
        <f>IF(AND(ISERROR(VLOOKUP(H515,'[2]ריכוז נתונים'!A:L,1,0)),P515="1     "),1,0)</f>
        <v>0</v>
      </c>
      <c r="AK51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5" s="1">
        <f>IF(AND(VALUE(HEVARIM[[#This Row],[קוד מעמד]])=1,HEVARIM[[#This Row],[ותק מחברה 40]]&lt;25),HEVARIM[[#This Row],[ותק מחברה 40]]/25*הנחות!$C$4,0)</f>
        <v>0</v>
      </c>
      <c r="AM515" s="9" t="str">
        <f ca="1">IF(HEVARIM[[#This Row],[דמי עזיבה 25 שנות ותק]]&gt;0,YEAR(TODAY())+25-ROUNDDOWN(HEVARIM[[#This Row],[ותק מחברה 40]],0),"")</f>
        <v/>
      </c>
      <c r="AN51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5" s="9" t="str">
        <f ca="1">IF(HEVARIM[[#This Row],[דמי עזיבה לגיל 65]]&gt;0,YEAR(TODAY())+64-ROUNDDOWN(HEVARIM[[#This Row],[גיל]],0),"")</f>
        <v/>
      </c>
      <c r="AP515" s="1">
        <f>SUMIF(HEVARIM[קוד תקציב],HEVARIM[[#This Row],[קוד תקציב משפחה מקורי]],HEVARIM[ותק מחברה 40])</f>
        <v>20.02</v>
      </c>
      <c r="AQ5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5" s="9">
        <f>IF(HEVARIM[[#This Row],[קוד מעמד]]="1     ",IFERROR(VLOOKUP(HEVARIM[[#This Row],[קוד תקציב]],'תקציב צביעה - לקראת השינוי'!A:F,4,0),0),0)</f>
        <v>0</v>
      </c>
      <c r="AT515" s="1"/>
    </row>
    <row r="516" spans="1:46">
      <c r="A516" t="s">
        <v>2537</v>
      </c>
      <c r="B516" t="s">
        <v>2538</v>
      </c>
      <c r="C516" t="s">
        <v>2338</v>
      </c>
      <c r="D516" t="s">
        <v>2539</v>
      </c>
      <c r="E516" t="s">
        <v>67</v>
      </c>
      <c r="F516" s="4">
        <v>45159</v>
      </c>
      <c r="G516">
        <v>2</v>
      </c>
      <c r="H516" t="s">
        <v>2511</v>
      </c>
      <c r="I516" t="s">
        <v>2512</v>
      </c>
      <c r="J516" s="4" t="s">
        <v>70</v>
      </c>
      <c r="K516" s="4" t="s">
        <v>71</v>
      </c>
      <c r="L516" t="s">
        <v>2540</v>
      </c>
      <c r="M516" t="s">
        <v>2508</v>
      </c>
      <c r="N516" t="s">
        <v>2509</v>
      </c>
      <c r="O516">
        <f>IFERROR(VLOOKUP(HEVARIM[[#This Row],[קוד תקציב]],[2]תקציבים!A:L,6,0),0)</f>
        <v>2</v>
      </c>
      <c r="P516" s="5" t="s">
        <v>227</v>
      </c>
      <c r="Q516" t="s">
        <v>14</v>
      </c>
      <c r="R516" s="4">
        <v>45159</v>
      </c>
      <c r="S516" s="4" t="s">
        <v>90</v>
      </c>
      <c r="T516" s="96" t="s">
        <v>2511</v>
      </c>
      <c r="U516" t="str">
        <f>VLOOKUP(HEVARIM[[#This Row],[גיל]],GIL,2,1)</f>
        <v>פעוט</v>
      </c>
      <c r="V516">
        <f>IF(HEVARIM[[#This Row],[קוד מעמד]]="4     ",IF(HEVARIM[[#This Row],[גיל]]=1,1,IF(HEVARIM[[#This Row],[גיל]]&lt;=5,5,18)),"")</f>
        <v>5</v>
      </c>
      <c r="W516">
        <f t="shared" si="28"/>
        <v>0</v>
      </c>
      <c r="X5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6">
        <f>IF(HEVARIM[[#This Row],[מצב משפחתי2]]="אלמן",'[2]ריכוז נתונים'!$AC$2,0)</f>
        <v>0</v>
      </c>
      <c r="Z516" s="3">
        <f>VLOOKUP(VALUE(HEVARIM[[#This Row],[קוד מעמד]]),הנחות!$I$2:$K$21,3,0)</f>
        <v>1</v>
      </c>
      <c r="AA516" t="b">
        <f>ISERROR(VLOOKUP(HEVARIM[[#This Row],[קוד תקציב]],'[2]ריכוז נתונים'!A:A,1,0))</f>
        <v>0</v>
      </c>
      <c r="AB516" s="1">
        <f t="shared" si="29"/>
        <v>1102.3076923076924</v>
      </c>
      <c r="AC516" s="2">
        <f ca="1">IF(HEVARIM[[#This Row],[בר מצוה]]&gt;0,YEAR(TODAY())+'תקציבים מיוחדים'!$F$5-HEVARIM[[#This Row],[גיל]],0)</f>
        <v>2037</v>
      </c>
      <c r="AD516" s="1">
        <f t="shared" si="30"/>
        <v>0</v>
      </c>
      <c r="AE516" s="2">
        <f ca="1">IF(HEVARIM[[#This Row],[בת מצוה]]&gt;0,YEAR(TODAY())+'תקציבים מיוחדים'!$F$5-HEVARIM[[#This Row],[גיל]],0)</f>
        <v>0</v>
      </c>
      <c r="AF516" s="1">
        <f>IF(AND($S516&gt;="רווק",$Z516=1),AF$4*IF(HEVARIM[[#This Row],[גיל]]&gt;$AF$3,1,(($G516-AF$2)/(AF$3-AF$2))),0)</f>
        <v>5763.0952380952376</v>
      </c>
      <c r="AG516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516" s="1">
        <f t="shared" si="31"/>
        <v>10056.047619047618</v>
      </c>
      <c r="AI516" s="2">
        <f ca="1">IF(AH516&gt;0,YEAR(TODAY())+'תקציבים מיוחדים'!$F$7-HEVARIM[[#This Row],[גיל]],0)</f>
        <v>2045</v>
      </c>
      <c r="AJ516" s="9">
        <f>IF(AND(ISERROR(VLOOKUP(H516,'[2]ריכוז נתונים'!A:L,1,0)),P516="1     "),1,0)</f>
        <v>0</v>
      </c>
      <c r="AK51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6" s="1">
        <f>IF(AND(VALUE(HEVARIM[[#This Row],[קוד מעמד]])=1,HEVARIM[[#This Row],[ותק מחברה 40]]&lt;25),HEVARIM[[#This Row],[ותק מחברה 40]]/25*הנחות!$C$4,0)</f>
        <v>0</v>
      </c>
      <c r="AM516" s="9" t="str">
        <f ca="1">IF(HEVARIM[[#This Row],[דמי עזיבה 25 שנות ותק]]&gt;0,YEAR(TODAY())+25-ROUNDDOWN(HEVARIM[[#This Row],[ותק מחברה 40]],0),"")</f>
        <v/>
      </c>
      <c r="AN5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6" s="9" t="str">
        <f ca="1">IF(HEVARIM[[#This Row],[דמי עזיבה לגיל 65]]&gt;0,YEAR(TODAY())+64-ROUNDDOWN(HEVARIM[[#This Row],[גיל]],0),"")</f>
        <v/>
      </c>
      <c r="AP516" s="1">
        <f>SUMIF(HEVARIM[קוד תקציב],HEVARIM[[#This Row],[קוד תקציב משפחה מקורי]],HEVARIM[ותק מחברה 40])</f>
        <v>20.02</v>
      </c>
      <c r="AQ5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6" s="9">
        <f>IF(HEVARIM[[#This Row],[קוד מעמד]]="1     ",IFERROR(VLOOKUP(HEVARIM[[#This Row],[קוד תקציב]],'תקציב צביעה - לקראת השינוי'!A:F,4,0),0),0)</f>
        <v>0</v>
      </c>
      <c r="AT516" s="1"/>
    </row>
    <row r="517" spans="1:46">
      <c r="A517" t="s">
        <v>2547</v>
      </c>
      <c r="B517" t="s">
        <v>2548</v>
      </c>
      <c r="C517" t="s">
        <v>2549</v>
      </c>
      <c r="D517" t="s">
        <v>2550</v>
      </c>
      <c r="E517" t="s">
        <v>67</v>
      </c>
      <c r="F517" s="4">
        <v>34865</v>
      </c>
      <c r="G517">
        <v>30</v>
      </c>
      <c r="H517" t="s">
        <v>2551</v>
      </c>
      <c r="I517" t="s">
        <v>2552</v>
      </c>
      <c r="J517" s="4" t="s">
        <v>70</v>
      </c>
      <c r="K517" s="4" t="s">
        <v>81</v>
      </c>
      <c r="L517" t="s">
        <v>2553</v>
      </c>
      <c r="M517" t="s">
        <v>2547</v>
      </c>
      <c r="N517" t="s">
        <v>2548</v>
      </c>
      <c r="O517">
        <f>IFERROR(VLOOKUP(HEVARIM[[#This Row],[קוד תקציב]],[2]תקציבים!A:L,6,0),0)</f>
        <v>0</v>
      </c>
      <c r="P517" s="5" t="s">
        <v>83</v>
      </c>
      <c r="Q517" t="s">
        <v>15</v>
      </c>
      <c r="R517" s="4">
        <v>45524</v>
      </c>
      <c r="S517" s="4" t="s">
        <v>74</v>
      </c>
      <c r="T517" s="96" t="s">
        <v>2551</v>
      </c>
      <c r="U517" t="str">
        <f>VLOOKUP(HEVARIM[[#This Row],[גיל]],GIL,2,1)</f>
        <v>--</v>
      </c>
      <c r="V517" t="str">
        <f>IF(HEVARIM[[#This Row],[קוד מעמד]]="4     ",IF(HEVARIM[[#This Row],[גיל]]=1,1,IF(HEVARIM[[#This Row],[גיל]]&lt;=5,5,18)),"")</f>
        <v/>
      </c>
      <c r="W517">
        <f t="shared" si="28"/>
        <v>0</v>
      </c>
      <c r="X51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17">
        <f>IF(HEVARIM[[#This Row],[מצב משפחתי2]]="אלמן",'[2]ריכוז נתונים'!$AC$2,0)</f>
        <v>0</v>
      </c>
      <c r="Z517" s="3">
        <f>VLOOKUP(VALUE(HEVARIM[[#This Row],[קוד מעמד]]),הנחות!$I$2:$K$21,3,0)</f>
        <v>0</v>
      </c>
      <c r="AA517" t="b">
        <f>ISERROR(VLOOKUP(HEVARIM[[#This Row],[קוד תקציב]],'[2]ריכוז נתונים'!A:A,1,0))</f>
        <v>1</v>
      </c>
      <c r="AB517" s="1">
        <f t="shared" si="29"/>
        <v>0</v>
      </c>
      <c r="AC517" s="2">
        <f ca="1">IF(HEVARIM[[#This Row],[בר מצוה]]&gt;0,YEAR(TODAY())+'תקציבים מיוחדים'!$F$5-HEVARIM[[#This Row],[גיל]],0)</f>
        <v>0</v>
      </c>
      <c r="AD517" s="1">
        <f t="shared" si="30"/>
        <v>0</v>
      </c>
      <c r="AE517" s="2">
        <f ca="1">IF(HEVARIM[[#This Row],[בת מצוה]]&gt;0,YEAR(TODAY())+'תקציבים מיוחדים'!$F$5-HEVARIM[[#This Row],[גיל]],0)</f>
        <v>0</v>
      </c>
      <c r="AF517" s="1">
        <f>IF(AND($S517&gt;="רווק",$Z517=1),AF$4*IF(HEVARIM[[#This Row],[גיל]]&gt;$AF$3,1,(($G517-AF$2)/(AF$3-AF$2))),0)</f>
        <v>0</v>
      </c>
      <c r="AG51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17" s="1">
        <f t="shared" si="31"/>
        <v>0</v>
      </c>
      <c r="AI517" s="2">
        <f ca="1">IF(AH517&gt;0,YEAR(TODAY())+'תקציבים מיוחדים'!$F$7-HEVARIM[[#This Row],[גיל]],0)</f>
        <v>0</v>
      </c>
      <c r="AJ517" s="9">
        <f>IF(AND(ISERROR(VLOOKUP(H517,'[2]ריכוז נתונים'!A:L,1,0)),P517="1     "),1,0)</f>
        <v>0</v>
      </c>
      <c r="AK51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17" s="1">
        <f>IF(AND(VALUE(HEVARIM[[#This Row],[קוד מעמד]])=1,HEVARIM[[#This Row],[ותק מחברה 40]]&lt;25),HEVARIM[[#This Row],[ותק מחברה 40]]/25*הנחות!$C$4,0)</f>
        <v>0</v>
      </c>
      <c r="AM517" s="9" t="str">
        <f ca="1">IF(HEVARIM[[#This Row],[דמי עזיבה 25 שנות ותק]]&gt;0,YEAR(TODAY())+25-ROUNDDOWN(HEVARIM[[#This Row],[ותק מחברה 40]],0),"")</f>
        <v/>
      </c>
      <c r="AN5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7" s="9" t="str">
        <f ca="1">IF(HEVARIM[[#This Row],[דמי עזיבה לגיל 65]]&gt;0,YEAR(TODAY())+64-ROUNDDOWN(HEVARIM[[#This Row],[גיל]],0),"")</f>
        <v/>
      </c>
      <c r="AP517" s="1">
        <f>SUMIF(HEVARIM[קוד תקציב],HEVARIM[[#This Row],[קוד תקציב משפחה מקורי]],HEVARIM[ותק מחברה 40])</f>
        <v>0</v>
      </c>
      <c r="AQ5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17" s="9">
        <f>IF(HEVARIM[[#This Row],[קוד מעמד]]="1     ",IFERROR(VLOOKUP(HEVARIM[[#This Row],[קוד תקציב]],'תקציב צביעה - לקראת השינוי'!A:F,4,0),0),0)</f>
        <v>0</v>
      </c>
      <c r="AT517" s="1"/>
    </row>
    <row r="518" spans="1:46">
      <c r="A518" t="s">
        <v>2564</v>
      </c>
      <c r="B518" t="s">
        <v>2565</v>
      </c>
      <c r="C518" t="s">
        <v>2566</v>
      </c>
      <c r="D518" t="s">
        <v>868</v>
      </c>
      <c r="E518" t="s">
        <v>67</v>
      </c>
      <c r="F518" s="4">
        <v>16602</v>
      </c>
      <c r="G518">
        <v>80</v>
      </c>
      <c r="H518" t="s">
        <v>2567</v>
      </c>
      <c r="I518" t="s">
        <v>2568</v>
      </c>
      <c r="J518" s="4" t="s">
        <v>70</v>
      </c>
      <c r="K518" s="4" t="s">
        <v>71</v>
      </c>
      <c r="L518" t="s">
        <v>2569</v>
      </c>
      <c r="M518" t="s">
        <v>2564</v>
      </c>
      <c r="N518" t="s">
        <v>2565</v>
      </c>
      <c r="O518">
        <f>IFERROR(VLOOKUP(HEVARIM[[#This Row],[קוד תקציב]],[2]תקציבים!A:L,6,0),0)</f>
        <v>2</v>
      </c>
      <c r="P518" s="5" t="s">
        <v>104</v>
      </c>
      <c r="Q518" t="s">
        <v>11</v>
      </c>
      <c r="R518" s="4">
        <v>25142</v>
      </c>
      <c r="S518" s="4" t="s">
        <v>74</v>
      </c>
      <c r="T518" s="96" t="s">
        <v>2567</v>
      </c>
      <c r="U518" t="str">
        <f>VLOOKUP(HEVARIM[[#This Row],[גיל]],GIL,2,1)</f>
        <v>--</v>
      </c>
      <c r="V518" t="str">
        <f>IF(HEVARIM[[#This Row],[קוד מעמד]]="4     ",IF(HEVARIM[[#This Row],[גיל]]=1,1,IF(HEVARIM[[#This Row],[גיל]]&lt;=5,5,18)),"")</f>
        <v/>
      </c>
      <c r="W518">
        <f t="shared" ref="W518:W581" si="32">IF(G518&lt;67,0,
 IF(O518=1,
   IF(G518&gt;=80,1896-231,1795-231),
 IF(O518=2,
   IF(G518&gt;=80,2899-332,2697-332),
 0))
)</f>
        <v>2567</v>
      </c>
      <c r="X51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18">
        <f>IF(HEVARIM[[#This Row],[מצב משפחתי2]]="אלמן",'[2]ריכוז נתונים'!$AC$2,0)</f>
        <v>0</v>
      </c>
      <c r="Z518" s="3">
        <f>VLOOKUP(VALUE(HEVARIM[[#This Row],[קוד מעמד]]),הנחות!$I$2:$K$21,3,0)</f>
        <v>0</v>
      </c>
      <c r="AA518" t="b">
        <f>ISERROR(VLOOKUP(HEVARIM[[#This Row],[קוד תקציב]],'[2]ריכוז נתונים'!A:A,1,0))</f>
        <v>0</v>
      </c>
      <c r="AB518" s="1">
        <f t="shared" ref="AB518:AB581" si="33">IF(AND($G518&gt;=AC$2,$G518&lt;=AC$3,$E518="ז ",$Z518=1),AC$4*(($G518-AC$2)/(AC$3-AC$2)),0)</f>
        <v>0</v>
      </c>
      <c r="AC518" s="2">
        <f ca="1">IF(HEVARIM[[#This Row],[בר מצוה]]&gt;0,YEAR(TODAY())+'תקציבים מיוחדים'!$F$5-HEVARIM[[#This Row],[גיל]],0)</f>
        <v>0</v>
      </c>
      <c r="AD518" s="1">
        <f t="shared" ref="AD518:AD581" si="34">IF(AND($G518&gt;=AE$2,$G518&lt;=AE$3,$E518="נ ",$Z518=1),AE$4*(($G518-AE$2)/(AE$3-AE$2)),0)</f>
        <v>0</v>
      </c>
      <c r="AE518" s="2">
        <f ca="1">IF(HEVARIM[[#This Row],[בת מצוה]]&gt;0,YEAR(TODAY())+'תקציבים מיוחדים'!$F$5-HEVARIM[[#This Row],[גיל]],0)</f>
        <v>0</v>
      </c>
      <c r="AF518" s="1">
        <f>IF(AND($S518&gt;="רווק",$Z518=1),AF$4*IF(HEVARIM[[#This Row],[גיל]]&gt;$AF$3,1,(($G518-AF$2)/(AF$3-AF$2))),0)</f>
        <v>0</v>
      </c>
      <c r="AG51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18" s="1">
        <f t="shared" ref="AH518:AH581" si="35">IF(AND($G518&gt;=AI$2,$G518&lt;=AI$3,$Z518=1),AI$4*(($G518-AI$2)/(AI$3-AI$2)),0)</f>
        <v>0</v>
      </c>
      <c r="AI518" s="2">
        <f ca="1">IF(AH518&gt;0,YEAR(TODAY())+'תקציבים מיוחדים'!$F$7-HEVARIM[[#This Row],[גיל]],0)</f>
        <v>0</v>
      </c>
      <c r="AJ518" s="9">
        <f>IF(AND(ISERROR(VLOOKUP(H518,'[2]ריכוז נתונים'!A:L,1,0)),P518="1     "),1,0)</f>
        <v>0</v>
      </c>
      <c r="AK518" s="1">
        <f>IF(VALUE(HEVARIM[[#This Row],[קוד מעמד]])=1,VLOOKUP((IF(LEFT(HEVARIM[[#This Row],[קוד חבר]],1)="0",HEVARIM[[#This Row],[קוד חבר]],VALUE(HEVARIM[[#This Row],[קוד חבר]]))),'ותק חברה 40'!AQ:AW,7,0),"")</f>
        <v>46.77</v>
      </c>
      <c r="AL518" s="1">
        <f>IF(AND(VALUE(HEVARIM[[#This Row],[קוד מעמד]])=1,HEVARIM[[#This Row],[ותק מחברה 40]]&lt;25),HEVARIM[[#This Row],[ותק מחברה 40]]/25*הנחות!$C$4,0)</f>
        <v>0</v>
      </c>
      <c r="AM518" s="9" t="str">
        <f ca="1">IF(HEVARIM[[#This Row],[דמי עזיבה 25 שנות ותק]]&gt;0,YEAR(TODAY())+25-ROUNDDOWN(HEVARIM[[#This Row],[ותק מחברה 40]],0),"")</f>
        <v/>
      </c>
      <c r="AN5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8" s="9" t="str">
        <f ca="1">IF(HEVARIM[[#This Row],[דמי עזיבה לגיל 65]]&gt;0,YEAR(TODAY())+64-ROUNDDOWN(HEVARIM[[#This Row],[גיל]],0),"")</f>
        <v/>
      </c>
      <c r="AP518" s="1">
        <f>SUMIF(HEVARIM[קוד תקציב],HEVARIM[[#This Row],[קוד תקציב משפחה מקורי]],HEVARIM[ותק מחברה 40])</f>
        <v>94.77000000000001</v>
      </c>
      <c r="AQ5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18" s="9">
        <f>IF(HEVARIM[[#This Row],[קוד מעמד]]="1     ",IFERROR(VLOOKUP(HEVARIM[[#This Row],[קוד תקציב]],'תקציב צביעה - לקראת השינוי'!A:F,4,0),0),0)</f>
        <v>2032</v>
      </c>
      <c r="AT518" s="1"/>
    </row>
    <row r="519" spans="1:46">
      <c r="A519" t="s">
        <v>2570</v>
      </c>
      <c r="B519" t="s">
        <v>2571</v>
      </c>
      <c r="C519" t="s">
        <v>2566</v>
      </c>
      <c r="D519" t="s">
        <v>166</v>
      </c>
      <c r="E519" t="s">
        <v>79</v>
      </c>
      <c r="F519" s="4">
        <v>17554</v>
      </c>
      <c r="G519">
        <v>77</v>
      </c>
      <c r="H519" t="s">
        <v>2567</v>
      </c>
      <c r="I519" t="s">
        <v>2568</v>
      </c>
      <c r="J519" s="4" t="s">
        <v>70</v>
      </c>
      <c r="K519" s="4" t="s">
        <v>71</v>
      </c>
      <c r="L519" t="s">
        <v>2572</v>
      </c>
      <c r="M519" t="s">
        <v>2564</v>
      </c>
      <c r="N519" t="s">
        <v>2565</v>
      </c>
      <c r="O519">
        <f>IFERROR(VLOOKUP(HEVARIM[[#This Row],[קוד תקציב]],[2]תקציבים!A:L,6,0),0)</f>
        <v>2</v>
      </c>
      <c r="P519" s="5" t="s">
        <v>104</v>
      </c>
      <c r="Q519" t="s">
        <v>11</v>
      </c>
      <c r="R519" s="4">
        <v>24046</v>
      </c>
      <c r="S519" s="4" t="s">
        <v>74</v>
      </c>
      <c r="T519" s="96" t="s">
        <v>2567</v>
      </c>
      <c r="U519" t="str">
        <f>VLOOKUP(HEVARIM[[#This Row],[גיל]],GIL,2,1)</f>
        <v>--</v>
      </c>
      <c r="V519" t="str">
        <f>IF(HEVARIM[[#This Row],[קוד מעמד]]="4     ",IF(HEVARIM[[#This Row],[גיל]]=1,1,IF(HEVARIM[[#This Row],[גיל]]&lt;=5,5,18)),"")</f>
        <v/>
      </c>
      <c r="W519">
        <f t="shared" si="32"/>
        <v>2365</v>
      </c>
      <c r="X51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19">
        <f>IF(HEVARIM[[#This Row],[מצב משפחתי2]]="אלמן",'[2]ריכוז נתונים'!$AC$2,0)</f>
        <v>0</v>
      </c>
      <c r="Z519" s="3">
        <f>VLOOKUP(VALUE(HEVARIM[[#This Row],[קוד מעמד]]),הנחות!$I$2:$K$21,3,0)</f>
        <v>0</v>
      </c>
      <c r="AA519" t="b">
        <f>ISERROR(VLOOKUP(HEVARIM[[#This Row],[קוד תקציב]],'[2]ריכוז נתונים'!A:A,1,0))</f>
        <v>0</v>
      </c>
      <c r="AB519" s="1">
        <f t="shared" si="33"/>
        <v>0</v>
      </c>
      <c r="AC519" s="2">
        <f ca="1">IF(HEVARIM[[#This Row],[בר מצוה]]&gt;0,YEAR(TODAY())+'תקציבים מיוחדים'!$F$5-HEVARIM[[#This Row],[גיל]],0)</f>
        <v>0</v>
      </c>
      <c r="AD519" s="1">
        <f t="shared" si="34"/>
        <v>0</v>
      </c>
      <c r="AE519" s="2">
        <f ca="1">IF(HEVARIM[[#This Row],[בת מצוה]]&gt;0,YEAR(TODAY())+'תקציבים מיוחדים'!$F$5-HEVARIM[[#This Row],[גיל]],0)</f>
        <v>0</v>
      </c>
      <c r="AF519" s="1">
        <f>IF(AND($S519&gt;="רווק",$Z519=1),AF$4*IF(HEVARIM[[#This Row],[גיל]]&gt;$AF$3,1,(($G519-AF$2)/(AF$3-AF$2))),0)</f>
        <v>0</v>
      </c>
      <c r="AG51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19" s="1">
        <f t="shared" si="35"/>
        <v>0</v>
      </c>
      <c r="AI519" s="2">
        <f ca="1">IF(AH519&gt;0,YEAR(TODAY())+'תקציבים מיוחדים'!$F$7-HEVARIM[[#This Row],[גיל]],0)</f>
        <v>0</v>
      </c>
      <c r="AJ519" s="9">
        <f>IF(AND(ISERROR(VLOOKUP(H519,'[2]ריכוז נתונים'!A:L,1,0)),P519="1     "),1,0)</f>
        <v>0</v>
      </c>
      <c r="AK519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519" s="1">
        <f>IF(AND(VALUE(HEVARIM[[#This Row],[קוד מעמד]])=1,HEVARIM[[#This Row],[ותק מחברה 40]]&lt;25),HEVARIM[[#This Row],[ותק מחברה 40]]/25*הנחות!$C$4,0)</f>
        <v>0</v>
      </c>
      <c r="AM519" s="9" t="str">
        <f ca="1">IF(HEVARIM[[#This Row],[דמי עזיבה 25 שנות ותק]]&gt;0,YEAR(TODAY())+25-ROUNDDOWN(HEVARIM[[#This Row],[ותק מחברה 40]],0),"")</f>
        <v/>
      </c>
      <c r="AN5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19" s="9" t="str">
        <f ca="1">IF(HEVARIM[[#This Row],[דמי עזיבה לגיל 65]]&gt;0,YEAR(TODAY())+64-ROUNDDOWN(HEVARIM[[#This Row],[גיל]],0),"")</f>
        <v/>
      </c>
      <c r="AP519" s="1">
        <f>SUMIF(HEVARIM[קוד תקציב],HEVARIM[[#This Row],[קוד תקציב משפחה מקורי]],HEVARIM[ותק מחברה 40])</f>
        <v>94.77000000000001</v>
      </c>
      <c r="AQ5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19" s="9">
        <f>IF(HEVARIM[[#This Row],[קוד מעמד]]="1     ",IFERROR(VLOOKUP(HEVARIM[[#This Row],[קוד תקציב]],'תקציב צביעה - לקראת השינוי'!A:F,4,0),0),0)</f>
        <v>2032</v>
      </c>
      <c r="AT519" s="1"/>
    </row>
    <row r="520" spans="1:46">
      <c r="A520" t="s">
        <v>713</v>
      </c>
      <c r="B520" t="s">
        <v>714</v>
      </c>
      <c r="C520" t="s">
        <v>709</v>
      </c>
      <c r="D520" t="s">
        <v>662</v>
      </c>
      <c r="E520" t="s">
        <v>79</v>
      </c>
      <c r="F520" s="4">
        <v>25811</v>
      </c>
      <c r="G520">
        <v>55</v>
      </c>
      <c r="H520" t="s">
        <v>710</v>
      </c>
      <c r="I520" t="s">
        <v>711</v>
      </c>
      <c r="J520" s="4" t="s">
        <v>70</v>
      </c>
      <c r="K520" s="4" t="s">
        <v>71</v>
      </c>
      <c r="L520" t="s">
        <v>715</v>
      </c>
      <c r="M520" t="s">
        <v>707</v>
      </c>
      <c r="N520" t="s">
        <v>708</v>
      </c>
      <c r="O520">
        <f>IFERROR(VLOOKUP(HEVARIM[[#This Row],[קוד תקציב]],[2]תקציבים!A:L,6,0),0)</f>
        <v>2</v>
      </c>
      <c r="P520" s="5" t="s">
        <v>104</v>
      </c>
      <c r="Q520" t="s">
        <v>11</v>
      </c>
      <c r="R520" s="4">
        <v>34790</v>
      </c>
      <c r="S520" s="4" t="s">
        <v>74</v>
      </c>
      <c r="T520" s="96" t="s">
        <v>2567</v>
      </c>
      <c r="U520" t="str">
        <f>VLOOKUP(HEVARIM[[#This Row],[גיל]],GIL,2,1)</f>
        <v>--</v>
      </c>
      <c r="V520" t="str">
        <f>IF(HEVARIM[[#This Row],[קוד מעמד]]="4     ",IF(HEVARIM[[#This Row],[גיל]]=1,1,IF(HEVARIM[[#This Row],[גיל]]&lt;=5,5,18)),"")</f>
        <v/>
      </c>
      <c r="W520">
        <f t="shared" si="32"/>
        <v>0</v>
      </c>
      <c r="X52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0">
        <f>IF(HEVARIM[[#This Row],[מצב משפחתי2]]="אלמן",'[2]ריכוז נתונים'!$AC$2,0)</f>
        <v>0</v>
      </c>
      <c r="Z520" s="3">
        <f>VLOOKUP(VALUE(HEVARIM[[#This Row],[קוד מעמד]]),הנחות!$I$2:$K$21,3,0)</f>
        <v>0</v>
      </c>
      <c r="AA520" t="b">
        <f>ISERROR(VLOOKUP(HEVARIM[[#This Row],[קוד תקציב]],'[2]ריכוז נתונים'!A:A,1,0))</f>
        <v>0</v>
      </c>
      <c r="AB520" s="1">
        <f t="shared" si="33"/>
        <v>0</v>
      </c>
      <c r="AC520" s="2">
        <f ca="1">IF(HEVARIM[[#This Row],[בר מצוה]]&gt;0,YEAR(TODAY())+'תקציבים מיוחדים'!$F$5-HEVARIM[[#This Row],[גיל]],0)</f>
        <v>0</v>
      </c>
      <c r="AD520" s="1">
        <f t="shared" si="34"/>
        <v>0</v>
      </c>
      <c r="AE520" s="2">
        <f ca="1">IF(HEVARIM[[#This Row],[בת מצוה]]&gt;0,YEAR(TODAY())+'תקציבים מיוחדים'!$F$5-HEVARIM[[#This Row],[גיל]],0)</f>
        <v>0</v>
      </c>
      <c r="AF520" s="1">
        <f>IF(AND($S520&gt;="רווק",$Z520=1),AF$4*IF(HEVARIM[[#This Row],[גיל]]&gt;$AF$3,1,(($G520-AF$2)/(AF$3-AF$2))),0)</f>
        <v>0</v>
      </c>
      <c r="AG52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0" s="1">
        <f t="shared" si="35"/>
        <v>0</v>
      </c>
      <c r="AI520" s="2">
        <f ca="1">IF(AH520&gt;0,YEAR(TODAY())+'תקציבים מיוחדים'!$F$7-HEVARIM[[#This Row],[גיל]],0)</f>
        <v>0</v>
      </c>
      <c r="AJ520" s="9">
        <f>IF(AND(ISERROR(VLOOKUP(H520,'[2]ריכוז נתונים'!A:L,1,0)),P520="1     "),1,0)</f>
        <v>0</v>
      </c>
      <c r="AK520" s="1">
        <f>IF(VALUE(HEVARIM[[#This Row],[קוד מעמד]])=1,VLOOKUP((IF(LEFT(HEVARIM[[#This Row],[קוד חבר]],1)="0",HEVARIM[[#This Row],[קוד חבר]],VALUE(HEVARIM[[#This Row],[קוד חבר]]))),'ותק חברה 40'!AQ:AW,7,0),"")</f>
        <v>36.94</v>
      </c>
      <c r="AL520" s="1">
        <f>IF(AND(VALUE(HEVARIM[[#This Row],[קוד מעמד]])=1,HEVARIM[[#This Row],[ותק מחברה 40]]&lt;25),HEVARIM[[#This Row],[ותק מחברה 40]]/25*הנחות!$C$4,0)</f>
        <v>0</v>
      </c>
      <c r="AM520" s="9" t="str">
        <f ca="1">IF(HEVARIM[[#This Row],[דמי עזיבה 25 שנות ותק]]&gt;0,YEAR(TODAY())+25-ROUNDDOWN(HEVARIM[[#This Row],[ותק מחברה 40]],0),"")</f>
        <v/>
      </c>
      <c r="AN520" s="1">
        <f>IF(AND(VALUE(HEVARIM[[#This Row],[קוד מעמד]])=1,HEVARIM[[#This Row],[ותק מחברה 40]]&gt;25,HEVARIM[[#This Row],[גיל]]&lt;65),הנחות!$C$14+(HEVARIM[[#This Row],[ותק מחברה 40]]-25)*הנחות!$C$10*0.25,0)</f>
        <v>58822.099874999993</v>
      </c>
      <c r="AO520" s="9">
        <f ca="1">IF(HEVARIM[[#This Row],[דמי עזיבה לגיל 65]]&gt;0,YEAR(TODAY())+64-ROUNDDOWN(HEVARIM[[#This Row],[גיל]],0),"")</f>
        <v>2035</v>
      </c>
      <c r="AP520" s="1">
        <f>SUMIF(HEVARIM[קוד תקציב],HEVARIM[[#This Row],[קוד תקציב משפחה מקורי]],HEVARIM[ותק מחברה 40])</f>
        <v>94.77000000000001</v>
      </c>
      <c r="AQ5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20" s="9">
        <f>IF(HEVARIM[[#This Row],[קוד מעמד]]="1     ",IFERROR(VLOOKUP(HEVARIM[[#This Row],[קוד תקציב]],'תקציב צביעה - לקראת השינוי'!A:F,4,0),0),0)</f>
        <v>2032</v>
      </c>
      <c r="AT520" s="1"/>
    </row>
    <row r="521" spans="1:46">
      <c r="A521" t="s">
        <v>2580</v>
      </c>
      <c r="B521" t="s">
        <v>2581</v>
      </c>
      <c r="C521" t="s">
        <v>2575</v>
      </c>
      <c r="D521" t="s">
        <v>2582</v>
      </c>
      <c r="E521" t="s">
        <v>79</v>
      </c>
      <c r="F521" s="4">
        <v>25614</v>
      </c>
      <c r="G521">
        <v>55</v>
      </c>
      <c r="H521" t="s">
        <v>2577</v>
      </c>
      <c r="I521" t="s">
        <v>2578</v>
      </c>
      <c r="J521" s="4" t="s">
        <v>70</v>
      </c>
      <c r="K521" s="4" t="s">
        <v>71</v>
      </c>
      <c r="L521" t="s">
        <v>2583</v>
      </c>
      <c r="M521" t="s">
        <v>2573</v>
      </c>
      <c r="N521" t="s">
        <v>2574</v>
      </c>
      <c r="O521">
        <f>IFERROR(VLOOKUP(HEVARIM[[#This Row],[קוד תקציב]],[2]תקציבים!A:L,6,0),0)</f>
        <v>2</v>
      </c>
      <c r="P521" s="5" t="s">
        <v>104</v>
      </c>
      <c r="Q521" t="s">
        <v>11</v>
      </c>
      <c r="R521" s="4">
        <v>34881</v>
      </c>
      <c r="S521" s="4" t="s">
        <v>74</v>
      </c>
      <c r="T521" s="96" t="s">
        <v>2577</v>
      </c>
      <c r="U521" t="str">
        <f>VLOOKUP(HEVARIM[[#This Row],[גיל]],GIL,2,1)</f>
        <v>--</v>
      </c>
      <c r="V521" t="str">
        <f>IF(HEVARIM[[#This Row],[קוד מעמד]]="4     ",IF(HEVARIM[[#This Row],[גיל]]=1,1,IF(HEVARIM[[#This Row],[גיל]]&lt;=5,5,18)),"")</f>
        <v/>
      </c>
      <c r="W521">
        <f t="shared" si="32"/>
        <v>0</v>
      </c>
      <c r="X52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1">
        <f>IF(HEVARIM[[#This Row],[מצב משפחתי2]]="אלמן",'[2]ריכוז נתונים'!$AC$2,0)</f>
        <v>0</v>
      </c>
      <c r="Z521" s="3">
        <f>VLOOKUP(VALUE(HEVARIM[[#This Row],[קוד מעמד]]),הנחות!$I$2:$K$21,3,0)</f>
        <v>0</v>
      </c>
      <c r="AA521" t="b">
        <f>ISERROR(VLOOKUP(HEVARIM[[#This Row],[קוד תקציב]],'[2]ריכוז נתונים'!A:A,1,0))</f>
        <v>0</v>
      </c>
      <c r="AB521" s="1">
        <f t="shared" si="33"/>
        <v>0</v>
      </c>
      <c r="AC521" s="2">
        <f ca="1">IF(HEVARIM[[#This Row],[בר מצוה]]&gt;0,YEAR(TODAY())+'תקציבים מיוחדים'!$F$5-HEVARIM[[#This Row],[גיל]],0)</f>
        <v>0</v>
      </c>
      <c r="AD521" s="1">
        <f t="shared" si="34"/>
        <v>0</v>
      </c>
      <c r="AE521" s="2">
        <f ca="1">IF(HEVARIM[[#This Row],[בת מצוה]]&gt;0,YEAR(TODAY())+'תקציבים מיוחדים'!$F$5-HEVARIM[[#This Row],[גיל]],0)</f>
        <v>0</v>
      </c>
      <c r="AF521" s="1">
        <f>IF(AND($S521&gt;="רווק",$Z521=1),AF$4*IF(HEVARIM[[#This Row],[גיל]]&gt;$AF$3,1,(($G521-AF$2)/(AF$3-AF$2))),0)</f>
        <v>0</v>
      </c>
      <c r="AG52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1" s="1">
        <f t="shared" si="35"/>
        <v>0</v>
      </c>
      <c r="AI521" s="2">
        <f ca="1">IF(AH521&gt;0,YEAR(TODAY())+'תקציבים מיוחדים'!$F$7-HEVARIM[[#This Row],[גיל]],0)</f>
        <v>0</v>
      </c>
      <c r="AJ521" s="9">
        <f>IF(AND(ISERROR(VLOOKUP(H521,'[2]ריכוז נתונים'!A:L,1,0)),P521="1     "),1,0)</f>
        <v>0</v>
      </c>
      <c r="AK521" s="1">
        <f>IF(VALUE(HEVARIM[[#This Row],[קוד מעמד]])=1,VLOOKUP((IF(LEFT(HEVARIM[[#This Row],[קוד חבר]],1)="0",HEVARIM[[#This Row],[קוד חבר]],VALUE(HEVARIM[[#This Row],[קוד חבר]]))),'ותק חברה 40'!AQ:AW,7,0),"")</f>
        <v>33.06</v>
      </c>
      <c r="AL521" s="1">
        <f>IF(AND(VALUE(HEVARIM[[#This Row],[קוד מעמד]])=1,HEVARIM[[#This Row],[ותק מחברה 40]]&lt;25),HEVARIM[[#This Row],[ותק מחברה 40]]/25*הנחות!$C$4,0)</f>
        <v>0</v>
      </c>
      <c r="AM521" s="9" t="str">
        <f ca="1">IF(HEVARIM[[#This Row],[דמי עזיבה 25 שנות ותק]]&gt;0,YEAR(TODAY())+25-ROUNDDOWN(HEVARIM[[#This Row],[ותק מחברה 40]],0),"")</f>
        <v/>
      </c>
      <c r="AN521" s="1">
        <f>IF(AND(VALUE(HEVARIM[[#This Row],[קוד מעמד]])=1,HEVARIM[[#This Row],[ותק מחברה 40]]&gt;25,HEVARIM[[#This Row],[גיל]]&lt;65),הנחות!$C$14+(HEVARIM[[#This Row],[ותק מחברה 40]]-25)*הנחות!$C$10*0.25,0)</f>
        <v>48419.650125</v>
      </c>
      <c r="AO521" s="9">
        <f ca="1">IF(HEVARIM[[#This Row],[דמי עזיבה לגיל 65]]&gt;0,YEAR(TODAY())+64-ROUNDDOWN(HEVARIM[[#This Row],[גיל]],0),"")</f>
        <v>2035</v>
      </c>
      <c r="AP521" s="1">
        <f>SUMIF(HEVARIM[קוד תקציב],HEVARIM[[#This Row],[קוד תקציב משפחה מקורי]],HEVARIM[ותק מחברה 40])</f>
        <v>71</v>
      </c>
      <c r="AQ5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521" s="9">
        <f>IF(HEVARIM[[#This Row],[קוד מעמד]]="1     ",IFERROR(VLOOKUP(HEVARIM[[#This Row],[קוד תקציב]],'תקציב צביעה - לקראת השינוי'!A:F,4,0),0),0)</f>
        <v>2027</v>
      </c>
      <c r="AT521" s="1"/>
    </row>
    <row r="522" spans="1:46">
      <c r="A522" t="s">
        <v>2805</v>
      </c>
      <c r="B522" t="s">
        <v>2806</v>
      </c>
      <c r="C522" t="s">
        <v>2807</v>
      </c>
      <c r="D522" t="s">
        <v>1854</v>
      </c>
      <c r="E522" t="s">
        <v>79</v>
      </c>
      <c r="F522" s="4">
        <v>35732</v>
      </c>
      <c r="G522">
        <v>28</v>
      </c>
      <c r="H522" t="s">
        <v>2808</v>
      </c>
      <c r="I522" t="s">
        <v>2809</v>
      </c>
      <c r="J522" s="4" t="s">
        <v>70</v>
      </c>
      <c r="K522" s="4" t="s">
        <v>81</v>
      </c>
      <c r="L522" t="s">
        <v>2810</v>
      </c>
      <c r="M522" t="s">
        <v>2805</v>
      </c>
      <c r="N522" t="s">
        <v>2806</v>
      </c>
      <c r="O522">
        <f>IFERROR(VLOOKUP(HEVARIM[[#This Row],[קוד תקציב]],[2]תקציבים!A:L,6,0),0)</f>
        <v>0</v>
      </c>
      <c r="P522" s="5" t="s">
        <v>129</v>
      </c>
      <c r="Q522" t="s">
        <v>26</v>
      </c>
      <c r="R522" s="4">
        <v>45123</v>
      </c>
      <c r="S522" s="4" t="s">
        <v>90</v>
      </c>
      <c r="T522" s="96" t="s">
        <v>2577</v>
      </c>
      <c r="U522" t="str">
        <f>VLOOKUP(HEVARIM[[#This Row],[גיל]],GIL,2,1)</f>
        <v>--</v>
      </c>
      <c r="V522" t="str">
        <f>IF(HEVARIM[[#This Row],[קוד מעמד]]="4     ",IF(HEVARIM[[#This Row],[גיל]]=1,1,IF(HEVARIM[[#This Row],[גיל]]&lt;=5,5,18)),"")</f>
        <v/>
      </c>
      <c r="W522">
        <f t="shared" si="32"/>
        <v>0</v>
      </c>
      <c r="X5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2">
        <f>IF(HEVARIM[[#This Row],[מצב משפחתי2]]="אלמן",'[2]ריכוז נתונים'!$AC$2,0)</f>
        <v>0</v>
      </c>
      <c r="Z522" s="3">
        <f>VLOOKUP(VALUE(HEVARIM[[#This Row],[קוד מעמד]]),הנחות!$I$2:$K$21,3,0)</f>
        <v>1</v>
      </c>
      <c r="AA522" t="b">
        <f>ISERROR(VLOOKUP(HEVARIM[[#This Row],[קוד תקציב]],'[2]ריכוז נתונים'!A:A,1,0))</f>
        <v>1</v>
      </c>
      <c r="AB522" s="1">
        <f t="shared" si="33"/>
        <v>0</v>
      </c>
      <c r="AC522" s="2">
        <f ca="1">IF(HEVARIM[[#This Row],[בר מצוה]]&gt;0,YEAR(TODAY())+'תקציבים מיוחדים'!$F$5-HEVARIM[[#This Row],[גיל]],0)</f>
        <v>0</v>
      </c>
      <c r="AD522" s="1">
        <f t="shared" si="34"/>
        <v>0</v>
      </c>
      <c r="AE522" s="2">
        <f ca="1">IF(HEVARIM[[#This Row],[בת מצוה]]&gt;0,YEAR(TODAY())+'תקציבים מיוחדים'!$F$5-HEVARIM[[#This Row],[גיל]],0)</f>
        <v>0</v>
      </c>
      <c r="AF522" s="1">
        <f>IF(AND($S522&gt;="רווק",$Z522=1),AF$4*IF(HEVARIM[[#This Row],[גיל]]&gt;$AF$3,1,(($G522-AF$2)/(AF$3-AF$2))),0)</f>
        <v>60512.5</v>
      </c>
      <c r="AG522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22" s="1">
        <f t="shared" si="35"/>
        <v>0</v>
      </c>
      <c r="AI522" s="2">
        <f ca="1">IF(AH522&gt;0,YEAR(TODAY())+'תקציבים מיוחדים'!$F$7-HEVARIM[[#This Row],[גיל]],0)</f>
        <v>0</v>
      </c>
      <c r="AJ522" s="9">
        <f>IF(AND(ISERROR(VLOOKUP(H522,'[2]ריכוז נתונים'!A:L,1,0)),P522="1     "),1,0)</f>
        <v>0</v>
      </c>
      <c r="AK52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22" s="1">
        <f>IF(AND(VALUE(HEVARIM[[#This Row],[קוד מעמד]])=1,HEVARIM[[#This Row],[ותק מחברה 40]]&lt;25),HEVARIM[[#This Row],[ותק מחברה 40]]/25*הנחות!$C$4,0)</f>
        <v>0</v>
      </c>
      <c r="AM522" s="9" t="str">
        <f ca="1">IF(HEVARIM[[#This Row],[דמי עזיבה 25 שנות ותק]]&gt;0,YEAR(TODAY())+25-ROUNDDOWN(HEVARIM[[#This Row],[ותק מחברה 40]],0),"")</f>
        <v/>
      </c>
      <c r="AN52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2" s="9" t="str">
        <f ca="1">IF(HEVARIM[[#This Row],[דמי עזיבה לגיל 65]]&gt;0,YEAR(TODAY())+64-ROUNDDOWN(HEVARIM[[#This Row],[גיל]],0),"")</f>
        <v/>
      </c>
      <c r="AP522" s="1">
        <f>SUMIF(HEVARIM[קוד תקציב],HEVARIM[[#This Row],[קוד תקציב משפחה מקורי]],HEVARIM[ותק מחברה 40])</f>
        <v>71</v>
      </c>
      <c r="AQ5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22" s="9">
        <f>IF(HEVARIM[[#This Row],[קוד מעמד]]="1     ",IFERROR(VLOOKUP(HEVARIM[[#This Row],[קוד תקציב]],'תקציב צביעה - לקראת השינוי'!A:F,4,0),0),0)</f>
        <v>0</v>
      </c>
      <c r="AT522" s="1"/>
    </row>
    <row r="523" spans="1:46">
      <c r="A523" t="s">
        <v>2819</v>
      </c>
      <c r="B523" t="s">
        <v>2820</v>
      </c>
      <c r="C523" t="s">
        <v>2575</v>
      </c>
      <c r="D523" t="s">
        <v>2821</v>
      </c>
      <c r="E523" t="s">
        <v>67</v>
      </c>
      <c r="F523" s="4">
        <v>36523</v>
      </c>
      <c r="G523">
        <v>26</v>
      </c>
      <c r="H523" t="s">
        <v>2822</v>
      </c>
      <c r="I523" t="s">
        <v>2823</v>
      </c>
      <c r="J523" s="4" t="s">
        <v>70</v>
      </c>
      <c r="K523" s="4" t="s">
        <v>81</v>
      </c>
      <c r="L523" t="s">
        <v>2824</v>
      </c>
      <c r="M523" t="s">
        <v>2819</v>
      </c>
      <c r="N523" t="s">
        <v>2820</v>
      </c>
      <c r="O523">
        <f>IFERROR(VLOOKUP(HEVARIM[[#This Row],[קוד תקציב]],[2]תקציבים!A:L,6,0),0)</f>
        <v>0</v>
      </c>
      <c r="P523" s="5" t="s">
        <v>73</v>
      </c>
      <c r="Q523" t="s">
        <v>27</v>
      </c>
      <c r="R523" s="4">
        <v>45383</v>
      </c>
      <c r="S523" s="4" t="s">
        <v>74</v>
      </c>
      <c r="T523" s="96" t="s">
        <v>2577</v>
      </c>
      <c r="U523" t="str">
        <f>VLOOKUP(HEVARIM[[#This Row],[גיל]],GIL,2,1)</f>
        <v>--</v>
      </c>
      <c r="V523" t="str">
        <f>IF(HEVARIM[[#This Row],[קוד מעמד]]="4     ",IF(HEVARIM[[#This Row],[גיל]]=1,1,IF(HEVARIM[[#This Row],[גיל]]&lt;=5,5,18)),"")</f>
        <v/>
      </c>
      <c r="W523">
        <f t="shared" si="32"/>
        <v>0</v>
      </c>
      <c r="X52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3">
        <f>IF(HEVARIM[[#This Row],[מצב משפחתי2]]="אלמן",'[2]ריכוז נתונים'!$AC$2,0)</f>
        <v>0</v>
      </c>
      <c r="Z523" s="3">
        <f>VLOOKUP(VALUE(HEVARIM[[#This Row],[קוד מעמד]]),הנחות!$I$2:$K$21,3,0)</f>
        <v>1</v>
      </c>
      <c r="AA523" t="b">
        <f>ISERROR(VLOOKUP(HEVARIM[[#This Row],[קוד תקציב]],'[2]ריכוז נתונים'!A:A,1,0))</f>
        <v>1</v>
      </c>
      <c r="AB523" s="1">
        <f t="shared" si="33"/>
        <v>0</v>
      </c>
      <c r="AC523" s="2">
        <f ca="1">IF(HEVARIM[[#This Row],[בר מצוה]]&gt;0,YEAR(TODAY())+'תקציבים מיוחדים'!$F$5-HEVARIM[[#This Row],[גיל]],0)</f>
        <v>0</v>
      </c>
      <c r="AD523" s="1">
        <f t="shared" si="34"/>
        <v>0</v>
      </c>
      <c r="AE523" s="2">
        <f ca="1">IF(HEVARIM[[#This Row],[בת מצוה]]&gt;0,YEAR(TODAY())+'תקציבים מיוחדים'!$F$5-HEVARIM[[#This Row],[גיל]],0)</f>
        <v>0</v>
      </c>
      <c r="AF523" s="1">
        <f>IF(AND($S523&gt;="רווק",$Z523=1),AF$4*IF(HEVARIM[[#This Row],[גיל]]&gt;$AF$3,1,(($G523-AF$2)/(AF$3-AF$2))),0)</f>
        <v>0</v>
      </c>
      <c r="AG52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3" s="1">
        <f t="shared" si="35"/>
        <v>0</v>
      </c>
      <c r="AI523" s="2">
        <f ca="1">IF(AH523&gt;0,YEAR(TODAY())+'תקציבים מיוחדים'!$F$7-HEVARIM[[#This Row],[גיל]],0)</f>
        <v>0</v>
      </c>
      <c r="AJ523" s="9">
        <f>IF(AND(ISERROR(VLOOKUP(H523,'[2]ריכוז נתונים'!A:L,1,0)),P523="1     "),1,0)</f>
        <v>0</v>
      </c>
      <c r="AK52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23" s="1">
        <f>IF(AND(VALUE(HEVARIM[[#This Row],[קוד מעמד]])=1,HEVARIM[[#This Row],[ותק מחברה 40]]&lt;25),HEVARIM[[#This Row],[ותק מחברה 40]]/25*הנחות!$C$4,0)</f>
        <v>0</v>
      </c>
      <c r="AM523" s="9" t="str">
        <f ca="1">IF(HEVARIM[[#This Row],[דמי עזיבה 25 שנות ותק]]&gt;0,YEAR(TODAY())+25-ROUNDDOWN(HEVARIM[[#This Row],[ותק מחברה 40]],0),"")</f>
        <v/>
      </c>
      <c r="AN52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3" s="9" t="str">
        <f ca="1">IF(HEVARIM[[#This Row],[דמי עזיבה לגיל 65]]&gt;0,YEAR(TODAY())+64-ROUNDDOWN(HEVARIM[[#This Row],[גיל]],0),"")</f>
        <v/>
      </c>
      <c r="AP523" s="1">
        <f>SUMIF(HEVARIM[קוד תקציב],HEVARIM[[#This Row],[קוד תקציב משפחה מקורי]],HEVARIM[ותק מחברה 40])</f>
        <v>71</v>
      </c>
      <c r="AQ5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23" s="9">
        <f>IF(HEVARIM[[#This Row],[קוד מעמד]]="1     ",IFERROR(VLOOKUP(HEVARIM[[#This Row],[קוד תקציב]],'תקציב צביעה - לקראת השינוי'!A:F,4,0),0),0)</f>
        <v>0</v>
      </c>
      <c r="AT523" s="1"/>
    </row>
    <row r="524" spans="1:46">
      <c r="A524" t="s">
        <v>2862</v>
      </c>
      <c r="B524" t="s">
        <v>2863</v>
      </c>
      <c r="C524" t="s">
        <v>2575</v>
      </c>
      <c r="D524" t="s">
        <v>2864</v>
      </c>
      <c r="E524" t="s">
        <v>67</v>
      </c>
      <c r="F524" s="4">
        <v>37701</v>
      </c>
      <c r="G524">
        <v>22</v>
      </c>
      <c r="H524" t="s">
        <v>3778</v>
      </c>
      <c r="I524" t="s">
        <v>2863</v>
      </c>
      <c r="J524" s="4" t="s">
        <v>70</v>
      </c>
      <c r="K524" s="4" t="s">
        <v>71</v>
      </c>
      <c r="L524" t="s">
        <v>2865</v>
      </c>
      <c r="M524" t="s">
        <v>2862</v>
      </c>
      <c r="N524" t="s">
        <v>2863</v>
      </c>
      <c r="O524">
        <f>IFERROR(VLOOKUP(HEVARIM[[#This Row],[קוד תקציב]],[2]תקציבים!A:L,6,0),0)</f>
        <v>0</v>
      </c>
      <c r="P524" s="5" t="s">
        <v>73</v>
      </c>
      <c r="Q524" t="s">
        <v>27</v>
      </c>
      <c r="R524" s="4">
        <v>45882</v>
      </c>
      <c r="S524" s="4" t="s">
        <v>90</v>
      </c>
      <c r="T524" s="96" t="s">
        <v>2577</v>
      </c>
      <c r="U524" t="str">
        <f>VLOOKUP(HEVARIM[[#This Row],[גיל]],GIL,2,1)</f>
        <v>--</v>
      </c>
      <c r="V524" t="str">
        <f>IF(HEVARIM[[#This Row],[קוד מעמד]]="4     ",IF(HEVARIM[[#This Row],[גיל]]=1,1,IF(HEVARIM[[#This Row],[גיל]]&lt;=5,5,18)),"")</f>
        <v/>
      </c>
      <c r="W524">
        <f t="shared" si="32"/>
        <v>0</v>
      </c>
      <c r="X52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4">
        <f>IF(HEVARIM[[#This Row],[מצב משפחתי2]]="אלמן",'[2]ריכוז נתונים'!$AC$2,0)</f>
        <v>0</v>
      </c>
      <c r="Z524" s="3">
        <f>VLOOKUP(VALUE(HEVARIM[[#This Row],[קוד מעמד]]),הנחות!$I$2:$K$21,3,0)</f>
        <v>1</v>
      </c>
      <c r="AA524" t="b">
        <f>ISERROR(VLOOKUP(HEVARIM[[#This Row],[קוד תקציב]],'[2]ריכוז נתונים'!A:A,1,0))</f>
        <v>1</v>
      </c>
      <c r="AB524" s="1">
        <f t="shared" si="33"/>
        <v>0</v>
      </c>
      <c r="AC524" s="2">
        <f ca="1">IF(HEVARIM[[#This Row],[בר מצוה]]&gt;0,YEAR(TODAY())+'תקציבים מיוחדים'!$F$5-HEVARIM[[#This Row],[גיל]],0)</f>
        <v>0</v>
      </c>
      <c r="AD524" s="1">
        <f t="shared" si="34"/>
        <v>0</v>
      </c>
      <c r="AE524" s="2">
        <f ca="1">IF(HEVARIM[[#This Row],[בת מצוה]]&gt;0,YEAR(TODAY())+'תקציבים מיוחדים'!$F$5-HEVARIM[[#This Row],[גיל]],0)</f>
        <v>0</v>
      </c>
      <c r="AF524" s="1">
        <f>IF(AND($S524&gt;="רווק",$Z524=1),AF$4*IF(HEVARIM[[#This Row],[גיל]]&gt;$AF$3,1,(($G524-AF$2)/(AF$3-AF$2))),0)</f>
        <v>60512.5</v>
      </c>
      <c r="AG524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24" s="1">
        <f t="shared" si="35"/>
        <v>0</v>
      </c>
      <c r="AI524" s="2">
        <f ca="1">IF(AH524&gt;0,YEAR(TODAY())+'תקציבים מיוחדים'!$F$7-HEVARIM[[#This Row],[גיל]],0)</f>
        <v>0</v>
      </c>
      <c r="AJ524" s="9">
        <f>IF(AND(ISERROR(VLOOKUP(H524,'[2]ריכוז נתונים'!A:L,1,0)),P524="1     "),1,0)</f>
        <v>0</v>
      </c>
      <c r="AK52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24" s="1">
        <f>IF(AND(VALUE(HEVARIM[[#This Row],[קוד מעמד]])=1,HEVARIM[[#This Row],[ותק מחברה 40]]&lt;25),HEVARIM[[#This Row],[ותק מחברה 40]]/25*הנחות!$C$4,0)</f>
        <v>0</v>
      </c>
      <c r="AM524" s="9" t="str">
        <f ca="1">IF(HEVARIM[[#This Row],[דמי עזיבה 25 שנות ותק]]&gt;0,YEAR(TODAY())+25-ROUNDDOWN(HEVARIM[[#This Row],[ותק מחברה 40]],0),"")</f>
        <v/>
      </c>
      <c r="AN5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4" s="9" t="str">
        <f ca="1">IF(HEVARIM[[#This Row],[דמי עזיבה לגיל 65]]&gt;0,YEAR(TODAY())+64-ROUNDDOWN(HEVARIM[[#This Row],[גיל]],0),"")</f>
        <v/>
      </c>
      <c r="AP524" s="1">
        <f>SUMIF(HEVARIM[קוד תקציב],HEVARIM[[#This Row],[קוד תקציב משפחה מקורי]],HEVARIM[ותק מחברה 40])</f>
        <v>71</v>
      </c>
      <c r="AQ5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24" s="9">
        <f>IF(HEVARIM[[#This Row],[קוד מעמד]]="1     ",IFERROR(VLOOKUP(HEVARIM[[#This Row],[קוד תקציב]],'תקציב צביעה - לקראת השינוי'!A:F,4,0),0),0)</f>
        <v>0</v>
      </c>
      <c r="AT524" s="1"/>
    </row>
    <row r="525" spans="1:46">
      <c r="A525" t="s">
        <v>2584</v>
      </c>
      <c r="B525" t="s">
        <v>2585</v>
      </c>
      <c r="C525" t="s">
        <v>2586</v>
      </c>
      <c r="D525" t="s">
        <v>1179</v>
      </c>
      <c r="E525" t="s">
        <v>67</v>
      </c>
      <c r="F525" s="4">
        <v>17554</v>
      </c>
      <c r="G525">
        <v>77</v>
      </c>
      <c r="H525" t="s">
        <v>2587</v>
      </c>
      <c r="I525" t="s">
        <v>2588</v>
      </c>
      <c r="J525" s="4" t="s">
        <v>70</v>
      </c>
      <c r="K525" s="4" t="s">
        <v>71</v>
      </c>
      <c r="L525" t="s">
        <v>2589</v>
      </c>
      <c r="M525" t="s">
        <v>2584</v>
      </c>
      <c r="N525" t="s">
        <v>2585</v>
      </c>
      <c r="O525">
        <f>IFERROR(VLOOKUP(HEVARIM[[#This Row],[קוד תקציב]],[2]תקציבים!A:L,6,0),0)</f>
        <v>2</v>
      </c>
      <c r="P525" s="5" t="s">
        <v>104</v>
      </c>
      <c r="Q525" t="s">
        <v>11</v>
      </c>
      <c r="R525" s="4">
        <v>26237</v>
      </c>
      <c r="S525" s="4" t="s">
        <v>74</v>
      </c>
      <c r="T525" s="96" t="s">
        <v>2587</v>
      </c>
      <c r="U525" t="str">
        <f>VLOOKUP(HEVARIM[[#This Row],[גיל]],GIL,2,1)</f>
        <v>--</v>
      </c>
      <c r="V525" t="str">
        <f>IF(HEVARIM[[#This Row],[קוד מעמד]]="4     ",IF(HEVARIM[[#This Row],[גיל]]=1,1,IF(HEVARIM[[#This Row],[גיל]]&lt;=5,5,18)),"")</f>
        <v/>
      </c>
      <c r="W525">
        <f t="shared" si="32"/>
        <v>2365</v>
      </c>
      <c r="X52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25">
        <f>IF(HEVARIM[[#This Row],[מצב משפחתי2]]="אלמן",'[2]ריכוז נתונים'!$AC$2,0)</f>
        <v>0</v>
      </c>
      <c r="Z525" s="3">
        <f>VLOOKUP(VALUE(HEVARIM[[#This Row],[קוד מעמד]]),הנחות!$I$2:$K$21,3,0)</f>
        <v>0</v>
      </c>
      <c r="AA525" t="b">
        <f>ISERROR(VLOOKUP(HEVARIM[[#This Row],[קוד תקציב]],'[2]ריכוז נתונים'!A:A,1,0))</f>
        <v>0</v>
      </c>
      <c r="AB525" s="1">
        <f t="shared" si="33"/>
        <v>0</v>
      </c>
      <c r="AC525" s="2">
        <f ca="1">IF(HEVARIM[[#This Row],[בר מצוה]]&gt;0,YEAR(TODAY())+'תקציבים מיוחדים'!$F$5-HEVARIM[[#This Row],[גיל]],0)</f>
        <v>0</v>
      </c>
      <c r="AD525" s="1">
        <f t="shared" si="34"/>
        <v>0</v>
      </c>
      <c r="AE525" s="2">
        <f ca="1">IF(HEVARIM[[#This Row],[בת מצוה]]&gt;0,YEAR(TODAY())+'תקציבים מיוחדים'!$F$5-HEVARIM[[#This Row],[גיל]],0)</f>
        <v>0</v>
      </c>
      <c r="AF525" s="1">
        <f>IF(AND($S525&gt;="רווק",$Z525=1),AF$4*IF(HEVARIM[[#This Row],[גיל]]&gt;$AF$3,1,(($G525-AF$2)/(AF$3-AF$2))),0)</f>
        <v>0</v>
      </c>
      <c r="AG52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5" s="1">
        <f t="shared" si="35"/>
        <v>0</v>
      </c>
      <c r="AI525" s="2">
        <f ca="1">IF(AH525&gt;0,YEAR(TODAY())+'תקציבים מיוחדים'!$F$7-HEVARIM[[#This Row],[גיל]],0)</f>
        <v>0</v>
      </c>
      <c r="AJ525" s="9">
        <f>IF(AND(ISERROR(VLOOKUP(H525,'[2]ריכוז נתונים'!A:L,1,0)),P525="1     "),1,0)</f>
        <v>0</v>
      </c>
      <c r="AK525" s="1">
        <f>IF(VALUE(HEVARIM[[#This Row],[קוד מעמד]])=1,VLOOKUP((IF(LEFT(HEVARIM[[#This Row],[קוד חבר]],1)="0",HEVARIM[[#This Row],[קוד חבר]],VALUE(HEVARIM[[#This Row],[קוד חבר]]))),'ותק חברה 40'!AQ:AW,7,0),"")</f>
        <v>47.08</v>
      </c>
      <c r="AL525" s="1">
        <f>IF(AND(VALUE(HEVARIM[[#This Row],[קוד מעמד]])=1,HEVARIM[[#This Row],[ותק מחברה 40]]&lt;25),HEVARIM[[#This Row],[ותק מחברה 40]]/25*הנחות!$C$4,0)</f>
        <v>0</v>
      </c>
      <c r="AM525" s="9" t="str">
        <f ca="1">IF(HEVARIM[[#This Row],[דמי עזיבה 25 שנות ותק]]&gt;0,YEAR(TODAY())+25-ROUNDDOWN(HEVARIM[[#This Row],[ותק מחברה 40]],0),"")</f>
        <v/>
      </c>
      <c r="AN52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5" s="9" t="str">
        <f ca="1">IF(HEVARIM[[#This Row],[דמי עזיבה לגיל 65]]&gt;0,YEAR(TODAY())+64-ROUNDDOWN(HEVARIM[[#This Row],[גיל]],0),"")</f>
        <v/>
      </c>
      <c r="AP525" s="1">
        <f>SUMIF(HEVARIM[קוד תקציב],HEVARIM[[#This Row],[קוד תקציב משפחה מקורי]],HEVARIM[ותק מחברה 40])</f>
        <v>95.08</v>
      </c>
      <c r="AQ5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525" s="9">
        <f>IF(HEVARIM[[#This Row],[קוד מעמד]]="1     ",IFERROR(VLOOKUP(HEVARIM[[#This Row],[קוד תקציב]],'תקציב צביעה - לקראת השינוי'!A:F,4,0),0),0)</f>
        <v>2027</v>
      </c>
      <c r="AT525" s="1"/>
    </row>
    <row r="526" spans="1:46">
      <c r="A526" t="s">
        <v>2662</v>
      </c>
      <c r="B526" t="s">
        <v>2663</v>
      </c>
      <c r="C526" t="s">
        <v>2586</v>
      </c>
      <c r="D526" t="s">
        <v>2664</v>
      </c>
      <c r="E526" t="s">
        <v>67</v>
      </c>
      <c r="F526" s="4">
        <v>26525</v>
      </c>
      <c r="G526">
        <v>53</v>
      </c>
      <c r="H526" t="s">
        <v>2665</v>
      </c>
      <c r="I526" t="s">
        <v>2666</v>
      </c>
      <c r="J526" s="4" t="s">
        <v>70</v>
      </c>
      <c r="K526" s="4" t="s">
        <v>71</v>
      </c>
      <c r="L526" t="s">
        <v>2667</v>
      </c>
      <c r="M526" t="s">
        <v>2662</v>
      </c>
      <c r="N526" t="s">
        <v>2663</v>
      </c>
      <c r="O526">
        <f>IFERROR(VLOOKUP(HEVARIM[[#This Row],[קוד תקציב]],[2]תקציבים!A:L,6,0),0)</f>
        <v>2</v>
      </c>
      <c r="P526" s="5" t="s">
        <v>104</v>
      </c>
      <c r="Q526" t="s">
        <v>11</v>
      </c>
      <c r="R526" s="4">
        <v>37377</v>
      </c>
      <c r="S526" s="4" t="s">
        <v>74</v>
      </c>
      <c r="T526" s="96" t="s">
        <v>2587</v>
      </c>
      <c r="U526" t="str">
        <f>VLOOKUP(HEVARIM[[#This Row],[גיל]],GIL,2,1)</f>
        <v>--</v>
      </c>
      <c r="V526" t="str">
        <f>IF(HEVARIM[[#This Row],[קוד מעמד]]="4     ",IF(HEVARIM[[#This Row],[גיל]]=1,1,IF(HEVARIM[[#This Row],[גיל]]&lt;=5,5,18)),"")</f>
        <v/>
      </c>
      <c r="W526">
        <f t="shared" si="32"/>
        <v>0</v>
      </c>
      <c r="X52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6">
        <f>IF(HEVARIM[[#This Row],[מצב משפחתי2]]="אלמן",'[2]ריכוז נתונים'!$AC$2,0)</f>
        <v>0</v>
      </c>
      <c r="Z526" s="3">
        <f>VLOOKUP(VALUE(HEVARIM[[#This Row],[קוד מעמד]]),הנחות!$I$2:$K$21,3,0)</f>
        <v>0</v>
      </c>
      <c r="AA526" t="b">
        <f>ISERROR(VLOOKUP(HEVARIM[[#This Row],[קוד תקציב]],'[2]ריכוז נתונים'!A:A,1,0))</f>
        <v>0</v>
      </c>
      <c r="AB526" s="1">
        <f t="shared" si="33"/>
        <v>0</v>
      </c>
      <c r="AC526" s="2">
        <f ca="1">IF(HEVARIM[[#This Row],[בר מצוה]]&gt;0,YEAR(TODAY())+'תקציבים מיוחדים'!$F$5-HEVARIM[[#This Row],[גיל]],0)</f>
        <v>0</v>
      </c>
      <c r="AD526" s="1">
        <f t="shared" si="34"/>
        <v>0</v>
      </c>
      <c r="AE526" s="2">
        <f ca="1">IF(HEVARIM[[#This Row],[בת מצוה]]&gt;0,YEAR(TODAY())+'תקציבים מיוחדים'!$F$5-HEVARIM[[#This Row],[גיל]],0)</f>
        <v>0</v>
      </c>
      <c r="AF526" s="1">
        <f>IF(AND($S526&gt;="רווק",$Z526=1),AF$4*IF(HEVARIM[[#This Row],[גיל]]&gt;$AF$3,1,(($G526-AF$2)/(AF$3-AF$2))),0)</f>
        <v>0</v>
      </c>
      <c r="AG52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6" s="1">
        <f t="shared" si="35"/>
        <v>0</v>
      </c>
      <c r="AI526" s="2">
        <f ca="1">IF(AH526&gt;0,YEAR(TODAY())+'תקציבים מיוחדים'!$F$7-HEVARIM[[#This Row],[גיל]],0)</f>
        <v>0</v>
      </c>
      <c r="AJ526" s="9">
        <f>IF(AND(ISERROR(VLOOKUP(H526,'[2]ריכוז נתונים'!A:L,1,0)),P526="1     "),1,0)</f>
        <v>0</v>
      </c>
      <c r="AK526" s="1">
        <f>IF(VALUE(HEVARIM[[#This Row],[קוד מעמד]])=1,VLOOKUP((IF(LEFT(HEVARIM[[#This Row],[קוד חבר]],1)="0",HEVARIM[[#This Row],[קוד חבר]],VALUE(HEVARIM[[#This Row],[קוד חבר]]))),'ותק חברה 40'!AQ:AW,7,0),"")</f>
        <v>28.9</v>
      </c>
      <c r="AL526" s="1">
        <f>IF(AND(VALUE(HEVARIM[[#This Row],[קוד מעמד]])=1,HEVARIM[[#This Row],[ותק מחברה 40]]&lt;25),HEVARIM[[#This Row],[ותק מחברה 40]]/25*הנחות!$C$4,0)</f>
        <v>0</v>
      </c>
      <c r="AM526" s="9" t="str">
        <f ca="1">IF(HEVARIM[[#This Row],[דמי עזיבה 25 שנות ותק]]&gt;0,YEAR(TODAY())+25-ROUNDDOWN(HEVARIM[[#This Row],[ותק מחברה 40]],0),"")</f>
        <v/>
      </c>
      <c r="AN526" s="1">
        <f>IF(AND(VALUE(HEVARIM[[#This Row],[קוד מעמד]])=1,HEVARIM[[#This Row],[ותק מחברה 40]]&gt;25,HEVARIM[[#This Row],[גיל]]&lt;65),הנחות!$C$14+(HEVARIM[[#This Row],[ותק מחברה 40]]-25)*הנחות!$C$10*0.25,0)</f>
        <v>37266.508124999993</v>
      </c>
      <c r="AO526" s="9">
        <f ca="1">IF(HEVARIM[[#This Row],[דמי עזיבה לגיל 65]]&gt;0,YEAR(TODAY())+64-ROUNDDOWN(HEVARIM[[#This Row],[גיל]],0),"")</f>
        <v>2037</v>
      </c>
      <c r="AP526" s="1">
        <f>SUMIF(HEVARIM[קוד תקציב],HEVARIM[[#This Row],[קוד תקציב משפחה מקורי]],HEVARIM[ותק מחברה 40])</f>
        <v>95.08</v>
      </c>
      <c r="AQ5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526" s="9">
        <f>IF(HEVARIM[[#This Row],[קוד מעמד]]="1     ",IFERROR(VLOOKUP(HEVARIM[[#This Row],[קוד תקציב]],'תקציב צביעה - לקראת השינוי'!A:F,4,0),0),0)</f>
        <v>2031</v>
      </c>
      <c r="AT526" s="1"/>
    </row>
    <row r="527" spans="1:46">
      <c r="A527" t="s">
        <v>1832</v>
      </c>
      <c r="B527" t="s">
        <v>1833</v>
      </c>
      <c r="C527" t="s">
        <v>1834</v>
      </c>
      <c r="D527" t="s">
        <v>183</v>
      </c>
      <c r="E527" t="s">
        <v>79</v>
      </c>
      <c r="F527" s="4">
        <v>28808</v>
      </c>
      <c r="G527">
        <v>47</v>
      </c>
      <c r="H527" t="s">
        <v>1829</v>
      </c>
      <c r="I527" t="s">
        <v>1830</v>
      </c>
      <c r="J527" s="4" t="s">
        <v>70</v>
      </c>
      <c r="K527" s="4" t="s">
        <v>71</v>
      </c>
      <c r="L527" t="s">
        <v>1835</v>
      </c>
      <c r="M527" t="s">
        <v>1827</v>
      </c>
      <c r="N527" t="s">
        <v>1828</v>
      </c>
      <c r="O527">
        <f>IFERROR(VLOOKUP(HEVARIM[[#This Row],[קוד תקציב]],[2]תקציבים!A:L,6,0),0)</f>
        <v>2</v>
      </c>
      <c r="P527" s="5" t="s">
        <v>104</v>
      </c>
      <c r="Q527" t="s">
        <v>11</v>
      </c>
      <c r="R527" s="4">
        <v>39234</v>
      </c>
      <c r="S527" s="4" t="s">
        <v>74</v>
      </c>
      <c r="T527" s="96" t="s">
        <v>2587</v>
      </c>
      <c r="U527" t="str">
        <f>VLOOKUP(HEVARIM[[#This Row],[גיל]],GIL,2,1)</f>
        <v>--</v>
      </c>
      <c r="V527" t="str">
        <f>IF(HEVARIM[[#This Row],[קוד מעמד]]="4     ",IF(HEVARIM[[#This Row],[גיל]]=1,1,IF(HEVARIM[[#This Row],[גיל]]&lt;=5,5,18)),"")</f>
        <v/>
      </c>
      <c r="W527">
        <f t="shared" si="32"/>
        <v>0</v>
      </c>
      <c r="X52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27">
        <f>IF(HEVARIM[[#This Row],[מצב משפחתי2]]="אלמן",'[2]ריכוז נתונים'!$AC$2,0)</f>
        <v>0</v>
      </c>
      <c r="Z527" s="3">
        <f>VLOOKUP(VALUE(HEVARIM[[#This Row],[קוד מעמד]]),הנחות!$I$2:$K$21,3,0)</f>
        <v>0</v>
      </c>
      <c r="AA527" t="b">
        <f>ISERROR(VLOOKUP(HEVARIM[[#This Row],[קוד תקציב]],'[2]ריכוז נתונים'!A:A,1,0))</f>
        <v>0</v>
      </c>
      <c r="AB527" s="1">
        <f t="shared" si="33"/>
        <v>0</v>
      </c>
      <c r="AC527" s="2">
        <f ca="1">IF(HEVARIM[[#This Row],[בר מצוה]]&gt;0,YEAR(TODAY())+'תקציבים מיוחדים'!$F$5-HEVARIM[[#This Row],[גיל]],0)</f>
        <v>0</v>
      </c>
      <c r="AD527" s="1">
        <f t="shared" si="34"/>
        <v>0</v>
      </c>
      <c r="AE527" s="2">
        <f ca="1">IF(HEVARIM[[#This Row],[בת מצוה]]&gt;0,YEAR(TODAY())+'תקציבים מיוחדים'!$F$5-HEVARIM[[#This Row],[גיל]],0)</f>
        <v>0</v>
      </c>
      <c r="AF527" s="1">
        <f>IF(AND($S527&gt;="רווק",$Z527=1),AF$4*IF(HEVARIM[[#This Row],[גיל]]&gt;$AF$3,1,(($G527-AF$2)/(AF$3-AF$2))),0)</f>
        <v>0</v>
      </c>
      <c r="AG52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7" s="1">
        <f t="shared" si="35"/>
        <v>0</v>
      </c>
      <c r="AI527" s="2">
        <f ca="1">IF(AH527&gt;0,YEAR(TODAY())+'תקציבים מיוחדים'!$F$7-HEVARIM[[#This Row],[גיל]],0)</f>
        <v>0</v>
      </c>
      <c r="AJ527" s="9">
        <f>IF(AND(ISERROR(VLOOKUP(H527,'[2]ריכוז נתונים'!A:L,1,0)),P527="1     "),1,0)</f>
        <v>0</v>
      </c>
      <c r="AK527" s="1">
        <f>IF(VALUE(HEVARIM[[#This Row],[קוד מעמד]])=1,VLOOKUP((IF(LEFT(HEVARIM[[#This Row],[קוד חבר]],1)="0",HEVARIM[[#This Row],[קוד חבר]],VALUE(HEVARIM[[#This Row],[קוד חבר]]))),'ותק חברה 40'!AQ:AW,7,0),"")</f>
        <v>22.06</v>
      </c>
      <c r="AL527" s="1">
        <f>IF(AND(VALUE(HEVARIM[[#This Row],[קוד מעמד]])=1,HEVARIM[[#This Row],[ותק מחברה 40]]&lt;25),HEVARIM[[#This Row],[ותק מחברה 40]]/25*הנחות!$C$4,0)</f>
        <v>33120.542069999996</v>
      </c>
      <c r="AM527" s="9">
        <f ca="1">IF(HEVARIM[[#This Row],[דמי עזיבה 25 שנות ותק]]&gt;0,YEAR(TODAY())+25-ROUNDDOWN(HEVARIM[[#This Row],[ותק מחברה 40]],0),"")</f>
        <v>2029</v>
      </c>
      <c r="AN5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7" s="9" t="str">
        <f ca="1">IF(HEVARIM[[#This Row],[דמי עזיבה לגיל 65]]&gt;0,YEAR(TODAY())+64-ROUNDDOWN(HEVARIM[[#This Row],[גיל]],0),"")</f>
        <v/>
      </c>
      <c r="AP527" s="1">
        <f>SUMIF(HEVARIM[קוד תקציב],HEVARIM[[#This Row],[קוד תקציב משפחה מקורי]],HEVARIM[ותק מחברה 40])</f>
        <v>95.08</v>
      </c>
      <c r="AQ5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527" s="9">
        <f>IF(HEVARIM[[#This Row],[קוד מעמד]]="1     ",IFERROR(VLOOKUP(HEVARIM[[#This Row],[קוד תקציב]],'תקציב צביעה - לקראת השינוי'!A:F,4,0),0),0)</f>
        <v>2034</v>
      </c>
      <c r="AT527" s="1"/>
    </row>
    <row r="528" spans="1:46">
      <c r="A528" t="s">
        <v>2599</v>
      </c>
      <c r="B528" t="s">
        <v>2600</v>
      </c>
      <c r="C528" t="s">
        <v>2546</v>
      </c>
      <c r="D528" t="s">
        <v>1156</v>
      </c>
      <c r="E528" t="s">
        <v>79</v>
      </c>
      <c r="F528" s="4">
        <v>18642</v>
      </c>
      <c r="G528">
        <v>74</v>
      </c>
      <c r="H528" t="s">
        <v>2596</v>
      </c>
      <c r="I528" t="s">
        <v>2597</v>
      </c>
      <c r="J528" s="4" t="s">
        <v>70</v>
      </c>
      <c r="K528" s="4" t="s">
        <v>71</v>
      </c>
      <c r="L528" t="s">
        <v>2601</v>
      </c>
      <c r="M528" t="s">
        <v>2594</v>
      </c>
      <c r="N528" t="s">
        <v>2595</v>
      </c>
      <c r="O528">
        <f>IFERROR(VLOOKUP(HEVARIM[[#This Row],[קוד תקציב]],[2]תקציבים!A:L,6,0),0)</f>
        <v>2</v>
      </c>
      <c r="P528" s="5" t="s">
        <v>104</v>
      </c>
      <c r="Q528" t="s">
        <v>11</v>
      </c>
      <c r="R528" s="4">
        <v>26603</v>
      </c>
      <c r="S528" s="4" t="s">
        <v>74</v>
      </c>
      <c r="T528" s="96" t="s">
        <v>2596</v>
      </c>
      <c r="U528" t="str">
        <f>VLOOKUP(HEVARIM[[#This Row],[גיל]],GIL,2,1)</f>
        <v>--</v>
      </c>
      <c r="V528" t="str">
        <f>IF(HEVARIM[[#This Row],[קוד מעמד]]="4     ",IF(HEVARIM[[#This Row],[גיל]]=1,1,IF(HEVARIM[[#This Row],[גיל]]&lt;=5,5,18)),"")</f>
        <v/>
      </c>
      <c r="W528">
        <f t="shared" si="32"/>
        <v>2365</v>
      </c>
      <c r="X52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28">
        <f>IF(HEVARIM[[#This Row],[מצב משפחתי2]]="אלמן",'[2]ריכוז נתונים'!$AC$2,0)</f>
        <v>0</v>
      </c>
      <c r="Z528" s="3">
        <f>VLOOKUP(VALUE(HEVARIM[[#This Row],[קוד מעמד]]),הנחות!$I$2:$K$21,3,0)</f>
        <v>0</v>
      </c>
      <c r="AA528" t="b">
        <f>ISERROR(VLOOKUP(HEVARIM[[#This Row],[קוד תקציב]],'[2]ריכוז נתונים'!A:A,1,0))</f>
        <v>0</v>
      </c>
      <c r="AB528" s="1">
        <f t="shared" si="33"/>
        <v>0</v>
      </c>
      <c r="AC528" s="2">
        <f ca="1">IF(HEVARIM[[#This Row],[בר מצוה]]&gt;0,YEAR(TODAY())+'תקציבים מיוחדים'!$F$5-HEVARIM[[#This Row],[גיל]],0)</f>
        <v>0</v>
      </c>
      <c r="AD528" s="1">
        <f t="shared" si="34"/>
        <v>0</v>
      </c>
      <c r="AE528" s="2">
        <f ca="1">IF(HEVARIM[[#This Row],[בת מצוה]]&gt;0,YEAR(TODAY())+'תקציבים מיוחדים'!$F$5-HEVARIM[[#This Row],[גיל]],0)</f>
        <v>0</v>
      </c>
      <c r="AF528" s="1">
        <f>IF(AND($S528&gt;="רווק",$Z528=1),AF$4*IF(HEVARIM[[#This Row],[גיל]]&gt;$AF$3,1,(($G528-AF$2)/(AF$3-AF$2))),0)</f>
        <v>0</v>
      </c>
      <c r="AG52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8" s="1">
        <f t="shared" si="35"/>
        <v>0</v>
      </c>
      <c r="AI528" s="2">
        <f ca="1">IF(AH528&gt;0,YEAR(TODAY())+'תקציבים מיוחדים'!$F$7-HEVARIM[[#This Row],[גיל]],0)</f>
        <v>0</v>
      </c>
      <c r="AJ528" s="9">
        <f>IF(AND(ISERROR(VLOOKUP(H528,'[2]ריכוז נתונים'!A:L,1,0)),P528="1     "),1,0)</f>
        <v>0</v>
      </c>
      <c r="AK528" s="1">
        <f>IF(VALUE(HEVARIM[[#This Row],[קוד מעמד]])=1,VLOOKUP((IF(LEFT(HEVARIM[[#This Row],[קוד חבר]],1)="0",HEVARIM[[#This Row],[קוד חבר]],VALUE(HEVARIM[[#This Row],[קוד חבר]]))),'ותק חברה 40'!AQ:AW,7,0),"")</f>
        <v>47.01</v>
      </c>
      <c r="AL528" s="1">
        <f>IF(AND(VALUE(HEVARIM[[#This Row],[קוד מעמד]])=1,HEVARIM[[#This Row],[ותק מחברה 40]]&lt;25),HEVARIM[[#This Row],[ותק מחברה 40]]/25*הנחות!$C$4,0)</f>
        <v>0</v>
      </c>
      <c r="AM528" s="9" t="str">
        <f ca="1">IF(HEVARIM[[#This Row],[דמי עזיבה 25 שנות ותק]]&gt;0,YEAR(TODAY())+25-ROUNDDOWN(HEVARIM[[#This Row],[ותק מחברה 40]],0),"")</f>
        <v/>
      </c>
      <c r="AN5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8" s="9" t="str">
        <f ca="1">IF(HEVARIM[[#This Row],[דמי עזיבה לגיל 65]]&gt;0,YEAR(TODAY())+64-ROUNDDOWN(HEVARIM[[#This Row],[גיל]],0),"")</f>
        <v/>
      </c>
      <c r="AP528" s="1">
        <f>SUMIF(HEVARIM[קוד תקציב],HEVARIM[[#This Row],[קוד תקציב משפחה מקורי]],HEVARIM[ותק מחברה 40])</f>
        <v>95.009999999999991</v>
      </c>
      <c r="AQ5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528" s="9">
        <f>IF(HEVARIM[[#This Row],[קוד מעמד]]="1     ",IFERROR(VLOOKUP(HEVARIM[[#This Row],[קוד תקציב]],'תקציב צביעה - לקראת השינוי'!A:F,4,0),0),0)</f>
        <v>2028</v>
      </c>
      <c r="AT528" s="1"/>
    </row>
    <row r="529" spans="1:46">
      <c r="A529" t="s">
        <v>2602</v>
      </c>
      <c r="B529" t="s">
        <v>2603</v>
      </c>
      <c r="C529" t="s">
        <v>2575</v>
      </c>
      <c r="D529" t="s">
        <v>1404</v>
      </c>
      <c r="E529" t="s">
        <v>67</v>
      </c>
      <c r="F529" s="4">
        <v>17321</v>
      </c>
      <c r="G529">
        <v>78</v>
      </c>
      <c r="H529" t="s">
        <v>2604</v>
      </c>
      <c r="I529" t="s">
        <v>2605</v>
      </c>
      <c r="J529" s="4" t="s">
        <v>70</v>
      </c>
      <c r="K529" s="4" t="s">
        <v>71</v>
      </c>
      <c r="L529" t="s">
        <v>2606</v>
      </c>
      <c r="M529" t="s">
        <v>2607</v>
      </c>
      <c r="N529" t="s">
        <v>2608</v>
      </c>
      <c r="O529">
        <f>IFERROR(VLOOKUP(HEVARIM[[#This Row],[קוד תקציב]],[2]תקציבים!A:L,6,0),0)</f>
        <v>2</v>
      </c>
      <c r="P529" s="5" t="s">
        <v>104</v>
      </c>
      <c r="Q529" t="s">
        <v>11</v>
      </c>
      <c r="R529" s="4">
        <v>29159</v>
      </c>
      <c r="S529" s="4" t="s">
        <v>74</v>
      </c>
      <c r="T529" s="96" t="s">
        <v>2604</v>
      </c>
      <c r="U529" t="str">
        <f>VLOOKUP(HEVARIM[[#This Row],[גיל]],GIL,2,1)</f>
        <v>--</v>
      </c>
      <c r="V529" t="str">
        <f>IF(HEVARIM[[#This Row],[קוד מעמד]]="4     ",IF(HEVARIM[[#This Row],[גיל]]=1,1,IF(HEVARIM[[#This Row],[גיל]]&lt;=5,5,18)),"")</f>
        <v/>
      </c>
      <c r="W529">
        <f t="shared" si="32"/>
        <v>2365</v>
      </c>
      <c r="X52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29">
        <f>IF(HEVARIM[[#This Row],[מצב משפחתי2]]="אלמן",'[2]ריכוז נתונים'!$AC$2,0)</f>
        <v>0</v>
      </c>
      <c r="Z529" s="3">
        <f>VLOOKUP(VALUE(HEVARIM[[#This Row],[קוד מעמד]]),הנחות!$I$2:$K$21,3,0)</f>
        <v>0</v>
      </c>
      <c r="AA529" t="b">
        <f>ISERROR(VLOOKUP(HEVARIM[[#This Row],[קוד תקציב]],'[2]ריכוז נתונים'!A:A,1,0))</f>
        <v>0</v>
      </c>
      <c r="AB529" s="1">
        <f t="shared" si="33"/>
        <v>0</v>
      </c>
      <c r="AC529" s="2">
        <f ca="1">IF(HEVARIM[[#This Row],[בר מצוה]]&gt;0,YEAR(TODAY())+'תקציבים מיוחדים'!$F$5-HEVARIM[[#This Row],[גיל]],0)</f>
        <v>0</v>
      </c>
      <c r="AD529" s="1">
        <f t="shared" si="34"/>
        <v>0</v>
      </c>
      <c r="AE529" s="2">
        <f ca="1">IF(HEVARIM[[#This Row],[בת מצוה]]&gt;0,YEAR(TODAY())+'תקציבים מיוחדים'!$F$5-HEVARIM[[#This Row],[גיל]],0)</f>
        <v>0</v>
      </c>
      <c r="AF529" s="1">
        <f>IF(AND($S529&gt;="רווק",$Z529=1),AF$4*IF(HEVARIM[[#This Row],[גיל]]&gt;$AF$3,1,(($G529-AF$2)/(AF$3-AF$2))),0)</f>
        <v>0</v>
      </c>
      <c r="AG52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29" s="1">
        <f t="shared" si="35"/>
        <v>0</v>
      </c>
      <c r="AI529" s="2">
        <f ca="1">IF(AH529&gt;0,YEAR(TODAY())+'תקציבים מיוחדים'!$F$7-HEVARIM[[#This Row],[גיל]],0)</f>
        <v>0</v>
      </c>
      <c r="AJ529" s="9">
        <f>IF(AND(ISERROR(VLOOKUP(H529,'[2]ריכוז נתונים'!A:L,1,0)),P529="1     "),1,0)</f>
        <v>0</v>
      </c>
      <c r="AK529" s="1">
        <f>IF(VALUE(HEVARIM[[#This Row],[קוד מעמד]])=1,VLOOKUP((IF(LEFT(HEVARIM[[#This Row],[קוד חבר]],1)="0",HEVARIM[[#This Row],[קוד חבר]],VALUE(HEVARIM[[#This Row],[קוד חבר]]))),'ותק חברה 40'!AQ:AW,7,0),"")</f>
        <v>37.880000000000003</v>
      </c>
      <c r="AL529" s="1">
        <f>IF(AND(VALUE(HEVARIM[[#This Row],[קוד מעמד]])=1,HEVARIM[[#This Row],[ותק מחברה 40]]&lt;25),HEVARIM[[#This Row],[ותק מחברה 40]]/25*הנחות!$C$4,0)</f>
        <v>0</v>
      </c>
      <c r="AM529" s="9" t="str">
        <f ca="1">IF(HEVARIM[[#This Row],[דמי עזיבה 25 שנות ותק]]&gt;0,YEAR(TODAY())+25-ROUNDDOWN(HEVARIM[[#This Row],[ותק מחברה 40]],0),"")</f>
        <v/>
      </c>
      <c r="AN52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29" s="9" t="str">
        <f ca="1">IF(HEVARIM[[#This Row],[דמי עזיבה לגיל 65]]&gt;0,YEAR(TODAY())+64-ROUNDDOWN(HEVARIM[[#This Row],[גיל]],0),"")</f>
        <v/>
      </c>
      <c r="AP529" s="1">
        <f>SUMIF(HEVARIM[קוד תקציב],HEVARIM[[#This Row],[קוד תקציב משפחה מקורי]],HEVARIM[ותק מחברה 40])</f>
        <v>76.010000000000005</v>
      </c>
      <c r="AQ5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29" s="9">
        <f>IF(HEVARIM[[#This Row],[קוד מעמד]]="1     ",IFERROR(VLOOKUP(HEVARIM[[#This Row],[קוד תקציב]],'תקציב צביעה - לקראת השינוי'!A:F,4,0),0),0)</f>
        <v>2032</v>
      </c>
      <c r="AT529" s="1"/>
    </row>
    <row r="530" spans="1:46">
      <c r="A530" t="s">
        <v>2607</v>
      </c>
      <c r="B530" t="s">
        <v>2608</v>
      </c>
      <c r="C530" t="s">
        <v>2575</v>
      </c>
      <c r="D530" t="s">
        <v>2609</v>
      </c>
      <c r="E530" t="s">
        <v>79</v>
      </c>
      <c r="F530" s="4">
        <v>17414</v>
      </c>
      <c r="G530">
        <v>78</v>
      </c>
      <c r="H530" t="s">
        <v>2604</v>
      </c>
      <c r="I530" t="s">
        <v>2605</v>
      </c>
      <c r="J530" s="4" t="s">
        <v>70</v>
      </c>
      <c r="K530" s="4" t="s">
        <v>71</v>
      </c>
      <c r="L530" t="s">
        <v>2610</v>
      </c>
      <c r="M530" t="s">
        <v>2607</v>
      </c>
      <c r="N530" t="s">
        <v>2608</v>
      </c>
      <c r="O530">
        <f>IFERROR(VLOOKUP(HEVARIM[[#This Row],[קוד תקציב]],[2]תקציבים!A:L,6,0),0)</f>
        <v>2</v>
      </c>
      <c r="P530" s="5" t="s">
        <v>104</v>
      </c>
      <c r="Q530" t="s">
        <v>11</v>
      </c>
      <c r="R530" s="4">
        <v>29159</v>
      </c>
      <c r="S530" s="4" t="s">
        <v>74</v>
      </c>
      <c r="T530" s="96" t="s">
        <v>2604</v>
      </c>
      <c r="U530" t="str">
        <f>VLOOKUP(HEVARIM[[#This Row],[גיל]],GIL,2,1)</f>
        <v>--</v>
      </c>
      <c r="V530" t="str">
        <f>IF(HEVARIM[[#This Row],[קוד מעמד]]="4     ",IF(HEVARIM[[#This Row],[גיל]]=1,1,IF(HEVARIM[[#This Row],[גיל]]&lt;=5,5,18)),"")</f>
        <v/>
      </c>
      <c r="W530">
        <f t="shared" si="32"/>
        <v>2365</v>
      </c>
      <c r="X53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30">
        <f>IF(HEVARIM[[#This Row],[מצב משפחתי2]]="אלמן",'[2]ריכוז נתונים'!$AC$2,0)</f>
        <v>0</v>
      </c>
      <c r="Z530" s="3">
        <f>VLOOKUP(VALUE(HEVARIM[[#This Row],[קוד מעמד]]),הנחות!$I$2:$K$21,3,0)</f>
        <v>0</v>
      </c>
      <c r="AA530" t="b">
        <f>ISERROR(VLOOKUP(HEVARIM[[#This Row],[קוד תקציב]],'[2]ריכוז נתונים'!A:A,1,0))</f>
        <v>0</v>
      </c>
      <c r="AB530" s="1">
        <f t="shared" si="33"/>
        <v>0</v>
      </c>
      <c r="AC530" s="2">
        <f ca="1">IF(HEVARIM[[#This Row],[בר מצוה]]&gt;0,YEAR(TODAY())+'תקציבים מיוחדים'!$F$5-HEVARIM[[#This Row],[גיל]],0)</f>
        <v>0</v>
      </c>
      <c r="AD530" s="1">
        <f t="shared" si="34"/>
        <v>0</v>
      </c>
      <c r="AE530" s="2">
        <f ca="1">IF(HEVARIM[[#This Row],[בת מצוה]]&gt;0,YEAR(TODAY())+'תקציבים מיוחדים'!$F$5-HEVARIM[[#This Row],[גיל]],0)</f>
        <v>0</v>
      </c>
      <c r="AF530" s="1">
        <f>IF(AND($S530&gt;="רווק",$Z530=1),AF$4*IF(HEVARIM[[#This Row],[גיל]]&gt;$AF$3,1,(($G530-AF$2)/(AF$3-AF$2))),0)</f>
        <v>0</v>
      </c>
      <c r="AG53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30" s="1">
        <f t="shared" si="35"/>
        <v>0</v>
      </c>
      <c r="AI530" s="2">
        <f ca="1">IF(AH530&gt;0,YEAR(TODAY())+'תקציבים מיוחדים'!$F$7-HEVARIM[[#This Row],[גיל]],0)</f>
        <v>0</v>
      </c>
      <c r="AJ530" s="9">
        <f>IF(AND(ISERROR(VLOOKUP(H530,'[2]ריכוז נתונים'!A:L,1,0)),P530="1     "),1,0)</f>
        <v>0</v>
      </c>
      <c r="AK530" s="1">
        <f>IF(VALUE(HEVARIM[[#This Row],[קוד מעמד]])=1,VLOOKUP((IF(LEFT(HEVARIM[[#This Row],[קוד חבר]],1)="0",HEVARIM[[#This Row],[קוד חבר]],VALUE(HEVARIM[[#This Row],[קוד חבר]]))),'ותק חברה 40'!AQ:AW,7,0),"")</f>
        <v>38.130000000000003</v>
      </c>
      <c r="AL530" s="1">
        <f>IF(AND(VALUE(HEVARIM[[#This Row],[קוד מעמד]])=1,HEVARIM[[#This Row],[ותק מחברה 40]]&lt;25),HEVARIM[[#This Row],[ותק מחברה 40]]/25*הנחות!$C$4,0)</f>
        <v>0</v>
      </c>
      <c r="AM530" s="9" t="str">
        <f ca="1">IF(HEVARIM[[#This Row],[דמי עזיבה 25 שנות ותק]]&gt;0,YEAR(TODAY())+25-ROUNDDOWN(HEVARIM[[#This Row],[ותק מחברה 40]],0),"")</f>
        <v/>
      </c>
      <c r="AN5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0" s="9" t="str">
        <f ca="1">IF(HEVARIM[[#This Row],[דמי עזיבה לגיל 65]]&gt;0,YEAR(TODAY())+64-ROUNDDOWN(HEVARIM[[#This Row],[גיל]],0),"")</f>
        <v/>
      </c>
      <c r="AP530" s="1">
        <f>SUMIF(HEVARIM[קוד תקציב],HEVARIM[[#This Row],[קוד תקציב משפחה מקורי]],HEVARIM[ותק מחברה 40])</f>
        <v>76.010000000000005</v>
      </c>
      <c r="AQ5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30" s="9">
        <f>IF(HEVARIM[[#This Row],[קוד מעמד]]="1     ",IFERROR(VLOOKUP(HEVARIM[[#This Row],[קוד תקציב]],'תקציב צביעה - לקראת השינוי'!A:F,4,0),0),0)</f>
        <v>2032</v>
      </c>
      <c r="AT530" s="1"/>
    </row>
    <row r="531" spans="1:46">
      <c r="A531" t="s">
        <v>2679</v>
      </c>
      <c r="B531" t="s">
        <v>2680</v>
      </c>
      <c r="C531" t="s">
        <v>2575</v>
      </c>
      <c r="D531" t="s">
        <v>108</v>
      </c>
      <c r="E531" t="s">
        <v>79</v>
      </c>
      <c r="F531" s="4">
        <v>26101</v>
      </c>
      <c r="G531">
        <v>54</v>
      </c>
      <c r="H531" t="s">
        <v>2681</v>
      </c>
      <c r="I531" t="s">
        <v>2680</v>
      </c>
      <c r="J531" s="4" t="s">
        <v>70</v>
      </c>
      <c r="K531" s="4" t="s">
        <v>71</v>
      </c>
      <c r="L531" t="s">
        <v>2682</v>
      </c>
      <c r="M531" t="s">
        <v>2679</v>
      </c>
      <c r="N531" t="s">
        <v>2680</v>
      </c>
      <c r="O531">
        <f>IFERROR(VLOOKUP(HEVARIM[[#This Row],[קוד תקציב]],[2]תקציבים!A:L,6,0),0)</f>
        <v>1</v>
      </c>
      <c r="P531" s="5" t="s">
        <v>104</v>
      </c>
      <c r="Q531" t="s">
        <v>11</v>
      </c>
      <c r="R531" s="4">
        <v>36404</v>
      </c>
      <c r="S531" s="4" t="s">
        <v>90</v>
      </c>
      <c r="T531" s="96" t="s">
        <v>2604</v>
      </c>
      <c r="U531" t="str">
        <f>VLOOKUP(HEVARIM[[#This Row],[גיל]],GIL,2,1)</f>
        <v>--</v>
      </c>
      <c r="V531" t="str">
        <f>IF(HEVARIM[[#This Row],[קוד מעמד]]="4     ",IF(HEVARIM[[#This Row],[גיל]]=1,1,IF(HEVARIM[[#This Row],[גיל]]&lt;=5,5,18)),"")</f>
        <v/>
      </c>
      <c r="W531">
        <f t="shared" si="32"/>
        <v>0</v>
      </c>
      <c r="X53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1">
        <f>IF(HEVARIM[[#This Row],[מצב משפחתי2]]="אלמן",'[2]ריכוז נתונים'!$AC$2,0)</f>
        <v>0</v>
      </c>
      <c r="Z531" s="3">
        <f>VLOOKUP(VALUE(HEVARIM[[#This Row],[קוד מעמד]]),הנחות!$I$2:$K$21,3,0)</f>
        <v>0</v>
      </c>
      <c r="AA531" t="b">
        <f>ISERROR(VLOOKUP(HEVARIM[[#This Row],[קוד תקציב]],'[2]ריכוז נתונים'!A:A,1,0))</f>
        <v>0</v>
      </c>
      <c r="AB531" s="1">
        <f t="shared" si="33"/>
        <v>0</v>
      </c>
      <c r="AC531" s="2">
        <f ca="1">IF(HEVARIM[[#This Row],[בר מצוה]]&gt;0,YEAR(TODAY())+'תקציבים מיוחדים'!$F$5-HEVARIM[[#This Row],[גיל]],0)</f>
        <v>0</v>
      </c>
      <c r="AD531" s="1">
        <f t="shared" si="34"/>
        <v>0</v>
      </c>
      <c r="AE531" s="2">
        <f ca="1">IF(HEVARIM[[#This Row],[בת מצוה]]&gt;0,YEAR(TODAY())+'תקציבים מיוחדים'!$F$5-HEVARIM[[#This Row],[גיל]],0)</f>
        <v>0</v>
      </c>
      <c r="AF531" s="1">
        <f>IF(AND($S531&gt;="רווק",$Z531=1),AF$4*IF(HEVARIM[[#This Row],[גיל]]&gt;$AF$3,1,(($G531-AF$2)/(AF$3-AF$2))),0)</f>
        <v>0</v>
      </c>
      <c r="AG53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31" s="1">
        <f t="shared" si="35"/>
        <v>0</v>
      </c>
      <c r="AI531" s="2">
        <f ca="1">IF(AH531&gt;0,YEAR(TODAY())+'תקציבים מיוחדים'!$F$7-HEVARIM[[#This Row],[גיל]],0)</f>
        <v>0</v>
      </c>
      <c r="AJ531" s="9">
        <f>IF(AND(ISERROR(VLOOKUP(H531,'[2]ריכוז נתונים'!A:L,1,0)),P531="1     "),1,0)</f>
        <v>0</v>
      </c>
      <c r="AK531" s="1">
        <f>IF(VALUE(HEVARIM[[#This Row],[קוד מעמד]])=1,VLOOKUP((IF(LEFT(HEVARIM[[#This Row],[קוד חבר]],1)="0",HEVARIM[[#This Row],[קוד חבר]],VALUE(HEVARIM[[#This Row],[קוד חבר]]))),'ותק חברה 40'!AQ:AW,7,0),"")</f>
        <v>32.94</v>
      </c>
      <c r="AL531" s="1">
        <f>IF(AND(VALUE(HEVARIM[[#This Row],[קוד מעמד]])=1,HEVARIM[[#This Row],[ותק מחברה 40]]&lt;25),HEVARIM[[#This Row],[ותק מחברה 40]]/25*הנחות!$C$4,0)</f>
        <v>0</v>
      </c>
      <c r="AM531" s="9" t="str">
        <f ca="1">IF(HEVARIM[[#This Row],[דמי עזיבה 25 שנות ותק]]&gt;0,YEAR(TODAY())+25-ROUNDDOWN(HEVARIM[[#This Row],[ותק מחברה 40]],0),"")</f>
        <v/>
      </c>
      <c r="AN531" s="1">
        <f>IF(AND(VALUE(HEVARIM[[#This Row],[קוד מעמד]])=1,HEVARIM[[#This Row],[ותק מחברה 40]]&gt;25,HEVARIM[[#This Row],[גיל]]&lt;65),הנחות!$C$14+(HEVARIM[[#This Row],[ותק מחברה 40]]-25)*הנחות!$C$10*0.25,0)</f>
        <v>48097.924874999997</v>
      </c>
      <c r="AO531" s="9">
        <f ca="1">IF(HEVARIM[[#This Row],[דמי עזיבה לגיל 65]]&gt;0,YEAR(TODAY())+64-ROUNDDOWN(HEVARIM[[#This Row],[גיל]],0),"")</f>
        <v>2036</v>
      </c>
      <c r="AP531" s="1">
        <f>SUMIF(HEVARIM[קוד תקציב],HEVARIM[[#This Row],[קוד תקציב משפחה מקורי]],HEVARIM[ותק מחברה 40])</f>
        <v>76.010000000000005</v>
      </c>
      <c r="AQ5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531" s="9">
        <f>IF(HEVARIM[[#This Row],[קוד מעמד]]="1     ",IFERROR(VLOOKUP(HEVARIM[[#This Row],[קוד תקציב]],'תקציב צביעה - לקראת השינוי'!A:F,4,0),0),0)</f>
        <v>2027</v>
      </c>
      <c r="AT531" s="1"/>
    </row>
    <row r="532" spans="1:46">
      <c r="A532" t="s">
        <v>2573</v>
      </c>
      <c r="B532" t="s">
        <v>2574</v>
      </c>
      <c r="C532" t="s">
        <v>2575</v>
      </c>
      <c r="D532" t="s">
        <v>2576</v>
      </c>
      <c r="E532" t="s">
        <v>67</v>
      </c>
      <c r="F532" s="4">
        <v>25406</v>
      </c>
      <c r="G532">
        <v>56</v>
      </c>
      <c r="H532" t="s">
        <v>2577</v>
      </c>
      <c r="I532" t="s">
        <v>2578</v>
      </c>
      <c r="J532" s="4" t="s">
        <v>70</v>
      </c>
      <c r="K532" s="4" t="s">
        <v>71</v>
      </c>
      <c r="L532" t="s">
        <v>2579</v>
      </c>
      <c r="M532" t="s">
        <v>2573</v>
      </c>
      <c r="N532" t="s">
        <v>2574</v>
      </c>
      <c r="O532">
        <f>IFERROR(VLOOKUP(HEVARIM[[#This Row],[קוד תקציב]],[2]תקציבים!A:L,6,0),0)</f>
        <v>2</v>
      </c>
      <c r="P532" s="5" t="s">
        <v>104</v>
      </c>
      <c r="Q532" t="s">
        <v>11</v>
      </c>
      <c r="R532" s="4">
        <v>33939</v>
      </c>
      <c r="S532" s="4" t="s">
        <v>74</v>
      </c>
      <c r="T532" s="96" t="s">
        <v>2604</v>
      </c>
      <c r="U532" t="str">
        <f>VLOOKUP(HEVARIM[[#This Row],[גיל]],GIL,2,1)</f>
        <v>--</v>
      </c>
      <c r="V532" t="str">
        <f>IF(HEVARIM[[#This Row],[קוד מעמד]]="4     ",IF(HEVARIM[[#This Row],[גיל]]=1,1,IF(HEVARIM[[#This Row],[גיל]]&lt;=5,5,18)),"")</f>
        <v/>
      </c>
      <c r="W532">
        <f t="shared" si="32"/>
        <v>0</v>
      </c>
      <c r="X53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2">
        <f>IF(HEVARIM[[#This Row],[מצב משפחתי2]]="אלמן",'[2]ריכוז נתונים'!$AC$2,0)</f>
        <v>0</v>
      </c>
      <c r="Z532" s="3">
        <f>VLOOKUP(VALUE(HEVARIM[[#This Row],[קוד מעמד]]),הנחות!$I$2:$K$21,3,0)</f>
        <v>0</v>
      </c>
      <c r="AA532" t="b">
        <f>ISERROR(VLOOKUP(HEVARIM[[#This Row],[קוד תקציב]],'[2]ריכוז נתונים'!A:A,1,0))</f>
        <v>0</v>
      </c>
      <c r="AB532" s="1">
        <f t="shared" si="33"/>
        <v>0</v>
      </c>
      <c r="AC532" s="2">
        <f ca="1">IF(HEVARIM[[#This Row],[בר מצוה]]&gt;0,YEAR(TODAY())+'תקציבים מיוחדים'!$F$5-HEVARIM[[#This Row],[גיל]],0)</f>
        <v>0</v>
      </c>
      <c r="AD532" s="1">
        <f t="shared" si="34"/>
        <v>0</v>
      </c>
      <c r="AE532" s="2">
        <f ca="1">IF(HEVARIM[[#This Row],[בת מצוה]]&gt;0,YEAR(TODAY())+'תקציבים מיוחדים'!$F$5-HEVARIM[[#This Row],[גיל]],0)</f>
        <v>0</v>
      </c>
      <c r="AF532" s="1">
        <f>IF(AND($S532&gt;="רווק",$Z532=1),AF$4*IF(HEVARIM[[#This Row],[גיל]]&gt;$AF$3,1,(($G532-AF$2)/(AF$3-AF$2))),0)</f>
        <v>0</v>
      </c>
      <c r="AG53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32" s="1">
        <f t="shared" si="35"/>
        <v>0</v>
      </c>
      <c r="AI532" s="2">
        <f ca="1">IF(AH532&gt;0,YEAR(TODAY())+'תקציבים מיוחדים'!$F$7-HEVARIM[[#This Row],[גיל]],0)</f>
        <v>0</v>
      </c>
      <c r="AJ532" s="9">
        <f>IF(AND(ISERROR(VLOOKUP(H532,'[2]ריכוז נתונים'!A:L,1,0)),P532="1     "),1,0)</f>
        <v>0</v>
      </c>
      <c r="AK532" s="1">
        <f>IF(VALUE(HEVARIM[[#This Row],[קוד מעמד]])=1,VLOOKUP((IF(LEFT(HEVARIM[[#This Row],[קוד חבר]],1)="0",HEVARIM[[#This Row],[קוד חבר]],VALUE(HEVARIM[[#This Row],[קוד חבר]]))),'ותק חברה 40'!AQ:AW,7,0),"")</f>
        <v>37.94</v>
      </c>
      <c r="AL532" s="1">
        <f>IF(AND(VALUE(HEVARIM[[#This Row],[קוד מעמד]])=1,HEVARIM[[#This Row],[ותק מחברה 40]]&lt;25),HEVARIM[[#This Row],[ותק מחברה 40]]/25*הנחות!$C$4,0)</f>
        <v>0</v>
      </c>
      <c r="AM532" s="9" t="str">
        <f ca="1">IF(HEVARIM[[#This Row],[דמי עזיבה 25 שנות ותק]]&gt;0,YEAR(TODAY())+25-ROUNDDOWN(HEVARIM[[#This Row],[ותק מחברה 40]],0),"")</f>
        <v/>
      </c>
      <c r="AN532" s="1">
        <f>IF(AND(VALUE(HEVARIM[[#This Row],[קוד מעמד]])=1,HEVARIM[[#This Row],[ותק מחברה 40]]&gt;25,HEVARIM[[#This Row],[גיל]]&lt;65),הנחות!$C$14+(HEVARIM[[#This Row],[ותק מחברה 40]]-25)*הנחות!$C$10*0.25,0)</f>
        <v>61503.14362499999</v>
      </c>
      <c r="AO532" s="9">
        <f ca="1">IF(HEVARIM[[#This Row],[דמי עזיבה לגיל 65]]&gt;0,YEAR(TODAY())+64-ROUNDDOWN(HEVARIM[[#This Row],[גיל]],0),"")</f>
        <v>2034</v>
      </c>
      <c r="AP532" s="1">
        <f>SUMIF(HEVARIM[קוד תקציב],HEVARIM[[#This Row],[קוד תקציב משפחה מקורי]],HEVARIM[ותק מחברה 40])</f>
        <v>76.010000000000005</v>
      </c>
      <c r="AQ5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532" s="9">
        <f>IF(HEVARIM[[#This Row],[קוד מעמד]]="1     ",IFERROR(VLOOKUP(HEVARIM[[#This Row],[קוד תקציב]],'תקציב צביעה - לקראת השינוי'!A:F,4,0),0),0)</f>
        <v>2027</v>
      </c>
      <c r="AT532" s="1"/>
    </row>
    <row r="533" spans="1:46">
      <c r="A533" t="s">
        <v>2691</v>
      </c>
      <c r="B533" t="s">
        <v>2692</v>
      </c>
      <c r="C533" t="s">
        <v>2559</v>
      </c>
      <c r="D533" t="s">
        <v>781</v>
      </c>
      <c r="E533" t="s">
        <v>79</v>
      </c>
      <c r="F533" s="4">
        <v>36126</v>
      </c>
      <c r="G533">
        <v>27</v>
      </c>
      <c r="H533" t="s">
        <v>2693</v>
      </c>
      <c r="I533" t="s">
        <v>2692</v>
      </c>
      <c r="J533" s="4" t="s">
        <v>70</v>
      </c>
      <c r="K533" s="4" t="s">
        <v>81</v>
      </c>
      <c r="L533" t="s">
        <v>2694</v>
      </c>
      <c r="M533" t="s">
        <v>2691</v>
      </c>
      <c r="N533" t="s">
        <v>2692</v>
      </c>
      <c r="O533">
        <f>IFERROR(VLOOKUP(HEVARIM[[#This Row],[קוד תקציב]],[2]תקציבים!A:L,6,0),0)</f>
        <v>0</v>
      </c>
      <c r="P533" s="5" t="s">
        <v>129</v>
      </c>
      <c r="Q533" t="s">
        <v>26</v>
      </c>
      <c r="R533" s="4">
        <v>45170</v>
      </c>
      <c r="S533" s="4" t="s">
        <v>90</v>
      </c>
      <c r="T533" s="96" t="s">
        <v>2613</v>
      </c>
      <c r="U533" t="str">
        <f>VLOOKUP(HEVARIM[[#This Row],[גיל]],GIL,2,1)</f>
        <v>--</v>
      </c>
      <c r="V533" t="str">
        <f>IF(HEVARIM[[#This Row],[קוד מעמד]]="4     ",IF(HEVARIM[[#This Row],[גיל]]=1,1,IF(HEVARIM[[#This Row],[גיל]]&lt;=5,5,18)),"")</f>
        <v/>
      </c>
      <c r="W533">
        <f t="shared" si="32"/>
        <v>0</v>
      </c>
      <c r="X5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3">
        <f>IF(HEVARIM[[#This Row],[מצב משפחתי2]]="אלמן",'[2]ריכוז נתונים'!$AC$2,0)</f>
        <v>0</v>
      </c>
      <c r="Z533" s="3">
        <f>VLOOKUP(VALUE(HEVARIM[[#This Row],[קוד מעמד]]),הנחות!$I$2:$K$21,3,0)</f>
        <v>1</v>
      </c>
      <c r="AA533" t="b">
        <f>ISERROR(VLOOKUP(HEVARIM[[#This Row],[קוד תקציב]],'[2]ריכוז נתונים'!A:A,1,0))</f>
        <v>1</v>
      </c>
      <c r="AB533" s="1">
        <f t="shared" si="33"/>
        <v>0</v>
      </c>
      <c r="AC533" s="2">
        <f ca="1">IF(HEVARIM[[#This Row],[בר מצוה]]&gt;0,YEAR(TODAY())+'תקציבים מיוחדים'!$F$5-HEVARIM[[#This Row],[גיל]],0)</f>
        <v>0</v>
      </c>
      <c r="AD533" s="1">
        <f t="shared" si="34"/>
        <v>0</v>
      </c>
      <c r="AE533" s="2">
        <f ca="1">IF(HEVARIM[[#This Row],[בת מצוה]]&gt;0,YEAR(TODAY())+'תקציבים מיוחדים'!$F$5-HEVARIM[[#This Row],[גיל]],0)</f>
        <v>0</v>
      </c>
      <c r="AF533" s="1">
        <f>IF(AND($S533&gt;="רווק",$Z533=1),AF$4*IF(HEVARIM[[#This Row],[גיל]]&gt;$AF$3,1,(($G533-AF$2)/(AF$3-AF$2))),0)</f>
        <v>60512.5</v>
      </c>
      <c r="AG533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33" s="1">
        <f t="shared" si="35"/>
        <v>0</v>
      </c>
      <c r="AI533" s="2">
        <f ca="1">IF(AH533&gt;0,YEAR(TODAY())+'תקציבים מיוחדים'!$F$7-HEVARIM[[#This Row],[גיל]],0)</f>
        <v>0</v>
      </c>
      <c r="AJ533" s="9">
        <f>IF(AND(ISERROR(VLOOKUP(H533,'[2]ריכוז נתונים'!A:L,1,0)),P533="1     "),1,0)</f>
        <v>0</v>
      </c>
      <c r="AK53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33" s="1">
        <f>IF(AND(VALUE(HEVARIM[[#This Row],[קוד מעמד]])=1,HEVARIM[[#This Row],[ותק מחברה 40]]&lt;25),HEVARIM[[#This Row],[ותק מחברה 40]]/25*הנחות!$C$4,0)</f>
        <v>0</v>
      </c>
      <c r="AM533" s="9" t="str">
        <f ca="1">IF(HEVARIM[[#This Row],[דמי עזיבה 25 שנות ותק]]&gt;0,YEAR(TODAY())+25-ROUNDDOWN(HEVARIM[[#This Row],[ותק מחברה 40]],0),"")</f>
        <v/>
      </c>
      <c r="AN53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3" s="9" t="str">
        <f ca="1">IF(HEVARIM[[#This Row],[דמי עזיבה לגיל 65]]&gt;0,YEAR(TODAY())+64-ROUNDDOWN(HEVARIM[[#This Row],[גיל]],0),"")</f>
        <v/>
      </c>
      <c r="AP533" s="1">
        <f>SUMIF(HEVARIM[קוד תקציב],HEVARIM[[#This Row],[קוד תקציב משפחה מקורי]],HEVARIM[ותק מחברה 40])</f>
        <v>79.180000000000007</v>
      </c>
      <c r="AQ5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3" s="9">
        <f>IF(HEVARIM[[#This Row],[קוד מעמד]]="1     ",IFERROR(VLOOKUP(HEVARIM[[#This Row],[קוד תקציב]],'תקציב צביעה - לקראת השינוי'!A:F,4,0),0),0)</f>
        <v>0</v>
      </c>
      <c r="AT533" s="1"/>
    </row>
    <row r="534" spans="1:46">
      <c r="A534" t="s">
        <v>2616</v>
      </c>
      <c r="B534" t="s">
        <v>2617</v>
      </c>
      <c r="C534" t="s">
        <v>2559</v>
      </c>
      <c r="D534" t="s">
        <v>1771</v>
      </c>
      <c r="E534" t="s">
        <v>79</v>
      </c>
      <c r="F534" s="4">
        <v>22793</v>
      </c>
      <c r="G534">
        <v>63</v>
      </c>
      <c r="H534" t="s">
        <v>2613</v>
      </c>
      <c r="I534" t="s">
        <v>2614</v>
      </c>
      <c r="J534" s="4" t="s">
        <v>70</v>
      </c>
      <c r="K534" s="4" t="s">
        <v>71</v>
      </c>
      <c r="L534" t="s">
        <v>2618</v>
      </c>
      <c r="M534" t="s">
        <v>2611</v>
      </c>
      <c r="N534" t="s">
        <v>2612</v>
      </c>
      <c r="O534">
        <f>IFERROR(VLOOKUP(HEVARIM[[#This Row],[קוד תקציב]],[2]תקציבים!A:L,6,0),0)</f>
        <v>2</v>
      </c>
      <c r="P534" s="5" t="s">
        <v>104</v>
      </c>
      <c r="Q534" t="s">
        <v>11</v>
      </c>
      <c r="R534" s="4">
        <v>39278</v>
      </c>
      <c r="S534" s="4" t="s">
        <v>74</v>
      </c>
      <c r="T534" s="96" t="s">
        <v>2613</v>
      </c>
      <c r="U534" t="str">
        <f>VLOOKUP(HEVARIM[[#This Row],[גיל]],GIL,2,1)</f>
        <v>--</v>
      </c>
      <c r="V534" t="str">
        <f>IF(HEVARIM[[#This Row],[קוד מעמד]]="4     ",IF(HEVARIM[[#This Row],[גיל]]=1,1,IF(HEVARIM[[#This Row],[גיל]]&lt;=5,5,18)),"")</f>
        <v/>
      </c>
      <c r="W534">
        <f t="shared" si="32"/>
        <v>0</v>
      </c>
      <c r="X53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34">
        <f>IF(HEVARIM[[#This Row],[מצב משפחתי2]]="אלמן",'[2]ריכוז נתונים'!$AC$2,0)</f>
        <v>0</v>
      </c>
      <c r="Z534" s="3">
        <f>VLOOKUP(VALUE(HEVARIM[[#This Row],[קוד מעמד]]),הנחות!$I$2:$K$21,3,0)</f>
        <v>0</v>
      </c>
      <c r="AA534" t="b">
        <f>ISERROR(VLOOKUP(HEVARIM[[#This Row],[קוד תקציב]],'[2]ריכוז נתונים'!A:A,1,0))</f>
        <v>0</v>
      </c>
      <c r="AB534" s="1">
        <f t="shared" si="33"/>
        <v>0</v>
      </c>
      <c r="AC534" s="2">
        <f ca="1">IF(HEVARIM[[#This Row],[בר מצוה]]&gt;0,YEAR(TODAY())+'תקציבים מיוחדים'!$F$5-HEVARIM[[#This Row],[גיל]],0)</f>
        <v>0</v>
      </c>
      <c r="AD534" s="1">
        <f t="shared" si="34"/>
        <v>0</v>
      </c>
      <c r="AE534" s="2">
        <f ca="1">IF(HEVARIM[[#This Row],[בת מצוה]]&gt;0,YEAR(TODAY())+'תקציבים מיוחדים'!$F$5-HEVARIM[[#This Row],[גיל]],0)</f>
        <v>0</v>
      </c>
      <c r="AF534" s="1">
        <f>IF(AND($S534&gt;="רווק",$Z534=1),AF$4*IF(HEVARIM[[#This Row],[גיל]]&gt;$AF$3,1,(($G534-AF$2)/(AF$3-AF$2))),0)</f>
        <v>0</v>
      </c>
      <c r="AG53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34" s="1">
        <f t="shared" si="35"/>
        <v>0</v>
      </c>
      <c r="AI534" s="2">
        <f ca="1">IF(AH534&gt;0,YEAR(TODAY())+'תקציבים מיוחדים'!$F$7-HEVARIM[[#This Row],[גיל]],0)</f>
        <v>0</v>
      </c>
      <c r="AJ534" s="9">
        <f>IF(AND(ISERROR(VLOOKUP(H534,'[2]ריכוז נתונים'!A:L,1,0)),P534="1     "),1,0)</f>
        <v>0</v>
      </c>
      <c r="AK534" s="1">
        <f>IF(VALUE(HEVARIM[[#This Row],[קוד מעמד]])=1,VLOOKUP((IF(LEFT(HEVARIM[[#This Row],[קוד חבר]],1)="0",HEVARIM[[#This Row],[קוד חבר]],VALUE(HEVARIM[[#This Row],[קוד חבר]]))),'ותק חברה 40'!AQ:AW,7,0),"")</f>
        <v>32.44</v>
      </c>
      <c r="AL534" s="1">
        <f>IF(AND(VALUE(HEVARIM[[#This Row],[קוד מעמד]])=1,HEVARIM[[#This Row],[ותק מחברה 40]]&lt;25),HEVARIM[[#This Row],[ותק מחברה 40]]/25*הנחות!$C$4,0)</f>
        <v>0</v>
      </c>
      <c r="AM534" s="9" t="str">
        <f ca="1">IF(HEVARIM[[#This Row],[דמי עזיבה 25 שנות ותק]]&gt;0,YEAR(TODAY())+25-ROUNDDOWN(HEVARIM[[#This Row],[ותק מחברה 40]],0),"")</f>
        <v/>
      </c>
      <c r="AN534" s="1">
        <f>IF(AND(VALUE(HEVARIM[[#This Row],[קוד מעמד]])=1,HEVARIM[[#This Row],[ותק מחברה 40]]&gt;25,HEVARIM[[#This Row],[גיל]]&lt;65),הנחות!$C$14+(HEVARIM[[#This Row],[ותק מחברה 40]]-25)*הנחות!$C$10*0.25,0)</f>
        <v>46757.402999999991</v>
      </c>
      <c r="AO534" s="9">
        <f ca="1">IF(HEVARIM[[#This Row],[דמי עזיבה לגיל 65]]&gt;0,YEAR(TODAY())+64-ROUNDDOWN(HEVARIM[[#This Row],[גיל]],0),"")</f>
        <v>2027</v>
      </c>
      <c r="AP534" s="1">
        <f>SUMIF(HEVARIM[קוד תקציב],HEVARIM[[#This Row],[קוד תקציב משפחה מקורי]],HEVARIM[ותק מחברה 40])</f>
        <v>79.180000000000007</v>
      </c>
      <c r="AQ5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534" s="9">
        <f>IF(HEVARIM[[#This Row],[קוד מעמד]]="1     ",IFERROR(VLOOKUP(HEVARIM[[#This Row],[קוד תקציב]],'תקציב צביעה - לקראת השינוי'!A:F,4,0),0),0)</f>
        <v>2032</v>
      </c>
      <c r="AT534" s="1"/>
    </row>
    <row r="535" spans="1:46">
      <c r="A535" t="s">
        <v>2801</v>
      </c>
      <c r="B535" t="s">
        <v>2802</v>
      </c>
      <c r="C535" t="s">
        <v>2559</v>
      </c>
      <c r="D535" t="s">
        <v>383</v>
      </c>
      <c r="E535" t="s">
        <v>79</v>
      </c>
      <c r="F535" s="4">
        <v>35522</v>
      </c>
      <c r="G535">
        <v>28</v>
      </c>
      <c r="H535" t="s">
        <v>2803</v>
      </c>
      <c r="I535" t="s">
        <v>2802</v>
      </c>
      <c r="J535" s="4" t="s">
        <v>70</v>
      </c>
      <c r="K535" s="4" t="s">
        <v>81</v>
      </c>
      <c r="L535" t="s">
        <v>2804</v>
      </c>
      <c r="M535" t="s">
        <v>2801</v>
      </c>
      <c r="N535" t="s">
        <v>2802</v>
      </c>
      <c r="O535">
        <f>IFERROR(VLOOKUP(HEVARIM[[#This Row],[קוד תקציב]],[2]תקציבים!A:L,6,0),0)</f>
        <v>0</v>
      </c>
      <c r="P535" s="5" t="s">
        <v>129</v>
      </c>
      <c r="Q535" t="s">
        <v>26</v>
      </c>
      <c r="R535" s="4">
        <v>44956</v>
      </c>
      <c r="S535" s="4" t="s">
        <v>90</v>
      </c>
      <c r="T535" s="96" t="s">
        <v>2613</v>
      </c>
      <c r="U535" t="str">
        <f>VLOOKUP(HEVARIM[[#This Row],[גיל]],GIL,2,1)</f>
        <v>--</v>
      </c>
      <c r="V535" t="str">
        <f>IF(HEVARIM[[#This Row],[קוד מעמד]]="4     ",IF(HEVARIM[[#This Row],[גיל]]=1,1,IF(HEVARIM[[#This Row],[גיל]]&lt;=5,5,18)),"")</f>
        <v/>
      </c>
      <c r="W535">
        <f t="shared" si="32"/>
        <v>0</v>
      </c>
      <c r="X53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5">
        <f>IF(HEVARIM[[#This Row],[מצב משפחתי2]]="אלמן",'[2]ריכוז נתונים'!$AC$2,0)</f>
        <v>0</v>
      </c>
      <c r="Z535" s="3">
        <f>VLOOKUP(VALUE(HEVARIM[[#This Row],[קוד מעמד]]),הנחות!$I$2:$K$21,3,0)</f>
        <v>1</v>
      </c>
      <c r="AA535" t="b">
        <f>ISERROR(VLOOKUP(HEVARIM[[#This Row],[קוד תקציב]],'[2]ריכוז נתונים'!A:A,1,0))</f>
        <v>1</v>
      </c>
      <c r="AB535" s="1">
        <f t="shared" si="33"/>
        <v>0</v>
      </c>
      <c r="AC535" s="2">
        <f ca="1">IF(HEVARIM[[#This Row],[בר מצוה]]&gt;0,YEAR(TODAY())+'תקציבים מיוחדים'!$F$5-HEVARIM[[#This Row],[גיל]],0)</f>
        <v>0</v>
      </c>
      <c r="AD535" s="1">
        <f t="shared" si="34"/>
        <v>0</v>
      </c>
      <c r="AE535" s="2">
        <f ca="1">IF(HEVARIM[[#This Row],[בת מצוה]]&gt;0,YEAR(TODAY())+'תקציבים מיוחדים'!$F$5-HEVARIM[[#This Row],[גיל]],0)</f>
        <v>0</v>
      </c>
      <c r="AF535" s="1">
        <f>IF(AND($S535&gt;="רווק",$Z535=1),AF$4*IF(HEVARIM[[#This Row],[גיל]]&gt;$AF$3,1,(($G535-AF$2)/(AF$3-AF$2))),0)</f>
        <v>60512.5</v>
      </c>
      <c r="AG535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35" s="1">
        <f t="shared" si="35"/>
        <v>0</v>
      </c>
      <c r="AI535" s="2">
        <f ca="1">IF(AH535&gt;0,YEAR(TODAY())+'תקציבים מיוחדים'!$F$7-HEVARIM[[#This Row],[גיל]],0)</f>
        <v>0</v>
      </c>
      <c r="AJ535" s="9">
        <f>IF(AND(ISERROR(VLOOKUP(H535,'[2]ריכוז נתונים'!A:L,1,0)),P535="1     "),1,0)</f>
        <v>0</v>
      </c>
      <c r="AK53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35" s="1">
        <f>IF(AND(VALUE(HEVARIM[[#This Row],[קוד מעמד]])=1,HEVARIM[[#This Row],[ותק מחברה 40]]&lt;25),HEVARIM[[#This Row],[ותק מחברה 40]]/25*הנחות!$C$4,0)</f>
        <v>0</v>
      </c>
      <c r="AM535" s="9" t="str">
        <f ca="1">IF(HEVARIM[[#This Row],[דמי עזיבה 25 שנות ותק]]&gt;0,YEAR(TODAY())+25-ROUNDDOWN(HEVARIM[[#This Row],[ותק מחברה 40]],0),"")</f>
        <v/>
      </c>
      <c r="AN5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5" s="9" t="str">
        <f ca="1">IF(HEVARIM[[#This Row],[דמי עזיבה לגיל 65]]&gt;0,YEAR(TODAY())+64-ROUNDDOWN(HEVARIM[[#This Row],[גיל]],0),"")</f>
        <v/>
      </c>
      <c r="AP535" s="1">
        <f>SUMIF(HEVARIM[קוד תקציב],HEVARIM[[#This Row],[קוד תקציב משפחה מקורי]],HEVARIM[ותק מחברה 40])</f>
        <v>79.180000000000007</v>
      </c>
      <c r="AQ5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5" s="9">
        <f>IF(HEVARIM[[#This Row],[קוד מעמד]]="1     ",IFERROR(VLOOKUP(HEVARIM[[#This Row],[קוד תקציב]],'תקציב צביעה - לקראת השינוי'!A:F,4,0),0),0)</f>
        <v>0</v>
      </c>
      <c r="AT535" s="1"/>
    </row>
    <row r="536" spans="1:46">
      <c r="A536" t="s">
        <v>2811</v>
      </c>
      <c r="B536" t="s">
        <v>2812</v>
      </c>
      <c r="C536" t="s">
        <v>2559</v>
      </c>
      <c r="D536" t="s">
        <v>2813</v>
      </c>
      <c r="E536" t="s">
        <v>67</v>
      </c>
      <c r="F536" s="4">
        <v>36556</v>
      </c>
      <c r="G536">
        <v>25</v>
      </c>
      <c r="H536" t="s">
        <v>2814</v>
      </c>
      <c r="I536" t="s">
        <v>2812</v>
      </c>
      <c r="J536" s="4" t="s">
        <v>70</v>
      </c>
      <c r="K536" s="4" t="s">
        <v>81</v>
      </c>
      <c r="L536" t="s">
        <v>2815</v>
      </c>
      <c r="M536" t="s">
        <v>2811</v>
      </c>
      <c r="N536" t="s">
        <v>2812</v>
      </c>
      <c r="O536">
        <f>IFERROR(VLOOKUP(HEVARIM[[#This Row],[קוד תקציב]],[2]תקציבים!A:L,6,0),0)</f>
        <v>0</v>
      </c>
      <c r="P536" s="5" t="s">
        <v>73</v>
      </c>
      <c r="Q536" t="s">
        <v>27</v>
      </c>
      <c r="R536" s="4">
        <v>44658</v>
      </c>
      <c r="S536" s="4" t="s">
        <v>90</v>
      </c>
      <c r="T536" s="96" t="s">
        <v>2613</v>
      </c>
      <c r="U536" t="str">
        <f>VLOOKUP(HEVARIM[[#This Row],[גיל]],GIL,2,1)</f>
        <v>--</v>
      </c>
      <c r="V536" t="str">
        <f>IF(HEVARIM[[#This Row],[קוד מעמד]]="4     ",IF(HEVARIM[[#This Row],[גיל]]=1,1,IF(HEVARIM[[#This Row],[גיל]]&lt;=5,5,18)),"")</f>
        <v/>
      </c>
      <c r="W536">
        <f t="shared" si="32"/>
        <v>0</v>
      </c>
      <c r="X53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6">
        <f>IF(HEVARIM[[#This Row],[מצב משפחתי2]]="אלמן",'[2]ריכוז נתונים'!$AC$2,0)</f>
        <v>0</v>
      </c>
      <c r="Z536" s="3">
        <f>VLOOKUP(VALUE(HEVARIM[[#This Row],[קוד מעמד]]),הנחות!$I$2:$K$21,3,0)</f>
        <v>1</v>
      </c>
      <c r="AA536" t="b">
        <f>ISERROR(VLOOKUP(HEVARIM[[#This Row],[קוד תקציב]],'[2]ריכוז נתונים'!A:A,1,0))</f>
        <v>1</v>
      </c>
      <c r="AB536" s="1">
        <f t="shared" si="33"/>
        <v>0</v>
      </c>
      <c r="AC536" s="2">
        <f ca="1">IF(HEVARIM[[#This Row],[בר מצוה]]&gt;0,YEAR(TODAY())+'תקציבים מיוחדים'!$F$5-HEVARIM[[#This Row],[גיל]],0)</f>
        <v>0</v>
      </c>
      <c r="AD536" s="1">
        <f t="shared" si="34"/>
        <v>0</v>
      </c>
      <c r="AE536" s="2">
        <f ca="1">IF(HEVARIM[[#This Row],[בת מצוה]]&gt;0,YEAR(TODAY())+'תקציבים מיוחדים'!$F$5-HEVARIM[[#This Row],[גיל]],0)</f>
        <v>0</v>
      </c>
      <c r="AF536" s="1">
        <f>IF(AND($S536&gt;="רווק",$Z536=1),AF$4*IF(HEVARIM[[#This Row],[גיל]]&gt;$AF$3,1,(($G536-AF$2)/(AF$3-AF$2))),0)</f>
        <v>60512.5</v>
      </c>
      <c r="AG536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36" s="1">
        <f t="shared" si="35"/>
        <v>0</v>
      </c>
      <c r="AI536" s="2">
        <f ca="1">IF(AH536&gt;0,YEAR(TODAY())+'תקציבים מיוחדים'!$F$7-HEVARIM[[#This Row],[גיל]],0)</f>
        <v>0</v>
      </c>
      <c r="AJ536" s="9">
        <f>IF(AND(ISERROR(VLOOKUP(H536,'[2]ריכוז נתונים'!A:L,1,0)),P536="1     "),1,0)</f>
        <v>0</v>
      </c>
      <c r="AK53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36" s="1">
        <f>IF(AND(VALUE(HEVARIM[[#This Row],[קוד מעמד]])=1,HEVARIM[[#This Row],[ותק מחברה 40]]&lt;25),HEVARIM[[#This Row],[ותק מחברה 40]]/25*הנחות!$C$4,0)</f>
        <v>0</v>
      </c>
      <c r="AM536" s="9" t="str">
        <f ca="1">IF(HEVARIM[[#This Row],[דמי עזיבה 25 שנות ותק]]&gt;0,YEAR(TODAY())+25-ROUNDDOWN(HEVARIM[[#This Row],[ותק מחברה 40]],0),"")</f>
        <v/>
      </c>
      <c r="AN53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6" s="9" t="str">
        <f ca="1">IF(HEVARIM[[#This Row],[דמי עזיבה לגיל 65]]&gt;0,YEAR(TODAY())+64-ROUNDDOWN(HEVARIM[[#This Row],[גיל]],0),"")</f>
        <v/>
      </c>
      <c r="AP536" s="1">
        <f>SUMIF(HEVARIM[קוד תקציב],HEVARIM[[#This Row],[קוד תקציב משפחה מקורי]],HEVARIM[ותק מחברה 40])</f>
        <v>79.180000000000007</v>
      </c>
      <c r="AQ5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6" s="9">
        <f>IF(HEVARIM[[#This Row],[קוד מעמד]]="1     ",IFERROR(VLOOKUP(HEVARIM[[#This Row],[קוד תקציב]],'תקציב צביעה - לקראת השינוי'!A:F,4,0),0),0)</f>
        <v>0</v>
      </c>
      <c r="AT536" s="1"/>
    </row>
    <row r="537" spans="1:46">
      <c r="A537" t="s">
        <v>2774</v>
      </c>
      <c r="B537" t="s">
        <v>2775</v>
      </c>
      <c r="C537" t="s">
        <v>2559</v>
      </c>
      <c r="D537" t="s">
        <v>209</v>
      </c>
      <c r="E537" t="s">
        <v>79</v>
      </c>
      <c r="F537" s="4">
        <v>34951</v>
      </c>
      <c r="G537">
        <v>30</v>
      </c>
      <c r="H537" t="s">
        <v>2776</v>
      </c>
      <c r="I537" t="s">
        <v>2775</v>
      </c>
      <c r="J537" s="4" t="s">
        <v>70</v>
      </c>
      <c r="K537" s="4" t="s">
        <v>81</v>
      </c>
      <c r="L537" t="s">
        <v>2777</v>
      </c>
      <c r="M537" t="s">
        <v>2774</v>
      </c>
      <c r="N537" t="s">
        <v>2775</v>
      </c>
      <c r="O537">
        <f>IFERROR(VLOOKUP(HEVARIM[[#This Row],[קוד תקציב]],[2]תקציבים!A:L,6,0),0)</f>
        <v>0</v>
      </c>
      <c r="P537" s="5" t="s">
        <v>129</v>
      </c>
      <c r="Q537" t="s">
        <v>26</v>
      </c>
      <c r="R537" s="4">
        <v>44562</v>
      </c>
      <c r="S537" s="4" t="s">
        <v>90</v>
      </c>
      <c r="T537" s="96" t="s">
        <v>2613</v>
      </c>
      <c r="U537" t="str">
        <f>VLOOKUP(HEVARIM[[#This Row],[גיל]],GIL,2,1)</f>
        <v>--</v>
      </c>
      <c r="V537" t="str">
        <f>IF(HEVARIM[[#This Row],[קוד מעמד]]="4     ",IF(HEVARIM[[#This Row],[גיל]]=1,1,IF(HEVARIM[[#This Row],[גיל]]&lt;=5,5,18)),"")</f>
        <v/>
      </c>
      <c r="W537">
        <f t="shared" si="32"/>
        <v>0</v>
      </c>
      <c r="X53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7">
        <f>IF(HEVARIM[[#This Row],[מצב משפחתי2]]="אלמן",'[2]ריכוז נתונים'!$AC$2,0)</f>
        <v>0</v>
      </c>
      <c r="Z537" s="3">
        <f>VLOOKUP(VALUE(HEVARIM[[#This Row],[קוד מעמד]]),הנחות!$I$2:$K$21,3,0)</f>
        <v>1</v>
      </c>
      <c r="AA537" t="b">
        <f>ISERROR(VLOOKUP(HEVARIM[[#This Row],[קוד תקציב]],'[2]ריכוז נתונים'!A:A,1,0))</f>
        <v>1</v>
      </c>
      <c r="AB537" s="1">
        <f t="shared" si="33"/>
        <v>0</v>
      </c>
      <c r="AC537" s="2">
        <f ca="1">IF(HEVARIM[[#This Row],[בר מצוה]]&gt;0,YEAR(TODAY())+'תקציבים מיוחדים'!$F$5-HEVARIM[[#This Row],[גיל]],0)</f>
        <v>0</v>
      </c>
      <c r="AD537" s="1">
        <f t="shared" si="34"/>
        <v>0</v>
      </c>
      <c r="AE537" s="2">
        <f ca="1">IF(HEVARIM[[#This Row],[בת מצוה]]&gt;0,YEAR(TODAY())+'תקציבים מיוחדים'!$F$5-HEVARIM[[#This Row],[גיל]],0)</f>
        <v>0</v>
      </c>
      <c r="AF537" s="1">
        <f>IF(AND($S537&gt;="רווק",$Z537=1),AF$4*IF(HEVARIM[[#This Row],[גיל]]&gt;$AF$3,1,(($G537-AF$2)/(AF$3-AF$2))),0)</f>
        <v>60512.5</v>
      </c>
      <c r="AG537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37" s="1">
        <f t="shared" si="35"/>
        <v>0</v>
      </c>
      <c r="AI537" s="2">
        <f ca="1">IF(AH537&gt;0,YEAR(TODAY())+'תקציבים מיוחדים'!$F$7-HEVARIM[[#This Row],[גיל]],0)</f>
        <v>0</v>
      </c>
      <c r="AJ537" s="9">
        <f>IF(AND(ISERROR(VLOOKUP(H537,'[2]ריכוז נתונים'!A:L,1,0)),P537="1     "),1,0)</f>
        <v>0</v>
      </c>
      <c r="AK53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37" s="1">
        <f>IF(AND(VALUE(HEVARIM[[#This Row],[קוד מעמד]])=1,HEVARIM[[#This Row],[ותק מחברה 40]]&lt;25),HEVARIM[[#This Row],[ותק מחברה 40]]/25*הנחות!$C$4,0)</f>
        <v>0</v>
      </c>
      <c r="AM537" s="9" t="str">
        <f ca="1">IF(HEVARIM[[#This Row],[דמי עזיבה 25 שנות ותק]]&gt;0,YEAR(TODAY())+25-ROUNDDOWN(HEVARIM[[#This Row],[ותק מחברה 40]],0),"")</f>
        <v/>
      </c>
      <c r="AN5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7" s="9" t="str">
        <f ca="1">IF(HEVARIM[[#This Row],[דמי עזיבה לגיל 65]]&gt;0,YEAR(TODAY())+64-ROUNDDOWN(HEVARIM[[#This Row],[גיל]],0),"")</f>
        <v/>
      </c>
      <c r="AP537" s="1">
        <f>SUMIF(HEVARIM[קוד תקציב],HEVARIM[[#This Row],[קוד תקציב משפחה מקורי]],HEVARIM[ותק מחברה 40])</f>
        <v>79.180000000000007</v>
      </c>
      <c r="AQ5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7" s="9">
        <f>IF(HEVARIM[[#This Row],[קוד מעמד]]="1     ",IFERROR(VLOOKUP(HEVARIM[[#This Row],[קוד תקציב]],'תקציב צביעה - לקראת השינוי'!A:F,4,0),0),0)</f>
        <v>0</v>
      </c>
      <c r="AT537" s="1"/>
    </row>
    <row r="538" spans="1:46">
      <c r="A538" t="s">
        <v>2756</v>
      </c>
      <c r="B538" t="s">
        <v>2757</v>
      </c>
      <c r="C538" t="s">
        <v>2752</v>
      </c>
      <c r="D538" t="s">
        <v>1151</v>
      </c>
      <c r="E538" t="s">
        <v>79</v>
      </c>
      <c r="F538" s="4">
        <v>34141</v>
      </c>
      <c r="G538">
        <v>32</v>
      </c>
      <c r="H538" t="s">
        <v>2753</v>
      </c>
      <c r="I538" t="s">
        <v>2754</v>
      </c>
      <c r="J538" s="4" t="s">
        <v>70</v>
      </c>
      <c r="K538" s="4" t="s">
        <v>71</v>
      </c>
      <c r="L538" t="s">
        <v>2758</v>
      </c>
      <c r="M538" t="s">
        <v>2750</v>
      </c>
      <c r="N538" t="s">
        <v>2751</v>
      </c>
      <c r="O538">
        <f>IFERROR(VLOOKUP(HEVARIM[[#This Row],[קוד תקציב]],[2]תקציבים!A:L,6,0),0)</f>
        <v>2</v>
      </c>
      <c r="P538" s="5" t="s">
        <v>104</v>
      </c>
      <c r="Q538" t="s">
        <v>11</v>
      </c>
      <c r="R538" s="4">
        <v>45495</v>
      </c>
      <c r="S538" s="4" t="s">
        <v>74</v>
      </c>
      <c r="T538" s="96" t="s">
        <v>2622</v>
      </c>
      <c r="U538" t="str">
        <f>VLOOKUP(HEVARIM[[#This Row],[גיל]],GIL,2,1)</f>
        <v>--</v>
      </c>
      <c r="V538" t="str">
        <f>IF(HEVARIM[[#This Row],[קוד מעמד]]="4     ",IF(HEVARIM[[#This Row],[גיל]]=1,1,IF(HEVARIM[[#This Row],[גיל]]&lt;=5,5,18)),"")</f>
        <v/>
      </c>
      <c r="W538">
        <f t="shared" si="32"/>
        <v>0</v>
      </c>
      <c r="X5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8">
        <f>IF(HEVARIM[[#This Row],[מצב משפחתי2]]="אלמן",'[2]ריכוז נתונים'!$AC$2,0)</f>
        <v>0</v>
      </c>
      <c r="Z538" s="3">
        <f>VLOOKUP(VALUE(HEVARIM[[#This Row],[קוד מעמד]]),הנחות!$I$2:$K$21,3,0)</f>
        <v>0</v>
      </c>
      <c r="AA538" t="b">
        <f>ISERROR(VLOOKUP(HEVARIM[[#This Row],[קוד תקציב]],'[2]ריכוז נתונים'!A:A,1,0))</f>
        <v>0</v>
      </c>
      <c r="AB538" s="1">
        <f t="shared" si="33"/>
        <v>0</v>
      </c>
      <c r="AC538" s="2">
        <f ca="1">IF(HEVARIM[[#This Row],[בר מצוה]]&gt;0,YEAR(TODAY())+'תקציבים מיוחדים'!$F$5-HEVARIM[[#This Row],[גיל]],0)</f>
        <v>0</v>
      </c>
      <c r="AD538" s="1">
        <f t="shared" si="34"/>
        <v>0</v>
      </c>
      <c r="AE538" s="2">
        <f ca="1">IF(HEVARIM[[#This Row],[בת מצוה]]&gt;0,YEAR(TODAY())+'תקציבים מיוחדים'!$F$5-HEVARIM[[#This Row],[גיל]],0)</f>
        <v>0</v>
      </c>
      <c r="AF538" s="1">
        <f>IF(AND($S538&gt;="רווק",$Z538=1),AF$4*IF(HEVARIM[[#This Row],[גיל]]&gt;$AF$3,1,(($G538-AF$2)/(AF$3-AF$2))),0)</f>
        <v>0</v>
      </c>
      <c r="AG53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38" s="1">
        <f t="shared" si="35"/>
        <v>0</v>
      </c>
      <c r="AI538" s="2">
        <f ca="1">IF(AH538&gt;0,YEAR(TODAY())+'תקציבים מיוחדים'!$F$7-HEVARIM[[#This Row],[גיל]],0)</f>
        <v>0</v>
      </c>
      <c r="AJ538" s="9">
        <f>IF(AND(ISERROR(VLOOKUP(H538,'[2]ריכוז נתונים'!A:L,1,0)),P538="1     "),1,0)</f>
        <v>0</v>
      </c>
      <c r="AK538" s="1">
        <f>IF(VALUE(HEVARIM[[#This Row],[קוד מעמד]])=1,VLOOKUP((IF(LEFT(HEVARIM[[#This Row],[קוד חבר]],1)="0",HEVARIM[[#This Row],[קוד חבר]],VALUE(HEVARIM[[#This Row],[קוד חבר]]))),'ותק חברה 40'!AQ:AW,7,0),"")</f>
        <v>3.19</v>
      </c>
      <c r="AL538" s="1">
        <f>IF(AND(VALUE(HEVARIM[[#This Row],[קוד מעמד]])=1,HEVARIM[[#This Row],[ותק מחברה 40]]&lt;25),HEVARIM[[#This Row],[ותק מחברה 40]]/25*הנחות!$C$4,0)</f>
        <v>4789.4165549999989</v>
      </c>
      <c r="AM538" s="9">
        <f ca="1">IF(HEVARIM[[#This Row],[דמי עזיבה 25 שנות ותק]]&gt;0,YEAR(TODAY())+25-ROUNDDOWN(HEVARIM[[#This Row],[ותק מחברה 40]],0),"")</f>
        <v>2048</v>
      </c>
      <c r="AN5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8" s="9" t="str">
        <f ca="1">IF(HEVARIM[[#This Row],[דמי עזיבה לגיל 65]]&gt;0,YEAR(TODAY())+64-ROUNDDOWN(HEVARIM[[#This Row],[גיל]],0),"")</f>
        <v/>
      </c>
      <c r="AP538" s="1">
        <f>SUMIF(HEVARIM[קוד תקציב],HEVARIM[[#This Row],[קוד תקציב משפחה מקורי]],HEVARIM[ותק מחברה 40])</f>
        <v>60.1</v>
      </c>
      <c r="AQ5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8" s="9">
        <f>IF(HEVARIM[[#This Row],[קוד מעמד]]="1     ",IFERROR(VLOOKUP(HEVARIM[[#This Row],[קוד תקציב]],'תקציב צביעה - לקראת השינוי'!A:F,4,0),0),0)</f>
        <v>0</v>
      </c>
      <c r="AT538" s="1"/>
    </row>
    <row r="539" spans="1:46">
      <c r="A539" t="s">
        <v>2785</v>
      </c>
      <c r="B539" t="s">
        <v>2786</v>
      </c>
      <c r="C539" t="s">
        <v>2780</v>
      </c>
      <c r="D539" t="s">
        <v>2787</v>
      </c>
      <c r="E539" t="s">
        <v>79</v>
      </c>
      <c r="F539" s="4">
        <v>35068</v>
      </c>
      <c r="G539">
        <v>29</v>
      </c>
      <c r="H539" t="s">
        <v>2782</v>
      </c>
      <c r="I539" t="s">
        <v>2783</v>
      </c>
      <c r="J539" s="4" t="s">
        <v>70</v>
      </c>
      <c r="K539" s="4" t="s">
        <v>454</v>
      </c>
      <c r="L539" t="s">
        <v>2788</v>
      </c>
      <c r="M539" t="s">
        <v>2778</v>
      </c>
      <c r="N539" t="s">
        <v>2779</v>
      </c>
      <c r="O539">
        <f>IFERROR(VLOOKUP(HEVARIM[[#This Row],[קוד תקציב]],[2]תקציבים!A:L,6,0),0)</f>
        <v>2</v>
      </c>
      <c r="P539" s="5" t="s">
        <v>104</v>
      </c>
      <c r="Q539" t="s">
        <v>11</v>
      </c>
      <c r="R539" s="4">
        <v>45495</v>
      </c>
      <c r="S539" s="4" t="s">
        <v>74</v>
      </c>
      <c r="T539" s="96" t="s">
        <v>2622</v>
      </c>
      <c r="U539" t="str">
        <f>VLOOKUP(HEVARIM[[#This Row],[גיל]],GIL,2,1)</f>
        <v>--</v>
      </c>
      <c r="V539" t="str">
        <f>IF(HEVARIM[[#This Row],[קוד מעמד]]="4     ",IF(HEVARIM[[#This Row],[גיל]]=1,1,IF(HEVARIM[[#This Row],[גיל]]&lt;=5,5,18)),"")</f>
        <v/>
      </c>
      <c r="W539">
        <f t="shared" si="32"/>
        <v>0</v>
      </c>
      <c r="X5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39">
        <f>IF(HEVARIM[[#This Row],[מצב משפחתי2]]="אלמן",'[2]ריכוז נתונים'!$AC$2,0)</f>
        <v>0</v>
      </c>
      <c r="Z539" s="3">
        <f>VLOOKUP(VALUE(HEVARIM[[#This Row],[קוד מעמד]]),הנחות!$I$2:$K$21,3,0)</f>
        <v>0</v>
      </c>
      <c r="AA539" t="b">
        <f>ISERROR(VLOOKUP(HEVARIM[[#This Row],[קוד תקציב]],'[2]ריכוז נתונים'!A:A,1,0))</f>
        <v>0</v>
      </c>
      <c r="AB539" s="1">
        <f t="shared" si="33"/>
        <v>0</v>
      </c>
      <c r="AC539" s="2">
        <f ca="1">IF(HEVARIM[[#This Row],[בר מצוה]]&gt;0,YEAR(TODAY())+'תקציבים מיוחדים'!$F$5-HEVARIM[[#This Row],[גיל]],0)</f>
        <v>0</v>
      </c>
      <c r="AD539" s="1">
        <f t="shared" si="34"/>
        <v>0</v>
      </c>
      <c r="AE539" s="2">
        <f ca="1">IF(HEVARIM[[#This Row],[בת מצוה]]&gt;0,YEAR(TODAY())+'תקציבים מיוחדים'!$F$5-HEVARIM[[#This Row],[גיל]],0)</f>
        <v>0</v>
      </c>
      <c r="AF539" s="1">
        <f>IF(AND($S539&gt;="רווק",$Z539=1),AF$4*IF(HEVARIM[[#This Row],[גיל]]&gt;$AF$3,1,(($G539-AF$2)/(AF$3-AF$2))),0)</f>
        <v>0</v>
      </c>
      <c r="AG53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39" s="1">
        <f t="shared" si="35"/>
        <v>0</v>
      </c>
      <c r="AI539" s="2">
        <f ca="1">IF(AH539&gt;0,YEAR(TODAY())+'תקציבים מיוחדים'!$F$7-HEVARIM[[#This Row],[גיל]],0)</f>
        <v>0</v>
      </c>
      <c r="AJ539" s="9">
        <f>IF(AND(ISERROR(VLOOKUP(H539,'[2]ריכוז נתונים'!A:L,1,0)),P539="1     "),1,0)</f>
        <v>0</v>
      </c>
      <c r="AK539" s="1">
        <f>IF(VALUE(HEVARIM[[#This Row],[קוד מעמד]])=1,VLOOKUP((IF(LEFT(HEVARIM[[#This Row],[קוד חבר]],1)="0",HEVARIM[[#This Row],[קוד חבר]],VALUE(HEVARIM[[#This Row],[קוד חבר]]))),'ותק חברה 40'!AQ:AW,7,0),"")</f>
        <v>3.19</v>
      </c>
      <c r="AL539" s="1">
        <f>IF(AND(VALUE(HEVARIM[[#This Row],[קוד מעמד]])=1,HEVARIM[[#This Row],[ותק מחברה 40]]&lt;25),HEVARIM[[#This Row],[ותק מחברה 40]]/25*הנחות!$C$4,0)</f>
        <v>4789.4165549999989</v>
      </c>
      <c r="AM539" s="9">
        <f ca="1">IF(HEVARIM[[#This Row],[דמי עזיבה 25 שנות ותק]]&gt;0,YEAR(TODAY())+25-ROUNDDOWN(HEVARIM[[#This Row],[ותק מחברה 40]],0),"")</f>
        <v>2048</v>
      </c>
      <c r="AN5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39" s="9" t="str">
        <f ca="1">IF(HEVARIM[[#This Row],[דמי עזיבה לגיל 65]]&gt;0,YEAR(TODAY())+64-ROUNDDOWN(HEVARIM[[#This Row],[גיל]],0),"")</f>
        <v/>
      </c>
      <c r="AP539" s="1">
        <f>SUMIF(HEVARIM[קוד תקציב],HEVARIM[[#This Row],[קוד תקציב משפחה מקורי]],HEVARIM[ותק מחברה 40])</f>
        <v>60.1</v>
      </c>
      <c r="AQ5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39" s="9">
        <f>IF(HEVARIM[[#This Row],[קוד מעמד]]="1     ",IFERROR(VLOOKUP(HEVARIM[[#This Row],[קוד תקציב]],'תקציב צביעה - לקראת השינוי'!A:F,4,0),0),0)</f>
        <v>0</v>
      </c>
      <c r="AT539" s="1"/>
    </row>
    <row r="540" spans="1:46">
      <c r="A540" t="s">
        <v>2700</v>
      </c>
      <c r="B540" t="s">
        <v>2701</v>
      </c>
      <c r="C540" t="s">
        <v>2621</v>
      </c>
      <c r="D540" t="s">
        <v>2702</v>
      </c>
      <c r="E540" t="s">
        <v>67</v>
      </c>
      <c r="F540" s="4">
        <v>36312</v>
      </c>
      <c r="G540">
        <v>26</v>
      </c>
      <c r="H540" t="s">
        <v>2703</v>
      </c>
      <c r="I540" t="s">
        <v>2701</v>
      </c>
      <c r="J540" s="4" t="s">
        <v>70</v>
      </c>
      <c r="K540" s="4" t="s">
        <v>81</v>
      </c>
      <c r="L540" t="s">
        <v>2704</v>
      </c>
      <c r="M540" t="s">
        <v>2700</v>
      </c>
      <c r="N540" t="s">
        <v>2701</v>
      </c>
      <c r="O540">
        <f>IFERROR(VLOOKUP(HEVARIM[[#This Row],[קוד תקציב]],[2]תקציבים!A:L,6,0),0)</f>
        <v>0</v>
      </c>
      <c r="P540" s="5" t="s">
        <v>129</v>
      </c>
      <c r="Q540" t="s">
        <v>26</v>
      </c>
      <c r="R540" s="4">
        <v>45910</v>
      </c>
      <c r="S540" s="4" t="s">
        <v>74</v>
      </c>
      <c r="T540" s="96" t="s">
        <v>2622</v>
      </c>
      <c r="U540" t="str">
        <f>VLOOKUP(HEVARIM[[#This Row],[גיל]],GIL,2,1)</f>
        <v>--</v>
      </c>
      <c r="V540" t="str">
        <f>IF(HEVARIM[[#This Row],[קוד מעמד]]="4     ",IF(HEVARIM[[#This Row],[גיל]]=1,1,IF(HEVARIM[[#This Row],[גיל]]&lt;=5,5,18)),"")</f>
        <v/>
      </c>
      <c r="W540">
        <f t="shared" si="32"/>
        <v>0</v>
      </c>
      <c r="X5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0">
        <f>IF(HEVARIM[[#This Row],[מצב משפחתי2]]="אלמן",'[2]ריכוז נתונים'!$AC$2,0)</f>
        <v>0</v>
      </c>
      <c r="Z540" s="3">
        <f>VLOOKUP(VALUE(HEVARIM[[#This Row],[קוד מעמד]]),הנחות!$I$2:$K$21,3,0)</f>
        <v>1</v>
      </c>
      <c r="AA540" t="b">
        <f>ISERROR(VLOOKUP(HEVARIM[[#This Row],[קוד תקציב]],'[2]ריכוז נתונים'!A:A,1,0))</f>
        <v>1</v>
      </c>
      <c r="AB540" s="1">
        <f t="shared" si="33"/>
        <v>0</v>
      </c>
      <c r="AC540" s="2">
        <f ca="1">IF(HEVARIM[[#This Row],[בר מצוה]]&gt;0,YEAR(TODAY())+'תקציבים מיוחדים'!$F$5-HEVARIM[[#This Row],[גיל]],0)</f>
        <v>0</v>
      </c>
      <c r="AD540" s="1">
        <f t="shared" si="34"/>
        <v>0</v>
      </c>
      <c r="AE540" s="2">
        <f ca="1">IF(HEVARIM[[#This Row],[בת מצוה]]&gt;0,YEAR(TODAY())+'תקציבים מיוחדים'!$F$5-HEVARIM[[#This Row],[גיל]],0)</f>
        <v>0</v>
      </c>
      <c r="AF540" s="1">
        <f>IF(AND($S540&gt;="רווק",$Z540=1),AF$4*IF(HEVARIM[[#This Row],[גיל]]&gt;$AF$3,1,(($G540-AF$2)/(AF$3-AF$2))),0)</f>
        <v>0</v>
      </c>
      <c r="AG54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0" s="1">
        <f t="shared" si="35"/>
        <v>0</v>
      </c>
      <c r="AI540" s="2">
        <f ca="1">IF(AH540&gt;0,YEAR(TODAY())+'תקציבים מיוחדים'!$F$7-HEVARIM[[#This Row],[גיל]],0)</f>
        <v>0</v>
      </c>
      <c r="AJ540" s="9">
        <f>IF(AND(ISERROR(VLOOKUP(H540,'[2]ריכוז נתונים'!A:L,1,0)),P540="1     "),1,0)</f>
        <v>0</v>
      </c>
      <c r="AK54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0" s="1">
        <f>IF(AND(VALUE(HEVARIM[[#This Row],[קוד מעמד]])=1,HEVARIM[[#This Row],[ותק מחברה 40]]&lt;25),HEVARIM[[#This Row],[ותק מחברה 40]]/25*הנחות!$C$4,0)</f>
        <v>0</v>
      </c>
      <c r="AM540" s="9" t="str">
        <f ca="1">IF(HEVARIM[[#This Row],[דמי עזיבה 25 שנות ותק]]&gt;0,YEAR(TODAY())+25-ROUNDDOWN(HEVARIM[[#This Row],[ותק מחברה 40]],0),"")</f>
        <v/>
      </c>
      <c r="AN5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0" s="9" t="str">
        <f ca="1">IF(HEVARIM[[#This Row],[דמי עזיבה לגיל 65]]&gt;0,YEAR(TODAY())+64-ROUNDDOWN(HEVARIM[[#This Row],[גיל]],0),"")</f>
        <v/>
      </c>
      <c r="AP540" s="1">
        <f>SUMIF(HEVARIM[קוד תקציב],HEVARIM[[#This Row],[קוד תקציב משפחה מקורי]],HEVARIM[ותק מחברה 40])</f>
        <v>60.1</v>
      </c>
      <c r="AQ5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0" s="9">
        <f>IF(HEVARIM[[#This Row],[קוד מעמד]]="1     ",IFERROR(VLOOKUP(HEVARIM[[#This Row],[קוד תקציב]],'תקציב צביעה - לקראת השינוי'!A:F,4,0),0),0)</f>
        <v>0</v>
      </c>
      <c r="AT540" s="1"/>
    </row>
    <row r="541" spans="1:46">
      <c r="A541" t="s">
        <v>2837</v>
      </c>
      <c r="B541" t="s">
        <v>2838</v>
      </c>
      <c r="C541" t="s">
        <v>2839</v>
      </c>
      <c r="D541" t="s">
        <v>2840</v>
      </c>
      <c r="E541" t="s">
        <v>79</v>
      </c>
      <c r="F541" s="4">
        <v>36944</v>
      </c>
      <c r="G541">
        <v>24</v>
      </c>
      <c r="H541" t="s">
        <v>2835</v>
      </c>
      <c r="I541" t="s">
        <v>2836</v>
      </c>
      <c r="J541" s="4" t="s">
        <v>70</v>
      </c>
      <c r="K541" s="4" t="s">
        <v>81</v>
      </c>
      <c r="L541" t="s">
        <v>2841</v>
      </c>
      <c r="M541" t="s">
        <v>2833</v>
      </c>
      <c r="N541" t="s">
        <v>2834</v>
      </c>
      <c r="O541">
        <f>IFERROR(VLOOKUP(HEVARIM[[#This Row],[קוד תקציב]],[2]תקציבים!A:L,6,0),0)</f>
        <v>0</v>
      </c>
      <c r="P541" s="5" t="s">
        <v>73</v>
      </c>
      <c r="Q541" t="s">
        <v>27</v>
      </c>
      <c r="R541" s="4">
        <v>44805</v>
      </c>
      <c r="S541" s="4" t="s">
        <v>74</v>
      </c>
      <c r="T541" s="96" t="s">
        <v>2622</v>
      </c>
      <c r="U541" t="str">
        <f>VLOOKUP(HEVARIM[[#This Row],[גיל]],GIL,2,1)</f>
        <v>--</v>
      </c>
      <c r="V541" t="str">
        <f>IF(HEVARIM[[#This Row],[קוד מעמד]]="4     ",IF(HEVARIM[[#This Row],[גיל]]=1,1,IF(HEVARIM[[#This Row],[גיל]]&lt;=5,5,18)),"")</f>
        <v/>
      </c>
      <c r="W541">
        <f t="shared" si="32"/>
        <v>0</v>
      </c>
      <c r="X54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1">
        <f>IF(HEVARIM[[#This Row],[מצב משפחתי2]]="אלמן",'[2]ריכוז נתונים'!$AC$2,0)</f>
        <v>0</v>
      </c>
      <c r="Z541" s="3">
        <f>VLOOKUP(VALUE(HEVARIM[[#This Row],[קוד מעמד]]),הנחות!$I$2:$K$21,3,0)</f>
        <v>1</v>
      </c>
      <c r="AA541" t="b">
        <f>ISERROR(VLOOKUP(HEVARIM[[#This Row],[קוד תקציב]],'[2]ריכוז נתונים'!A:A,1,0))</f>
        <v>1</v>
      </c>
      <c r="AB541" s="1">
        <f t="shared" si="33"/>
        <v>0</v>
      </c>
      <c r="AC541" s="2">
        <f ca="1">IF(HEVARIM[[#This Row],[בר מצוה]]&gt;0,YEAR(TODAY())+'תקציבים מיוחדים'!$F$5-HEVARIM[[#This Row],[גיל]],0)</f>
        <v>0</v>
      </c>
      <c r="AD541" s="1">
        <f t="shared" si="34"/>
        <v>0</v>
      </c>
      <c r="AE541" s="2">
        <f ca="1">IF(HEVARIM[[#This Row],[בת מצוה]]&gt;0,YEAR(TODAY())+'תקציבים מיוחדים'!$F$5-HEVARIM[[#This Row],[גיל]],0)</f>
        <v>0</v>
      </c>
      <c r="AF541" s="1">
        <f>IF(AND($S541&gt;="רווק",$Z541=1),AF$4*IF(HEVARIM[[#This Row],[גיל]]&gt;$AF$3,1,(($G541-AF$2)/(AF$3-AF$2))),0)</f>
        <v>0</v>
      </c>
      <c r="AG54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1" s="1">
        <f t="shared" si="35"/>
        <v>0</v>
      </c>
      <c r="AI541" s="2">
        <f ca="1">IF(AH541&gt;0,YEAR(TODAY())+'תקציבים מיוחדים'!$F$7-HEVARIM[[#This Row],[גיל]],0)</f>
        <v>0</v>
      </c>
      <c r="AJ541" s="9">
        <f>IF(AND(ISERROR(VLOOKUP(H541,'[2]ריכוז נתונים'!A:L,1,0)),P541="1     "),1,0)</f>
        <v>0</v>
      </c>
      <c r="AK54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1" s="1">
        <f>IF(AND(VALUE(HEVARIM[[#This Row],[קוד מעמד]])=1,HEVARIM[[#This Row],[ותק מחברה 40]]&lt;25),HEVARIM[[#This Row],[ותק מחברה 40]]/25*הנחות!$C$4,0)</f>
        <v>0</v>
      </c>
      <c r="AM541" s="9" t="str">
        <f ca="1">IF(HEVARIM[[#This Row],[דמי עזיבה 25 שנות ותק]]&gt;0,YEAR(TODAY())+25-ROUNDDOWN(HEVARIM[[#This Row],[ותק מחברה 40]],0),"")</f>
        <v/>
      </c>
      <c r="AN5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1" s="9" t="str">
        <f ca="1">IF(HEVARIM[[#This Row],[דמי עזיבה לגיל 65]]&gt;0,YEAR(TODAY())+64-ROUNDDOWN(HEVARIM[[#This Row],[גיל]],0),"")</f>
        <v/>
      </c>
      <c r="AP541" s="1">
        <f>SUMIF(HEVARIM[קוד תקציב],HEVARIM[[#This Row],[קוד תקציב משפחה מקורי]],HEVARIM[ותק מחברה 40])</f>
        <v>60.1</v>
      </c>
      <c r="AQ5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1" s="9">
        <f>IF(HEVARIM[[#This Row],[קוד מעמד]]="1     ",IFERROR(VLOOKUP(HEVARIM[[#This Row],[קוד תקציב]],'תקציב צביעה - לקראת השינוי'!A:F,4,0),0),0)</f>
        <v>0</v>
      </c>
      <c r="AT541" s="1"/>
    </row>
    <row r="542" spans="1:46">
      <c r="A542" t="s">
        <v>2857</v>
      </c>
      <c r="B542" t="s">
        <v>2858</v>
      </c>
      <c r="C542" t="s">
        <v>2631</v>
      </c>
      <c r="D542" t="s">
        <v>2859</v>
      </c>
      <c r="E542" t="s">
        <v>79</v>
      </c>
      <c r="F542" s="4">
        <v>37400</v>
      </c>
      <c r="G542">
        <v>23</v>
      </c>
      <c r="H542" t="s">
        <v>2860</v>
      </c>
      <c r="I542" t="s">
        <v>2858</v>
      </c>
      <c r="J542" s="4" t="s">
        <v>70</v>
      </c>
      <c r="K542" s="4" t="s">
        <v>81</v>
      </c>
      <c r="L542" t="s">
        <v>2861</v>
      </c>
      <c r="M542" t="s">
        <v>2857</v>
      </c>
      <c r="N542" t="s">
        <v>2858</v>
      </c>
      <c r="O542">
        <f>IFERROR(VLOOKUP(HEVARIM[[#This Row],[קוד תקציב]],[2]תקציבים!A:L,6,0),0)</f>
        <v>0</v>
      </c>
      <c r="P542" s="5" t="s">
        <v>73</v>
      </c>
      <c r="Q542" t="s">
        <v>27</v>
      </c>
      <c r="R542" s="4">
        <v>44805</v>
      </c>
      <c r="S542" s="4" t="s">
        <v>90</v>
      </c>
      <c r="T542" s="96" t="s">
        <v>2633</v>
      </c>
      <c r="U542" t="str">
        <f>VLOOKUP(HEVARIM[[#This Row],[גיל]],GIL,2,1)</f>
        <v>--</v>
      </c>
      <c r="V542" t="str">
        <f>IF(HEVARIM[[#This Row],[קוד מעמד]]="4     ",IF(HEVARIM[[#This Row],[גיל]]=1,1,IF(HEVARIM[[#This Row],[גיל]]&lt;=5,5,18)),"")</f>
        <v/>
      </c>
      <c r="W542">
        <f t="shared" si="32"/>
        <v>0</v>
      </c>
      <c r="X54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2">
        <f>IF(HEVARIM[[#This Row],[מצב משפחתי2]]="אלמן",'[2]ריכוז נתונים'!$AC$2,0)</f>
        <v>0</v>
      </c>
      <c r="Z542" s="3">
        <f>VLOOKUP(VALUE(HEVARIM[[#This Row],[קוד מעמד]]),הנחות!$I$2:$K$21,3,0)</f>
        <v>1</v>
      </c>
      <c r="AA542" t="b">
        <f>ISERROR(VLOOKUP(HEVARIM[[#This Row],[קוד תקציב]],'[2]ריכוז נתונים'!A:A,1,0))</f>
        <v>1</v>
      </c>
      <c r="AB542" s="1">
        <f t="shared" si="33"/>
        <v>0</v>
      </c>
      <c r="AC542" s="2">
        <f ca="1">IF(HEVARIM[[#This Row],[בר מצוה]]&gt;0,YEAR(TODAY())+'תקציבים מיוחדים'!$F$5-HEVARIM[[#This Row],[גיל]],0)</f>
        <v>0</v>
      </c>
      <c r="AD542" s="1">
        <f t="shared" si="34"/>
        <v>0</v>
      </c>
      <c r="AE542" s="2">
        <f ca="1">IF(HEVARIM[[#This Row],[בת מצוה]]&gt;0,YEAR(TODAY())+'תקציבים מיוחדים'!$F$5-HEVARIM[[#This Row],[גיל]],0)</f>
        <v>0</v>
      </c>
      <c r="AF542" s="1">
        <f>IF(AND($S542&gt;="רווק",$Z542=1),AF$4*IF(HEVARIM[[#This Row],[גיל]]&gt;$AF$3,1,(($G542-AF$2)/(AF$3-AF$2))),0)</f>
        <v>60512.5</v>
      </c>
      <c r="AG542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42" s="1">
        <f t="shared" si="35"/>
        <v>0</v>
      </c>
      <c r="AI542" s="2">
        <f ca="1">IF(AH542&gt;0,YEAR(TODAY())+'תקציבים מיוחדים'!$F$7-HEVARIM[[#This Row],[גיל]],0)</f>
        <v>0</v>
      </c>
      <c r="AJ542" s="9">
        <f>IF(AND(ISERROR(VLOOKUP(H542,'[2]ריכוז נתונים'!A:L,1,0)),P542="1     "),1,0)</f>
        <v>0</v>
      </c>
      <c r="AK54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2" s="1">
        <f>IF(AND(VALUE(HEVARIM[[#This Row],[קוד מעמד]])=1,HEVARIM[[#This Row],[ותק מחברה 40]]&lt;25),HEVARIM[[#This Row],[ותק מחברה 40]]/25*הנחות!$C$4,0)</f>
        <v>0</v>
      </c>
      <c r="AM542" s="9" t="str">
        <f ca="1">IF(HEVARIM[[#This Row],[דמי עזיבה 25 שנות ותק]]&gt;0,YEAR(TODAY())+25-ROUNDDOWN(HEVARIM[[#This Row],[ותק מחברה 40]],0),"")</f>
        <v/>
      </c>
      <c r="AN5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2" s="9" t="str">
        <f ca="1">IF(HEVARIM[[#This Row],[דמי עזיבה לגיל 65]]&gt;0,YEAR(TODAY())+64-ROUNDDOWN(HEVARIM[[#This Row],[גיל]],0),"")</f>
        <v/>
      </c>
      <c r="AP542" s="1">
        <f>SUMIF(HEVARIM[קוד תקציב],HEVARIM[[#This Row],[קוד תקציב משפחה מקורי]],HEVARIM[ותק מחברה 40])</f>
        <v>46.95</v>
      </c>
      <c r="AQ5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2" s="9">
        <f>IF(HEVARIM[[#This Row],[קוד מעמד]]="1     ",IFERROR(VLOOKUP(HEVARIM[[#This Row],[קוד תקציב]],'תקציב צביעה - לקראת השינוי'!A:F,4,0),0),0)</f>
        <v>0</v>
      </c>
      <c r="AT542" s="1"/>
    </row>
    <row r="543" spans="1:46">
      <c r="A543" t="s">
        <v>2629</v>
      </c>
      <c r="B543" t="s">
        <v>2630</v>
      </c>
      <c r="C543" t="s">
        <v>2631</v>
      </c>
      <c r="D543" t="s">
        <v>2632</v>
      </c>
      <c r="E543" t="s">
        <v>67</v>
      </c>
      <c r="F543" s="4">
        <v>20525</v>
      </c>
      <c r="G543">
        <v>69</v>
      </c>
      <c r="H543" t="s">
        <v>2633</v>
      </c>
      <c r="I543" t="s">
        <v>2634</v>
      </c>
      <c r="J543" s="4" t="s">
        <v>70</v>
      </c>
      <c r="K543" s="4" t="s">
        <v>71</v>
      </c>
      <c r="L543" t="s">
        <v>2635</v>
      </c>
      <c r="M543" t="s">
        <v>2636</v>
      </c>
      <c r="N543" t="s">
        <v>2637</v>
      </c>
      <c r="O543">
        <f>IFERROR(VLOOKUP(HEVARIM[[#This Row],[קוד תקציב]],[2]תקציבים!A:L,6,0),0)</f>
        <v>1</v>
      </c>
      <c r="P543" s="5" t="s">
        <v>83</v>
      </c>
      <c r="Q543" t="s">
        <v>15</v>
      </c>
      <c r="R543" s="4">
        <v>36439</v>
      </c>
      <c r="S543" s="4" t="s">
        <v>74</v>
      </c>
      <c r="T543" s="96" t="s">
        <v>2633</v>
      </c>
      <c r="U543" t="str">
        <f>VLOOKUP(HEVARIM[[#This Row],[גיל]],GIL,2,1)</f>
        <v>--</v>
      </c>
      <c r="V543" t="str">
        <f>IF(HEVARIM[[#This Row],[קוד מעמד]]="4     ",IF(HEVARIM[[#This Row],[גיל]]=1,1,IF(HEVARIM[[#This Row],[גיל]]&lt;=5,5,18)),"")</f>
        <v/>
      </c>
      <c r="W543">
        <f t="shared" si="32"/>
        <v>1564</v>
      </c>
      <c r="X54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43">
        <f>IF(HEVARIM[[#This Row],[מצב משפחתי2]]="אלמן",'[2]ריכוז נתונים'!$AC$2,0)</f>
        <v>0</v>
      </c>
      <c r="Z543" s="3">
        <f>VLOOKUP(VALUE(HEVARIM[[#This Row],[קוד מעמד]]),הנחות!$I$2:$K$21,3,0)</f>
        <v>0</v>
      </c>
      <c r="AA543" t="b">
        <f>ISERROR(VLOOKUP(HEVARIM[[#This Row],[קוד תקציב]],'[2]ריכוז נתונים'!A:A,1,0))</f>
        <v>0</v>
      </c>
      <c r="AB543" s="1">
        <f t="shared" si="33"/>
        <v>0</v>
      </c>
      <c r="AC543" s="2">
        <f ca="1">IF(HEVARIM[[#This Row],[בר מצוה]]&gt;0,YEAR(TODAY())+'תקציבים מיוחדים'!$F$5-HEVARIM[[#This Row],[גיל]],0)</f>
        <v>0</v>
      </c>
      <c r="AD543" s="1">
        <f t="shared" si="34"/>
        <v>0</v>
      </c>
      <c r="AE543" s="2">
        <f ca="1">IF(HEVARIM[[#This Row],[בת מצוה]]&gt;0,YEAR(TODAY())+'תקציבים מיוחדים'!$F$5-HEVARIM[[#This Row],[גיל]],0)</f>
        <v>0</v>
      </c>
      <c r="AF543" s="1">
        <f>IF(AND($S543&gt;="רווק",$Z543=1),AF$4*IF(HEVARIM[[#This Row],[גיל]]&gt;$AF$3,1,(($G543-AF$2)/(AF$3-AF$2))),0)</f>
        <v>0</v>
      </c>
      <c r="AG54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3" s="1">
        <f t="shared" si="35"/>
        <v>0</v>
      </c>
      <c r="AI543" s="2">
        <f ca="1">IF(AH543&gt;0,YEAR(TODAY())+'תקציבים מיוחדים'!$F$7-HEVARIM[[#This Row],[גיל]],0)</f>
        <v>0</v>
      </c>
      <c r="AJ543" s="9">
        <f>IF(AND(ISERROR(VLOOKUP(H543,'[2]ריכוז נתונים'!A:L,1,0)),P543="1     "),1,0)</f>
        <v>0</v>
      </c>
      <c r="AK54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3" s="1">
        <f>IF(AND(VALUE(HEVARIM[[#This Row],[קוד מעמד]])=1,HEVARIM[[#This Row],[ותק מחברה 40]]&lt;25),HEVARIM[[#This Row],[ותק מחברה 40]]/25*הנחות!$C$4,0)</f>
        <v>0</v>
      </c>
      <c r="AM543" s="9" t="str">
        <f ca="1">IF(HEVARIM[[#This Row],[דמי עזיבה 25 שנות ותק]]&gt;0,YEAR(TODAY())+25-ROUNDDOWN(HEVARIM[[#This Row],[ותק מחברה 40]],0),"")</f>
        <v/>
      </c>
      <c r="AN54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3" s="9" t="str">
        <f ca="1">IF(HEVARIM[[#This Row],[דמי עזיבה לגיל 65]]&gt;0,YEAR(TODAY())+64-ROUNDDOWN(HEVARIM[[#This Row],[גיל]],0),"")</f>
        <v/>
      </c>
      <c r="AP543" s="1">
        <f>SUMIF(HEVARIM[קוד תקציב],HEVARIM[[#This Row],[קוד תקציב משפחה מקורי]],HEVARIM[ותק מחברה 40])</f>
        <v>46.95</v>
      </c>
      <c r="AQ5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3" s="9">
        <f>IF(HEVARIM[[#This Row],[קוד מעמד]]="1     ",IFERROR(VLOOKUP(HEVARIM[[#This Row],[קוד תקציב]],'תקציב צביעה - לקראת השינוי'!A:F,4,0),0),0)</f>
        <v>0</v>
      </c>
      <c r="AT543" s="1"/>
    </row>
    <row r="544" spans="1:46">
      <c r="A544" t="s">
        <v>2636</v>
      </c>
      <c r="B544" t="s">
        <v>2637</v>
      </c>
      <c r="C544" t="s">
        <v>2638</v>
      </c>
      <c r="D544" t="s">
        <v>989</v>
      </c>
      <c r="E544" t="s">
        <v>79</v>
      </c>
      <c r="F544" s="4">
        <v>21983</v>
      </c>
      <c r="G544">
        <v>65</v>
      </c>
      <c r="H544" t="s">
        <v>2633</v>
      </c>
      <c r="I544" t="s">
        <v>2634</v>
      </c>
      <c r="J544" s="4" t="s">
        <v>70</v>
      </c>
      <c r="K544" s="4" t="s">
        <v>71</v>
      </c>
      <c r="L544" t="s">
        <v>2639</v>
      </c>
      <c r="M544" t="s">
        <v>2636</v>
      </c>
      <c r="N544" t="s">
        <v>2637</v>
      </c>
      <c r="O544">
        <f>IFERROR(VLOOKUP(HEVARIM[[#This Row],[קוד תקציב]],[2]תקציבים!A:L,6,0),0)</f>
        <v>1</v>
      </c>
      <c r="P544" s="5" t="s">
        <v>104</v>
      </c>
      <c r="Q544" t="s">
        <v>11</v>
      </c>
      <c r="R544" s="4">
        <v>29451</v>
      </c>
      <c r="S544" s="4" t="s">
        <v>74</v>
      </c>
      <c r="T544" s="96" t="s">
        <v>2633</v>
      </c>
      <c r="U544" t="str">
        <f>VLOOKUP(HEVARIM[[#This Row],[גיל]],GIL,2,1)</f>
        <v>--</v>
      </c>
      <c r="V544" t="str">
        <f>IF(HEVARIM[[#This Row],[קוד מעמד]]="4     ",IF(HEVARIM[[#This Row],[גיל]]=1,1,IF(HEVARIM[[#This Row],[גיל]]&lt;=5,5,18)),"")</f>
        <v/>
      </c>
      <c r="W544">
        <f t="shared" si="32"/>
        <v>0</v>
      </c>
      <c r="X54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44">
        <f>IF(HEVARIM[[#This Row],[מצב משפחתי2]]="אלמן",'[2]ריכוז נתונים'!$AC$2,0)</f>
        <v>0</v>
      </c>
      <c r="Z544" s="3">
        <f>VLOOKUP(VALUE(HEVARIM[[#This Row],[קוד מעמד]]),הנחות!$I$2:$K$21,3,0)</f>
        <v>0</v>
      </c>
      <c r="AA544" t="b">
        <f>ISERROR(VLOOKUP(HEVARIM[[#This Row],[קוד תקציב]],'[2]ריכוז נתונים'!A:A,1,0))</f>
        <v>0</v>
      </c>
      <c r="AB544" s="1">
        <f t="shared" si="33"/>
        <v>0</v>
      </c>
      <c r="AC544" s="2">
        <f ca="1">IF(HEVARIM[[#This Row],[בר מצוה]]&gt;0,YEAR(TODAY())+'תקציבים מיוחדים'!$F$5-HEVARIM[[#This Row],[גיל]],0)</f>
        <v>0</v>
      </c>
      <c r="AD544" s="1">
        <f t="shared" si="34"/>
        <v>0</v>
      </c>
      <c r="AE544" s="2">
        <f ca="1">IF(HEVARIM[[#This Row],[בת מצוה]]&gt;0,YEAR(TODAY())+'תקציבים מיוחדים'!$F$5-HEVARIM[[#This Row],[גיל]],0)</f>
        <v>0</v>
      </c>
      <c r="AF544" s="1">
        <f>IF(AND($S544&gt;="רווק",$Z544=1),AF$4*IF(HEVARIM[[#This Row],[גיל]]&gt;$AF$3,1,(($G544-AF$2)/(AF$3-AF$2))),0)</f>
        <v>0</v>
      </c>
      <c r="AG54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4" s="1">
        <f t="shared" si="35"/>
        <v>0</v>
      </c>
      <c r="AI544" s="2">
        <f ca="1">IF(AH544&gt;0,YEAR(TODAY())+'תקציבים מיוחדים'!$F$7-HEVARIM[[#This Row],[גיל]],0)</f>
        <v>0</v>
      </c>
      <c r="AJ544" s="9">
        <f>IF(AND(ISERROR(VLOOKUP(H544,'[2]ריכוז נתונים'!A:L,1,0)),P544="1     "),1,0)</f>
        <v>0</v>
      </c>
      <c r="AK544" s="1">
        <f>IF(VALUE(HEVARIM[[#This Row],[קוד מעמד]])=1,VLOOKUP((IF(LEFT(HEVARIM[[#This Row],[קוד חבר]],1)="0",HEVARIM[[#This Row],[קוד חבר]],VALUE(HEVARIM[[#This Row],[קוד חבר]]))),'ותק חברה 40'!AQ:AW,7,0),"")</f>
        <v>46.95</v>
      </c>
      <c r="AL544" s="1">
        <f>IF(AND(VALUE(HEVARIM[[#This Row],[קוד מעמד]])=1,HEVARIM[[#This Row],[ותק מחברה 40]]&lt;25),HEVARIM[[#This Row],[ותק מחברה 40]]/25*הנחות!$C$4,0)</f>
        <v>0</v>
      </c>
      <c r="AM544" s="9" t="str">
        <f ca="1">IF(HEVARIM[[#This Row],[דמי עזיבה 25 שנות ותק]]&gt;0,YEAR(TODAY())+25-ROUNDDOWN(HEVARIM[[#This Row],[ותק מחברה 40]],0),"")</f>
        <v/>
      </c>
      <c r="AN54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4" s="9" t="str">
        <f ca="1">IF(HEVARIM[[#This Row],[דמי עזיבה לגיל 65]]&gt;0,YEAR(TODAY())+64-ROUNDDOWN(HEVARIM[[#This Row],[גיל]],0),"")</f>
        <v/>
      </c>
      <c r="AP544" s="1">
        <f>SUMIF(HEVARIM[קוד תקציב],HEVARIM[[#This Row],[קוד תקציב משפחה מקורי]],HEVARIM[ותק מחברה 40])</f>
        <v>46.95</v>
      </c>
      <c r="AQ5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544" s="9">
        <f>IF(HEVARIM[[#This Row],[קוד מעמד]]="1     ",IFERROR(VLOOKUP(HEVARIM[[#This Row],[קוד תקציב]],'תקציב צביעה - לקראת השינוי'!A:F,4,0),0),0)</f>
        <v>2031</v>
      </c>
      <c r="AT544" s="1"/>
    </row>
    <row r="545" spans="1:46">
      <c r="A545" t="s">
        <v>2829</v>
      </c>
      <c r="B545" t="s">
        <v>2830</v>
      </c>
      <c r="C545" t="s">
        <v>2631</v>
      </c>
      <c r="D545" t="s">
        <v>1083</v>
      </c>
      <c r="E545" t="s">
        <v>79</v>
      </c>
      <c r="F545" s="4">
        <v>36933</v>
      </c>
      <c r="G545">
        <v>24</v>
      </c>
      <c r="H545" t="s">
        <v>2831</v>
      </c>
      <c r="I545" t="s">
        <v>2830</v>
      </c>
      <c r="J545" s="4" t="s">
        <v>70</v>
      </c>
      <c r="K545" s="4" t="s">
        <v>81</v>
      </c>
      <c r="L545" t="s">
        <v>2832</v>
      </c>
      <c r="M545" t="s">
        <v>2829</v>
      </c>
      <c r="N545" t="s">
        <v>2830</v>
      </c>
      <c r="O545">
        <f>IFERROR(VLOOKUP(HEVARIM[[#This Row],[קוד תקציב]],[2]תקציבים!A:L,6,0),0)</f>
        <v>0</v>
      </c>
      <c r="P545" s="5" t="s">
        <v>1761</v>
      </c>
      <c r="Q545" t="s">
        <v>33</v>
      </c>
      <c r="R545" s="4">
        <v>45931</v>
      </c>
      <c r="S545" s="4" t="s">
        <v>90</v>
      </c>
      <c r="T545" s="96" t="s">
        <v>2633</v>
      </c>
      <c r="U545" t="str">
        <f>VLOOKUP(HEVARIM[[#This Row],[גיל]],GIL,2,1)</f>
        <v>--</v>
      </c>
      <c r="V545" t="str">
        <f>IF(HEVARIM[[#This Row],[קוד מעמד]]="4     ",IF(HEVARIM[[#This Row],[גיל]]=1,1,IF(HEVARIM[[#This Row],[גיל]]&lt;=5,5,18)),"")</f>
        <v/>
      </c>
      <c r="W545">
        <f t="shared" si="32"/>
        <v>0</v>
      </c>
      <c r="X54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5">
        <f>IF(HEVARIM[[#This Row],[מצב משפחתי2]]="אלמן",'[2]ריכוז נתונים'!$AC$2,0)</f>
        <v>0</v>
      </c>
      <c r="Z545" s="3">
        <f>VLOOKUP(VALUE(HEVARIM[[#This Row],[קוד מעמד]]),הנחות!$I$2:$K$21,3,0)</f>
        <v>1</v>
      </c>
      <c r="AA545" t="b">
        <f>ISERROR(VLOOKUP(HEVARIM[[#This Row],[קוד תקציב]],'[2]ריכוז נתונים'!A:A,1,0))</f>
        <v>1</v>
      </c>
      <c r="AB545" s="1">
        <f t="shared" si="33"/>
        <v>0</v>
      </c>
      <c r="AC545" s="2">
        <f ca="1">IF(HEVARIM[[#This Row],[בר מצוה]]&gt;0,YEAR(TODAY())+'תקציבים מיוחדים'!$F$5-HEVARIM[[#This Row],[גיל]],0)</f>
        <v>0</v>
      </c>
      <c r="AD545" s="1">
        <f t="shared" si="34"/>
        <v>0</v>
      </c>
      <c r="AE545" s="2">
        <f ca="1">IF(HEVARIM[[#This Row],[בת מצוה]]&gt;0,YEAR(TODAY())+'תקציבים מיוחדים'!$F$5-HEVARIM[[#This Row],[גיל]],0)</f>
        <v>0</v>
      </c>
      <c r="AF545" s="1">
        <f>IF(AND($S545&gt;="רווק",$Z545=1),AF$4*IF(HEVARIM[[#This Row],[גיל]]&gt;$AF$3,1,(($G545-AF$2)/(AF$3-AF$2))),0)</f>
        <v>60512.5</v>
      </c>
      <c r="AG545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45" s="1">
        <f t="shared" si="35"/>
        <v>0</v>
      </c>
      <c r="AI545" s="2">
        <f ca="1">IF(AH545&gt;0,YEAR(TODAY())+'תקציבים מיוחדים'!$F$7-HEVARIM[[#This Row],[גיל]],0)</f>
        <v>0</v>
      </c>
      <c r="AJ545" s="9">
        <f>IF(AND(ISERROR(VLOOKUP(H545,'[2]ריכוז נתונים'!A:L,1,0)),P545="1     "),1,0)</f>
        <v>0</v>
      </c>
      <c r="AK54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5" s="1">
        <f>IF(AND(VALUE(HEVARIM[[#This Row],[קוד מעמד]])=1,HEVARIM[[#This Row],[ותק מחברה 40]]&lt;25),HEVARIM[[#This Row],[ותק מחברה 40]]/25*הנחות!$C$4,0)</f>
        <v>0</v>
      </c>
      <c r="AM545" s="9" t="str">
        <f ca="1">IF(HEVARIM[[#This Row],[דמי עזיבה 25 שנות ותק]]&gt;0,YEAR(TODAY())+25-ROUNDDOWN(HEVARIM[[#This Row],[ותק מחברה 40]],0),"")</f>
        <v/>
      </c>
      <c r="AN5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5" s="9" t="str">
        <f ca="1">IF(HEVARIM[[#This Row],[דמי עזיבה לגיל 65]]&gt;0,YEAR(TODAY())+64-ROUNDDOWN(HEVARIM[[#This Row],[גיל]],0),"")</f>
        <v/>
      </c>
      <c r="AP545" s="1">
        <f>SUMIF(HEVARIM[קוד תקציב],HEVARIM[[#This Row],[קוד תקציב משפחה מקורי]],HEVARIM[ותק מחברה 40])</f>
        <v>46.95</v>
      </c>
      <c r="AQ5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5" s="9">
        <f>IF(HEVARIM[[#This Row],[קוד מעמד]]="1     ",IFERROR(VLOOKUP(HEVARIM[[#This Row],[קוד תקציב]],'תקציב צביעה - לקראת השינוי'!A:F,4,0),0),0)</f>
        <v>0</v>
      </c>
      <c r="AT545" s="1"/>
    </row>
    <row r="546" spans="1:46">
      <c r="A546" t="s">
        <v>2866</v>
      </c>
      <c r="B546" t="s">
        <v>2867</v>
      </c>
      <c r="C546" t="s">
        <v>2631</v>
      </c>
      <c r="D546" t="s">
        <v>1075</v>
      </c>
      <c r="E546" t="s">
        <v>79</v>
      </c>
      <c r="F546" s="4">
        <v>38088</v>
      </c>
      <c r="G546">
        <v>21</v>
      </c>
      <c r="H546" t="s">
        <v>3779</v>
      </c>
      <c r="I546" t="s">
        <v>2867</v>
      </c>
      <c r="J546" s="4" t="s">
        <v>70</v>
      </c>
      <c r="K546" s="4" t="s">
        <v>71</v>
      </c>
      <c r="L546" t="s">
        <v>2868</v>
      </c>
      <c r="M546" t="s">
        <v>2866</v>
      </c>
      <c r="N546" t="s">
        <v>2867</v>
      </c>
      <c r="O546">
        <f>IFERROR(VLOOKUP(HEVARIM[[#This Row],[קוד תקציב]],[2]תקציבים!A:L,6,0),0)</f>
        <v>0</v>
      </c>
      <c r="P546" s="5" t="s">
        <v>73</v>
      </c>
      <c r="Q546" t="s">
        <v>27</v>
      </c>
      <c r="R546" s="4">
        <v>45896</v>
      </c>
      <c r="S546" s="4" t="s">
        <v>90</v>
      </c>
      <c r="T546" s="96" t="s">
        <v>2633</v>
      </c>
      <c r="U546" t="str">
        <f>VLOOKUP(HEVARIM[[#This Row],[גיל]],GIL,2,1)</f>
        <v>--</v>
      </c>
      <c r="V546" t="str">
        <f>IF(HEVARIM[[#This Row],[קוד מעמד]]="4     ",IF(HEVARIM[[#This Row],[גיל]]=1,1,IF(HEVARIM[[#This Row],[גיל]]&lt;=5,5,18)),"")</f>
        <v/>
      </c>
      <c r="W546">
        <f t="shared" si="32"/>
        <v>0</v>
      </c>
      <c r="X5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6">
        <f>IF(HEVARIM[[#This Row],[מצב משפחתי2]]="אלמן",'[2]ריכוז נתונים'!$AC$2,0)</f>
        <v>0</v>
      </c>
      <c r="Z546" s="3">
        <f>VLOOKUP(VALUE(HEVARIM[[#This Row],[קוד מעמד]]),הנחות!$I$2:$K$21,3,0)</f>
        <v>1</v>
      </c>
      <c r="AA546" t="b">
        <f>ISERROR(VLOOKUP(HEVARIM[[#This Row],[קוד תקציב]],'[2]ריכוז נתונים'!A:A,1,0))</f>
        <v>1</v>
      </c>
      <c r="AB546" s="1">
        <f t="shared" si="33"/>
        <v>0</v>
      </c>
      <c r="AC546" s="2">
        <f ca="1">IF(HEVARIM[[#This Row],[בר מצוה]]&gt;0,YEAR(TODAY())+'תקציבים מיוחדים'!$F$5-HEVARIM[[#This Row],[גיל]],0)</f>
        <v>0</v>
      </c>
      <c r="AD546" s="1">
        <f t="shared" si="34"/>
        <v>0</v>
      </c>
      <c r="AE546" s="2">
        <f ca="1">IF(HEVARIM[[#This Row],[בת מצוה]]&gt;0,YEAR(TODAY())+'תקציבים מיוחדים'!$F$5-HEVARIM[[#This Row],[גיל]],0)</f>
        <v>0</v>
      </c>
      <c r="AF546" s="1">
        <f>IF(AND($S546&gt;="רווק",$Z546=1),AF$4*IF(HEVARIM[[#This Row],[גיל]]&gt;$AF$3,1,(($G546-AF$2)/(AF$3-AF$2))),0)</f>
        <v>60512.5</v>
      </c>
      <c r="AG546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546" s="1">
        <f t="shared" si="35"/>
        <v>105588.5</v>
      </c>
      <c r="AI546" s="2">
        <f ca="1">IF(AH546&gt;0,YEAR(TODAY())+'תקציבים מיוחדים'!$F$7-HEVARIM[[#This Row],[גיל]],0)</f>
        <v>2026</v>
      </c>
      <c r="AJ546" s="9">
        <f>IF(AND(ISERROR(VLOOKUP(H546,'[2]ריכוז נתונים'!A:L,1,0)),P546="1     "),1,0)</f>
        <v>0</v>
      </c>
      <c r="AK54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46" s="1">
        <f>IF(AND(VALUE(HEVARIM[[#This Row],[קוד מעמד]])=1,HEVARIM[[#This Row],[ותק מחברה 40]]&lt;25),HEVARIM[[#This Row],[ותק מחברה 40]]/25*הנחות!$C$4,0)</f>
        <v>0</v>
      </c>
      <c r="AM546" s="9" t="str">
        <f ca="1">IF(HEVARIM[[#This Row],[דמי עזיבה 25 שנות ותק]]&gt;0,YEAR(TODAY())+25-ROUNDDOWN(HEVARIM[[#This Row],[ותק מחברה 40]],0),"")</f>
        <v/>
      </c>
      <c r="AN5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46" s="9" t="str">
        <f ca="1">IF(HEVARIM[[#This Row],[דמי עזיבה לגיל 65]]&gt;0,YEAR(TODAY())+64-ROUNDDOWN(HEVARIM[[#This Row],[גיל]],0),"")</f>
        <v/>
      </c>
      <c r="AP546" s="1">
        <f>SUMIF(HEVARIM[קוד תקציב],HEVARIM[[#This Row],[קוד תקציב משפחה מקורי]],HEVARIM[ותק מחברה 40])</f>
        <v>46.95</v>
      </c>
      <c r="AQ5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46" s="9">
        <f>IF(HEVARIM[[#This Row],[קוד מעמד]]="1     ",IFERROR(VLOOKUP(HEVARIM[[#This Row],[קוד תקציב]],'תקציב צביעה - לקראת השינוי'!A:F,4,0),0),0)</f>
        <v>0</v>
      </c>
      <c r="AT546" s="1"/>
    </row>
    <row r="547" spans="1:46">
      <c r="A547" t="s">
        <v>2640</v>
      </c>
      <c r="B547" t="s">
        <v>2641</v>
      </c>
      <c r="C547" t="s">
        <v>2559</v>
      </c>
      <c r="D547" t="s">
        <v>2642</v>
      </c>
      <c r="E547" t="s">
        <v>67</v>
      </c>
      <c r="F547" s="4">
        <v>22843</v>
      </c>
      <c r="G547">
        <v>63</v>
      </c>
      <c r="H547" t="s">
        <v>2643</v>
      </c>
      <c r="I547" t="s">
        <v>2644</v>
      </c>
      <c r="J547" s="4" t="s">
        <v>70</v>
      </c>
      <c r="K547" s="4" t="s">
        <v>71</v>
      </c>
      <c r="L547" t="s">
        <v>2645</v>
      </c>
      <c r="M547" t="s">
        <v>2640</v>
      </c>
      <c r="N547" t="s">
        <v>2641</v>
      </c>
      <c r="O547">
        <f>IFERROR(VLOOKUP(HEVARIM[[#This Row],[קוד תקציב]],[2]תקציבים!A:L,6,0),0)</f>
        <v>2</v>
      </c>
      <c r="P547" s="5" t="s">
        <v>104</v>
      </c>
      <c r="Q547" t="s">
        <v>11</v>
      </c>
      <c r="R547" s="4">
        <v>29525</v>
      </c>
      <c r="S547" s="4" t="s">
        <v>74</v>
      </c>
      <c r="T547" s="96" t="s">
        <v>2643</v>
      </c>
      <c r="U547" t="str">
        <f>VLOOKUP(HEVARIM[[#This Row],[גיל]],GIL,2,1)</f>
        <v>--</v>
      </c>
      <c r="V547" t="str">
        <f>IF(HEVARIM[[#This Row],[קוד מעמד]]="4     ",IF(HEVARIM[[#This Row],[גיל]]=1,1,IF(HEVARIM[[#This Row],[גיל]]&lt;=5,5,18)),"")</f>
        <v/>
      </c>
      <c r="W547">
        <f t="shared" si="32"/>
        <v>0</v>
      </c>
      <c r="X5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7">
        <f>IF(HEVARIM[[#This Row],[מצב משפחתי2]]="אלמן",'[2]ריכוז נתונים'!$AC$2,0)</f>
        <v>0</v>
      </c>
      <c r="Z547" s="3">
        <f>VLOOKUP(VALUE(HEVARIM[[#This Row],[קוד מעמד]]),הנחות!$I$2:$K$21,3,0)</f>
        <v>0</v>
      </c>
      <c r="AA547" t="b">
        <f>ISERROR(VLOOKUP(HEVARIM[[#This Row],[קוד תקציב]],'[2]ריכוז נתונים'!A:A,1,0))</f>
        <v>0</v>
      </c>
      <c r="AB547" s="1">
        <f t="shared" si="33"/>
        <v>0</v>
      </c>
      <c r="AC547" s="2">
        <f ca="1">IF(HEVARIM[[#This Row],[בר מצוה]]&gt;0,YEAR(TODAY())+'תקציבים מיוחדים'!$F$5-HEVARIM[[#This Row],[גיל]],0)</f>
        <v>0</v>
      </c>
      <c r="AD547" s="1">
        <f t="shared" si="34"/>
        <v>0</v>
      </c>
      <c r="AE547" s="2">
        <f ca="1">IF(HEVARIM[[#This Row],[בת מצוה]]&gt;0,YEAR(TODAY())+'תקציבים מיוחדים'!$F$5-HEVARIM[[#This Row],[גיל]],0)</f>
        <v>0</v>
      </c>
      <c r="AF547" s="1">
        <f>IF(AND($S547&gt;="רווק",$Z547=1),AF$4*IF(HEVARIM[[#This Row],[גיל]]&gt;$AF$3,1,(($G547-AF$2)/(AF$3-AF$2))),0)</f>
        <v>0</v>
      </c>
      <c r="AG54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7" s="1">
        <f t="shared" si="35"/>
        <v>0</v>
      </c>
      <c r="AI547" s="2">
        <f ca="1">IF(AH547&gt;0,YEAR(TODAY())+'תקציבים מיוחדים'!$F$7-HEVARIM[[#This Row],[גיל]],0)</f>
        <v>0</v>
      </c>
      <c r="AJ547" s="9">
        <f>IF(AND(ISERROR(VLOOKUP(H547,'[2]ריכוז נתונים'!A:L,1,0)),P547="1     "),1,0)</f>
        <v>0</v>
      </c>
      <c r="AK547" s="1">
        <f>IF(VALUE(HEVARIM[[#This Row],[קוד מעמד]])=1,VLOOKUP((IF(LEFT(HEVARIM[[#This Row],[קוד חבר]],1)="0",HEVARIM[[#This Row],[קוד חבר]],VALUE(HEVARIM[[#This Row],[קוד חבר]]))),'ותק חברה 40'!AQ:AW,7,0),"")</f>
        <v>44.95</v>
      </c>
      <c r="AL547" s="1">
        <f>IF(AND(VALUE(HEVARIM[[#This Row],[קוד מעמד]])=1,HEVARIM[[#This Row],[ותק מחברה 40]]&lt;25),HEVARIM[[#This Row],[ותק מחברה 40]]/25*הנחות!$C$4,0)</f>
        <v>0</v>
      </c>
      <c r="AM547" s="9" t="str">
        <f ca="1">IF(HEVARIM[[#This Row],[דמי עזיבה 25 שנות ותק]]&gt;0,YEAR(TODAY())+25-ROUNDDOWN(HEVARIM[[#This Row],[ותק מחברה 40]],0),"")</f>
        <v/>
      </c>
      <c r="AN547" s="1">
        <f>IF(AND(VALUE(HEVARIM[[#This Row],[קוד מעמד]])=1,HEVARIM[[#This Row],[ותק מחברה 40]]&gt;25,HEVARIM[[#This Row],[גיל]]&lt;65),הנחות!$C$14+(HEVARIM[[#This Row],[ותק מחברה 40]]-25)*הנחות!$C$10*0.25,0)</f>
        <v>80297.260312500002</v>
      </c>
      <c r="AO547" s="9">
        <f ca="1">IF(HEVARIM[[#This Row],[דמי עזיבה לגיל 65]]&gt;0,YEAR(TODAY())+64-ROUNDDOWN(HEVARIM[[#This Row],[גיל]],0),"")</f>
        <v>2027</v>
      </c>
      <c r="AP547" s="1">
        <f>SUMIF(HEVARIM[קוד תקציב],HEVARIM[[#This Row],[קוד תקציב משפחה מקורי]],HEVARIM[ותק מחברה 40])</f>
        <v>86.14</v>
      </c>
      <c r="AQ5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547" s="9">
        <f>IF(HEVARIM[[#This Row],[קוד מעמד]]="1     ",IFERROR(VLOOKUP(HEVARIM[[#This Row],[קוד תקציב]],'תקציב צביעה - לקראת השינוי'!A:F,4,0),0),0)</f>
        <v>2034</v>
      </c>
      <c r="AT547" s="1"/>
    </row>
    <row r="548" spans="1:46">
      <c r="A548" t="s">
        <v>2646</v>
      </c>
      <c r="B548" t="s">
        <v>2647</v>
      </c>
      <c r="C548" t="s">
        <v>2559</v>
      </c>
      <c r="D548" t="s">
        <v>957</v>
      </c>
      <c r="E548" t="s">
        <v>79</v>
      </c>
      <c r="F548" s="4">
        <v>22749</v>
      </c>
      <c r="G548">
        <v>63</v>
      </c>
      <c r="H548" t="s">
        <v>2643</v>
      </c>
      <c r="I548" t="s">
        <v>2644</v>
      </c>
      <c r="J548" s="4" t="s">
        <v>70</v>
      </c>
      <c r="K548" s="4" t="s">
        <v>71</v>
      </c>
      <c r="L548" t="s">
        <v>2648</v>
      </c>
      <c r="M548" t="s">
        <v>2640</v>
      </c>
      <c r="N548" t="s">
        <v>2641</v>
      </c>
      <c r="O548">
        <f>IFERROR(VLOOKUP(HEVARIM[[#This Row],[קוד תקציב]],[2]תקציבים!A:L,6,0),0)</f>
        <v>2</v>
      </c>
      <c r="P548" s="5" t="s">
        <v>104</v>
      </c>
      <c r="Q548" t="s">
        <v>11</v>
      </c>
      <c r="R548" s="4">
        <v>30986</v>
      </c>
      <c r="S548" s="4" t="s">
        <v>74</v>
      </c>
      <c r="T548" s="96" t="s">
        <v>2643</v>
      </c>
      <c r="U548" t="str">
        <f>VLOOKUP(HEVARIM[[#This Row],[גיל]],GIL,2,1)</f>
        <v>--</v>
      </c>
      <c r="V548" t="str">
        <f>IF(HEVARIM[[#This Row],[קוד מעמד]]="4     ",IF(HEVARIM[[#This Row],[גיל]]=1,1,IF(HEVARIM[[#This Row],[גיל]]&lt;=5,5,18)),"")</f>
        <v/>
      </c>
      <c r="W548">
        <f t="shared" si="32"/>
        <v>0</v>
      </c>
      <c r="X54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548">
        <f>IF(HEVARIM[[#This Row],[מצב משפחתי2]]="אלמן",'[2]ריכוז נתונים'!$AC$2,0)</f>
        <v>0</v>
      </c>
      <c r="Z548" s="3">
        <f>VLOOKUP(VALUE(HEVARIM[[#This Row],[קוד מעמד]]),הנחות!$I$2:$K$21,3,0)</f>
        <v>0</v>
      </c>
      <c r="AA548" t="b">
        <f>ISERROR(VLOOKUP(HEVARIM[[#This Row],[קוד תקציב]],'[2]ריכוז נתונים'!A:A,1,0))</f>
        <v>0</v>
      </c>
      <c r="AB548" s="1">
        <f t="shared" si="33"/>
        <v>0</v>
      </c>
      <c r="AC548" s="2">
        <f ca="1">IF(HEVARIM[[#This Row],[בר מצוה]]&gt;0,YEAR(TODAY())+'תקציבים מיוחדים'!$F$5-HEVARIM[[#This Row],[גיל]],0)</f>
        <v>0</v>
      </c>
      <c r="AD548" s="1">
        <f t="shared" si="34"/>
        <v>0</v>
      </c>
      <c r="AE548" s="2">
        <f ca="1">IF(HEVARIM[[#This Row],[בת מצוה]]&gt;0,YEAR(TODAY())+'תקציבים מיוחדים'!$F$5-HEVARIM[[#This Row],[גיל]],0)</f>
        <v>0</v>
      </c>
      <c r="AF548" s="1">
        <f>IF(AND($S548&gt;="רווק",$Z548=1),AF$4*IF(HEVARIM[[#This Row],[גיל]]&gt;$AF$3,1,(($G548-AF$2)/(AF$3-AF$2))),0)</f>
        <v>0</v>
      </c>
      <c r="AG54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8" s="1">
        <f t="shared" si="35"/>
        <v>0</v>
      </c>
      <c r="AI548" s="2">
        <f ca="1">IF(AH548&gt;0,YEAR(TODAY())+'תקציבים מיוחדים'!$F$7-HEVARIM[[#This Row],[גיל]],0)</f>
        <v>0</v>
      </c>
      <c r="AJ548" s="9">
        <f>IF(AND(ISERROR(VLOOKUP(H548,'[2]ריכוז נתונים'!A:L,1,0)),P548="1     "),1,0)</f>
        <v>0</v>
      </c>
      <c r="AK548" s="1">
        <f>IF(VALUE(HEVARIM[[#This Row],[קוד מעמד]])=1,VLOOKUP((IF(LEFT(HEVARIM[[#This Row],[קוד חבר]],1)="0",HEVARIM[[#This Row],[קוד חבר]],VALUE(HEVARIM[[#This Row],[קוד חבר]]))),'ותק חברה 40'!AQ:AW,7,0),"")</f>
        <v>41.19</v>
      </c>
      <c r="AL548" s="1">
        <f>IF(AND(VALUE(HEVARIM[[#This Row],[קוד מעמד]])=1,HEVARIM[[#This Row],[ותק מחברה 40]]&lt;25),HEVARIM[[#This Row],[ותק מחברה 40]]/25*הנחות!$C$4,0)</f>
        <v>0</v>
      </c>
      <c r="AM548" s="9" t="str">
        <f ca="1">IF(HEVARIM[[#This Row],[דמי עזיבה 25 שנות ותק]]&gt;0,YEAR(TODAY())+25-ROUNDDOWN(HEVARIM[[#This Row],[ותק מחברה 40]],0),"")</f>
        <v/>
      </c>
      <c r="AN548" s="1">
        <f>IF(AND(VALUE(HEVARIM[[#This Row],[קוד מעמד]])=1,HEVARIM[[#This Row],[ותק מחברה 40]]&gt;25,HEVARIM[[#This Row],[גיל]]&lt;65),הנחות!$C$14+(HEVARIM[[#This Row],[ותק מחברה 40]]-25)*הנחות!$C$10*0.25,0)</f>
        <v>70216.535812499991</v>
      </c>
      <c r="AO548" s="9">
        <f ca="1">IF(HEVARIM[[#This Row],[דמי עזיבה לגיל 65]]&gt;0,YEAR(TODAY())+64-ROUNDDOWN(HEVARIM[[#This Row],[גיל]],0),"")</f>
        <v>2027</v>
      </c>
      <c r="AP548" s="1">
        <f>SUMIF(HEVARIM[קוד תקציב],HEVARIM[[#This Row],[קוד תקציב משפחה מקורי]],HEVARIM[ותק מחברה 40])</f>
        <v>86.14</v>
      </c>
      <c r="AQ5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548" s="9">
        <f>IF(HEVARIM[[#This Row],[קוד מעמד]]="1     ",IFERROR(VLOOKUP(HEVARIM[[#This Row],[קוד תקציב]],'תקציב צביעה - לקראת השינוי'!A:F,4,0),0),0)</f>
        <v>2034</v>
      </c>
      <c r="AT548" s="1"/>
    </row>
    <row r="549" spans="1:46">
      <c r="A549" t="s">
        <v>2649</v>
      </c>
      <c r="B549" t="s">
        <v>2650</v>
      </c>
      <c r="C549" t="s">
        <v>2543</v>
      </c>
      <c r="D549" t="s">
        <v>467</v>
      </c>
      <c r="E549" t="s">
        <v>67</v>
      </c>
      <c r="F549" s="4">
        <v>24053</v>
      </c>
      <c r="G549">
        <v>60</v>
      </c>
      <c r="H549" t="s">
        <v>2651</v>
      </c>
      <c r="I549" t="s">
        <v>2652</v>
      </c>
      <c r="J549" s="4" t="s">
        <v>70</v>
      </c>
      <c r="K549" s="4" t="s">
        <v>71</v>
      </c>
      <c r="L549" t="s">
        <v>2653</v>
      </c>
      <c r="M549" t="s">
        <v>2649</v>
      </c>
      <c r="N549" t="s">
        <v>2650</v>
      </c>
      <c r="O549">
        <f>IFERROR(VLOOKUP(HEVARIM[[#This Row],[קוד תקציב]],[2]תקציבים!A:L,6,0),0)</f>
        <v>1</v>
      </c>
      <c r="P549" s="5" t="s">
        <v>104</v>
      </c>
      <c r="Q549" t="s">
        <v>11</v>
      </c>
      <c r="R549" s="4">
        <v>36434</v>
      </c>
      <c r="S549" s="4" t="s">
        <v>74</v>
      </c>
      <c r="T549" s="96" t="s">
        <v>2651</v>
      </c>
      <c r="U549" t="str">
        <f>VLOOKUP(HEVARIM[[#This Row],[גיל]],GIL,2,1)</f>
        <v>--</v>
      </c>
      <c r="V549" t="str">
        <f>IF(HEVARIM[[#This Row],[קוד מעמד]]="4     ",IF(HEVARIM[[#This Row],[גיל]]=1,1,IF(HEVARIM[[#This Row],[גיל]]&lt;=5,5,18)),"")</f>
        <v/>
      </c>
      <c r="W549">
        <f t="shared" si="32"/>
        <v>0</v>
      </c>
      <c r="X54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49">
        <f>IF(HEVARIM[[#This Row],[מצב משפחתי2]]="אלמן",'[2]ריכוז נתונים'!$AC$2,0)</f>
        <v>0</v>
      </c>
      <c r="Z549" s="3">
        <f>VLOOKUP(VALUE(HEVARIM[[#This Row],[קוד מעמד]]),הנחות!$I$2:$K$21,3,0)</f>
        <v>0</v>
      </c>
      <c r="AA549" t="b">
        <f>ISERROR(VLOOKUP(HEVARIM[[#This Row],[קוד תקציב]],'[2]ריכוז נתונים'!A:A,1,0))</f>
        <v>0</v>
      </c>
      <c r="AB549" s="1">
        <f t="shared" si="33"/>
        <v>0</v>
      </c>
      <c r="AC549" s="2">
        <f ca="1">IF(HEVARIM[[#This Row],[בר מצוה]]&gt;0,YEAR(TODAY())+'תקציבים מיוחדים'!$F$5-HEVARIM[[#This Row],[גיל]],0)</f>
        <v>0</v>
      </c>
      <c r="AD549" s="1">
        <f t="shared" si="34"/>
        <v>0</v>
      </c>
      <c r="AE549" s="2">
        <f ca="1">IF(HEVARIM[[#This Row],[בת מצוה]]&gt;0,YEAR(TODAY())+'תקציבים מיוחדים'!$F$5-HEVARIM[[#This Row],[גיל]],0)</f>
        <v>0</v>
      </c>
      <c r="AF549" s="1">
        <f>IF(AND($S549&gt;="רווק",$Z549=1),AF$4*IF(HEVARIM[[#This Row],[גיל]]&gt;$AF$3,1,(($G549-AF$2)/(AF$3-AF$2))),0)</f>
        <v>0</v>
      </c>
      <c r="AG54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49" s="1">
        <f t="shared" si="35"/>
        <v>0</v>
      </c>
      <c r="AI549" s="2">
        <f ca="1">IF(AH549&gt;0,YEAR(TODAY())+'תקציבים מיוחדים'!$F$7-HEVARIM[[#This Row],[גיל]],0)</f>
        <v>0</v>
      </c>
      <c r="AJ549" s="9">
        <f>IF(AND(ISERROR(VLOOKUP(H549,'[2]ריכוז נתונים'!A:L,1,0)),P549="1     "),1,0)</f>
        <v>0</v>
      </c>
      <c r="AK549" s="1">
        <f>IF(VALUE(HEVARIM[[#This Row],[קוד מעמד]])=1,VLOOKUP((IF(LEFT(HEVARIM[[#This Row],[קוד חבר]],1)="0",HEVARIM[[#This Row],[קוד חבר]],VALUE(HEVARIM[[#This Row],[קוד חבר]]))),'ותק חברה 40'!AQ:AW,7,0),"")</f>
        <v>41.2</v>
      </c>
      <c r="AL549" s="1">
        <f>IF(AND(VALUE(HEVARIM[[#This Row],[קוד מעמד]])=1,HEVARIM[[#This Row],[ותק מחברה 40]]&lt;25),HEVARIM[[#This Row],[ותק מחברה 40]]/25*הנחות!$C$4,0)</f>
        <v>0</v>
      </c>
      <c r="AM549" s="9" t="str">
        <f ca="1">IF(HEVARIM[[#This Row],[דמי עזיבה 25 שנות ותק]]&gt;0,YEAR(TODAY())+25-ROUNDDOWN(HEVARIM[[#This Row],[ותק מחברה 40]],0),"")</f>
        <v/>
      </c>
      <c r="AN549" s="1">
        <f>IF(AND(VALUE(HEVARIM[[#This Row],[קוד מעמד]])=1,HEVARIM[[#This Row],[ותק מחברה 40]]&gt;25,HEVARIM[[#This Row],[גיל]]&lt;65),הנחות!$C$14+(HEVARIM[[#This Row],[ותק מחברה 40]]-25)*הנחות!$C$10*0.25,0)</f>
        <v>70243.346250000002</v>
      </c>
      <c r="AO549" s="9">
        <f ca="1">IF(HEVARIM[[#This Row],[דמי עזיבה לגיל 65]]&gt;0,YEAR(TODAY())+64-ROUNDDOWN(HEVARIM[[#This Row],[גיל]],0),"")</f>
        <v>2030</v>
      </c>
      <c r="AP549" s="1">
        <f>SUMIF(HEVARIM[קוד תקציב],HEVARIM[[#This Row],[קוד תקציב משפחה מקורי]],HEVARIM[ותק מחברה 40])</f>
        <v>41.2</v>
      </c>
      <c r="AQ5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549" s="9">
        <f>IF(HEVARIM[[#This Row],[קוד מעמד]]="1     ",IFERROR(VLOOKUP(HEVARIM[[#This Row],[קוד תקציב]],'תקציב צביעה - לקראת השינוי'!A:F,4,0),0),0)</f>
        <v>2031</v>
      </c>
      <c r="AT549" s="1"/>
    </row>
    <row r="550" spans="1:46">
      <c r="A550" t="s">
        <v>2654</v>
      </c>
      <c r="B550" t="s">
        <v>2655</v>
      </c>
      <c r="C550" t="s">
        <v>2543</v>
      </c>
      <c r="D550" t="s">
        <v>2656</v>
      </c>
      <c r="E550" t="s">
        <v>79</v>
      </c>
      <c r="F550" s="4">
        <v>26131</v>
      </c>
      <c r="G550">
        <v>54</v>
      </c>
      <c r="H550" t="s">
        <v>2651</v>
      </c>
      <c r="I550" t="s">
        <v>2652</v>
      </c>
      <c r="J550" s="4" t="s">
        <v>70</v>
      </c>
      <c r="K550" s="4" t="s">
        <v>71</v>
      </c>
      <c r="L550" t="s">
        <v>2657</v>
      </c>
      <c r="M550" t="s">
        <v>2649</v>
      </c>
      <c r="N550" t="s">
        <v>2650</v>
      </c>
      <c r="O550">
        <f>IFERROR(VLOOKUP(HEVARIM[[#This Row],[קוד תקציב]],[2]תקציבים!A:L,6,0),0)</f>
        <v>1</v>
      </c>
      <c r="P550" s="5" t="s">
        <v>83</v>
      </c>
      <c r="Q550" t="s">
        <v>15</v>
      </c>
      <c r="R550" s="4">
        <v>37986</v>
      </c>
      <c r="S550" s="4" t="s">
        <v>74</v>
      </c>
      <c r="T550" s="96" t="s">
        <v>2651</v>
      </c>
      <c r="U550" t="str">
        <f>VLOOKUP(HEVARIM[[#This Row],[גיל]],GIL,2,1)</f>
        <v>--</v>
      </c>
      <c r="V550" t="str">
        <f>IF(HEVARIM[[#This Row],[קוד מעמד]]="4     ",IF(HEVARIM[[#This Row],[גיל]]=1,1,IF(HEVARIM[[#This Row],[גיל]]&lt;=5,5,18)),"")</f>
        <v/>
      </c>
      <c r="W550">
        <f t="shared" si="32"/>
        <v>0</v>
      </c>
      <c r="X5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0">
        <f>IF(HEVARIM[[#This Row],[מצב משפחתי2]]="אלמן",'[2]ריכוז נתונים'!$AC$2,0)</f>
        <v>0</v>
      </c>
      <c r="Z550" s="3">
        <f>VLOOKUP(VALUE(HEVARIM[[#This Row],[קוד מעמד]]),הנחות!$I$2:$K$21,3,0)</f>
        <v>0</v>
      </c>
      <c r="AA550" t="b">
        <f>ISERROR(VLOOKUP(HEVARIM[[#This Row],[קוד תקציב]],'[2]ריכוז נתונים'!A:A,1,0))</f>
        <v>0</v>
      </c>
      <c r="AB550" s="1">
        <f t="shared" si="33"/>
        <v>0</v>
      </c>
      <c r="AC550" s="2">
        <f ca="1">IF(HEVARIM[[#This Row],[בר מצוה]]&gt;0,YEAR(TODAY())+'תקציבים מיוחדים'!$F$5-HEVARIM[[#This Row],[גיל]],0)</f>
        <v>0</v>
      </c>
      <c r="AD550" s="1">
        <f t="shared" si="34"/>
        <v>0</v>
      </c>
      <c r="AE550" s="2">
        <f ca="1">IF(HEVARIM[[#This Row],[בת מצוה]]&gt;0,YEAR(TODAY())+'תקציבים מיוחדים'!$F$5-HEVARIM[[#This Row],[גיל]],0)</f>
        <v>0</v>
      </c>
      <c r="AF550" s="1">
        <f>IF(AND($S550&gt;="רווק",$Z550=1),AF$4*IF(HEVARIM[[#This Row],[גיל]]&gt;$AF$3,1,(($G550-AF$2)/(AF$3-AF$2))),0)</f>
        <v>0</v>
      </c>
      <c r="AG55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50" s="1">
        <f t="shared" si="35"/>
        <v>0</v>
      </c>
      <c r="AI550" s="2">
        <f ca="1">IF(AH550&gt;0,YEAR(TODAY())+'תקציבים מיוחדים'!$F$7-HEVARIM[[#This Row],[גיל]],0)</f>
        <v>0</v>
      </c>
      <c r="AJ550" s="9">
        <f>IF(AND(ISERROR(VLOOKUP(H550,'[2]ריכוז נתונים'!A:L,1,0)),P550="1     "),1,0)</f>
        <v>0</v>
      </c>
      <c r="AK55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0" s="1">
        <f>IF(AND(VALUE(HEVARIM[[#This Row],[קוד מעמד]])=1,HEVARIM[[#This Row],[ותק מחברה 40]]&lt;25),HEVARIM[[#This Row],[ותק מחברה 40]]/25*הנחות!$C$4,0)</f>
        <v>0</v>
      </c>
      <c r="AM550" s="9" t="str">
        <f ca="1">IF(HEVARIM[[#This Row],[דמי עזיבה 25 שנות ותק]]&gt;0,YEAR(TODAY())+25-ROUNDDOWN(HEVARIM[[#This Row],[ותק מחברה 40]],0),"")</f>
        <v/>
      </c>
      <c r="AN55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0" s="9" t="str">
        <f ca="1">IF(HEVARIM[[#This Row],[דמי עזיבה לגיל 65]]&gt;0,YEAR(TODAY())+64-ROUNDDOWN(HEVARIM[[#This Row],[גיל]],0),"")</f>
        <v/>
      </c>
      <c r="AP550" s="1">
        <f>SUMIF(HEVARIM[קוד תקציב],HEVARIM[[#This Row],[קוד תקציב משפחה מקורי]],HEVARIM[ותק מחברה 40])</f>
        <v>41.2</v>
      </c>
      <c r="AQ5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0" s="9">
        <f>IF(HEVARIM[[#This Row],[קוד מעמד]]="1     ",IFERROR(VLOOKUP(HEVARIM[[#This Row],[קוד תקציב]],'תקציב צביעה - לקראת השינוי'!A:F,4,0),0),0)</f>
        <v>0</v>
      </c>
      <c r="AT550" s="1"/>
    </row>
    <row r="551" spans="1:46">
      <c r="A551" t="s">
        <v>2658</v>
      </c>
      <c r="B551" t="s">
        <v>2659</v>
      </c>
      <c r="C551" t="s">
        <v>2543</v>
      </c>
      <c r="D551" t="s">
        <v>2660</v>
      </c>
      <c r="E551" t="s">
        <v>67</v>
      </c>
      <c r="F551" s="4">
        <v>39908</v>
      </c>
      <c r="G551">
        <v>16</v>
      </c>
      <c r="H551" t="s">
        <v>2651</v>
      </c>
      <c r="I551" t="s">
        <v>2652</v>
      </c>
      <c r="J551" s="4" t="s">
        <v>70</v>
      </c>
      <c r="K551" s="4" t="s">
        <v>71</v>
      </c>
      <c r="L551" t="s">
        <v>2661</v>
      </c>
      <c r="M551" t="s">
        <v>2649</v>
      </c>
      <c r="N551" t="s">
        <v>2650</v>
      </c>
      <c r="O551">
        <f>IFERROR(VLOOKUP(HEVARIM[[#This Row],[קוד תקציב]],[2]תקציבים!A:L,6,0),0)</f>
        <v>1</v>
      </c>
      <c r="P551" s="5" t="s">
        <v>227</v>
      </c>
      <c r="Q551" t="s">
        <v>14</v>
      </c>
      <c r="R551" s="4">
        <v>39908</v>
      </c>
      <c r="S551" s="4" t="s">
        <v>90</v>
      </c>
      <c r="T551" s="96" t="s">
        <v>2651</v>
      </c>
      <c r="U551" t="str">
        <f>VLOOKUP(HEVARIM[[#This Row],[גיל]],GIL,2,1)</f>
        <v>תיכון</v>
      </c>
      <c r="V551">
        <f>IF(HEVARIM[[#This Row],[קוד מעמד]]="4     ",IF(HEVARIM[[#This Row],[גיל]]=1,1,IF(HEVARIM[[#This Row],[גיל]]&lt;=5,5,18)),"")</f>
        <v>18</v>
      </c>
      <c r="W551">
        <f t="shared" si="32"/>
        <v>0</v>
      </c>
      <c r="X55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1">
        <f>IF(HEVARIM[[#This Row],[מצב משפחתי2]]="אלמן",'[2]ריכוז נתונים'!$AC$2,0)</f>
        <v>0</v>
      </c>
      <c r="Z551" s="3">
        <f>VLOOKUP(VALUE(HEVARIM[[#This Row],[קוד מעמד]]),הנחות!$I$2:$K$21,3,0)</f>
        <v>1</v>
      </c>
      <c r="AA551" t="b">
        <f>ISERROR(VLOOKUP(HEVARIM[[#This Row],[קוד תקציב]],'[2]ריכוז נתונים'!A:A,1,0))</f>
        <v>0</v>
      </c>
      <c r="AB551" s="1">
        <f t="shared" si="33"/>
        <v>0</v>
      </c>
      <c r="AC551" s="2">
        <f ca="1">IF(HEVARIM[[#This Row],[בר מצוה]]&gt;0,YEAR(TODAY())+'תקציבים מיוחדים'!$F$5-HEVARIM[[#This Row],[גיל]],0)</f>
        <v>0</v>
      </c>
      <c r="AD551" s="1">
        <f t="shared" si="34"/>
        <v>0</v>
      </c>
      <c r="AE551" s="2">
        <f ca="1">IF(HEVARIM[[#This Row],[בת מצוה]]&gt;0,YEAR(TODAY())+'תקציבים מיוחדים'!$F$5-HEVARIM[[#This Row],[גיל]],0)</f>
        <v>0</v>
      </c>
      <c r="AF551" s="1">
        <f>IF(AND($S551&gt;="רווק",$Z551=1),AF$4*IF(HEVARIM[[#This Row],[גיל]]&gt;$AF$3,1,(($G551-AF$2)/(AF$3-AF$2))),0)</f>
        <v>46104.761904761901</v>
      </c>
      <c r="AG551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551" s="1">
        <f t="shared" si="35"/>
        <v>80448.380952380947</v>
      </c>
      <c r="AI551" s="2">
        <f ca="1">IF(AH551&gt;0,YEAR(TODAY())+'תקציבים מיוחדים'!$F$7-HEVARIM[[#This Row],[גיל]],0)</f>
        <v>2031</v>
      </c>
      <c r="AJ551" s="9">
        <f>IF(AND(ISERROR(VLOOKUP(H551,'[2]ריכוז נתונים'!A:L,1,0)),P551="1     "),1,0)</f>
        <v>0</v>
      </c>
      <c r="AK55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1" s="1">
        <f>IF(AND(VALUE(HEVARIM[[#This Row],[קוד מעמד]])=1,HEVARIM[[#This Row],[ותק מחברה 40]]&lt;25),HEVARIM[[#This Row],[ותק מחברה 40]]/25*הנחות!$C$4,0)</f>
        <v>0</v>
      </c>
      <c r="AM551" s="9" t="str">
        <f ca="1">IF(HEVARIM[[#This Row],[דמי עזיבה 25 שנות ותק]]&gt;0,YEAR(TODAY())+25-ROUNDDOWN(HEVARIM[[#This Row],[ותק מחברה 40]],0),"")</f>
        <v/>
      </c>
      <c r="AN5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1" s="9" t="str">
        <f ca="1">IF(HEVARIM[[#This Row],[דמי עזיבה לגיל 65]]&gt;0,YEAR(TODAY())+64-ROUNDDOWN(HEVARIM[[#This Row],[גיל]],0),"")</f>
        <v/>
      </c>
      <c r="AP551" s="1">
        <f>SUMIF(HEVARIM[קוד תקציב],HEVARIM[[#This Row],[קוד תקציב משפחה מקורי]],HEVARIM[ותק מחברה 40])</f>
        <v>41.2</v>
      </c>
      <c r="AQ5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1" s="9">
        <f>IF(HEVARIM[[#This Row],[קוד מעמד]]="1     ",IFERROR(VLOOKUP(HEVARIM[[#This Row],[קוד תקציב]],'תקציב צביעה - לקראת השינוי'!A:F,4,0),0),0)</f>
        <v>0</v>
      </c>
      <c r="AT551" s="1"/>
    </row>
    <row r="552" spans="1:46">
      <c r="A552" t="s">
        <v>2816</v>
      </c>
      <c r="B552" t="s">
        <v>2817</v>
      </c>
      <c r="C552" t="s">
        <v>2543</v>
      </c>
      <c r="D552" t="s">
        <v>462</v>
      </c>
      <c r="E552" t="s">
        <v>67</v>
      </c>
      <c r="F552" s="4">
        <v>36697</v>
      </c>
      <c r="G552">
        <v>25</v>
      </c>
      <c r="H552" t="s">
        <v>3832</v>
      </c>
      <c r="I552" t="s">
        <v>2817</v>
      </c>
      <c r="J552" s="4" t="s">
        <v>70</v>
      </c>
      <c r="K552" s="4" t="s">
        <v>81</v>
      </c>
      <c r="L552" t="s">
        <v>2818</v>
      </c>
      <c r="M552" t="s">
        <v>2816</v>
      </c>
      <c r="N552" t="s">
        <v>2817</v>
      </c>
      <c r="O552">
        <f>IFERROR(VLOOKUP(HEVARIM[[#This Row],[קוד תקציב]],[2]תקציבים!A:L,6,0),0)</f>
        <v>0</v>
      </c>
      <c r="P552" s="5" t="s">
        <v>73</v>
      </c>
      <c r="Q552" t="s">
        <v>27</v>
      </c>
      <c r="R552" s="4">
        <v>45931</v>
      </c>
      <c r="S552" s="4" t="s">
        <v>90</v>
      </c>
      <c r="T552" s="96" t="s">
        <v>2651</v>
      </c>
      <c r="U552" t="str">
        <f>VLOOKUP(HEVARIM[[#This Row],[גיל]],GIL,2,1)</f>
        <v>--</v>
      </c>
      <c r="V552" t="str">
        <f>IF(HEVARIM[[#This Row],[קוד מעמד]]="4     ",IF(HEVARIM[[#This Row],[גיל]]=1,1,IF(HEVARIM[[#This Row],[גיל]]&lt;=5,5,18)),"")</f>
        <v/>
      </c>
      <c r="W552">
        <f t="shared" si="32"/>
        <v>0</v>
      </c>
      <c r="X5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2">
        <f>IF(HEVARIM[[#This Row],[מצב משפחתי2]]="אלמן",'[2]ריכוז נתונים'!$AC$2,0)</f>
        <v>0</v>
      </c>
      <c r="Z552" s="3">
        <f>VLOOKUP(VALUE(HEVARIM[[#This Row],[קוד מעמד]]),הנחות!$I$2:$K$21,3,0)</f>
        <v>1</v>
      </c>
      <c r="AA552" t="b">
        <f>ISERROR(VLOOKUP(HEVARIM[[#This Row],[קוד תקציב]],'[2]ריכוז נתונים'!A:A,1,0))</f>
        <v>1</v>
      </c>
      <c r="AB552" s="1">
        <f t="shared" si="33"/>
        <v>0</v>
      </c>
      <c r="AC552" s="2">
        <f ca="1">IF(HEVARIM[[#This Row],[בר מצוה]]&gt;0,YEAR(TODAY())+'תקציבים מיוחדים'!$F$5-HEVARIM[[#This Row],[גיל]],0)</f>
        <v>0</v>
      </c>
      <c r="AD552" s="1">
        <f t="shared" si="34"/>
        <v>0</v>
      </c>
      <c r="AE552" s="2">
        <f ca="1">IF(HEVARIM[[#This Row],[בת מצוה]]&gt;0,YEAR(TODAY())+'תקציבים מיוחדים'!$F$5-HEVARIM[[#This Row],[גיל]],0)</f>
        <v>0</v>
      </c>
      <c r="AF552" s="1">
        <f>IF(AND($S552&gt;="רווק",$Z552=1),AF$4*IF(HEVARIM[[#This Row],[גיל]]&gt;$AF$3,1,(($G552-AF$2)/(AF$3-AF$2))),0)</f>
        <v>60512.5</v>
      </c>
      <c r="AG552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52" s="1">
        <f t="shared" si="35"/>
        <v>0</v>
      </c>
      <c r="AI552" s="2">
        <f ca="1">IF(AH552&gt;0,YEAR(TODAY())+'תקציבים מיוחדים'!$F$7-HEVARIM[[#This Row],[גיל]],0)</f>
        <v>0</v>
      </c>
      <c r="AJ552" s="9">
        <f>IF(AND(ISERROR(VLOOKUP(H552,'[2]ריכוז נתונים'!A:L,1,0)),P552="1     "),1,0)</f>
        <v>0</v>
      </c>
      <c r="AK55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2" s="1">
        <f>IF(AND(VALUE(HEVARIM[[#This Row],[קוד מעמד]])=1,HEVARIM[[#This Row],[ותק מחברה 40]]&lt;25),HEVARIM[[#This Row],[ותק מחברה 40]]/25*הנחות!$C$4,0)</f>
        <v>0</v>
      </c>
      <c r="AM552" s="9" t="str">
        <f ca="1">IF(HEVARIM[[#This Row],[דמי עזיבה 25 שנות ותק]]&gt;0,YEAR(TODAY())+25-ROUNDDOWN(HEVARIM[[#This Row],[ותק מחברה 40]],0),"")</f>
        <v/>
      </c>
      <c r="AN55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2" s="9" t="str">
        <f ca="1">IF(HEVARIM[[#This Row],[דמי עזיבה לגיל 65]]&gt;0,YEAR(TODAY())+64-ROUNDDOWN(HEVARIM[[#This Row],[גיל]],0),"")</f>
        <v/>
      </c>
      <c r="AP552" s="1">
        <f>SUMIF(HEVARIM[קוד תקציב],HEVARIM[[#This Row],[קוד תקציב משפחה מקורי]],HEVARIM[ותק מחברה 40])</f>
        <v>41.2</v>
      </c>
      <c r="AQ5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2" s="9">
        <f>IF(HEVARIM[[#This Row],[קוד מעמד]]="1     ",IFERROR(VLOOKUP(HEVARIM[[#This Row],[קוד תקציב]],'תקציב צביעה - לקראת השינוי'!A:F,4,0),0),0)</f>
        <v>0</v>
      </c>
      <c r="AT552" s="1"/>
    </row>
    <row r="553" spans="1:46">
      <c r="A553" t="s">
        <v>2554</v>
      </c>
      <c r="B553" t="s">
        <v>2555</v>
      </c>
      <c r="C553" t="s">
        <v>2549</v>
      </c>
      <c r="D553" t="s">
        <v>458</v>
      </c>
      <c r="E553" t="s">
        <v>79</v>
      </c>
      <c r="F553" s="4">
        <v>35925</v>
      </c>
      <c r="G553">
        <v>27</v>
      </c>
      <c r="H553" t="s">
        <v>2551</v>
      </c>
      <c r="I553" t="s">
        <v>2552</v>
      </c>
      <c r="J553" s="4" t="s">
        <v>70</v>
      </c>
      <c r="K553" s="4" t="s">
        <v>81</v>
      </c>
      <c r="L553" t="s">
        <v>2556</v>
      </c>
      <c r="M553" t="s">
        <v>2554</v>
      </c>
      <c r="N553" t="s">
        <v>2555</v>
      </c>
      <c r="O553">
        <f>IFERROR(VLOOKUP(HEVARIM[[#This Row],[קוד תקציב]],[2]תקציבים!A:L,6,0),0)</f>
        <v>0</v>
      </c>
      <c r="P553" s="5" t="s">
        <v>129</v>
      </c>
      <c r="Q553" t="s">
        <v>26</v>
      </c>
      <c r="R553" s="4">
        <v>44805</v>
      </c>
      <c r="S553" s="4" t="s">
        <v>74</v>
      </c>
      <c r="T553" s="96" t="s">
        <v>2651</v>
      </c>
      <c r="U553" t="str">
        <f>VLOOKUP(HEVARIM[[#This Row],[גיל]],GIL,2,1)</f>
        <v>--</v>
      </c>
      <c r="V553" t="str">
        <f>IF(HEVARIM[[#This Row],[קוד מעמד]]="4     ",IF(HEVARIM[[#This Row],[גיל]]=1,1,IF(HEVARIM[[#This Row],[גיל]]&lt;=5,5,18)),"")</f>
        <v/>
      </c>
      <c r="W553">
        <f t="shared" si="32"/>
        <v>0</v>
      </c>
      <c r="X5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3">
        <f>IF(HEVARIM[[#This Row],[מצב משפחתי2]]="אלמן",'[2]ריכוז נתונים'!$AC$2,0)</f>
        <v>0</v>
      </c>
      <c r="Z553" s="3">
        <f>VLOOKUP(VALUE(HEVARIM[[#This Row],[קוד מעמד]]),הנחות!$I$2:$K$21,3,0)</f>
        <v>1</v>
      </c>
      <c r="AA553" t="b">
        <f>ISERROR(VLOOKUP(HEVARIM[[#This Row],[קוד תקציב]],'[2]ריכוז נתונים'!A:A,1,0))</f>
        <v>1</v>
      </c>
      <c r="AB553" s="1">
        <f t="shared" si="33"/>
        <v>0</v>
      </c>
      <c r="AC553" s="2">
        <f ca="1">IF(HEVARIM[[#This Row],[בר מצוה]]&gt;0,YEAR(TODAY())+'תקציבים מיוחדים'!$F$5-HEVARIM[[#This Row],[גיל]],0)</f>
        <v>0</v>
      </c>
      <c r="AD553" s="1">
        <f t="shared" si="34"/>
        <v>0</v>
      </c>
      <c r="AE553" s="2">
        <f ca="1">IF(HEVARIM[[#This Row],[בת מצוה]]&gt;0,YEAR(TODAY())+'תקציבים מיוחדים'!$F$5-HEVARIM[[#This Row],[גיל]],0)</f>
        <v>0</v>
      </c>
      <c r="AF553" s="1">
        <f>IF(AND($S553&gt;="רווק",$Z553=1),AF$4*IF(HEVARIM[[#This Row],[גיל]]&gt;$AF$3,1,(($G553-AF$2)/(AF$3-AF$2))),0)</f>
        <v>0</v>
      </c>
      <c r="AG55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53" s="1">
        <f t="shared" si="35"/>
        <v>0</v>
      </c>
      <c r="AI553" s="2">
        <f ca="1">IF(AH553&gt;0,YEAR(TODAY())+'תקציבים מיוחדים'!$F$7-HEVARIM[[#This Row],[גיל]],0)</f>
        <v>0</v>
      </c>
      <c r="AJ553" s="9">
        <f>IF(AND(ISERROR(VLOOKUP(H553,'[2]ריכוז נתונים'!A:L,1,0)),P553="1     "),1,0)</f>
        <v>0</v>
      </c>
      <c r="AK55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3" s="1">
        <f>IF(AND(VALUE(HEVARIM[[#This Row],[קוד מעמד]])=1,HEVARIM[[#This Row],[ותק מחברה 40]]&lt;25),HEVARIM[[#This Row],[ותק מחברה 40]]/25*הנחות!$C$4,0)</f>
        <v>0</v>
      </c>
      <c r="AM553" s="9" t="str">
        <f ca="1">IF(HEVARIM[[#This Row],[דמי עזיבה 25 שנות ותק]]&gt;0,YEAR(TODAY())+25-ROUNDDOWN(HEVARIM[[#This Row],[ותק מחברה 40]],0),"")</f>
        <v/>
      </c>
      <c r="AN5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3" s="9" t="str">
        <f ca="1">IF(HEVARIM[[#This Row],[דמי עזיבה לגיל 65]]&gt;0,YEAR(TODAY())+64-ROUNDDOWN(HEVARIM[[#This Row],[גיל]],0),"")</f>
        <v/>
      </c>
      <c r="AP553" s="1">
        <f>SUMIF(HEVARIM[קוד תקציב],HEVARIM[[#This Row],[קוד תקציב משפחה מקורי]],HEVARIM[ותק מחברה 40])</f>
        <v>41.2</v>
      </c>
      <c r="AQ5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3" s="9">
        <f>IF(HEVARIM[[#This Row],[קוד מעמד]]="1     ",IFERROR(VLOOKUP(HEVARIM[[#This Row],[קוד תקציב]],'תקציב צביעה - לקראת השינוי'!A:F,4,0),0),0)</f>
        <v>0</v>
      </c>
      <c r="AT553" s="1"/>
    </row>
    <row r="554" spans="1:46">
      <c r="A554" t="s">
        <v>2541</v>
      </c>
      <c r="B554" t="s">
        <v>2542</v>
      </c>
      <c r="C554" t="s">
        <v>2543</v>
      </c>
      <c r="D554" t="s">
        <v>1083</v>
      </c>
      <c r="E554" t="s">
        <v>79</v>
      </c>
      <c r="F554" s="4">
        <v>38060</v>
      </c>
      <c r="G554">
        <v>21</v>
      </c>
      <c r="H554" t="s">
        <v>2544</v>
      </c>
      <c r="I554" t="s">
        <v>2542</v>
      </c>
      <c r="J554" s="4" t="s">
        <v>70</v>
      </c>
      <c r="K554" s="4" t="s">
        <v>81</v>
      </c>
      <c r="L554" t="s">
        <v>2545</v>
      </c>
      <c r="M554" t="s">
        <v>2541</v>
      </c>
      <c r="N554" t="s">
        <v>2542</v>
      </c>
      <c r="O554">
        <f>IFERROR(VLOOKUP(HEVARIM[[#This Row],[קוד תקציב]],[2]תקציבים!A:L,6,0),0)</f>
        <v>0</v>
      </c>
      <c r="P554" s="5" t="s">
        <v>73</v>
      </c>
      <c r="Q554" t="s">
        <v>27</v>
      </c>
      <c r="R554" s="4">
        <v>45658</v>
      </c>
      <c r="S554" s="4" t="s">
        <v>90</v>
      </c>
      <c r="T554" s="96" t="s">
        <v>2651</v>
      </c>
      <c r="U554" t="str">
        <f>VLOOKUP(HEVARIM[[#This Row],[גיל]],GIL,2,1)</f>
        <v>--</v>
      </c>
      <c r="V554" t="str">
        <f>IF(HEVARIM[[#This Row],[קוד מעמד]]="4     ",IF(HEVARIM[[#This Row],[גיל]]=1,1,IF(HEVARIM[[#This Row],[גיל]]&lt;=5,5,18)),"")</f>
        <v/>
      </c>
      <c r="W554">
        <f t="shared" si="32"/>
        <v>0</v>
      </c>
      <c r="X5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4">
        <f>IF(HEVARIM[[#This Row],[מצב משפחתי2]]="אלמן",'[2]ריכוז נתונים'!$AC$2,0)</f>
        <v>0</v>
      </c>
      <c r="Z554" s="3">
        <f>VLOOKUP(VALUE(HEVARIM[[#This Row],[קוד מעמד]]),הנחות!$I$2:$K$21,3,0)</f>
        <v>1</v>
      </c>
      <c r="AA554" t="b">
        <f>ISERROR(VLOOKUP(HEVARIM[[#This Row],[קוד תקציב]],'[2]ריכוז נתונים'!A:A,1,0))</f>
        <v>1</v>
      </c>
      <c r="AB554" s="1">
        <f t="shared" si="33"/>
        <v>0</v>
      </c>
      <c r="AC554" s="2">
        <f ca="1">IF(HEVARIM[[#This Row],[בר מצוה]]&gt;0,YEAR(TODAY())+'תקציבים מיוחדים'!$F$5-HEVARIM[[#This Row],[גיל]],0)</f>
        <v>0</v>
      </c>
      <c r="AD554" s="1">
        <f t="shared" si="34"/>
        <v>0</v>
      </c>
      <c r="AE554" s="2">
        <f ca="1">IF(HEVARIM[[#This Row],[בת מצוה]]&gt;0,YEAR(TODAY())+'תקציבים מיוחדים'!$F$5-HEVARIM[[#This Row],[גיל]],0)</f>
        <v>0</v>
      </c>
      <c r="AF554" s="1">
        <f>IF(AND($S554&gt;="רווק",$Z554=1),AF$4*IF(HEVARIM[[#This Row],[גיל]]&gt;$AF$3,1,(($G554-AF$2)/(AF$3-AF$2))),0)</f>
        <v>60512.5</v>
      </c>
      <c r="AG554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554" s="1">
        <f t="shared" si="35"/>
        <v>105588.5</v>
      </c>
      <c r="AI554" s="2">
        <f ca="1">IF(AH554&gt;0,YEAR(TODAY())+'תקציבים מיוחדים'!$F$7-HEVARIM[[#This Row],[גיל]],0)</f>
        <v>2026</v>
      </c>
      <c r="AJ554" s="9">
        <f>IF(AND(ISERROR(VLOOKUP(H554,'[2]ריכוז נתונים'!A:L,1,0)),P554="1     "),1,0)</f>
        <v>0</v>
      </c>
      <c r="AK55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4" s="1">
        <f>IF(AND(VALUE(HEVARIM[[#This Row],[קוד מעמד]])=1,HEVARIM[[#This Row],[ותק מחברה 40]]&lt;25),HEVARIM[[#This Row],[ותק מחברה 40]]/25*הנחות!$C$4,0)</f>
        <v>0</v>
      </c>
      <c r="AM554" s="9" t="str">
        <f ca="1">IF(HEVARIM[[#This Row],[דמי עזיבה 25 שנות ותק]]&gt;0,YEAR(TODAY())+25-ROUNDDOWN(HEVARIM[[#This Row],[ותק מחברה 40]],0),"")</f>
        <v/>
      </c>
      <c r="AN5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4" s="9" t="str">
        <f ca="1">IF(HEVARIM[[#This Row],[דמי עזיבה לגיל 65]]&gt;0,YEAR(TODAY())+64-ROUNDDOWN(HEVARIM[[#This Row],[גיל]],0),"")</f>
        <v/>
      </c>
      <c r="AP554" s="1">
        <f>SUMIF(HEVARIM[קוד תקציב],HEVARIM[[#This Row],[קוד תקציב משפחה מקורי]],HEVARIM[ותק מחברה 40])</f>
        <v>41.2</v>
      </c>
      <c r="AQ5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4" s="9">
        <f>IF(HEVARIM[[#This Row],[קוד מעמד]]="1     ",IFERROR(VLOOKUP(HEVARIM[[#This Row],[קוד תקציב]],'תקציב צביעה - לקראת השינוי'!A:F,4,0),0),0)</f>
        <v>0</v>
      </c>
      <c r="AT554" s="1"/>
    </row>
    <row r="555" spans="1:46">
      <c r="A555" t="s">
        <v>2848</v>
      </c>
      <c r="B555" t="s">
        <v>2849</v>
      </c>
      <c r="C555" t="s">
        <v>2543</v>
      </c>
      <c r="D555" t="s">
        <v>2287</v>
      </c>
      <c r="E555" t="s">
        <v>79</v>
      </c>
      <c r="F555" s="4">
        <v>37476</v>
      </c>
      <c r="G555">
        <v>23</v>
      </c>
      <c r="H555" t="s">
        <v>2850</v>
      </c>
      <c r="I555" t="s">
        <v>2849</v>
      </c>
      <c r="J555" s="4" t="s">
        <v>70</v>
      </c>
      <c r="K555" s="4" t="s">
        <v>81</v>
      </c>
      <c r="L555" t="s">
        <v>2851</v>
      </c>
      <c r="M555" t="s">
        <v>2848</v>
      </c>
      <c r="N555" t="s">
        <v>2849</v>
      </c>
      <c r="O555">
        <f>IFERROR(VLOOKUP(HEVARIM[[#This Row],[קוד תקציב]],[2]תקציבים!A:L,6,0),0)</f>
        <v>0</v>
      </c>
      <c r="P555" s="5" t="s">
        <v>860</v>
      </c>
      <c r="Q555" t="s">
        <v>34</v>
      </c>
      <c r="R555" s="4">
        <v>45536</v>
      </c>
      <c r="S555" s="4" t="s">
        <v>90</v>
      </c>
      <c r="T555" s="96" t="s">
        <v>2651</v>
      </c>
      <c r="U555" t="str">
        <f>VLOOKUP(HEVARIM[[#This Row],[גיל]],GIL,2,1)</f>
        <v>--</v>
      </c>
      <c r="V555" t="str">
        <f>IF(HEVARIM[[#This Row],[קוד מעמד]]="4     ",IF(HEVARIM[[#This Row],[גיל]]=1,1,IF(HEVARIM[[#This Row],[גיל]]&lt;=5,5,18)),"")</f>
        <v/>
      </c>
      <c r="W555">
        <f t="shared" si="32"/>
        <v>0</v>
      </c>
      <c r="X5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5">
        <f>IF(HEVARIM[[#This Row],[מצב משפחתי2]]="אלמן",'[2]ריכוז נתונים'!$AC$2,0)</f>
        <v>0</v>
      </c>
      <c r="Z555" s="3">
        <f>VLOOKUP(VALUE(HEVARIM[[#This Row],[קוד מעמד]]),הנחות!$I$2:$K$21,3,0)</f>
        <v>1</v>
      </c>
      <c r="AA555" t="b">
        <f>ISERROR(VLOOKUP(HEVARIM[[#This Row],[קוד תקציב]],'[2]ריכוז נתונים'!A:A,1,0))</f>
        <v>1</v>
      </c>
      <c r="AB555" s="1">
        <f t="shared" si="33"/>
        <v>0</v>
      </c>
      <c r="AC555" s="2">
        <f ca="1">IF(HEVARIM[[#This Row],[בר מצוה]]&gt;0,YEAR(TODAY())+'תקציבים מיוחדים'!$F$5-HEVARIM[[#This Row],[גיל]],0)</f>
        <v>0</v>
      </c>
      <c r="AD555" s="1">
        <f t="shared" si="34"/>
        <v>0</v>
      </c>
      <c r="AE555" s="2">
        <f ca="1">IF(HEVARIM[[#This Row],[בת מצוה]]&gt;0,YEAR(TODAY())+'תקציבים מיוחדים'!$F$5-HEVARIM[[#This Row],[גיל]],0)</f>
        <v>0</v>
      </c>
      <c r="AF555" s="1">
        <f>IF(AND($S555&gt;="רווק",$Z555=1),AF$4*IF(HEVARIM[[#This Row],[גיל]]&gt;$AF$3,1,(($G555-AF$2)/(AF$3-AF$2))),0)</f>
        <v>60512.5</v>
      </c>
      <c r="AG555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55" s="1">
        <f t="shared" si="35"/>
        <v>0</v>
      </c>
      <c r="AI555" s="2">
        <f ca="1">IF(AH555&gt;0,YEAR(TODAY())+'תקציבים מיוחדים'!$F$7-HEVARIM[[#This Row],[גיל]],0)</f>
        <v>0</v>
      </c>
      <c r="AJ555" s="9">
        <f>IF(AND(ISERROR(VLOOKUP(H555,'[2]ריכוז נתונים'!A:L,1,0)),P555="1     "),1,0)</f>
        <v>0</v>
      </c>
      <c r="AK55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5" s="1">
        <f>IF(AND(VALUE(HEVARIM[[#This Row],[קוד מעמד]])=1,HEVARIM[[#This Row],[ותק מחברה 40]]&lt;25),HEVARIM[[#This Row],[ותק מחברה 40]]/25*הנחות!$C$4,0)</f>
        <v>0</v>
      </c>
      <c r="AM555" s="9" t="str">
        <f ca="1">IF(HEVARIM[[#This Row],[דמי עזיבה 25 שנות ותק]]&gt;0,YEAR(TODAY())+25-ROUNDDOWN(HEVARIM[[#This Row],[ותק מחברה 40]],0),"")</f>
        <v/>
      </c>
      <c r="AN5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5" s="9" t="str">
        <f ca="1">IF(HEVARIM[[#This Row],[דמי עזיבה לגיל 65]]&gt;0,YEAR(TODAY())+64-ROUNDDOWN(HEVARIM[[#This Row],[גיל]],0),"")</f>
        <v/>
      </c>
      <c r="AP555" s="1">
        <f>SUMIF(HEVARIM[קוד תקציב],HEVARIM[[#This Row],[קוד תקציב משפחה מקורי]],HEVARIM[ותק מחברה 40])</f>
        <v>41.2</v>
      </c>
      <c r="AQ5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5" s="9">
        <f>IF(HEVARIM[[#This Row],[קוד מעמד]]="1     ",IFERROR(VLOOKUP(HEVARIM[[#This Row],[קוד תקציב]],'תקציב צביעה - לקראת השינוי'!A:F,4,0),0),0)</f>
        <v>0</v>
      </c>
      <c r="AT555" s="1"/>
    </row>
    <row r="556" spans="1:46">
      <c r="A556" t="s">
        <v>2845</v>
      </c>
      <c r="B556" t="s">
        <v>2846</v>
      </c>
      <c r="C556" t="s">
        <v>2842</v>
      </c>
      <c r="D556" t="s">
        <v>2546</v>
      </c>
      <c r="E556" t="s">
        <v>79</v>
      </c>
      <c r="F556" s="4">
        <v>37084</v>
      </c>
      <c r="G556">
        <v>24</v>
      </c>
      <c r="H556" t="s">
        <v>2843</v>
      </c>
      <c r="I556" t="s">
        <v>2844</v>
      </c>
      <c r="J556" s="4" t="s">
        <v>70</v>
      </c>
      <c r="K556" s="4" t="s">
        <v>81</v>
      </c>
      <c r="L556" t="s">
        <v>2847</v>
      </c>
      <c r="M556" t="s">
        <v>2845</v>
      </c>
      <c r="N556" t="s">
        <v>2846</v>
      </c>
      <c r="O556">
        <f>IFERROR(VLOOKUP(HEVARIM[[#This Row],[קוד תקציב]],[2]תקציבים!A:L,6,0),0)</f>
        <v>0</v>
      </c>
      <c r="P556" s="5" t="s">
        <v>129</v>
      </c>
      <c r="Q556" t="s">
        <v>26</v>
      </c>
      <c r="R556" s="4">
        <v>45901</v>
      </c>
      <c r="S556" s="4" t="s">
        <v>74</v>
      </c>
      <c r="T556" s="96" t="s">
        <v>2665</v>
      </c>
      <c r="U556" t="str">
        <f>VLOOKUP(HEVARIM[[#This Row],[גיל]],GIL,2,1)</f>
        <v>--</v>
      </c>
      <c r="V556" t="str">
        <f>IF(HEVARIM[[#This Row],[קוד מעמד]]="4     ",IF(HEVARIM[[#This Row],[גיל]]=1,1,IF(HEVARIM[[#This Row],[גיל]]&lt;=5,5,18)),"")</f>
        <v/>
      </c>
      <c r="W556">
        <f t="shared" si="32"/>
        <v>0</v>
      </c>
      <c r="X5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6">
        <f>IF(HEVARIM[[#This Row],[מצב משפחתי2]]="אלמן",'[2]ריכוז נתונים'!$AC$2,0)</f>
        <v>0</v>
      </c>
      <c r="Z556" s="3">
        <f>VLOOKUP(VALUE(HEVARIM[[#This Row],[קוד מעמד]]),הנחות!$I$2:$K$21,3,0)</f>
        <v>1</v>
      </c>
      <c r="AA556" t="b">
        <f>ISERROR(VLOOKUP(HEVARIM[[#This Row],[קוד תקציב]],'[2]ריכוז נתונים'!A:A,1,0))</f>
        <v>1</v>
      </c>
      <c r="AB556" s="1">
        <f t="shared" si="33"/>
        <v>0</v>
      </c>
      <c r="AC556" s="2">
        <f ca="1">IF(HEVARIM[[#This Row],[בר מצוה]]&gt;0,YEAR(TODAY())+'תקציבים מיוחדים'!$F$5-HEVARIM[[#This Row],[גיל]],0)</f>
        <v>0</v>
      </c>
      <c r="AD556" s="1">
        <f t="shared" si="34"/>
        <v>0</v>
      </c>
      <c r="AE556" s="2">
        <f ca="1">IF(HEVARIM[[#This Row],[בת מצוה]]&gt;0,YEAR(TODAY())+'תקציבים מיוחדים'!$F$5-HEVARIM[[#This Row],[גיל]],0)</f>
        <v>0</v>
      </c>
      <c r="AF556" s="1">
        <f>IF(AND($S556&gt;="רווק",$Z556=1),AF$4*IF(HEVARIM[[#This Row],[גיל]]&gt;$AF$3,1,(($G556-AF$2)/(AF$3-AF$2))),0)</f>
        <v>0</v>
      </c>
      <c r="AG55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56" s="1">
        <f t="shared" si="35"/>
        <v>0</v>
      </c>
      <c r="AI556" s="2">
        <f ca="1">IF(AH556&gt;0,YEAR(TODAY())+'תקציבים מיוחדים'!$F$7-HEVARIM[[#This Row],[גיל]],0)</f>
        <v>0</v>
      </c>
      <c r="AJ556" s="9">
        <f>IF(AND(ISERROR(VLOOKUP(H556,'[2]ריכוז נתונים'!A:L,1,0)),P556="1     "),1,0)</f>
        <v>0</v>
      </c>
      <c r="AK5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6" s="1">
        <f>IF(AND(VALUE(HEVARIM[[#This Row],[קוד מעמד]])=1,HEVARIM[[#This Row],[ותק מחברה 40]]&lt;25),HEVARIM[[#This Row],[ותק מחברה 40]]/25*הנחות!$C$4,0)</f>
        <v>0</v>
      </c>
      <c r="AM556" s="9" t="str">
        <f ca="1">IF(HEVARIM[[#This Row],[דמי עזיבה 25 שנות ותק]]&gt;0,YEAR(TODAY())+25-ROUNDDOWN(HEVARIM[[#This Row],[ותק מחברה 40]],0),"")</f>
        <v/>
      </c>
      <c r="AN5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6" s="9" t="str">
        <f ca="1">IF(HEVARIM[[#This Row],[דמי עזיבה לגיל 65]]&gt;0,YEAR(TODAY())+64-ROUNDDOWN(HEVARIM[[#This Row],[גיל]],0),"")</f>
        <v/>
      </c>
      <c r="AP556" s="1">
        <f>SUMIF(HEVARIM[קוד תקציב],HEVARIM[[#This Row],[קוד תקציב משפחה מקורי]],HEVARIM[ותק מחברה 40])</f>
        <v>54.379999999999995</v>
      </c>
      <c r="AQ5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6" s="9">
        <f>IF(HEVARIM[[#This Row],[קוד מעמד]]="1     ",IFERROR(VLOOKUP(HEVARIM[[#This Row],[קוד תקציב]],'תקציב צביעה - לקראת השינוי'!A:F,4,0),0),0)</f>
        <v>0</v>
      </c>
      <c r="AT556" s="1"/>
    </row>
    <row r="557" spans="1:46">
      <c r="A557" t="s">
        <v>2869</v>
      </c>
      <c r="B557" t="s">
        <v>2870</v>
      </c>
      <c r="C557" t="s">
        <v>2586</v>
      </c>
      <c r="D557" t="s">
        <v>1106</v>
      </c>
      <c r="E557" t="s">
        <v>67</v>
      </c>
      <c r="F557" s="4">
        <v>38024</v>
      </c>
      <c r="G557">
        <v>21</v>
      </c>
      <c r="H557" t="s">
        <v>2665</v>
      </c>
      <c r="I557" t="s">
        <v>2666</v>
      </c>
      <c r="J557" s="4" t="s">
        <v>70</v>
      </c>
      <c r="K557" s="4" t="s">
        <v>71</v>
      </c>
      <c r="L557" t="s">
        <v>2871</v>
      </c>
      <c r="M557" t="s">
        <v>2662</v>
      </c>
      <c r="N557" t="s">
        <v>2663</v>
      </c>
      <c r="O557">
        <f>IFERROR(VLOOKUP(HEVARIM[[#This Row],[קוד תקציב]],[2]תקציבים!A:L,6,0),0)</f>
        <v>2</v>
      </c>
      <c r="P557" s="5" t="s">
        <v>545</v>
      </c>
      <c r="Q557" t="s">
        <v>13</v>
      </c>
      <c r="R557" s="4">
        <v>45389</v>
      </c>
      <c r="S557" s="4" t="s">
        <v>90</v>
      </c>
      <c r="T557" s="96" t="s">
        <v>2665</v>
      </c>
      <c r="U557" t="str">
        <f>VLOOKUP(HEVARIM[[#This Row],[גיל]],GIL,2,1)</f>
        <v>--</v>
      </c>
      <c r="V557" t="str">
        <f>IF(HEVARIM[[#This Row],[קוד מעמד]]="4     ",IF(HEVARIM[[#This Row],[גיל]]=1,1,IF(HEVARIM[[#This Row],[גיל]]&lt;=5,5,18)),"")</f>
        <v/>
      </c>
      <c r="W557">
        <f t="shared" si="32"/>
        <v>0</v>
      </c>
      <c r="X5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7">
        <f>IF(HEVARIM[[#This Row],[מצב משפחתי2]]="אלמן",'[2]ריכוז נתונים'!$AC$2,0)</f>
        <v>0</v>
      </c>
      <c r="Z557" s="3">
        <f>VLOOKUP(VALUE(HEVARIM[[#This Row],[קוד מעמד]]),הנחות!$I$2:$K$21,3,0)</f>
        <v>1</v>
      </c>
      <c r="AA557" t="b">
        <f>ISERROR(VLOOKUP(HEVARIM[[#This Row],[קוד תקציב]],'[2]ריכוז נתונים'!A:A,1,0))</f>
        <v>0</v>
      </c>
      <c r="AB557" s="1">
        <f t="shared" si="33"/>
        <v>0</v>
      </c>
      <c r="AC557" s="2">
        <f ca="1">IF(HEVARIM[[#This Row],[בר מצוה]]&gt;0,YEAR(TODAY())+'תקציבים מיוחדים'!$F$5-HEVARIM[[#This Row],[גיל]],0)</f>
        <v>0</v>
      </c>
      <c r="AD557" s="1">
        <f t="shared" si="34"/>
        <v>0</v>
      </c>
      <c r="AE557" s="2">
        <f ca="1">IF(HEVARIM[[#This Row],[בת מצוה]]&gt;0,YEAR(TODAY())+'תקציבים מיוחדים'!$F$5-HEVARIM[[#This Row],[גיל]],0)</f>
        <v>0</v>
      </c>
      <c r="AF557" s="1">
        <f>IF(AND($S557&gt;="רווק",$Z557=1),AF$4*IF(HEVARIM[[#This Row],[גיל]]&gt;$AF$3,1,(($G557-AF$2)/(AF$3-AF$2))),0)</f>
        <v>60512.5</v>
      </c>
      <c r="AG557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557" s="1">
        <f t="shared" si="35"/>
        <v>105588.5</v>
      </c>
      <c r="AI557" s="2">
        <f ca="1">IF(AH557&gt;0,YEAR(TODAY())+'תקציבים מיוחדים'!$F$7-HEVARIM[[#This Row],[גיל]],0)</f>
        <v>2026</v>
      </c>
      <c r="AJ557" s="9">
        <f>IF(AND(ISERROR(VLOOKUP(H557,'[2]ריכוז נתונים'!A:L,1,0)),P557="1     "),1,0)</f>
        <v>0</v>
      </c>
      <c r="AK55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7" s="1">
        <f>IF(AND(VALUE(HEVARIM[[#This Row],[קוד מעמד]])=1,HEVARIM[[#This Row],[ותק מחברה 40]]&lt;25),HEVARIM[[#This Row],[ותק מחברה 40]]/25*הנחות!$C$4,0)</f>
        <v>0</v>
      </c>
      <c r="AM557" s="9" t="str">
        <f ca="1">IF(HEVARIM[[#This Row],[דמי עזיבה 25 שנות ותק]]&gt;0,YEAR(TODAY())+25-ROUNDDOWN(HEVARIM[[#This Row],[ותק מחברה 40]],0),"")</f>
        <v/>
      </c>
      <c r="AN5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7" s="9" t="str">
        <f ca="1">IF(HEVARIM[[#This Row],[דמי עזיבה לגיל 65]]&gt;0,YEAR(TODAY())+64-ROUNDDOWN(HEVARIM[[#This Row],[גיל]],0),"")</f>
        <v/>
      </c>
      <c r="AP557" s="1">
        <f>SUMIF(HEVARIM[קוד תקציב],HEVARIM[[#This Row],[קוד תקציב משפחה מקורי]],HEVARIM[ותק מחברה 40])</f>
        <v>54.379999999999995</v>
      </c>
      <c r="AQ5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7" s="9">
        <f>IF(HEVARIM[[#This Row],[קוד מעמד]]="1     ",IFERROR(VLOOKUP(HEVARIM[[#This Row],[קוד תקציב]],'תקציב צביעה - לקראת השינוי'!A:F,4,0),0),0)</f>
        <v>0</v>
      </c>
      <c r="AT557" s="1"/>
    </row>
    <row r="558" spans="1:46">
      <c r="A558" t="s">
        <v>2668</v>
      </c>
      <c r="B558" t="s">
        <v>2669</v>
      </c>
      <c r="C558" t="s">
        <v>2586</v>
      </c>
      <c r="D558" t="s">
        <v>2670</v>
      </c>
      <c r="E558" t="s">
        <v>79</v>
      </c>
      <c r="F558" s="4">
        <v>26578</v>
      </c>
      <c r="G558">
        <v>53</v>
      </c>
      <c r="H558" t="s">
        <v>2665</v>
      </c>
      <c r="I558" t="s">
        <v>2666</v>
      </c>
      <c r="J558" s="4" t="s">
        <v>70</v>
      </c>
      <c r="K558" s="4" t="s">
        <v>71</v>
      </c>
      <c r="L558" t="s">
        <v>2671</v>
      </c>
      <c r="M558" t="s">
        <v>2662</v>
      </c>
      <c r="N558" t="s">
        <v>2663</v>
      </c>
      <c r="O558">
        <f>IFERROR(VLOOKUP(HEVARIM[[#This Row],[קוד תקציב]],[2]תקציבים!A:L,6,0),0)</f>
        <v>2</v>
      </c>
      <c r="P558" s="5" t="s">
        <v>104</v>
      </c>
      <c r="Q558" t="s">
        <v>11</v>
      </c>
      <c r="R558" s="4">
        <v>37377</v>
      </c>
      <c r="S558" s="4" t="s">
        <v>74</v>
      </c>
      <c r="T558" s="96" t="s">
        <v>2665</v>
      </c>
      <c r="U558" t="str">
        <f>VLOOKUP(HEVARIM[[#This Row],[גיל]],GIL,2,1)</f>
        <v>--</v>
      </c>
      <c r="V558" t="str">
        <f>IF(HEVARIM[[#This Row],[קוד מעמד]]="4     ",IF(HEVARIM[[#This Row],[גיל]]=1,1,IF(HEVARIM[[#This Row],[גיל]]&lt;=5,5,18)),"")</f>
        <v/>
      </c>
      <c r="W558">
        <f t="shared" si="32"/>
        <v>0</v>
      </c>
      <c r="X5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8">
        <f>IF(HEVARIM[[#This Row],[מצב משפחתי2]]="אלמן",'[2]ריכוז נתונים'!$AC$2,0)</f>
        <v>0</v>
      </c>
      <c r="Z558" s="3">
        <f>VLOOKUP(VALUE(HEVARIM[[#This Row],[קוד מעמד]]),הנחות!$I$2:$K$21,3,0)</f>
        <v>0</v>
      </c>
      <c r="AA558" t="b">
        <f>ISERROR(VLOOKUP(HEVARIM[[#This Row],[קוד תקציב]],'[2]ריכוז נתונים'!A:A,1,0))</f>
        <v>0</v>
      </c>
      <c r="AB558" s="1">
        <f t="shared" si="33"/>
        <v>0</v>
      </c>
      <c r="AC558" s="2">
        <f ca="1">IF(HEVARIM[[#This Row],[בר מצוה]]&gt;0,YEAR(TODAY())+'תקציבים מיוחדים'!$F$5-HEVARIM[[#This Row],[גיל]],0)</f>
        <v>0</v>
      </c>
      <c r="AD558" s="1">
        <f t="shared" si="34"/>
        <v>0</v>
      </c>
      <c r="AE558" s="2">
        <f ca="1">IF(HEVARIM[[#This Row],[בת מצוה]]&gt;0,YEAR(TODAY())+'תקציבים מיוחדים'!$F$5-HEVARIM[[#This Row],[גיל]],0)</f>
        <v>0</v>
      </c>
      <c r="AF558" s="1">
        <f>IF(AND($S558&gt;="רווק",$Z558=1),AF$4*IF(HEVARIM[[#This Row],[גיל]]&gt;$AF$3,1,(($G558-AF$2)/(AF$3-AF$2))),0)</f>
        <v>0</v>
      </c>
      <c r="AG55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58" s="1">
        <f t="shared" si="35"/>
        <v>0</v>
      </c>
      <c r="AI558" s="2">
        <f ca="1">IF(AH558&gt;0,YEAR(TODAY())+'תקציבים מיוחדים'!$F$7-HEVARIM[[#This Row],[גיל]],0)</f>
        <v>0</v>
      </c>
      <c r="AJ558" s="9">
        <f>IF(AND(ISERROR(VLOOKUP(H558,'[2]ריכוז נתונים'!A:L,1,0)),P558="1     "),1,0)</f>
        <v>0</v>
      </c>
      <c r="AK558" s="1">
        <f>IF(VALUE(HEVARIM[[#This Row],[קוד מעמד]])=1,VLOOKUP((IF(LEFT(HEVARIM[[#This Row],[קוד חבר]],1)="0",HEVARIM[[#This Row],[קוד חבר]],VALUE(HEVARIM[[#This Row],[קוד חבר]]))),'ותק חברה 40'!AQ:AW,7,0),"")</f>
        <v>25.48</v>
      </c>
      <c r="AL558" s="1">
        <f>IF(AND(VALUE(HEVARIM[[#This Row],[קוד מעמד]])=1,HEVARIM[[#This Row],[ותק מחברה 40]]&lt;25),HEVARIM[[#This Row],[ותק מחברה 40]]/25*הנחות!$C$4,0)</f>
        <v>0</v>
      </c>
      <c r="AM558" s="9" t="str">
        <f ca="1">IF(HEVARIM[[#This Row],[דמי עזיבה 25 שנות ותק]]&gt;0,YEAR(TODAY())+25-ROUNDDOWN(HEVARIM[[#This Row],[ותק מחברה 40]],0),"")</f>
        <v/>
      </c>
      <c r="AN558" s="1">
        <f>IF(AND(VALUE(HEVARIM[[#This Row],[קוד מעמד]])=1,HEVARIM[[#This Row],[ותק מחברה 40]]&gt;25,HEVARIM[[#This Row],[גיל]]&lt;65),הנחות!$C$14+(HEVARIM[[#This Row],[ותק מחברה 40]]-25)*הנחות!$C$10*0.25,0)</f>
        <v>28097.338500000002</v>
      </c>
      <c r="AO558" s="9">
        <f ca="1">IF(HEVARIM[[#This Row],[דמי עזיבה לגיל 65]]&gt;0,YEAR(TODAY())+64-ROUNDDOWN(HEVARIM[[#This Row],[גיל]],0),"")</f>
        <v>2037</v>
      </c>
      <c r="AP558" s="1">
        <f>SUMIF(HEVARIM[קוד תקציב],HEVARIM[[#This Row],[קוד תקציב משפחה מקורי]],HEVARIM[ותק מחברה 40])</f>
        <v>54.379999999999995</v>
      </c>
      <c r="AQ5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558" s="9">
        <f>IF(HEVARIM[[#This Row],[קוד מעמד]]="1     ",IFERROR(VLOOKUP(HEVARIM[[#This Row],[קוד תקציב]],'תקציב צביעה - לקראת השינוי'!A:F,4,0),0),0)</f>
        <v>2031</v>
      </c>
      <c r="AT558" s="1"/>
    </row>
    <row r="559" spans="1:46">
      <c r="A559" t="s">
        <v>2672</v>
      </c>
      <c r="B559" t="s">
        <v>2673</v>
      </c>
      <c r="C559" t="s">
        <v>2586</v>
      </c>
      <c r="D559" t="s">
        <v>781</v>
      </c>
      <c r="E559" t="s">
        <v>79</v>
      </c>
      <c r="F559" s="4">
        <v>40485</v>
      </c>
      <c r="G559">
        <v>15</v>
      </c>
      <c r="H559" t="s">
        <v>2665</v>
      </c>
      <c r="I559" t="s">
        <v>2666</v>
      </c>
      <c r="J559" s="4" t="s">
        <v>70</v>
      </c>
      <c r="K559" s="4" t="s">
        <v>71</v>
      </c>
      <c r="L559" t="s">
        <v>2674</v>
      </c>
      <c r="M559" t="s">
        <v>2662</v>
      </c>
      <c r="N559" t="s">
        <v>2663</v>
      </c>
      <c r="O559">
        <f>IFERROR(VLOOKUP(HEVARIM[[#This Row],[קוד תקציב]],[2]תקציבים!A:L,6,0),0)</f>
        <v>2</v>
      </c>
      <c r="P559" s="5" t="s">
        <v>227</v>
      </c>
      <c r="Q559" t="s">
        <v>14</v>
      </c>
      <c r="R559" s="4">
        <v>40485</v>
      </c>
      <c r="S559" s="4" t="s">
        <v>90</v>
      </c>
      <c r="T559" s="96" t="s">
        <v>2665</v>
      </c>
      <c r="U559" t="str">
        <f>VLOOKUP(HEVARIM[[#This Row],[גיל]],GIL,2,1)</f>
        <v>תיכון</v>
      </c>
      <c r="V559">
        <f>IF(HEVARIM[[#This Row],[קוד מעמד]]="4     ",IF(HEVARIM[[#This Row],[גיל]]=1,1,IF(HEVARIM[[#This Row],[גיל]]&lt;=5,5,18)),"")</f>
        <v>18</v>
      </c>
      <c r="W559">
        <f t="shared" si="32"/>
        <v>0</v>
      </c>
      <c r="X55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59">
        <f>IF(HEVARIM[[#This Row],[מצב משפחתי2]]="אלמן",'[2]ריכוז נתונים'!$AC$2,0)</f>
        <v>0</v>
      </c>
      <c r="Z559" s="3">
        <f>VLOOKUP(VALUE(HEVARIM[[#This Row],[קוד מעמד]]),הנחות!$I$2:$K$21,3,0)</f>
        <v>1</v>
      </c>
      <c r="AA559" t="b">
        <f>ISERROR(VLOOKUP(HEVARIM[[#This Row],[קוד תקציב]],'[2]ריכוז נתונים'!A:A,1,0))</f>
        <v>0</v>
      </c>
      <c r="AB559" s="1">
        <f t="shared" si="33"/>
        <v>0</v>
      </c>
      <c r="AC559" s="2">
        <f ca="1">IF(HEVARIM[[#This Row],[בר מצוה]]&gt;0,YEAR(TODAY())+'תקציבים מיוחדים'!$F$5-HEVARIM[[#This Row],[גיל]],0)</f>
        <v>0</v>
      </c>
      <c r="AD559" s="1">
        <f t="shared" si="34"/>
        <v>0</v>
      </c>
      <c r="AE559" s="2">
        <f ca="1">IF(HEVARIM[[#This Row],[בת מצוה]]&gt;0,YEAR(TODAY())+'תקציבים מיוחדים'!$F$5-HEVARIM[[#This Row],[גיל]],0)</f>
        <v>0</v>
      </c>
      <c r="AF559" s="1">
        <f>IF(AND($S559&gt;="רווק",$Z559=1),AF$4*IF(HEVARIM[[#This Row],[גיל]]&gt;$AF$3,1,(($G559-AF$2)/(AF$3-AF$2))),0)</f>
        <v>43223.21428571429</v>
      </c>
      <c r="AG559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559" s="1">
        <f t="shared" si="35"/>
        <v>75420.357142857145</v>
      </c>
      <c r="AI559" s="2">
        <f ca="1">IF(AH559&gt;0,YEAR(TODAY())+'תקציבים מיוחדים'!$F$7-HEVARIM[[#This Row],[גיל]],0)</f>
        <v>2032</v>
      </c>
      <c r="AJ559" s="9">
        <f>IF(AND(ISERROR(VLOOKUP(H559,'[2]ריכוז נתונים'!A:L,1,0)),P559="1     "),1,0)</f>
        <v>0</v>
      </c>
      <c r="AK55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59" s="1">
        <f>IF(AND(VALUE(HEVARIM[[#This Row],[קוד מעמד]])=1,HEVARIM[[#This Row],[ותק מחברה 40]]&lt;25),HEVARIM[[#This Row],[ותק מחברה 40]]/25*הנחות!$C$4,0)</f>
        <v>0</v>
      </c>
      <c r="AM559" s="9" t="str">
        <f ca="1">IF(HEVARIM[[#This Row],[דמי עזיבה 25 שנות ותק]]&gt;0,YEAR(TODAY())+25-ROUNDDOWN(HEVARIM[[#This Row],[ותק מחברה 40]],0),"")</f>
        <v/>
      </c>
      <c r="AN5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59" s="9" t="str">
        <f ca="1">IF(HEVARIM[[#This Row],[דמי עזיבה לגיל 65]]&gt;0,YEAR(TODAY())+64-ROUNDDOWN(HEVARIM[[#This Row],[גיל]],0),"")</f>
        <v/>
      </c>
      <c r="AP559" s="1">
        <f>SUMIF(HEVARIM[קוד תקציב],HEVARIM[[#This Row],[קוד תקציב משפחה מקורי]],HEVARIM[ותק מחברה 40])</f>
        <v>54.379999999999995</v>
      </c>
      <c r="AQ5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59" s="9">
        <f>IF(HEVARIM[[#This Row],[קוד מעמד]]="1     ",IFERROR(VLOOKUP(HEVARIM[[#This Row],[קוד תקציב]],'תקציב צביעה - לקראת השינוי'!A:F,4,0),0),0)</f>
        <v>0</v>
      </c>
      <c r="AT559" s="1"/>
    </row>
    <row r="560" spans="1:46">
      <c r="A560" t="s">
        <v>2675</v>
      </c>
      <c r="B560" t="s">
        <v>2676</v>
      </c>
      <c r="C560" t="s">
        <v>2586</v>
      </c>
      <c r="D560" t="s">
        <v>2677</v>
      </c>
      <c r="E560" t="s">
        <v>79</v>
      </c>
      <c r="F560" s="4">
        <v>40485</v>
      </c>
      <c r="G560">
        <v>15</v>
      </c>
      <c r="H560" t="s">
        <v>2665</v>
      </c>
      <c r="I560" t="s">
        <v>2666</v>
      </c>
      <c r="J560" s="4" t="s">
        <v>70</v>
      </c>
      <c r="K560" s="4" t="s">
        <v>71</v>
      </c>
      <c r="L560" t="s">
        <v>2678</v>
      </c>
      <c r="M560" t="s">
        <v>2662</v>
      </c>
      <c r="N560" t="s">
        <v>2663</v>
      </c>
      <c r="O560">
        <f>IFERROR(VLOOKUP(HEVARIM[[#This Row],[קוד תקציב]],[2]תקציבים!A:L,6,0),0)</f>
        <v>2</v>
      </c>
      <c r="P560" s="5" t="s">
        <v>227</v>
      </c>
      <c r="Q560" t="s">
        <v>14</v>
      </c>
      <c r="R560" s="4">
        <v>40485</v>
      </c>
      <c r="S560" s="4" t="s">
        <v>90</v>
      </c>
      <c r="T560" s="96" t="s">
        <v>2665</v>
      </c>
      <c r="U560" t="str">
        <f>VLOOKUP(HEVARIM[[#This Row],[גיל]],GIL,2,1)</f>
        <v>תיכון</v>
      </c>
      <c r="V560">
        <f>IF(HEVARIM[[#This Row],[קוד מעמד]]="4     ",IF(HEVARIM[[#This Row],[גיל]]=1,1,IF(HEVARIM[[#This Row],[גיל]]&lt;=5,5,18)),"")</f>
        <v>18</v>
      </c>
      <c r="W560">
        <f t="shared" si="32"/>
        <v>0</v>
      </c>
      <c r="X5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0">
        <f>IF(HEVARIM[[#This Row],[מצב משפחתי2]]="אלמן",'[2]ריכוז נתונים'!$AC$2,0)</f>
        <v>0</v>
      </c>
      <c r="Z560" s="3">
        <f>VLOOKUP(VALUE(HEVARIM[[#This Row],[קוד מעמד]]),הנחות!$I$2:$K$21,3,0)</f>
        <v>1</v>
      </c>
      <c r="AA560" t="b">
        <f>ISERROR(VLOOKUP(HEVARIM[[#This Row],[קוד תקציב]],'[2]ריכוז נתונים'!A:A,1,0))</f>
        <v>0</v>
      </c>
      <c r="AB560" s="1">
        <f t="shared" si="33"/>
        <v>0</v>
      </c>
      <c r="AC560" s="2">
        <f ca="1">IF(HEVARIM[[#This Row],[בר מצוה]]&gt;0,YEAR(TODAY())+'תקציבים מיוחדים'!$F$5-HEVARIM[[#This Row],[גיל]],0)</f>
        <v>0</v>
      </c>
      <c r="AD560" s="1">
        <f t="shared" si="34"/>
        <v>0</v>
      </c>
      <c r="AE560" s="2">
        <f ca="1">IF(HEVARIM[[#This Row],[בת מצוה]]&gt;0,YEAR(TODAY())+'תקציבים מיוחדים'!$F$5-HEVARIM[[#This Row],[גיל]],0)</f>
        <v>0</v>
      </c>
      <c r="AF560" s="1">
        <f>IF(AND($S560&gt;="רווק",$Z560=1),AF$4*IF(HEVARIM[[#This Row],[גיל]]&gt;$AF$3,1,(($G560-AF$2)/(AF$3-AF$2))),0)</f>
        <v>43223.21428571429</v>
      </c>
      <c r="AG560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560" s="1">
        <f t="shared" si="35"/>
        <v>75420.357142857145</v>
      </c>
      <c r="AI560" s="2">
        <f ca="1">IF(AH560&gt;0,YEAR(TODAY())+'תקציבים מיוחדים'!$F$7-HEVARIM[[#This Row],[גיל]],0)</f>
        <v>2032</v>
      </c>
      <c r="AJ560" s="9">
        <f>IF(AND(ISERROR(VLOOKUP(H560,'[2]ריכוז נתונים'!A:L,1,0)),P560="1     "),1,0)</f>
        <v>0</v>
      </c>
      <c r="AK5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0" s="1">
        <f>IF(AND(VALUE(HEVARIM[[#This Row],[קוד מעמד]])=1,HEVARIM[[#This Row],[ותק מחברה 40]]&lt;25),HEVARIM[[#This Row],[ותק מחברה 40]]/25*הנחות!$C$4,0)</f>
        <v>0</v>
      </c>
      <c r="AM560" s="9" t="str">
        <f ca="1">IF(HEVARIM[[#This Row],[דמי עזיבה 25 שנות ותק]]&gt;0,YEAR(TODAY())+25-ROUNDDOWN(HEVARIM[[#This Row],[ותק מחברה 40]],0),"")</f>
        <v/>
      </c>
      <c r="AN5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0" s="9" t="str">
        <f ca="1">IF(HEVARIM[[#This Row],[דמי עזיבה לגיל 65]]&gt;0,YEAR(TODAY())+64-ROUNDDOWN(HEVARIM[[#This Row],[גיל]],0),"")</f>
        <v/>
      </c>
      <c r="AP560" s="1">
        <f>SUMIF(HEVARIM[קוד תקציב],HEVARIM[[#This Row],[קוד תקציב משפחה מקורי]],HEVARIM[ותק מחברה 40])</f>
        <v>54.379999999999995</v>
      </c>
      <c r="AQ5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0" s="9">
        <f>IF(HEVARIM[[#This Row],[קוד מעמד]]="1     ",IFERROR(VLOOKUP(HEVARIM[[#This Row],[קוד תקציב]],'תקציב צביעה - לקראת השינוי'!A:F,4,0),0),0)</f>
        <v>0</v>
      </c>
      <c r="AT560" s="1"/>
    </row>
    <row r="561" spans="1:46">
      <c r="A561" t="s">
        <v>2695</v>
      </c>
      <c r="B561" t="s">
        <v>2696</v>
      </c>
      <c r="C561" t="s">
        <v>2586</v>
      </c>
      <c r="D561" t="s">
        <v>973</v>
      </c>
      <c r="E561" t="s">
        <v>79</v>
      </c>
      <c r="F561" s="4">
        <v>35859</v>
      </c>
      <c r="G561">
        <v>27</v>
      </c>
      <c r="H561" t="s">
        <v>2697</v>
      </c>
      <c r="I561" t="s">
        <v>2698</v>
      </c>
      <c r="J561" s="4" t="s">
        <v>70</v>
      </c>
      <c r="K561" s="4" t="s">
        <v>81</v>
      </c>
      <c r="L561" t="s">
        <v>2699</v>
      </c>
      <c r="M561" t="s">
        <v>2695</v>
      </c>
      <c r="N561" t="s">
        <v>2696</v>
      </c>
      <c r="O561">
        <f>IFERROR(VLOOKUP(HEVARIM[[#This Row],[קוד תקציב]],[2]תקציבים!A:L,6,0),0)</f>
        <v>0</v>
      </c>
      <c r="P561" s="5" t="s">
        <v>129</v>
      </c>
      <c r="Q561" t="s">
        <v>26</v>
      </c>
      <c r="R561" s="4">
        <v>44789</v>
      </c>
      <c r="S561" s="4" t="s">
        <v>90</v>
      </c>
      <c r="T561" s="96" t="s">
        <v>2665</v>
      </c>
      <c r="U561" t="str">
        <f>VLOOKUP(HEVARIM[[#This Row],[גיל]],GIL,2,1)</f>
        <v>--</v>
      </c>
      <c r="V561" t="str">
        <f>IF(HEVARIM[[#This Row],[קוד מעמד]]="4     ",IF(HEVARIM[[#This Row],[גיל]]=1,1,IF(HEVARIM[[#This Row],[גיל]]&lt;=5,5,18)),"")</f>
        <v/>
      </c>
      <c r="W561">
        <f t="shared" si="32"/>
        <v>0</v>
      </c>
      <c r="X5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1">
        <f>IF(HEVARIM[[#This Row],[מצב משפחתי2]]="אלמן",'[2]ריכוז נתונים'!$AC$2,0)</f>
        <v>0</v>
      </c>
      <c r="Z561" s="3">
        <f>VLOOKUP(VALUE(HEVARIM[[#This Row],[קוד מעמד]]),הנחות!$I$2:$K$21,3,0)</f>
        <v>1</v>
      </c>
      <c r="AA561" t="b">
        <f>ISERROR(VLOOKUP(HEVARIM[[#This Row],[קוד תקציב]],'[2]ריכוז נתונים'!A:A,1,0))</f>
        <v>1</v>
      </c>
      <c r="AB561" s="1">
        <f t="shared" si="33"/>
        <v>0</v>
      </c>
      <c r="AC561" s="2">
        <f ca="1">IF(HEVARIM[[#This Row],[בר מצוה]]&gt;0,YEAR(TODAY())+'תקציבים מיוחדים'!$F$5-HEVARIM[[#This Row],[גיל]],0)</f>
        <v>0</v>
      </c>
      <c r="AD561" s="1">
        <f t="shared" si="34"/>
        <v>0</v>
      </c>
      <c r="AE561" s="2">
        <f ca="1">IF(HEVARIM[[#This Row],[בת מצוה]]&gt;0,YEAR(TODAY())+'תקציבים מיוחדים'!$F$5-HEVARIM[[#This Row],[גיל]],0)</f>
        <v>0</v>
      </c>
      <c r="AF561" s="1">
        <f>IF(AND($S561&gt;="רווק",$Z561=1),AF$4*IF(HEVARIM[[#This Row],[גיל]]&gt;$AF$3,1,(($G561-AF$2)/(AF$3-AF$2))),0)</f>
        <v>60512.5</v>
      </c>
      <c r="AG561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61" s="1">
        <f t="shared" si="35"/>
        <v>0</v>
      </c>
      <c r="AI561" s="2">
        <f ca="1">IF(AH561&gt;0,YEAR(TODAY())+'תקציבים מיוחדים'!$F$7-HEVARIM[[#This Row],[גיל]],0)</f>
        <v>0</v>
      </c>
      <c r="AJ561" s="9">
        <f>IF(AND(ISERROR(VLOOKUP(H561,'[2]ריכוז נתונים'!A:L,1,0)),P561="1     "),1,0)</f>
        <v>0</v>
      </c>
      <c r="AK56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1" s="1">
        <f>IF(AND(VALUE(HEVARIM[[#This Row],[קוד מעמד]])=1,HEVARIM[[#This Row],[ותק מחברה 40]]&lt;25),HEVARIM[[#This Row],[ותק מחברה 40]]/25*הנחות!$C$4,0)</f>
        <v>0</v>
      </c>
      <c r="AM561" s="9" t="str">
        <f ca="1">IF(HEVARIM[[#This Row],[דמי עזיבה 25 שנות ותק]]&gt;0,YEAR(TODAY())+25-ROUNDDOWN(HEVARIM[[#This Row],[ותק מחברה 40]],0),"")</f>
        <v/>
      </c>
      <c r="AN5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1" s="9" t="str">
        <f ca="1">IF(HEVARIM[[#This Row],[דמי עזיבה לגיל 65]]&gt;0,YEAR(TODAY())+64-ROUNDDOWN(HEVARIM[[#This Row],[גיל]],0),"")</f>
        <v/>
      </c>
      <c r="AP561" s="1">
        <f>SUMIF(HEVARIM[קוד תקציב],HEVARIM[[#This Row],[קוד תקציב משפחה מקורי]],HEVARIM[ותק מחברה 40])</f>
        <v>54.379999999999995</v>
      </c>
      <c r="AQ5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1" s="9">
        <f>IF(HEVARIM[[#This Row],[קוד מעמד]]="1     ",IFERROR(VLOOKUP(HEVARIM[[#This Row],[קוד תקציב]],'תקציב צביעה - לקראת השינוי'!A:F,4,0),0),0)</f>
        <v>0</v>
      </c>
      <c r="AT561" s="1"/>
    </row>
    <row r="562" spans="1:46">
      <c r="A562" t="s">
        <v>2683</v>
      </c>
      <c r="B562" t="s">
        <v>2684</v>
      </c>
      <c r="C562" t="s">
        <v>2575</v>
      </c>
      <c r="D562" t="s">
        <v>2685</v>
      </c>
      <c r="E562" t="s">
        <v>67</v>
      </c>
      <c r="F562" s="4">
        <v>40126</v>
      </c>
      <c r="G562">
        <v>16</v>
      </c>
      <c r="H562" t="s">
        <v>2681</v>
      </c>
      <c r="I562" t="s">
        <v>2680</v>
      </c>
      <c r="J562" s="4" t="s">
        <v>70</v>
      </c>
      <c r="K562" s="4" t="s">
        <v>71</v>
      </c>
      <c r="L562" t="s">
        <v>2686</v>
      </c>
      <c r="M562" t="s">
        <v>2679</v>
      </c>
      <c r="N562" t="s">
        <v>2680</v>
      </c>
      <c r="O562">
        <f>IFERROR(VLOOKUP(HEVARIM[[#This Row],[קוד תקציב]],[2]תקציבים!A:L,6,0),0)</f>
        <v>1</v>
      </c>
      <c r="P562" s="5" t="s">
        <v>227</v>
      </c>
      <c r="Q562" t="s">
        <v>14</v>
      </c>
      <c r="R562" s="4">
        <v>40126</v>
      </c>
      <c r="S562" s="4" t="s">
        <v>90</v>
      </c>
      <c r="T562" s="96" t="s">
        <v>2681</v>
      </c>
      <c r="U562" t="str">
        <f>VLOOKUP(HEVARIM[[#This Row],[גיל]],GIL,2,1)</f>
        <v>תיכון</v>
      </c>
      <c r="V562">
        <f>IF(HEVARIM[[#This Row],[קוד מעמד]]="4     ",IF(HEVARIM[[#This Row],[גיל]]=1,1,IF(HEVARIM[[#This Row],[גיל]]&lt;=5,5,18)),"")</f>
        <v>18</v>
      </c>
      <c r="W562">
        <f t="shared" si="32"/>
        <v>0</v>
      </c>
      <c r="X5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2">
        <f>IF(HEVARIM[[#This Row],[מצב משפחתי2]]="אלמן",'[2]ריכוז נתונים'!$AC$2,0)</f>
        <v>0</v>
      </c>
      <c r="Z562" s="3">
        <f>VLOOKUP(VALUE(HEVARIM[[#This Row],[קוד מעמד]]),הנחות!$I$2:$K$21,3,0)</f>
        <v>1</v>
      </c>
      <c r="AA562" t="b">
        <f>ISERROR(VLOOKUP(HEVARIM[[#This Row],[קוד תקציב]],'[2]ריכוז נתונים'!A:A,1,0))</f>
        <v>0</v>
      </c>
      <c r="AB562" s="1">
        <f t="shared" si="33"/>
        <v>0</v>
      </c>
      <c r="AC562" s="2">
        <f ca="1">IF(HEVARIM[[#This Row],[בר מצוה]]&gt;0,YEAR(TODAY())+'תקציבים מיוחדים'!$F$5-HEVARIM[[#This Row],[גיל]],0)</f>
        <v>0</v>
      </c>
      <c r="AD562" s="1">
        <f t="shared" si="34"/>
        <v>0</v>
      </c>
      <c r="AE562" s="2">
        <f ca="1">IF(HEVARIM[[#This Row],[בת מצוה]]&gt;0,YEAR(TODAY())+'תקציבים מיוחדים'!$F$5-HEVARIM[[#This Row],[גיל]],0)</f>
        <v>0</v>
      </c>
      <c r="AF562" s="1">
        <f>IF(AND($S562&gt;="רווק",$Z562=1),AF$4*IF(HEVARIM[[#This Row],[גיל]]&gt;$AF$3,1,(($G562-AF$2)/(AF$3-AF$2))),0)</f>
        <v>46104.761904761901</v>
      </c>
      <c r="AG562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562" s="1">
        <f t="shared" si="35"/>
        <v>80448.380952380947</v>
      </c>
      <c r="AI562" s="2">
        <f ca="1">IF(AH562&gt;0,YEAR(TODAY())+'תקציבים מיוחדים'!$F$7-HEVARIM[[#This Row],[גיל]],0)</f>
        <v>2031</v>
      </c>
      <c r="AJ562" s="9">
        <f>IF(AND(ISERROR(VLOOKUP(H562,'[2]ריכוז נתונים'!A:L,1,0)),P562="1     "),1,0)</f>
        <v>0</v>
      </c>
      <c r="AK5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2" s="1">
        <f>IF(AND(VALUE(HEVARIM[[#This Row],[קוד מעמד]])=1,HEVARIM[[#This Row],[ותק מחברה 40]]&lt;25),HEVARIM[[#This Row],[ותק מחברה 40]]/25*הנחות!$C$4,0)</f>
        <v>0</v>
      </c>
      <c r="AM562" s="9" t="str">
        <f ca="1">IF(HEVARIM[[#This Row],[דמי עזיבה 25 שנות ותק]]&gt;0,YEAR(TODAY())+25-ROUNDDOWN(HEVARIM[[#This Row],[ותק מחברה 40]],0),"")</f>
        <v/>
      </c>
      <c r="AN5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2" s="9" t="str">
        <f ca="1">IF(HEVARIM[[#This Row],[דמי עזיבה לגיל 65]]&gt;0,YEAR(TODAY())+64-ROUNDDOWN(HEVARIM[[#This Row],[גיל]],0),"")</f>
        <v/>
      </c>
      <c r="AP562" s="1">
        <f>SUMIF(HEVARIM[קוד תקציב],HEVARIM[[#This Row],[קוד תקציב משפחה מקורי]],HEVARIM[ותק מחברה 40])</f>
        <v>32.94</v>
      </c>
      <c r="AQ5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2" s="9">
        <f>IF(HEVARIM[[#This Row],[קוד מעמד]]="1     ",IFERROR(VLOOKUP(HEVARIM[[#This Row],[קוד תקציב]],'תקציב צביעה - לקראת השינוי'!A:F,4,0),0),0)</f>
        <v>0</v>
      </c>
      <c r="AT562" s="1"/>
    </row>
    <row r="563" spans="1:46">
      <c r="A563" t="s">
        <v>2687</v>
      </c>
      <c r="B563" t="s">
        <v>2688</v>
      </c>
      <c r="C563" t="s">
        <v>2575</v>
      </c>
      <c r="D563" t="s">
        <v>2689</v>
      </c>
      <c r="E563" t="s">
        <v>79</v>
      </c>
      <c r="F563" s="4">
        <v>40896</v>
      </c>
      <c r="G563">
        <v>14</v>
      </c>
      <c r="H563" t="s">
        <v>2681</v>
      </c>
      <c r="I563" t="s">
        <v>2680</v>
      </c>
      <c r="J563" s="4" t="s">
        <v>70</v>
      </c>
      <c r="K563" s="4" t="s">
        <v>71</v>
      </c>
      <c r="L563" t="s">
        <v>2690</v>
      </c>
      <c r="M563" t="s">
        <v>2679</v>
      </c>
      <c r="N563" t="s">
        <v>2680</v>
      </c>
      <c r="O563">
        <f>IFERROR(VLOOKUP(HEVARIM[[#This Row],[קוד תקציב]],[2]תקציבים!A:L,6,0),0)</f>
        <v>1</v>
      </c>
      <c r="P563" s="5" t="s">
        <v>227</v>
      </c>
      <c r="Q563" t="s">
        <v>14</v>
      </c>
      <c r="R563" s="4">
        <v>40896</v>
      </c>
      <c r="S563" s="4" t="s">
        <v>90</v>
      </c>
      <c r="T563" s="96" t="s">
        <v>2681</v>
      </c>
      <c r="U563" t="str">
        <f>VLOOKUP(HEVARIM[[#This Row],[גיל]],GIL,2,1)</f>
        <v>חטיבה</v>
      </c>
      <c r="V563">
        <f>IF(HEVARIM[[#This Row],[קוד מעמד]]="4     ",IF(HEVARIM[[#This Row],[גיל]]=1,1,IF(HEVARIM[[#This Row],[גיל]]&lt;=5,5,18)),"")</f>
        <v>18</v>
      </c>
      <c r="W563">
        <f t="shared" si="32"/>
        <v>0</v>
      </c>
      <c r="X56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3">
        <f>IF(HEVARIM[[#This Row],[מצב משפחתי2]]="אלמן",'[2]ריכוז נתונים'!$AC$2,0)</f>
        <v>0</v>
      </c>
      <c r="Z563" s="3">
        <f>VLOOKUP(VALUE(HEVARIM[[#This Row],[קוד מעמד]]),הנחות!$I$2:$K$21,3,0)</f>
        <v>1</v>
      </c>
      <c r="AA563" t="b">
        <f>ISERROR(VLOOKUP(HEVARIM[[#This Row],[קוד תקציב]],'[2]ריכוז נתונים'!A:A,1,0))</f>
        <v>0</v>
      </c>
      <c r="AB563" s="1">
        <f t="shared" si="33"/>
        <v>0</v>
      </c>
      <c r="AC563" s="2">
        <f ca="1">IF(HEVARIM[[#This Row],[בר מצוה]]&gt;0,YEAR(TODAY())+'תקציבים מיוחדים'!$F$5-HEVARIM[[#This Row],[גיל]],0)</f>
        <v>0</v>
      </c>
      <c r="AD563" s="1">
        <f t="shared" si="34"/>
        <v>0</v>
      </c>
      <c r="AE563" s="2">
        <f ca="1">IF(HEVARIM[[#This Row],[בת מצוה]]&gt;0,YEAR(TODAY())+'תקציבים מיוחדים'!$F$5-HEVARIM[[#This Row],[גיל]],0)</f>
        <v>0</v>
      </c>
      <c r="AF563" s="1">
        <f>IF(AND($S563&gt;="רווק",$Z563=1),AF$4*IF(HEVARIM[[#This Row],[גיל]]&gt;$AF$3,1,(($G563-AF$2)/(AF$3-AF$2))),0)</f>
        <v>40341.666666666664</v>
      </c>
      <c r="AG563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563" s="1">
        <f t="shared" si="35"/>
        <v>70392.333333333328</v>
      </c>
      <c r="AI563" s="2">
        <f ca="1">IF(AH563&gt;0,YEAR(TODAY())+'תקציבים מיוחדים'!$F$7-HEVARIM[[#This Row],[גיל]],0)</f>
        <v>2033</v>
      </c>
      <c r="AJ563" s="9">
        <f>IF(AND(ISERROR(VLOOKUP(H563,'[2]ריכוז נתונים'!A:L,1,0)),P563="1     "),1,0)</f>
        <v>0</v>
      </c>
      <c r="AK56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3" s="1">
        <f>IF(AND(VALUE(HEVARIM[[#This Row],[קוד מעמד]])=1,HEVARIM[[#This Row],[ותק מחברה 40]]&lt;25),HEVARIM[[#This Row],[ותק מחברה 40]]/25*הנחות!$C$4,0)</f>
        <v>0</v>
      </c>
      <c r="AM563" s="9" t="str">
        <f ca="1">IF(HEVARIM[[#This Row],[דמי עזיבה 25 שנות ותק]]&gt;0,YEAR(TODAY())+25-ROUNDDOWN(HEVARIM[[#This Row],[ותק מחברה 40]],0),"")</f>
        <v/>
      </c>
      <c r="AN5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3" s="9" t="str">
        <f ca="1">IF(HEVARIM[[#This Row],[דמי עזיבה לגיל 65]]&gt;0,YEAR(TODAY())+64-ROUNDDOWN(HEVARIM[[#This Row],[גיל]],0),"")</f>
        <v/>
      </c>
      <c r="AP563" s="1">
        <f>SUMIF(HEVARIM[קוד תקציב],HEVARIM[[#This Row],[קוד תקציב משפחה מקורי]],HEVARIM[ותק מחברה 40])</f>
        <v>32.94</v>
      </c>
      <c r="AQ5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3" s="9">
        <f>IF(HEVARIM[[#This Row],[קוד מעמד]]="1     ",IFERROR(VLOOKUP(HEVARIM[[#This Row],[קוד תקציב]],'תקציב צביעה - לקראת השינוי'!A:F,4,0),0),0)</f>
        <v>0</v>
      </c>
      <c r="AT563" s="1"/>
    </row>
    <row r="564" spans="1:46">
      <c r="A564" t="s">
        <v>2705</v>
      </c>
      <c r="B564" t="s">
        <v>2706</v>
      </c>
      <c r="C564" t="s">
        <v>2621</v>
      </c>
      <c r="D564" t="s">
        <v>1209</v>
      </c>
      <c r="E564" t="s">
        <v>79</v>
      </c>
      <c r="F564" s="4">
        <v>36222</v>
      </c>
      <c r="G564">
        <v>26</v>
      </c>
      <c r="H564" t="s">
        <v>2703</v>
      </c>
      <c r="I564" t="s">
        <v>2701</v>
      </c>
      <c r="J564" s="4" t="s">
        <v>70</v>
      </c>
      <c r="K564" s="4" t="s">
        <v>81</v>
      </c>
      <c r="L564" t="s">
        <v>2707</v>
      </c>
      <c r="M564" t="s">
        <v>2700</v>
      </c>
      <c r="N564" t="s">
        <v>2701</v>
      </c>
      <c r="O564">
        <f>IFERROR(VLOOKUP(HEVARIM[[#This Row],[קוד תקציב]],[2]תקציבים!A:L,6,0),0)</f>
        <v>0</v>
      </c>
      <c r="P564" s="5" t="s">
        <v>83</v>
      </c>
      <c r="Q564" t="s">
        <v>15</v>
      </c>
      <c r="R564" s="4">
        <v>45529</v>
      </c>
      <c r="S564" s="4" t="s">
        <v>74</v>
      </c>
      <c r="T564" s="96" t="s">
        <v>2703</v>
      </c>
      <c r="U564" t="str">
        <f>VLOOKUP(HEVARIM[[#This Row],[גיל]],GIL,2,1)</f>
        <v>--</v>
      </c>
      <c r="V564" t="str">
        <f>IF(HEVARIM[[#This Row],[קוד מעמד]]="4     ",IF(HEVARIM[[#This Row],[גיל]]=1,1,IF(HEVARIM[[#This Row],[גיל]]&lt;=5,5,18)),"")</f>
        <v/>
      </c>
      <c r="W564">
        <f t="shared" si="32"/>
        <v>0</v>
      </c>
      <c r="X56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4">
        <f>IF(HEVARIM[[#This Row],[מצב משפחתי2]]="אלמן",'[2]ריכוז נתונים'!$AC$2,0)</f>
        <v>0</v>
      </c>
      <c r="Z564" s="3">
        <f>VLOOKUP(VALUE(HEVARIM[[#This Row],[קוד מעמד]]),הנחות!$I$2:$K$21,3,0)</f>
        <v>0</v>
      </c>
      <c r="AA564" t="b">
        <f>ISERROR(VLOOKUP(HEVARIM[[#This Row],[קוד תקציב]],'[2]ריכוז נתונים'!A:A,1,0))</f>
        <v>1</v>
      </c>
      <c r="AB564" s="1">
        <f t="shared" si="33"/>
        <v>0</v>
      </c>
      <c r="AC564" s="2">
        <f ca="1">IF(HEVARIM[[#This Row],[בר מצוה]]&gt;0,YEAR(TODAY())+'תקציבים מיוחדים'!$F$5-HEVARIM[[#This Row],[גיל]],0)</f>
        <v>0</v>
      </c>
      <c r="AD564" s="1">
        <f t="shared" si="34"/>
        <v>0</v>
      </c>
      <c r="AE564" s="2">
        <f ca="1">IF(HEVARIM[[#This Row],[בת מצוה]]&gt;0,YEAR(TODAY())+'תקציבים מיוחדים'!$F$5-HEVARIM[[#This Row],[גיל]],0)</f>
        <v>0</v>
      </c>
      <c r="AF564" s="1">
        <f>IF(AND($S564&gt;="רווק",$Z564=1),AF$4*IF(HEVARIM[[#This Row],[גיל]]&gt;$AF$3,1,(($G564-AF$2)/(AF$3-AF$2))),0)</f>
        <v>0</v>
      </c>
      <c r="AG56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64" s="1">
        <f t="shared" si="35"/>
        <v>0</v>
      </c>
      <c r="AI564" s="2">
        <f ca="1">IF(AH564&gt;0,YEAR(TODAY())+'תקציבים מיוחדים'!$F$7-HEVARIM[[#This Row],[גיל]],0)</f>
        <v>0</v>
      </c>
      <c r="AJ564" s="9">
        <f>IF(AND(ISERROR(VLOOKUP(H564,'[2]ריכוז נתונים'!A:L,1,0)),P564="1     "),1,0)</f>
        <v>0</v>
      </c>
      <c r="AK56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4" s="1">
        <f>IF(AND(VALUE(HEVARIM[[#This Row],[קוד מעמד]])=1,HEVARIM[[#This Row],[ותק מחברה 40]]&lt;25),HEVARIM[[#This Row],[ותק מחברה 40]]/25*הנחות!$C$4,0)</f>
        <v>0</v>
      </c>
      <c r="AM564" s="9" t="str">
        <f ca="1">IF(HEVARIM[[#This Row],[דמי עזיבה 25 שנות ותק]]&gt;0,YEAR(TODAY())+25-ROUNDDOWN(HEVARIM[[#This Row],[ותק מחברה 40]],0),"")</f>
        <v/>
      </c>
      <c r="AN5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4" s="9" t="str">
        <f ca="1">IF(HEVARIM[[#This Row],[דמי עזיבה לגיל 65]]&gt;0,YEAR(TODAY())+64-ROUNDDOWN(HEVARIM[[#This Row],[גיל]],0),"")</f>
        <v/>
      </c>
      <c r="AP564" s="1">
        <f>SUMIF(HEVARIM[קוד תקציב],HEVARIM[[#This Row],[קוד תקציב משפחה מקורי]],HEVARIM[ותק מחברה 40])</f>
        <v>0</v>
      </c>
      <c r="AQ5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4" s="9">
        <f>IF(HEVARIM[[#This Row],[קוד מעמד]]="1     ",IFERROR(VLOOKUP(HEVARIM[[#This Row],[קוד תקציב]],'תקציב צביעה - לקראת השינוי'!A:F,4,0),0),0)</f>
        <v>0</v>
      </c>
      <c r="AT564" s="1"/>
    </row>
    <row r="565" spans="1:46">
      <c r="A565" t="s">
        <v>2708</v>
      </c>
      <c r="B565" t="s">
        <v>2709</v>
      </c>
      <c r="C565" t="s">
        <v>2621</v>
      </c>
      <c r="D565" t="s">
        <v>2710</v>
      </c>
      <c r="E565" t="s">
        <v>79</v>
      </c>
      <c r="F565" s="4">
        <v>44882</v>
      </c>
      <c r="G565">
        <v>3</v>
      </c>
      <c r="H565" t="s">
        <v>2703</v>
      </c>
      <c r="I565" t="s">
        <v>2701</v>
      </c>
      <c r="J565" s="4" t="s">
        <v>70</v>
      </c>
      <c r="K565" s="4" t="s">
        <v>81</v>
      </c>
      <c r="L565" t="s">
        <v>2711</v>
      </c>
      <c r="M565" t="s">
        <v>2700</v>
      </c>
      <c r="N565" t="s">
        <v>2701</v>
      </c>
      <c r="O565">
        <f>IFERROR(VLOOKUP(HEVARIM[[#This Row],[קוד תקציב]],[2]תקציבים!A:L,6,0),0)</f>
        <v>0</v>
      </c>
      <c r="P565" s="5" t="s">
        <v>89</v>
      </c>
      <c r="Q565" t="s">
        <v>19</v>
      </c>
      <c r="R565" s="4">
        <v>45529</v>
      </c>
      <c r="S565" s="4" t="s">
        <v>90</v>
      </c>
      <c r="T565" s="96" t="s">
        <v>2703</v>
      </c>
      <c r="U565" t="str">
        <f>VLOOKUP(HEVARIM[[#This Row],[גיל]],GIL,2,1)</f>
        <v>גנים</v>
      </c>
      <c r="V565" t="str">
        <f>IF(HEVARIM[[#This Row],[קוד מעמד]]="4     ",IF(HEVARIM[[#This Row],[גיל]]=1,1,IF(HEVARIM[[#This Row],[גיל]]&lt;=5,5,18)),"")</f>
        <v/>
      </c>
      <c r="W565">
        <f t="shared" si="32"/>
        <v>0</v>
      </c>
      <c r="X56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5">
        <f>IF(HEVARIM[[#This Row],[מצב משפחתי2]]="אלמן",'[2]ריכוז נתונים'!$AC$2,0)</f>
        <v>0</v>
      </c>
      <c r="Z565" s="3">
        <f>VLOOKUP(VALUE(HEVARIM[[#This Row],[קוד מעמד]]),הנחות!$I$2:$K$21,3,0)</f>
        <v>0</v>
      </c>
      <c r="AA565" t="b">
        <f>ISERROR(VLOOKUP(HEVARIM[[#This Row],[קוד תקציב]],'[2]ריכוז נתונים'!A:A,1,0))</f>
        <v>1</v>
      </c>
      <c r="AB565" s="1">
        <f t="shared" si="33"/>
        <v>0</v>
      </c>
      <c r="AC565" s="2">
        <f ca="1">IF(HEVARIM[[#This Row],[בר מצוה]]&gt;0,YEAR(TODAY())+'תקציבים מיוחדים'!$F$5-HEVARIM[[#This Row],[גיל]],0)</f>
        <v>0</v>
      </c>
      <c r="AD565" s="1">
        <f t="shared" si="34"/>
        <v>0</v>
      </c>
      <c r="AE565" s="2">
        <f ca="1">IF(HEVARIM[[#This Row],[בת מצוה]]&gt;0,YEAR(TODAY())+'תקציבים מיוחדים'!$F$5-HEVARIM[[#This Row],[גיל]],0)</f>
        <v>0</v>
      </c>
      <c r="AF565" s="1">
        <f>IF(AND($S565&gt;="רווק",$Z565=1),AF$4*IF(HEVARIM[[#This Row],[גיל]]&gt;$AF$3,1,(($G565-AF$2)/(AF$3-AF$2))),0)</f>
        <v>0</v>
      </c>
      <c r="AG56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65" s="1">
        <f t="shared" si="35"/>
        <v>0</v>
      </c>
      <c r="AI565" s="2">
        <f ca="1">IF(AH565&gt;0,YEAR(TODAY())+'תקציבים מיוחדים'!$F$7-HEVARIM[[#This Row],[גיל]],0)</f>
        <v>0</v>
      </c>
      <c r="AJ565" s="9">
        <f>IF(AND(ISERROR(VLOOKUP(H565,'[2]ריכוז נתונים'!A:L,1,0)),P565="1     "),1,0)</f>
        <v>0</v>
      </c>
      <c r="AK56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5" s="1">
        <f>IF(AND(VALUE(HEVARIM[[#This Row],[קוד מעמד]])=1,HEVARIM[[#This Row],[ותק מחברה 40]]&lt;25),HEVARIM[[#This Row],[ותק מחברה 40]]/25*הנחות!$C$4,0)</f>
        <v>0</v>
      </c>
      <c r="AM565" s="9" t="str">
        <f ca="1">IF(HEVARIM[[#This Row],[דמי עזיבה 25 שנות ותק]]&gt;0,YEAR(TODAY())+25-ROUNDDOWN(HEVARIM[[#This Row],[ותק מחברה 40]],0),"")</f>
        <v/>
      </c>
      <c r="AN5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5" s="9" t="str">
        <f ca="1">IF(HEVARIM[[#This Row],[דמי עזיבה לגיל 65]]&gt;0,YEAR(TODAY())+64-ROUNDDOWN(HEVARIM[[#This Row],[גיל]],0),"")</f>
        <v/>
      </c>
      <c r="AP565" s="1">
        <f>SUMIF(HEVARIM[קוד תקציב],HEVARIM[[#This Row],[קוד תקציב משפחה מקורי]],HEVARIM[ותק מחברה 40])</f>
        <v>0</v>
      </c>
      <c r="AQ5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5" s="9">
        <f>IF(HEVARIM[[#This Row],[קוד מעמד]]="1     ",IFERROR(VLOOKUP(HEVARIM[[#This Row],[קוד תקציב]],'תקציב צביעה - לקראת השינוי'!A:F,4,0),0),0)</f>
        <v>0</v>
      </c>
      <c r="AT565" s="1"/>
    </row>
    <row r="566" spans="1:46">
      <c r="A566" t="s">
        <v>2712</v>
      </c>
      <c r="B566" t="s">
        <v>2713</v>
      </c>
      <c r="C566" t="s">
        <v>2621</v>
      </c>
      <c r="D566" t="s">
        <v>2714</v>
      </c>
      <c r="E566" t="s">
        <v>67</v>
      </c>
      <c r="F566" s="4">
        <v>45861</v>
      </c>
      <c r="G566">
        <v>0</v>
      </c>
      <c r="H566" t="s">
        <v>2703</v>
      </c>
      <c r="I566" t="s">
        <v>2701</v>
      </c>
      <c r="J566" s="4" t="s">
        <v>70</v>
      </c>
      <c r="K566" s="4" t="s">
        <v>81</v>
      </c>
      <c r="L566" t="s">
        <v>2715</v>
      </c>
      <c r="M566" t="s">
        <v>2700</v>
      </c>
      <c r="N566" t="s">
        <v>2701</v>
      </c>
      <c r="O566">
        <f>IFERROR(VLOOKUP(HEVARIM[[#This Row],[קוד תקציב]],[2]תקציבים!A:L,6,0),0)</f>
        <v>0</v>
      </c>
      <c r="P566" s="5" t="s">
        <v>89</v>
      </c>
      <c r="Q566" t="s">
        <v>19</v>
      </c>
      <c r="R566" s="4">
        <v>45861</v>
      </c>
      <c r="S566" s="4" t="s">
        <v>90</v>
      </c>
      <c r="T566" s="96" t="s">
        <v>2703</v>
      </c>
      <c r="U566" t="str">
        <f>VLOOKUP(HEVARIM[[#This Row],[גיל]],GIL,2,1)</f>
        <v>פעוט</v>
      </c>
      <c r="V566" t="str">
        <f>IF(HEVARIM[[#This Row],[קוד מעמד]]="4     ",IF(HEVARIM[[#This Row],[גיל]]=1,1,IF(HEVARIM[[#This Row],[גיל]]&lt;=5,5,18)),"")</f>
        <v/>
      </c>
      <c r="W566">
        <f t="shared" si="32"/>
        <v>0</v>
      </c>
      <c r="X56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6">
        <f>IF(HEVARIM[[#This Row],[מצב משפחתי2]]="אלמן",'[2]ריכוז נתונים'!$AC$2,0)</f>
        <v>0</v>
      </c>
      <c r="Z566" s="3">
        <f>VLOOKUP(VALUE(HEVARIM[[#This Row],[קוד מעמד]]),הנחות!$I$2:$K$21,3,0)</f>
        <v>0</v>
      </c>
      <c r="AA566" t="b">
        <f>ISERROR(VLOOKUP(HEVARIM[[#This Row],[קוד תקציב]],'[2]ריכוז נתונים'!A:A,1,0))</f>
        <v>1</v>
      </c>
      <c r="AB566" s="1">
        <f t="shared" si="33"/>
        <v>0</v>
      </c>
      <c r="AC566" s="2">
        <f ca="1">IF(HEVARIM[[#This Row],[בר מצוה]]&gt;0,YEAR(TODAY())+'תקציבים מיוחדים'!$F$5-HEVARIM[[#This Row],[גיל]],0)</f>
        <v>0</v>
      </c>
      <c r="AD566" s="1">
        <f t="shared" si="34"/>
        <v>0</v>
      </c>
      <c r="AE566" s="2">
        <f ca="1">IF(HEVARIM[[#This Row],[בת מצוה]]&gt;0,YEAR(TODAY())+'תקציבים מיוחדים'!$F$5-HEVARIM[[#This Row],[גיל]],0)</f>
        <v>0</v>
      </c>
      <c r="AF566" s="1">
        <f>IF(AND($S566&gt;="רווק",$Z566=1),AF$4*IF(HEVARIM[[#This Row],[גיל]]&gt;$AF$3,1,(($G566-AF$2)/(AF$3-AF$2))),0)</f>
        <v>0</v>
      </c>
      <c r="AG56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66" s="1">
        <f t="shared" si="35"/>
        <v>0</v>
      </c>
      <c r="AI566" s="2">
        <f ca="1">IF(AH566&gt;0,YEAR(TODAY())+'תקציבים מיוחדים'!$F$7-HEVARIM[[#This Row],[גיל]],0)</f>
        <v>0</v>
      </c>
      <c r="AJ566" s="9">
        <f>IF(AND(ISERROR(VLOOKUP(H566,'[2]ריכוז נתונים'!A:L,1,0)),P566="1     "),1,0)</f>
        <v>0</v>
      </c>
      <c r="AK56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6" s="1">
        <f>IF(AND(VALUE(HEVARIM[[#This Row],[קוד מעמד]])=1,HEVARIM[[#This Row],[ותק מחברה 40]]&lt;25),HEVARIM[[#This Row],[ותק מחברה 40]]/25*הנחות!$C$4,0)</f>
        <v>0</v>
      </c>
      <c r="AM566" s="9" t="str">
        <f ca="1">IF(HEVARIM[[#This Row],[דמי עזיבה 25 שנות ותק]]&gt;0,YEAR(TODAY())+25-ROUNDDOWN(HEVARIM[[#This Row],[ותק מחברה 40]],0),"")</f>
        <v/>
      </c>
      <c r="AN56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6" s="9" t="str">
        <f ca="1">IF(HEVARIM[[#This Row],[דמי עזיבה לגיל 65]]&gt;0,YEAR(TODAY())+64-ROUNDDOWN(HEVARIM[[#This Row],[גיל]],0),"")</f>
        <v/>
      </c>
      <c r="AP566" s="1">
        <f>SUMIF(HEVARIM[קוד תקציב],HEVARIM[[#This Row],[קוד תקציב משפחה מקורי]],HEVARIM[ותק מחברה 40])</f>
        <v>0</v>
      </c>
      <c r="AQ5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6" s="9">
        <f>IF(HEVARIM[[#This Row],[קוד מעמד]]="1     ",IFERROR(VLOOKUP(HEVARIM[[#This Row],[קוד תקציב]],'תקציב צביעה - לקראת השינוי'!A:F,4,0),0),0)</f>
        <v>0</v>
      </c>
      <c r="AT566" s="1"/>
    </row>
    <row r="567" spans="1:46">
      <c r="A567" t="s">
        <v>2722</v>
      </c>
      <c r="B567" t="s">
        <v>2723</v>
      </c>
      <c r="C567" t="s">
        <v>2559</v>
      </c>
      <c r="D567" t="s">
        <v>1749</v>
      </c>
      <c r="E567" t="s">
        <v>79</v>
      </c>
      <c r="F567" s="4">
        <v>24665</v>
      </c>
      <c r="G567">
        <v>58</v>
      </c>
      <c r="H567" t="s">
        <v>2719</v>
      </c>
      <c r="I567" t="s">
        <v>2720</v>
      </c>
      <c r="J567" s="4" t="s">
        <v>70</v>
      </c>
      <c r="K567" s="4" t="s">
        <v>71</v>
      </c>
      <c r="L567" t="s">
        <v>2724</v>
      </c>
      <c r="M567" t="s">
        <v>2716</v>
      </c>
      <c r="N567" t="s">
        <v>2717</v>
      </c>
      <c r="O567">
        <f>IFERROR(VLOOKUP(HEVARIM[[#This Row],[קוד תקציב]],[2]תקציבים!A:L,6,0),0)</f>
        <v>2</v>
      </c>
      <c r="P567" s="5" t="s">
        <v>104</v>
      </c>
      <c r="Q567" t="s">
        <v>11</v>
      </c>
      <c r="R567" s="4">
        <v>38957</v>
      </c>
      <c r="S567" s="4" t="s">
        <v>74</v>
      </c>
      <c r="T567" s="96" t="s">
        <v>2719</v>
      </c>
      <c r="U567" t="str">
        <f>VLOOKUP(HEVARIM[[#This Row],[גיל]],GIL,2,1)</f>
        <v>--</v>
      </c>
      <c r="V567" t="str">
        <f>IF(HEVARIM[[#This Row],[קוד מעמד]]="4     ",IF(HEVARIM[[#This Row],[גיל]]=1,1,IF(HEVARIM[[#This Row],[גיל]]&lt;=5,5,18)),"")</f>
        <v/>
      </c>
      <c r="W567">
        <f t="shared" si="32"/>
        <v>0</v>
      </c>
      <c r="X56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7">
        <f>IF(HEVARIM[[#This Row],[מצב משפחתי2]]="אלמן",'[2]ריכוז נתונים'!$AC$2,0)</f>
        <v>0</v>
      </c>
      <c r="Z567" s="3">
        <f>VLOOKUP(VALUE(HEVARIM[[#This Row],[קוד מעמד]]),הנחות!$I$2:$K$21,3,0)</f>
        <v>0</v>
      </c>
      <c r="AA567" t="b">
        <f>ISERROR(VLOOKUP(HEVARIM[[#This Row],[קוד תקציב]],'[2]ריכוז נתונים'!A:A,1,0))</f>
        <v>0</v>
      </c>
      <c r="AB567" s="1">
        <f t="shared" si="33"/>
        <v>0</v>
      </c>
      <c r="AC567" s="2">
        <f ca="1">IF(HEVARIM[[#This Row],[בר מצוה]]&gt;0,YEAR(TODAY())+'תקציבים מיוחדים'!$F$5-HEVARIM[[#This Row],[גיל]],0)</f>
        <v>0</v>
      </c>
      <c r="AD567" s="1">
        <f t="shared" si="34"/>
        <v>0</v>
      </c>
      <c r="AE567" s="2">
        <f ca="1">IF(HEVARIM[[#This Row],[בת מצוה]]&gt;0,YEAR(TODAY())+'תקציבים מיוחדים'!$F$5-HEVARIM[[#This Row],[גיל]],0)</f>
        <v>0</v>
      </c>
      <c r="AF567" s="1">
        <f>IF(AND($S567&gt;="רווק",$Z567=1),AF$4*IF(HEVARIM[[#This Row],[גיל]]&gt;$AF$3,1,(($G567-AF$2)/(AF$3-AF$2))),0)</f>
        <v>0</v>
      </c>
      <c r="AG56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67" s="1">
        <f t="shared" si="35"/>
        <v>0</v>
      </c>
      <c r="AI567" s="2">
        <f ca="1">IF(AH567&gt;0,YEAR(TODAY())+'תקציבים מיוחדים'!$F$7-HEVARIM[[#This Row],[גיל]],0)</f>
        <v>0</v>
      </c>
      <c r="AJ567" s="9">
        <f>IF(AND(ISERROR(VLOOKUP(H567,'[2]ריכוז נתונים'!A:L,1,0)),P567="1     "),1,0)</f>
        <v>0</v>
      </c>
      <c r="AK567" s="1">
        <f>IF(VALUE(HEVARIM[[#This Row],[קוד מעמד]])=1,VLOOKUP((IF(LEFT(HEVARIM[[#This Row],[קוד חבר]],1)="0",HEVARIM[[#This Row],[קוד חבר]],VALUE(HEVARIM[[#This Row],[קוד חבר]]))),'ותק חברה 40'!AQ:AW,7,0),"")</f>
        <v>21.01</v>
      </c>
      <c r="AL567" s="1">
        <f>IF(AND(VALUE(HEVARIM[[#This Row],[קוד מעמד]])=1,HEVARIM[[#This Row],[ותק מחברה 40]]&lt;25),HEVARIM[[#This Row],[ותק מחברה 40]]/25*הנחות!$C$4,0)</f>
        <v>31544.088344999996</v>
      </c>
      <c r="AM567" s="9">
        <f ca="1">IF(HEVARIM[[#This Row],[דמי עזיבה 25 שנות ותק]]&gt;0,YEAR(TODAY())+25-ROUNDDOWN(HEVARIM[[#This Row],[ותק מחברה 40]],0),"")</f>
        <v>2030</v>
      </c>
      <c r="AN5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7" s="9" t="str">
        <f ca="1">IF(HEVARIM[[#This Row],[דמי עזיבה לגיל 65]]&gt;0,YEAR(TODAY())+64-ROUNDDOWN(HEVARIM[[#This Row],[גיל]],0),"")</f>
        <v/>
      </c>
      <c r="AP567" s="1">
        <f>SUMIF(HEVARIM[קוד תקציב],HEVARIM[[#This Row],[קוד תקציב משפחה מקורי]],HEVARIM[ותק מחברה 40])</f>
        <v>42.02</v>
      </c>
      <c r="AQ5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567" s="9">
        <f>IF(HEVARIM[[#This Row],[קוד מעמד]]="1     ",IFERROR(VLOOKUP(HEVARIM[[#This Row],[קוד תקציב]],'תקציב צביעה - לקראת השינוי'!A:F,4,0),0),0)</f>
        <v>2033</v>
      </c>
      <c r="AT567" s="1"/>
    </row>
    <row r="568" spans="1:46">
      <c r="A568" t="s">
        <v>2872</v>
      </c>
      <c r="B568" t="s">
        <v>2873</v>
      </c>
      <c r="C568" t="s">
        <v>2559</v>
      </c>
      <c r="D568" t="s">
        <v>286</v>
      </c>
      <c r="E568" t="s">
        <v>67</v>
      </c>
      <c r="F568" s="4">
        <v>38566</v>
      </c>
      <c r="G568">
        <v>20</v>
      </c>
      <c r="H568" t="s">
        <v>2719</v>
      </c>
      <c r="I568" t="s">
        <v>2720</v>
      </c>
      <c r="J568" s="4" t="s">
        <v>70</v>
      </c>
      <c r="K568" s="4" t="s">
        <v>71</v>
      </c>
      <c r="L568" t="s">
        <v>2874</v>
      </c>
      <c r="O568">
        <f>IFERROR(VLOOKUP(HEVARIM[[#This Row],[קוד תקציב]],[2]תקציבים!A:L,6,0),0)</f>
        <v>2</v>
      </c>
      <c r="P568" s="5" t="s">
        <v>545</v>
      </c>
      <c r="Q568" t="s">
        <v>13</v>
      </c>
      <c r="R568" s="4">
        <v>45400</v>
      </c>
      <c r="S568" s="4" t="s">
        <v>90</v>
      </c>
      <c r="T568" s="96" t="s">
        <v>2719</v>
      </c>
      <c r="U568" t="str">
        <f>VLOOKUP(HEVARIM[[#This Row],[גיל]],GIL,2,1)</f>
        <v>--</v>
      </c>
      <c r="V568" t="str">
        <f>IF(HEVARIM[[#This Row],[קוד מעמד]]="4     ",IF(HEVARIM[[#This Row],[גיל]]=1,1,IF(HEVARIM[[#This Row],[גיל]]&lt;=5,5,18)),"")</f>
        <v/>
      </c>
      <c r="W568">
        <f t="shared" si="32"/>
        <v>0</v>
      </c>
      <c r="X56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8">
        <f>IF(HEVARIM[[#This Row],[מצב משפחתי2]]="אלמן",'[2]ריכוז נתונים'!$AC$2,0)</f>
        <v>0</v>
      </c>
      <c r="Z568" s="3">
        <f>VLOOKUP(VALUE(HEVARIM[[#This Row],[קוד מעמד]]),הנחות!$I$2:$K$21,3,0)</f>
        <v>1</v>
      </c>
      <c r="AA568" t="b">
        <f>ISERROR(VLOOKUP(HEVARIM[[#This Row],[קוד תקציב]],'[2]ריכוז נתונים'!A:A,1,0))</f>
        <v>0</v>
      </c>
      <c r="AB568" s="1">
        <f t="shared" si="33"/>
        <v>0</v>
      </c>
      <c r="AC568" s="2">
        <f ca="1">IF(HEVARIM[[#This Row],[בר מצוה]]&gt;0,YEAR(TODAY())+'תקציבים מיוחדים'!$F$5-HEVARIM[[#This Row],[גיל]],0)</f>
        <v>0</v>
      </c>
      <c r="AD568" s="1">
        <f t="shared" si="34"/>
        <v>0</v>
      </c>
      <c r="AE568" s="2">
        <f ca="1">IF(HEVARIM[[#This Row],[בת מצוה]]&gt;0,YEAR(TODAY())+'תקציבים מיוחדים'!$F$5-HEVARIM[[#This Row],[גיל]],0)</f>
        <v>0</v>
      </c>
      <c r="AF568" s="1">
        <f>IF(AND($S568&gt;="רווק",$Z568=1),AF$4*IF(HEVARIM[[#This Row],[גיל]]&gt;$AF$3,1,(($G568-AF$2)/(AF$3-AF$2))),0)</f>
        <v>57630.952380952374</v>
      </c>
      <c r="AG568" s="2">
        <f ca="1">IF(HEVARIM[[#This Row],[מענק חתונה]]&gt;0,IF(HEVARIM[[#This Row],[גיל]]&gt;'תקציבים מיוחדים'!$F$6,2025,YEAR(TODAY())+'תקציבים מיוחדים'!$F$6-HEVARIM[[#This Row],[גיל]]),0)</f>
        <v>2027</v>
      </c>
      <c r="AH568" s="1">
        <f t="shared" si="35"/>
        <v>100560.47619047618</v>
      </c>
      <c r="AI568" s="2">
        <f ca="1">IF(AH568&gt;0,YEAR(TODAY())+'תקציבים מיוחדים'!$F$7-HEVARIM[[#This Row],[גיל]],0)</f>
        <v>2027</v>
      </c>
      <c r="AJ568" s="9">
        <f>IF(AND(ISERROR(VLOOKUP(H568,'[2]ריכוז נתונים'!A:L,1,0)),P568="1     "),1,0)</f>
        <v>0</v>
      </c>
      <c r="AK56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8" s="1">
        <f>IF(AND(VALUE(HEVARIM[[#This Row],[קוד מעמד]])=1,HEVARIM[[#This Row],[ותק מחברה 40]]&lt;25),HEVARIM[[#This Row],[ותק מחברה 40]]/25*הנחות!$C$4,0)</f>
        <v>0</v>
      </c>
      <c r="AM568" s="9" t="str">
        <f ca="1">IF(HEVARIM[[#This Row],[דמי עזיבה 25 שנות ותק]]&gt;0,YEAR(TODAY())+25-ROUNDDOWN(HEVARIM[[#This Row],[ותק מחברה 40]],0),"")</f>
        <v/>
      </c>
      <c r="AN5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8" s="9" t="str">
        <f ca="1">IF(HEVARIM[[#This Row],[דמי עזיבה לגיל 65]]&gt;0,YEAR(TODAY())+64-ROUNDDOWN(HEVARIM[[#This Row],[גיל]],0),"")</f>
        <v/>
      </c>
      <c r="AP568" s="1">
        <f>SUMIF(HEVARIM[קוד תקציב],HEVARIM[[#This Row],[קוד תקציב משפחה מקורי]],HEVARIM[ותק מחברה 40])</f>
        <v>42.02</v>
      </c>
      <c r="AQ5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8" s="9">
        <f>IF(HEVARIM[[#This Row],[קוד מעמד]]="1     ",IFERROR(VLOOKUP(HEVARIM[[#This Row],[קוד תקציב]],'תקציב צביעה - לקראת השינוי'!A:F,4,0),0),0)</f>
        <v>0</v>
      </c>
      <c r="AT568" s="1"/>
    </row>
    <row r="569" spans="1:46">
      <c r="A569" t="s">
        <v>2825</v>
      </c>
      <c r="B569" t="s">
        <v>2826</v>
      </c>
      <c r="C569" t="s">
        <v>2559</v>
      </c>
      <c r="D569" t="s">
        <v>399</v>
      </c>
      <c r="E569" t="s">
        <v>79</v>
      </c>
      <c r="F569" s="4">
        <v>36591</v>
      </c>
      <c r="G569">
        <v>25</v>
      </c>
      <c r="H569" t="s">
        <v>2827</v>
      </c>
      <c r="I569" t="s">
        <v>2826</v>
      </c>
      <c r="J569" s="4" t="s">
        <v>70</v>
      </c>
      <c r="K569" s="4" t="s">
        <v>81</v>
      </c>
      <c r="L569" t="s">
        <v>2828</v>
      </c>
      <c r="M569" t="s">
        <v>2825</v>
      </c>
      <c r="N569" t="s">
        <v>2826</v>
      </c>
      <c r="O569">
        <f>IFERROR(VLOOKUP(HEVARIM[[#This Row],[קוד תקציב]],[2]תקציבים!A:L,6,0),0)</f>
        <v>0</v>
      </c>
      <c r="P569" s="5" t="s">
        <v>73</v>
      </c>
      <c r="Q569" t="s">
        <v>27</v>
      </c>
      <c r="R569" s="4">
        <v>44927</v>
      </c>
      <c r="S569" s="4" t="s">
        <v>74</v>
      </c>
      <c r="T569" s="96" t="s">
        <v>2719</v>
      </c>
      <c r="U569" t="str">
        <f>VLOOKUP(HEVARIM[[#This Row],[גיל]],GIL,2,1)</f>
        <v>--</v>
      </c>
      <c r="V569" t="str">
        <f>IF(HEVARIM[[#This Row],[קוד מעמד]]="4     ",IF(HEVARIM[[#This Row],[גיל]]=1,1,IF(HEVARIM[[#This Row],[גיל]]&lt;=5,5,18)),"")</f>
        <v/>
      </c>
      <c r="W569">
        <f t="shared" si="32"/>
        <v>0</v>
      </c>
      <c r="X56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69">
        <f>IF(HEVARIM[[#This Row],[מצב משפחתי2]]="אלמן",'[2]ריכוז נתונים'!$AC$2,0)</f>
        <v>0</v>
      </c>
      <c r="Z569" s="3">
        <f>VLOOKUP(VALUE(HEVARIM[[#This Row],[קוד מעמד]]),הנחות!$I$2:$K$21,3,0)</f>
        <v>1</v>
      </c>
      <c r="AA569" t="b">
        <f>ISERROR(VLOOKUP(HEVARIM[[#This Row],[קוד תקציב]],'[2]ריכוז נתונים'!A:A,1,0))</f>
        <v>1</v>
      </c>
      <c r="AB569" s="1">
        <f t="shared" si="33"/>
        <v>0</v>
      </c>
      <c r="AC569" s="2">
        <f ca="1">IF(HEVARIM[[#This Row],[בר מצוה]]&gt;0,YEAR(TODAY())+'תקציבים מיוחדים'!$F$5-HEVARIM[[#This Row],[גיל]],0)</f>
        <v>0</v>
      </c>
      <c r="AD569" s="1">
        <f t="shared" si="34"/>
        <v>0</v>
      </c>
      <c r="AE569" s="2">
        <f ca="1">IF(HEVARIM[[#This Row],[בת מצוה]]&gt;0,YEAR(TODAY())+'תקציבים מיוחדים'!$F$5-HEVARIM[[#This Row],[גיל]],0)</f>
        <v>0</v>
      </c>
      <c r="AF569" s="1">
        <f>IF(AND($S569&gt;="רווק",$Z569=1),AF$4*IF(HEVARIM[[#This Row],[גיל]]&gt;$AF$3,1,(($G569-AF$2)/(AF$3-AF$2))),0)</f>
        <v>0</v>
      </c>
      <c r="AG56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69" s="1">
        <f t="shared" si="35"/>
        <v>0</v>
      </c>
      <c r="AI569" s="2">
        <f ca="1">IF(AH569&gt;0,YEAR(TODAY())+'תקציבים מיוחדים'!$F$7-HEVARIM[[#This Row],[גיל]],0)</f>
        <v>0</v>
      </c>
      <c r="AJ569" s="9">
        <f>IF(AND(ISERROR(VLOOKUP(H569,'[2]ריכוז נתונים'!A:L,1,0)),P569="1     "),1,0)</f>
        <v>0</v>
      </c>
      <c r="AK56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69" s="1">
        <f>IF(AND(VALUE(HEVARIM[[#This Row],[קוד מעמד]])=1,HEVARIM[[#This Row],[ותק מחברה 40]]&lt;25),HEVARIM[[#This Row],[ותק מחברה 40]]/25*הנחות!$C$4,0)</f>
        <v>0</v>
      </c>
      <c r="AM569" s="9" t="str">
        <f ca="1">IF(HEVARIM[[#This Row],[דמי עזיבה 25 שנות ותק]]&gt;0,YEAR(TODAY())+25-ROUNDDOWN(HEVARIM[[#This Row],[ותק מחברה 40]],0),"")</f>
        <v/>
      </c>
      <c r="AN5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69" s="9" t="str">
        <f ca="1">IF(HEVARIM[[#This Row],[דמי עזיבה לגיל 65]]&gt;0,YEAR(TODAY())+64-ROUNDDOWN(HEVARIM[[#This Row],[גיל]],0),"")</f>
        <v/>
      </c>
      <c r="AP569" s="1">
        <f>SUMIF(HEVARIM[קוד תקציב],HEVARIM[[#This Row],[קוד תקציב משפחה מקורי]],HEVARIM[ותק מחברה 40])</f>
        <v>42.02</v>
      </c>
      <c r="AQ5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69" s="9">
        <f>IF(HEVARIM[[#This Row],[קוד מעמד]]="1     ",IFERROR(VLOOKUP(HEVARIM[[#This Row],[קוד תקציב]],'תקציב צביעה - לקראת השינוי'!A:F,4,0),0),0)</f>
        <v>0</v>
      </c>
      <c r="AT569" s="1"/>
    </row>
    <row r="570" spans="1:46">
      <c r="A570" t="s">
        <v>2852</v>
      </c>
      <c r="B570" t="s">
        <v>2853</v>
      </c>
      <c r="C570" t="s">
        <v>2559</v>
      </c>
      <c r="D570" t="s">
        <v>2854</v>
      </c>
      <c r="E570" t="s">
        <v>79</v>
      </c>
      <c r="F570" s="4">
        <v>37417</v>
      </c>
      <c r="G570">
        <v>23</v>
      </c>
      <c r="H570" t="s">
        <v>2855</v>
      </c>
      <c r="I570" t="s">
        <v>2853</v>
      </c>
      <c r="J570" s="4" t="s">
        <v>70</v>
      </c>
      <c r="K570" s="4" t="s">
        <v>81</v>
      </c>
      <c r="L570" t="s">
        <v>2856</v>
      </c>
      <c r="M570" t="s">
        <v>2852</v>
      </c>
      <c r="N570" t="s">
        <v>2853</v>
      </c>
      <c r="O570">
        <f>IFERROR(VLOOKUP(HEVARIM[[#This Row],[קוד תקציב]],[2]תקציבים!A:L,6,0),0)</f>
        <v>0</v>
      </c>
      <c r="P570" s="5" t="s">
        <v>860</v>
      </c>
      <c r="Q570" t="s">
        <v>34</v>
      </c>
      <c r="R570" s="4">
        <v>45931</v>
      </c>
      <c r="S570" s="4" t="s">
        <v>90</v>
      </c>
      <c r="T570" s="96" t="s">
        <v>2719</v>
      </c>
      <c r="U570" t="str">
        <f>VLOOKUP(HEVARIM[[#This Row],[גיל]],GIL,2,1)</f>
        <v>--</v>
      </c>
      <c r="V570" t="str">
        <f>IF(HEVARIM[[#This Row],[קוד מעמד]]="4     ",IF(HEVARIM[[#This Row],[גיל]]=1,1,IF(HEVARIM[[#This Row],[גיל]]&lt;=5,5,18)),"")</f>
        <v/>
      </c>
      <c r="W570">
        <f t="shared" si="32"/>
        <v>0</v>
      </c>
      <c r="X57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0">
        <f>IF(HEVARIM[[#This Row],[מצב משפחתי2]]="אלמן",'[2]ריכוז נתונים'!$AC$2,0)</f>
        <v>0</v>
      </c>
      <c r="Z570" s="3">
        <f>VLOOKUP(VALUE(HEVARIM[[#This Row],[קוד מעמד]]),הנחות!$I$2:$K$21,3,0)</f>
        <v>1</v>
      </c>
      <c r="AA570" t="b">
        <f>ISERROR(VLOOKUP(HEVARIM[[#This Row],[קוד תקציב]],'[2]ריכוז נתונים'!A:A,1,0))</f>
        <v>1</v>
      </c>
      <c r="AB570" s="1">
        <f t="shared" si="33"/>
        <v>0</v>
      </c>
      <c r="AC570" s="2">
        <f ca="1">IF(HEVARIM[[#This Row],[בר מצוה]]&gt;0,YEAR(TODAY())+'תקציבים מיוחדים'!$F$5-HEVARIM[[#This Row],[גיל]],0)</f>
        <v>0</v>
      </c>
      <c r="AD570" s="1">
        <f t="shared" si="34"/>
        <v>0</v>
      </c>
      <c r="AE570" s="2">
        <f ca="1">IF(HEVARIM[[#This Row],[בת מצוה]]&gt;0,YEAR(TODAY())+'תקציבים מיוחדים'!$F$5-HEVARIM[[#This Row],[גיל]],0)</f>
        <v>0</v>
      </c>
      <c r="AF570" s="1">
        <f>IF(AND($S570&gt;="רווק",$Z570=1),AF$4*IF(HEVARIM[[#This Row],[גיל]]&gt;$AF$3,1,(($G570-AF$2)/(AF$3-AF$2))),0)</f>
        <v>60512.5</v>
      </c>
      <c r="AG570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570" s="1">
        <f t="shared" si="35"/>
        <v>0</v>
      </c>
      <c r="AI570" s="2">
        <f ca="1">IF(AH570&gt;0,YEAR(TODAY())+'תקציבים מיוחדים'!$F$7-HEVARIM[[#This Row],[גיל]],0)</f>
        <v>0</v>
      </c>
      <c r="AJ570" s="9">
        <f>IF(AND(ISERROR(VLOOKUP(H570,'[2]ריכוז נתונים'!A:L,1,0)),P570="1     "),1,0)</f>
        <v>0</v>
      </c>
      <c r="AK57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0" s="1">
        <f>IF(AND(VALUE(HEVARIM[[#This Row],[קוד מעמד]])=1,HEVARIM[[#This Row],[ותק מחברה 40]]&lt;25),HEVARIM[[#This Row],[ותק מחברה 40]]/25*הנחות!$C$4,0)</f>
        <v>0</v>
      </c>
      <c r="AM570" s="9" t="str">
        <f ca="1">IF(HEVARIM[[#This Row],[דמי עזיבה 25 שנות ותק]]&gt;0,YEAR(TODAY())+25-ROUNDDOWN(HEVARIM[[#This Row],[ותק מחברה 40]],0),"")</f>
        <v/>
      </c>
      <c r="AN57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0" s="9" t="str">
        <f ca="1">IF(HEVARIM[[#This Row],[דמי עזיבה לגיל 65]]&gt;0,YEAR(TODAY())+64-ROUNDDOWN(HEVARIM[[#This Row],[גיל]],0),"")</f>
        <v/>
      </c>
      <c r="AP570" s="1">
        <f>SUMIF(HEVARIM[קוד תקציב],HEVARIM[[#This Row],[קוד תקציב משפחה מקורי]],HEVARIM[ותק מחברה 40])</f>
        <v>42.02</v>
      </c>
      <c r="AQ5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0" s="9">
        <f>IF(HEVARIM[[#This Row],[קוד מעמד]]="1     ",IFERROR(VLOOKUP(HEVARIM[[#This Row],[קוד תקציב]],'תקציב צביעה - לקראת השינוי'!A:F,4,0),0),0)</f>
        <v>0</v>
      </c>
      <c r="AT570" s="1"/>
    </row>
    <row r="571" spans="1:46">
      <c r="A571" t="s">
        <v>2725</v>
      </c>
      <c r="B571" t="s">
        <v>2726</v>
      </c>
      <c r="C571" t="s">
        <v>2727</v>
      </c>
      <c r="D571" t="s">
        <v>967</v>
      </c>
      <c r="E571" t="s">
        <v>67</v>
      </c>
      <c r="F571" s="4">
        <v>29995</v>
      </c>
      <c r="G571">
        <v>43</v>
      </c>
      <c r="H571" t="s">
        <v>2728</v>
      </c>
      <c r="I571" t="s">
        <v>2729</v>
      </c>
      <c r="J571" s="4" t="s">
        <v>70</v>
      </c>
      <c r="K571" s="4" t="s">
        <v>71</v>
      </c>
      <c r="L571" t="s">
        <v>2730</v>
      </c>
      <c r="M571" t="s">
        <v>2725</v>
      </c>
      <c r="N571" t="s">
        <v>2726</v>
      </c>
      <c r="O571">
        <f>IFERROR(VLOOKUP(HEVARIM[[#This Row],[קוד תקציב]],[2]תקציבים!A:L,6,0),0)</f>
        <v>2</v>
      </c>
      <c r="P571" s="5" t="s">
        <v>104</v>
      </c>
      <c r="Q571" t="s">
        <v>11</v>
      </c>
      <c r="R571" s="4">
        <v>40510</v>
      </c>
      <c r="S571" s="4" t="s">
        <v>74</v>
      </c>
      <c r="T571" s="96" t="s">
        <v>2728</v>
      </c>
      <c r="U571" t="str">
        <f>VLOOKUP(HEVARIM[[#This Row],[גיל]],GIL,2,1)</f>
        <v>--</v>
      </c>
      <c r="V571" t="str">
        <f>IF(HEVARIM[[#This Row],[קוד מעמד]]="4     ",IF(HEVARIM[[#This Row],[גיל]]=1,1,IF(HEVARIM[[#This Row],[גיל]]&lt;=5,5,18)),"")</f>
        <v/>
      </c>
      <c r="W571">
        <f t="shared" si="32"/>
        <v>0</v>
      </c>
      <c r="X57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1">
        <f>IF(HEVARIM[[#This Row],[מצב משפחתי2]]="אלמן",'[2]ריכוז נתונים'!$AC$2,0)</f>
        <v>0</v>
      </c>
      <c r="Z571" s="3">
        <f>VLOOKUP(VALUE(HEVARIM[[#This Row],[קוד מעמד]]),הנחות!$I$2:$K$21,3,0)</f>
        <v>0</v>
      </c>
      <c r="AA571" t="b">
        <f>ISERROR(VLOOKUP(HEVARIM[[#This Row],[קוד תקציב]],'[2]ריכוז נתונים'!A:A,1,0))</f>
        <v>0</v>
      </c>
      <c r="AB571" s="1">
        <f t="shared" si="33"/>
        <v>0</v>
      </c>
      <c r="AC571" s="2">
        <f ca="1">IF(HEVARIM[[#This Row],[בר מצוה]]&gt;0,YEAR(TODAY())+'תקציבים מיוחדים'!$F$5-HEVARIM[[#This Row],[גיל]],0)</f>
        <v>0</v>
      </c>
      <c r="AD571" s="1">
        <f t="shared" si="34"/>
        <v>0</v>
      </c>
      <c r="AE571" s="2">
        <f ca="1">IF(HEVARIM[[#This Row],[בת מצוה]]&gt;0,YEAR(TODAY())+'תקציבים מיוחדים'!$F$5-HEVARIM[[#This Row],[גיל]],0)</f>
        <v>0</v>
      </c>
      <c r="AF571" s="1">
        <f>IF(AND($S571&gt;="רווק",$Z571=1),AF$4*IF(HEVARIM[[#This Row],[גיל]]&gt;$AF$3,1,(($G571-AF$2)/(AF$3-AF$2))),0)</f>
        <v>0</v>
      </c>
      <c r="AG57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71" s="1">
        <f t="shared" si="35"/>
        <v>0</v>
      </c>
      <c r="AI571" s="2">
        <f ca="1">IF(AH571&gt;0,YEAR(TODAY())+'תקציבים מיוחדים'!$F$7-HEVARIM[[#This Row],[גיל]],0)</f>
        <v>0</v>
      </c>
      <c r="AJ571" s="9">
        <f>IF(AND(ISERROR(VLOOKUP(H571,'[2]ריכוז נתונים'!A:L,1,0)),P571="1     "),1,0)</f>
        <v>0</v>
      </c>
      <c r="AK571" s="1">
        <f>IF(VALUE(HEVARIM[[#This Row],[קוד מעמד]])=1,VLOOKUP((IF(LEFT(HEVARIM[[#This Row],[קוד חבר]],1)="0",HEVARIM[[#This Row],[קוד חבר]],VALUE(HEVARIM[[#This Row],[קוד חבר]]))),'ותק חברה 40'!AQ:AW,7,0),"")</f>
        <v>16.760000000000002</v>
      </c>
      <c r="AL571" s="1">
        <f>IF(AND(VALUE(HEVARIM[[#This Row],[קוד מעמד]])=1,HEVARIM[[#This Row],[ותק מחברה 40]]&lt;25),HEVARIM[[#This Row],[ותק מחברה 40]]/25*הנחות!$C$4,0)</f>
        <v>25163.20422</v>
      </c>
      <c r="AM571" s="9">
        <f ca="1">IF(HEVARIM[[#This Row],[דמי עזיבה 25 שנות ותק]]&gt;0,YEAR(TODAY())+25-ROUNDDOWN(HEVARIM[[#This Row],[ותק מחברה 40]],0),"")</f>
        <v>2035</v>
      </c>
      <c r="AN5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1" s="9" t="str">
        <f ca="1">IF(HEVARIM[[#This Row],[דמי עזיבה לגיל 65]]&gt;0,YEAR(TODAY())+64-ROUNDDOWN(HEVARIM[[#This Row],[גיל]],0),"")</f>
        <v/>
      </c>
      <c r="AP571" s="1">
        <f>SUMIF(HEVARIM[קוד תקציב],HEVARIM[[#This Row],[קוד תקציב משפחה מקורי]],HEVARIM[ותק מחברה 40])</f>
        <v>34.840000000000003</v>
      </c>
      <c r="AQ5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571" s="9">
        <f>IF(HEVARIM[[#This Row],[קוד מעמד]]="1     ",IFERROR(VLOOKUP(HEVARIM[[#This Row],[קוד תקציב]],'תקציב צביעה - לקראת השינוי'!A:F,4,0),0),0)</f>
        <v>2033</v>
      </c>
      <c r="AT571" s="1"/>
    </row>
    <row r="572" spans="1:46">
      <c r="A572" t="s">
        <v>2735</v>
      </c>
      <c r="B572" t="s">
        <v>2736</v>
      </c>
      <c r="C572" t="s">
        <v>2727</v>
      </c>
      <c r="D572" t="s">
        <v>209</v>
      </c>
      <c r="E572" t="s">
        <v>79</v>
      </c>
      <c r="F572" s="4">
        <v>39456</v>
      </c>
      <c r="G572">
        <v>17</v>
      </c>
      <c r="H572" t="s">
        <v>2728</v>
      </c>
      <c r="I572" t="s">
        <v>2729</v>
      </c>
      <c r="J572" s="4" t="s">
        <v>70</v>
      </c>
      <c r="K572" s="4" t="s">
        <v>71</v>
      </c>
      <c r="L572" t="s">
        <v>2737</v>
      </c>
      <c r="M572" t="s">
        <v>2725</v>
      </c>
      <c r="N572" t="s">
        <v>2726</v>
      </c>
      <c r="O572">
        <f>IFERROR(VLOOKUP(HEVARIM[[#This Row],[קוד תקציב]],[2]תקציבים!A:L,6,0),0)</f>
        <v>2</v>
      </c>
      <c r="P572" s="5" t="s">
        <v>227</v>
      </c>
      <c r="Q572" t="s">
        <v>14</v>
      </c>
      <c r="R572" s="4">
        <v>39783</v>
      </c>
      <c r="S572" s="4" t="s">
        <v>90</v>
      </c>
      <c r="T572" s="96" t="s">
        <v>2728</v>
      </c>
      <c r="U572" t="str">
        <f>VLOOKUP(HEVARIM[[#This Row],[גיל]],GIL,2,1)</f>
        <v>תיכון</v>
      </c>
      <c r="V572">
        <f>IF(HEVARIM[[#This Row],[קוד מעמד]]="4     ",IF(HEVARIM[[#This Row],[גיל]]=1,1,IF(HEVARIM[[#This Row],[גיל]]&lt;=5,5,18)),"")</f>
        <v>18</v>
      </c>
      <c r="W572">
        <f t="shared" si="32"/>
        <v>0</v>
      </c>
      <c r="X57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2">
        <f>IF(HEVARIM[[#This Row],[מצב משפחתי2]]="אלמן",'[2]ריכוז נתונים'!$AC$2,0)</f>
        <v>0</v>
      </c>
      <c r="Z572" s="3">
        <f>VLOOKUP(VALUE(HEVARIM[[#This Row],[קוד מעמד]]),הנחות!$I$2:$K$21,3,0)</f>
        <v>1</v>
      </c>
      <c r="AA572" t="b">
        <f>ISERROR(VLOOKUP(HEVARIM[[#This Row],[קוד תקציב]],'[2]ריכוז נתונים'!A:A,1,0))</f>
        <v>0</v>
      </c>
      <c r="AB572" s="1">
        <f t="shared" si="33"/>
        <v>0</v>
      </c>
      <c r="AC572" s="2">
        <f ca="1">IF(HEVARIM[[#This Row],[בר מצוה]]&gt;0,YEAR(TODAY())+'תקציבים מיוחדים'!$F$5-HEVARIM[[#This Row],[גיל]],0)</f>
        <v>0</v>
      </c>
      <c r="AD572" s="1">
        <f t="shared" si="34"/>
        <v>0</v>
      </c>
      <c r="AE572" s="2">
        <f ca="1">IF(HEVARIM[[#This Row],[בת מצוה]]&gt;0,YEAR(TODAY())+'תקציבים מיוחדים'!$F$5-HEVARIM[[#This Row],[גיל]],0)</f>
        <v>0</v>
      </c>
      <c r="AF572" s="1">
        <f>IF(AND($S572&gt;="רווק",$Z572=1),AF$4*IF(HEVARIM[[#This Row],[גיל]]&gt;$AF$3,1,(($G572-AF$2)/(AF$3-AF$2))),0)</f>
        <v>48986.309523809527</v>
      </c>
      <c r="AG572" s="2">
        <f ca="1">IF(HEVARIM[[#This Row],[מענק חתונה]]&gt;0,IF(HEVARIM[[#This Row],[גיל]]&gt;'תקציבים מיוחדים'!$F$6,2025,YEAR(TODAY())+'תקציבים מיוחדים'!$F$6-HEVARIM[[#This Row],[גיל]]),0)</f>
        <v>2030</v>
      </c>
      <c r="AH572" s="1">
        <f t="shared" si="35"/>
        <v>85476.404761904763</v>
      </c>
      <c r="AI572" s="2">
        <f ca="1">IF(AH572&gt;0,YEAR(TODAY())+'תקציבים מיוחדים'!$F$7-HEVARIM[[#This Row],[גיל]],0)</f>
        <v>2030</v>
      </c>
      <c r="AJ572" s="9">
        <f>IF(AND(ISERROR(VLOOKUP(H572,'[2]ריכוז נתונים'!A:L,1,0)),P572="1     "),1,0)</f>
        <v>0</v>
      </c>
      <c r="AK57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2" s="1">
        <f>IF(AND(VALUE(HEVARIM[[#This Row],[קוד מעמד]])=1,HEVARIM[[#This Row],[ותק מחברה 40]]&lt;25),HEVARIM[[#This Row],[ותק מחברה 40]]/25*הנחות!$C$4,0)</f>
        <v>0</v>
      </c>
      <c r="AM572" s="9" t="str">
        <f ca="1">IF(HEVARIM[[#This Row],[דמי עזיבה 25 שנות ותק]]&gt;0,YEAR(TODAY())+25-ROUNDDOWN(HEVARIM[[#This Row],[ותק מחברה 40]],0),"")</f>
        <v/>
      </c>
      <c r="AN5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2" s="9" t="str">
        <f ca="1">IF(HEVARIM[[#This Row],[דמי עזיבה לגיל 65]]&gt;0,YEAR(TODAY())+64-ROUNDDOWN(HEVARIM[[#This Row],[גיל]],0),"")</f>
        <v/>
      </c>
      <c r="AP572" s="1">
        <f>SUMIF(HEVARIM[קוד תקציב],HEVARIM[[#This Row],[קוד תקציב משפחה מקורי]],HEVARIM[ותק מחברה 40])</f>
        <v>34.840000000000003</v>
      </c>
      <c r="AQ5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2" s="9">
        <f>IF(HEVARIM[[#This Row],[קוד מעמד]]="1     ",IFERROR(VLOOKUP(HEVARIM[[#This Row],[קוד תקציב]],'תקציב צביעה - לקראת השינוי'!A:F,4,0),0),0)</f>
        <v>0</v>
      </c>
      <c r="AT572" s="1"/>
    </row>
    <row r="573" spans="1:46">
      <c r="A573" t="s">
        <v>2738</v>
      </c>
      <c r="B573" t="s">
        <v>2739</v>
      </c>
      <c r="C573" t="s">
        <v>2727</v>
      </c>
      <c r="D573" t="s">
        <v>924</v>
      </c>
      <c r="E573" t="s">
        <v>79</v>
      </c>
      <c r="F573" s="4">
        <v>40232</v>
      </c>
      <c r="G573">
        <v>15</v>
      </c>
      <c r="H573" t="s">
        <v>2728</v>
      </c>
      <c r="I573" t="s">
        <v>2729</v>
      </c>
      <c r="J573" s="4" t="s">
        <v>70</v>
      </c>
      <c r="K573" s="4" t="s">
        <v>71</v>
      </c>
      <c r="L573" t="s">
        <v>2740</v>
      </c>
      <c r="M573" t="s">
        <v>2725</v>
      </c>
      <c r="N573" t="s">
        <v>2726</v>
      </c>
      <c r="O573">
        <f>IFERROR(VLOOKUP(HEVARIM[[#This Row],[קוד תקציב]],[2]תקציבים!A:L,6,0),0)</f>
        <v>2</v>
      </c>
      <c r="P573" s="5" t="s">
        <v>227</v>
      </c>
      <c r="Q573" t="s">
        <v>14</v>
      </c>
      <c r="R573" s="4">
        <v>40232</v>
      </c>
      <c r="S573" s="4" t="s">
        <v>90</v>
      </c>
      <c r="T573" s="96" t="s">
        <v>2728</v>
      </c>
      <c r="U573" t="str">
        <f>VLOOKUP(HEVARIM[[#This Row],[גיל]],GIL,2,1)</f>
        <v>תיכון</v>
      </c>
      <c r="V573">
        <f>IF(HEVARIM[[#This Row],[קוד מעמד]]="4     ",IF(HEVARIM[[#This Row],[גיל]]=1,1,IF(HEVARIM[[#This Row],[גיל]]&lt;=5,5,18)),"")</f>
        <v>18</v>
      </c>
      <c r="W573">
        <f t="shared" si="32"/>
        <v>0</v>
      </c>
      <c r="X57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3">
        <f>IF(HEVARIM[[#This Row],[מצב משפחתי2]]="אלמן",'[2]ריכוז נתונים'!$AC$2,0)</f>
        <v>0</v>
      </c>
      <c r="Z573" s="3">
        <f>VLOOKUP(VALUE(HEVARIM[[#This Row],[קוד מעמד]]),הנחות!$I$2:$K$21,3,0)</f>
        <v>1</v>
      </c>
      <c r="AA573" t="b">
        <f>ISERROR(VLOOKUP(HEVARIM[[#This Row],[קוד תקציב]],'[2]ריכוז נתונים'!A:A,1,0))</f>
        <v>0</v>
      </c>
      <c r="AB573" s="1">
        <f t="shared" si="33"/>
        <v>0</v>
      </c>
      <c r="AC573" s="2">
        <f ca="1">IF(HEVARIM[[#This Row],[בר מצוה]]&gt;0,YEAR(TODAY())+'תקציבים מיוחדים'!$F$5-HEVARIM[[#This Row],[גיל]],0)</f>
        <v>0</v>
      </c>
      <c r="AD573" s="1">
        <f t="shared" si="34"/>
        <v>0</v>
      </c>
      <c r="AE573" s="2">
        <f ca="1">IF(HEVARIM[[#This Row],[בת מצוה]]&gt;0,YEAR(TODAY())+'תקציבים מיוחדים'!$F$5-HEVARIM[[#This Row],[גיל]],0)</f>
        <v>0</v>
      </c>
      <c r="AF573" s="1">
        <f>IF(AND($S573&gt;="רווק",$Z573=1),AF$4*IF(HEVARIM[[#This Row],[גיל]]&gt;$AF$3,1,(($G573-AF$2)/(AF$3-AF$2))),0)</f>
        <v>43223.21428571429</v>
      </c>
      <c r="AG573" s="2">
        <f ca="1">IF(HEVARIM[[#This Row],[מענק חתונה]]&gt;0,IF(HEVARIM[[#This Row],[גיל]]&gt;'תקציבים מיוחדים'!$F$6,2025,YEAR(TODAY())+'תקציבים מיוחדים'!$F$6-HEVARIM[[#This Row],[גיל]]),0)</f>
        <v>2032</v>
      </c>
      <c r="AH573" s="1">
        <f t="shared" si="35"/>
        <v>75420.357142857145</v>
      </c>
      <c r="AI573" s="2">
        <f ca="1">IF(AH573&gt;0,YEAR(TODAY())+'תקציבים מיוחדים'!$F$7-HEVARIM[[#This Row],[גיל]],0)</f>
        <v>2032</v>
      </c>
      <c r="AJ573" s="9">
        <f>IF(AND(ISERROR(VLOOKUP(H573,'[2]ריכוז נתונים'!A:L,1,0)),P573="1     "),1,0)</f>
        <v>0</v>
      </c>
      <c r="AK57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3" s="1">
        <f>IF(AND(VALUE(HEVARIM[[#This Row],[קוד מעמד]])=1,HEVARIM[[#This Row],[ותק מחברה 40]]&lt;25),HEVARIM[[#This Row],[ותק מחברה 40]]/25*הנחות!$C$4,0)</f>
        <v>0</v>
      </c>
      <c r="AM573" s="9" t="str">
        <f ca="1">IF(HEVARIM[[#This Row],[דמי עזיבה 25 שנות ותק]]&gt;0,YEAR(TODAY())+25-ROUNDDOWN(HEVARIM[[#This Row],[ותק מחברה 40]],0),"")</f>
        <v/>
      </c>
      <c r="AN5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3" s="9" t="str">
        <f ca="1">IF(HEVARIM[[#This Row],[דמי עזיבה לגיל 65]]&gt;0,YEAR(TODAY())+64-ROUNDDOWN(HEVARIM[[#This Row],[גיל]],0),"")</f>
        <v/>
      </c>
      <c r="AP573" s="1">
        <f>SUMIF(HEVARIM[קוד תקציב],HEVARIM[[#This Row],[קוד תקציב משפחה מקורי]],HEVARIM[ותק מחברה 40])</f>
        <v>34.840000000000003</v>
      </c>
      <c r="AQ5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3" s="9">
        <f>IF(HEVARIM[[#This Row],[קוד מעמד]]="1     ",IFERROR(VLOOKUP(HEVARIM[[#This Row],[קוד תקציב]],'תקציב צביעה - לקראת השינוי'!A:F,4,0),0),0)</f>
        <v>0</v>
      </c>
      <c r="AT573" s="1"/>
    </row>
    <row r="574" spans="1:46">
      <c r="A574" t="s">
        <v>2741</v>
      </c>
      <c r="B574" t="s">
        <v>2742</v>
      </c>
      <c r="C574" t="s">
        <v>2727</v>
      </c>
      <c r="D574" t="s">
        <v>99</v>
      </c>
      <c r="E574" t="s">
        <v>67</v>
      </c>
      <c r="F574" s="4">
        <v>40991</v>
      </c>
      <c r="G574">
        <v>13</v>
      </c>
      <c r="H574" t="s">
        <v>2728</v>
      </c>
      <c r="I574" t="s">
        <v>2729</v>
      </c>
      <c r="J574" s="4" t="s">
        <v>70</v>
      </c>
      <c r="K574" s="4" t="s">
        <v>71</v>
      </c>
      <c r="L574" t="s">
        <v>2743</v>
      </c>
      <c r="M574" t="s">
        <v>2725</v>
      </c>
      <c r="N574" t="s">
        <v>2726</v>
      </c>
      <c r="O574">
        <f>IFERROR(VLOOKUP(HEVARIM[[#This Row],[קוד תקציב]],[2]תקציבים!A:L,6,0),0)</f>
        <v>2</v>
      </c>
      <c r="P574" s="5" t="s">
        <v>227</v>
      </c>
      <c r="Q574" t="s">
        <v>14</v>
      </c>
      <c r="R574" s="4">
        <v>40991</v>
      </c>
      <c r="S574" s="4" t="s">
        <v>90</v>
      </c>
      <c r="T574" s="96" t="s">
        <v>2728</v>
      </c>
      <c r="U574" t="str">
        <f>VLOOKUP(HEVARIM[[#This Row],[גיל]],GIL,2,1)</f>
        <v>חטיבה</v>
      </c>
      <c r="V574">
        <f>IF(HEVARIM[[#This Row],[קוד מעמד]]="4     ",IF(HEVARIM[[#This Row],[גיל]]=1,1,IF(HEVARIM[[#This Row],[גיל]]&lt;=5,5,18)),"")</f>
        <v>18</v>
      </c>
      <c r="W574">
        <f t="shared" si="32"/>
        <v>0</v>
      </c>
      <c r="X57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4">
        <f>IF(HEVARIM[[#This Row],[מצב משפחתי2]]="אלמן",'[2]ריכוז נתונים'!$AC$2,0)</f>
        <v>0</v>
      </c>
      <c r="Z574" s="3">
        <f>VLOOKUP(VALUE(HEVARIM[[#This Row],[קוד מעמד]]),הנחות!$I$2:$K$21,3,0)</f>
        <v>1</v>
      </c>
      <c r="AA574" t="b">
        <f>ISERROR(VLOOKUP(HEVARIM[[#This Row],[קוד תקציב]],'[2]ריכוז נתונים'!A:A,1,0))</f>
        <v>0</v>
      </c>
      <c r="AB574" s="1">
        <f t="shared" si="33"/>
        <v>7165</v>
      </c>
      <c r="AC574" s="2">
        <f ca="1">IF(HEVARIM[[#This Row],[בר מצוה]]&gt;0,YEAR(TODAY())+'תקציבים מיוחדים'!$F$5-HEVARIM[[#This Row],[גיל]],0)</f>
        <v>2026</v>
      </c>
      <c r="AD574" s="1">
        <f t="shared" si="34"/>
        <v>0</v>
      </c>
      <c r="AE574" s="2">
        <f ca="1">IF(HEVARIM[[#This Row],[בת מצוה]]&gt;0,YEAR(TODAY())+'תקציבים מיוחדים'!$F$5-HEVARIM[[#This Row],[גיל]],0)</f>
        <v>0</v>
      </c>
      <c r="AF574" s="1">
        <f>IF(AND($S574&gt;="רווק",$Z574=1),AF$4*IF(HEVARIM[[#This Row],[גיל]]&gt;$AF$3,1,(($G574-AF$2)/(AF$3-AF$2))),0)</f>
        <v>37460.119047619046</v>
      </c>
      <c r="AG574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574" s="1">
        <f t="shared" si="35"/>
        <v>65364.309523809527</v>
      </c>
      <c r="AI574" s="2">
        <f ca="1">IF(AH574&gt;0,YEAR(TODAY())+'תקציבים מיוחדים'!$F$7-HEVARIM[[#This Row],[גיל]],0)</f>
        <v>2034</v>
      </c>
      <c r="AJ574" s="9">
        <f>IF(AND(ISERROR(VLOOKUP(H574,'[2]ריכוז נתונים'!A:L,1,0)),P574="1     "),1,0)</f>
        <v>0</v>
      </c>
      <c r="AK57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4" s="1">
        <f>IF(AND(VALUE(HEVARIM[[#This Row],[קוד מעמד]])=1,HEVARIM[[#This Row],[ותק מחברה 40]]&lt;25),HEVARIM[[#This Row],[ותק מחברה 40]]/25*הנחות!$C$4,0)</f>
        <v>0</v>
      </c>
      <c r="AM574" s="9" t="str">
        <f ca="1">IF(HEVARIM[[#This Row],[דמי עזיבה 25 שנות ותק]]&gt;0,YEAR(TODAY())+25-ROUNDDOWN(HEVARIM[[#This Row],[ותק מחברה 40]],0),"")</f>
        <v/>
      </c>
      <c r="AN57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4" s="9" t="str">
        <f ca="1">IF(HEVARIM[[#This Row],[דמי עזיבה לגיל 65]]&gt;0,YEAR(TODAY())+64-ROUNDDOWN(HEVARIM[[#This Row],[גיל]],0),"")</f>
        <v/>
      </c>
      <c r="AP574" s="1">
        <f>SUMIF(HEVARIM[קוד תקציב],HEVARIM[[#This Row],[קוד תקציב משפחה מקורי]],HEVARIM[ותק מחברה 40])</f>
        <v>34.840000000000003</v>
      </c>
      <c r="AQ5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4" s="9">
        <f>IF(HEVARIM[[#This Row],[קוד מעמד]]="1     ",IFERROR(VLOOKUP(HEVARIM[[#This Row],[קוד תקציב]],'תקציב צביעה - לקראת השינוי'!A:F,4,0),0),0)</f>
        <v>0</v>
      </c>
      <c r="AT574" s="1"/>
    </row>
    <row r="575" spans="1:46">
      <c r="A575" t="s">
        <v>2744</v>
      </c>
      <c r="B575" t="s">
        <v>2745</v>
      </c>
      <c r="C575" t="s">
        <v>2727</v>
      </c>
      <c r="D575" t="s">
        <v>375</v>
      </c>
      <c r="E575" t="s">
        <v>79</v>
      </c>
      <c r="F575" s="4">
        <v>41560</v>
      </c>
      <c r="G575">
        <v>12</v>
      </c>
      <c r="H575" t="s">
        <v>2728</v>
      </c>
      <c r="I575" t="s">
        <v>2729</v>
      </c>
      <c r="J575" s="4" t="s">
        <v>70</v>
      </c>
      <c r="K575" s="4" t="s">
        <v>71</v>
      </c>
      <c r="L575" t="s">
        <v>2746</v>
      </c>
      <c r="M575" t="s">
        <v>2725</v>
      </c>
      <c r="N575" t="s">
        <v>2726</v>
      </c>
      <c r="O575">
        <f>IFERROR(VLOOKUP(HEVARIM[[#This Row],[קוד תקציב]],[2]תקציבים!A:L,6,0),0)</f>
        <v>2</v>
      </c>
      <c r="P575" s="5" t="s">
        <v>227</v>
      </c>
      <c r="Q575" t="s">
        <v>14</v>
      </c>
      <c r="R575" s="4">
        <v>41560</v>
      </c>
      <c r="S575" s="4" t="s">
        <v>90</v>
      </c>
      <c r="T575" s="96" t="s">
        <v>2728</v>
      </c>
      <c r="U575" t="str">
        <f>VLOOKUP(HEVARIM[[#This Row],[גיל]],GIL,2,1)</f>
        <v>יסודי</v>
      </c>
      <c r="V575">
        <f>IF(HEVARIM[[#This Row],[קוד מעמד]]="4     ",IF(HEVARIM[[#This Row],[גיל]]=1,1,IF(HEVARIM[[#This Row],[גיל]]&lt;=5,5,18)),"")</f>
        <v>18</v>
      </c>
      <c r="W575">
        <f t="shared" si="32"/>
        <v>0</v>
      </c>
      <c r="X57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5">
        <f>IF(HEVARIM[[#This Row],[מצב משפחתי2]]="אלמן",'[2]ריכוז נתונים'!$AC$2,0)</f>
        <v>0</v>
      </c>
      <c r="Z575" s="3">
        <f>VLOOKUP(VALUE(HEVARIM[[#This Row],[קוד מעמד]]),הנחות!$I$2:$K$21,3,0)</f>
        <v>1</v>
      </c>
      <c r="AA575" t="b">
        <f>ISERROR(VLOOKUP(HEVARIM[[#This Row],[קוד תקציב]],'[2]ריכוז נתונים'!A:A,1,0))</f>
        <v>0</v>
      </c>
      <c r="AB575" s="1">
        <f t="shared" si="33"/>
        <v>0</v>
      </c>
      <c r="AC575" s="2">
        <f ca="1">IF(HEVARIM[[#This Row],[בר מצוה]]&gt;0,YEAR(TODAY())+'תקציבים מיוחדים'!$F$5-HEVARIM[[#This Row],[גיל]],0)</f>
        <v>0</v>
      </c>
      <c r="AD575" s="1">
        <f t="shared" si="34"/>
        <v>6613.8461538461543</v>
      </c>
      <c r="AE575" s="2">
        <f ca="1">IF(HEVARIM[[#This Row],[בת מצוה]]&gt;0,YEAR(TODAY())+'תקציבים מיוחדים'!$F$5-HEVARIM[[#This Row],[גיל]],0)</f>
        <v>2027</v>
      </c>
      <c r="AF575" s="1">
        <f>IF(AND($S575&gt;="רווק",$Z575=1),AF$4*IF(HEVARIM[[#This Row],[גיל]]&gt;$AF$3,1,(($G575-AF$2)/(AF$3-AF$2))),0)</f>
        <v>34578.571428571428</v>
      </c>
      <c r="AG575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575" s="1">
        <f t="shared" si="35"/>
        <v>60336.28571428571</v>
      </c>
      <c r="AI575" s="2">
        <f ca="1">IF(AH575&gt;0,YEAR(TODAY())+'תקציבים מיוחדים'!$F$7-HEVARIM[[#This Row],[גיל]],0)</f>
        <v>2035</v>
      </c>
      <c r="AJ575" s="9">
        <f>IF(AND(ISERROR(VLOOKUP(H575,'[2]ריכוז נתונים'!A:L,1,0)),P575="1     "),1,0)</f>
        <v>0</v>
      </c>
      <c r="AK57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5" s="1">
        <f>IF(AND(VALUE(HEVARIM[[#This Row],[קוד מעמד]])=1,HEVARIM[[#This Row],[ותק מחברה 40]]&lt;25),HEVARIM[[#This Row],[ותק מחברה 40]]/25*הנחות!$C$4,0)</f>
        <v>0</v>
      </c>
      <c r="AM575" s="9" t="str">
        <f ca="1">IF(HEVARIM[[#This Row],[דמי עזיבה 25 שנות ותק]]&gt;0,YEAR(TODAY())+25-ROUNDDOWN(HEVARIM[[#This Row],[ותק מחברה 40]],0),"")</f>
        <v/>
      </c>
      <c r="AN57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5" s="9" t="str">
        <f ca="1">IF(HEVARIM[[#This Row],[דמי עזיבה לגיל 65]]&gt;0,YEAR(TODAY())+64-ROUNDDOWN(HEVARIM[[#This Row],[גיל]],0),"")</f>
        <v/>
      </c>
      <c r="AP575" s="1">
        <f>SUMIF(HEVARIM[קוד תקציב],HEVARIM[[#This Row],[קוד תקציב משפחה מקורי]],HEVARIM[ותק מחברה 40])</f>
        <v>34.840000000000003</v>
      </c>
      <c r="AQ5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5" s="9">
        <f>IF(HEVARIM[[#This Row],[קוד מעמד]]="1     ",IFERROR(VLOOKUP(HEVARIM[[#This Row],[קוד תקציב]],'תקציב צביעה - לקראת השינוי'!A:F,4,0),0),0)</f>
        <v>0</v>
      </c>
      <c r="AT575" s="1"/>
    </row>
    <row r="576" spans="1:46">
      <c r="A576" t="s">
        <v>2747</v>
      </c>
      <c r="B576" t="s">
        <v>2748</v>
      </c>
      <c r="C576" t="s">
        <v>2727</v>
      </c>
      <c r="D576" t="s">
        <v>1083</v>
      </c>
      <c r="E576" t="s">
        <v>79</v>
      </c>
      <c r="F576" s="4">
        <v>42981</v>
      </c>
      <c r="G576">
        <v>8</v>
      </c>
      <c r="H576" t="s">
        <v>2728</v>
      </c>
      <c r="I576" t="s">
        <v>2729</v>
      </c>
      <c r="J576" s="4" t="s">
        <v>70</v>
      </c>
      <c r="K576" s="4" t="s">
        <v>71</v>
      </c>
      <c r="L576" t="s">
        <v>2749</v>
      </c>
      <c r="M576" t="s">
        <v>2725</v>
      </c>
      <c r="N576" t="s">
        <v>2726</v>
      </c>
      <c r="O576">
        <f>IFERROR(VLOOKUP(HEVARIM[[#This Row],[קוד תקציב]],[2]תקציבים!A:L,6,0),0)</f>
        <v>2</v>
      </c>
      <c r="P576" s="5" t="s">
        <v>227</v>
      </c>
      <c r="Q576" t="s">
        <v>14</v>
      </c>
      <c r="R576" s="4">
        <v>42981</v>
      </c>
      <c r="S576" s="4" t="s">
        <v>90</v>
      </c>
      <c r="T576" s="96" t="s">
        <v>2728</v>
      </c>
      <c r="U576" t="str">
        <f>VLOOKUP(HEVARIM[[#This Row],[גיל]],GIL,2,1)</f>
        <v>יסודי</v>
      </c>
      <c r="V576">
        <f>IF(HEVARIM[[#This Row],[קוד מעמד]]="4     ",IF(HEVARIM[[#This Row],[גיל]]=1,1,IF(HEVARIM[[#This Row],[גיל]]&lt;=5,5,18)),"")</f>
        <v>18</v>
      </c>
      <c r="W576">
        <f t="shared" si="32"/>
        <v>0</v>
      </c>
      <c r="X57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6">
        <f>IF(HEVARIM[[#This Row],[מצב משפחתי2]]="אלמן",'[2]ריכוז נתונים'!$AC$2,0)</f>
        <v>0</v>
      </c>
      <c r="Z576" s="3">
        <f>VLOOKUP(VALUE(HEVARIM[[#This Row],[קוד מעמד]]),הנחות!$I$2:$K$21,3,0)</f>
        <v>1</v>
      </c>
      <c r="AA576" t="b">
        <f>ISERROR(VLOOKUP(HEVARIM[[#This Row],[קוד תקציב]],'[2]ריכוז נתונים'!A:A,1,0))</f>
        <v>0</v>
      </c>
      <c r="AB576" s="1">
        <f t="shared" si="33"/>
        <v>0</v>
      </c>
      <c r="AC576" s="2">
        <f ca="1">IF(HEVARIM[[#This Row],[בר מצוה]]&gt;0,YEAR(TODAY())+'תקציבים מיוחדים'!$F$5-HEVARIM[[#This Row],[גיל]],0)</f>
        <v>0</v>
      </c>
      <c r="AD576" s="1">
        <f t="shared" si="34"/>
        <v>4409.2307692307695</v>
      </c>
      <c r="AE576" s="2">
        <f ca="1">IF(HEVARIM[[#This Row],[בת מצוה]]&gt;0,YEAR(TODAY())+'תקציבים מיוחדים'!$F$5-HEVARIM[[#This Row],[גיל]],0)</f>
        <v>2031</v>
      </c>
      <c r="AF576" s="1">
        <f>IF(AND($S576&gt;="רווק",$Z576=1),AF$4*IF(HEVARIM[[#This Row],[גיל]]&gt;$AF$3,1,(($G576-AF$2)/(AF$3-AF$2))),0)</f>
        <v>23052.38095238095</v>
      </c>
      <c r="AG576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576" s="1">
        <f t="shared" si="35"/>
        <v>40224.190476190473</v>
      </c>
      <c r="AI576" s="2">
        <f ca="1">IF(AH576&gt;0,YEAR(TODAY())+'תקציבים מיוחדים'!$F$7-HEVARIM[[#This Row],[גיל]],0)</f>
        <v>2039</v>
      </c>
      <c r="AJ576" s="9">
        <f>IF(AND(ISERROR(VLOOKUP(H576,'[2]ריכוז נתונים'!A:L,1,0)),P576="1     "),1,0)</f>
        <v>0</v>
      </c>
      <c r="AK57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6" s="1">
        <f>IF(AND(VALUE(HEVARIM[[#This Row],[קוד מעמד]])=1,HEVARIM[[#This Row],[ותק מחברה 40]]&lt;25),HEVARIM[[#This Row],[ותק מחברה 40]]/25*הנחות!$C$4,0)</f>
        <v>0</v>
      </c>
      <c r="AM576" s="9" t="str">
        <f ca="1">IF(HEVARIM[[#This Row],[דמי עזיבה 25 שנות ותק]]&gt;0,YEAR(TODAY())+25-ROUNDDOWN(HEVARIM[[#This Row],[ותק מחברה 40]],0),"")</f>
        <v/>
      </c>
      <c r="AN5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6" s="9" t="str">
        <f ca="1">IF(HEVARIM[[#This Row],[דמי עזיבה לגיל 65]]&gt;0,YEAR(TODAY())+64-ROUNDDOWN(HEVARIM[[#This Row],[גיל]],0),"")</f>
        <v/>
      </c>
      <c r="AP576" s="1">
        <f>SUMIF(HEVARIM[קוד תקציב],HEVARIM[[#This Row],[קוד תקציב משפחה מקורי]],HEVARIM[ותק מחברה 40])</f>
        <v>34.840000000000003</v>
      </c>
      <c r="AQ5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6" s="9">
        <f>IF(HEVARIM[[#This Row],[קוד מעמד]]="1     ",IFERROR(VLOOKUP(HEVARIM[[#This Row],[קוד תקציב]],'תקציב צביעה - לקראת השינוי'!A:F,4,0),0),0)</f>
        <v>0</v>
      </c>
      <c r="AT576" s="1"/>
    </row>
    <row r="577" spans="1:46">
      <c r="A577" t="s">
        <v>2750</v>
      </c>
      <c r="B577" t="s">
        <v>2751</v>
      </c>
      <c r="C577" t="s">
        <v>2752</v>
      </c>
      <c r="D577" t="s">
        <v>886</v>
      </c>
      <c r="E577" t="s">
        <v>67</v>
      </c>
      <c r="F577" s="4">
        <v>33968</v>
      </c>
      <c r="G577">
        <v>33</v>
      </c>
      <c r="H577" t="s">
        <v>2753</v>
      </c>
      <c r="I577" t="s">
        <v>2754</v>
      </c>
      <c r="J577" s="4" t="s">
        <v>70</v>
      </c>
      <c r="K577" s="4" t="s">
        <v>71</v>
      </c>
      <c r="L577" t="s">
        <v>2755</v>
      </c>
      <c r="M577" t="s">
        <v>2750</v>
      </c>
      <c r="N577" t="s">
        <v>2751</v>
      </c>
      <c r="O577">
        <f>IFERROR(VLOOKUP(HEVARIM[[#This Row],[קוד תקציב]],[2]תקציבים!A:L,6,0),0)</f>
        <v>2</v>
      </c>
      <c r="P577" s="5" t="s">
        <v>104</v>
      </c>
      <c r="Q577" t="s">
        <v>11</v>
      </c>
      <c r="R577" s="4">
        <v>45495</v>
      </c>
      <c r="S577" s="4" t="s">
        <v>74</v>
      </c>
      <c r="T577" s="96" t="s">
        <v>2753</v>
      </c>
      <c r="U577" t="str">
        <f>VLOOKUP(HEVARIM[[#This Row],[גיל]],GIL,2,1)</f>
        <v>--</v>
      </c>
      <c r="V577" t="str">
        <f>IF(HEVARIM[[#This Row],[קוד מעמד]]="4     ",IF(HEVARIM[[#This Row],[גיל]]=1,1,IF(HEVARIM[[#This Row],[גיל]]&lt;=5,5,18)),"")</f>
        <v/>
      </c>
      <c r="W577">
        <f t="shared" si="32"/>
        <v>0</v>
      </c>
      <c r="X57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7">
        <f>IF(HEVARIM[[#This Row],[מצב משפחתי2]]="אלמן",'[2]ריכוז נתונים'!$AC$2,0)</f>
        <v>0</v>
      </c>
      <c r="Z577" s="3">
        <f>VLOOKUP(VALUE(HEVARIM[[#This Row],[קוד מעמד]]),הנחות!$I$2:$K$21,3,0)</f>
        <v>0</v>
      </c>
      <c r="AA577" t="b">
        <f>ISERROR(VLOOKUP(HEVARIM[[#This Row],[קוד תקציב]],'[2]ריכוז נתונים'!A:A,1,0))</f>
        <v>0</v>
      </c>
      <c r="AB577" s="1">
        <f t="shared" si="33"/>
        <v>0</v>
      </c>
      <c r="AC577" s="2">
        <f ca="1">IF(HEVARIM[[#This Row],[בר מצוה]]&gt;0,YEAR(TODAY())+'תקציבים מיוחדים'!$F$5-HEVARIM[[#This Row],[גיל]],0)</f>
        <v>0</v>
      </c>
      <c r="AD577" s="1">
        <f t="shared" si="34"/>
        <v>0</v>
      </c>
      <c r="AE577" s="2">
        <f ca="1">IF(HEVARIM[[#This Row],[בת מצוה]]&gt;0,YEAR(TODAY())+'תקציבים מיוחדים'!$F$5-HEVARIM[[#This Row],[גיל]],0)</f>
        <v>0</v>
      </c>
      <c r="AF577" s="1">
        <f>IF(AND($S577&gt;="רווק",$Z577=1),AF$4*IF(HEVARIM[[#This Row],[גיל]]&gt;$AF$3,1,(($G577-AF$2)/(AF$3-AF$2))),0)</f>
        <v>0</v>
      </c>
      <c r="AG57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77" s="1">
        <f t="shared" si="35"/>
        <v>0</v>
      </c>
      <c r="AI577" s="2">
        <f ca="1">IF(AH577&gt;0,YEAR(TODAY())+'תקציבים מיוחדים'!$F$7-HEVARIM[[#This Row],[גיל]],0)</f>
        <v>0</v>
      </c>
      <c r="AJ577" s="9">
        <f>IF(AND(ISERROR(VLOOKUP(H577,'[2]ריכוז נתונים'!A:L,1,0)),P577="1     "),1,0)</f>
        <v>0</v>
      </c>
      <c r="AK577" s="1">
        <f>IF(VALUE(HEVARIM[[#This Row],[קוד מעמד]])=1,VLOOKUP((IF(LEFT(HEVARIM[[#This Row],[קוד חבר]],1)="0",HEVARIM[[#This Row],[קוד חבר]],VALUE(HEVARIM[[#This Row],[קוד חבר]]))),'ותק חברה 40'!AQ:AW,7,0),"")</f>
        <v>3.19</v>
      </c>
      <c r="AL577" s="1">
        <f>IF(AND(VALUE(HEVARIM[[#This Row],[קוד מעמד]])=1,HEVARIM[[#This Row],[ותק מחברה 40]]&lt;25),HEVARIM[[#This Row],[ותק מחברה 40]]/25*הנחות!$C$4,0)</f>
        <v>4789.4165549999989</v>
      </c>
      <c r="AM577" s="9">
        <f ca="1">IF(HEVARIM[[#This Row],[דמי עזיבה 25 שנות ותק]]&gt;0,YEAR(TODAY())+25-ROUNDDOWN(HEVARIM[[#This Row],[ותק מחברה 40]],0),"")</f>
        <v>2048</v>
      </c>
      <c r="AN57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7" s="9" t="str">
        <f ca="1">IF(HEVARIM[[#This Row],[דמי עזיבה לגיל 65]]&gt;0,YEAR(TODAY())+64-ROUNDDOWN(HEVARIM[[#This Row],[גיל]],0),"")</f>
        <v/>
      </c>
      <c r="AP577" s="1">
        <f>SUMIF(HEVARIM[קוד תקציב],HEVARIM[[#This Row],[קוד תקציב משפחה מקורי]],HEVARIM[ותק מחברה 40])</f>
        <v>6.38</v>
      </c>
      <c r="AQ5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7" s="9">
        <f>IF(HEVARIM[[#This Row],[קוד מעמד]]="1     ",IFERROR(VLOOKUP(HEVARIM[[#This Row],[קוד תקציב]],'תקציב צביעה - לקראת השינוי'!A:F,4,0),0),0)</f>
        <v>0</v>
      </c>
      <c r="AT577" s="1"/>
    </row>
    <row r="578" spans="1:46">
      <c r="A578" t="s">
        <v>2759</v>
      </c>
      <c r="B578" t="s">
        <v>2760</v>
      </c>
      <c r="C578" t="s">
        <v>2752</v>
      </c>
      <c r="D578" t="s">
        <v>2761</v>
      </c>
      <c r="E578" t="s">
        <v>79</v>
      </c>
      <c r="F578" s="4">
        <v>42272</v>
      </c>
      <c r="G578">
        <v>10</v>
      </c>
      <c r="H578" t="s">
        <v>2753</v>
      </c>
      <c r="I578" t="s">
        <v>2754</v>
      </c>
      <c r="J578" s="4" t="s">
        <v>70</v>
      </c>
      <c r="K578" s="4" t="s">
        <v>71</v>
      </c>
      <c r="L578" t="s">
        <v>2762</v>
      </c>
      <c r="M578" t="s">
        <v>2750</v>
      </c>
      <c r="N578" t="s">
        <v>2751</v>
      </c>
      <c r="O578">
        <f>IFERROR(VLOOKUP(HEVARIM[[#This Row],[קוד תקציב]],[2]תקציבים!A:L,6,0),0)</f>
        <v>2</v>
      </c>
      <c r="P578" s="5" t="s">
        <v>227</v>
      </c>
      <c r="Q578" t="s">
        <v>14</v>
      </c>
      <c r="R578" s="4">
        <v>44743</v>
      </c>
      <c r="S578" s="4" t="s">
        <v>90</v>
      </c>
      <c r="T578" s="96" t="s">
        <v>2753</v>
      </c>
      <c r="U578" t="str">
        <f>VLOOKUP(HEVARIM[[#This Row],[גיל]],GIL,2,1)</f>
        <v>יסודי</v>
      </c>
      <c r="V578">
        <f>IF(HEVARIM[[#This Row],[קוד מעמד]]="4     ",IF(HEVARIM[[#This Row],[גיל]]=1,1,IF(HEVARIM[[#This Row],[גיל]]&lt;=5,5,18)),"")</f>
        <v>18</v>
      </c>
      <c r="W578">
        <f t="shared" si="32"/>
        <v>0</v>
      </c>
      <c r="X57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8">
        <f>IF(HEVARIM[[#This Row],[מצב משפחתי2]]="אלמן",'[2]ריכוז נתונים'!$AC$2,0)</f>
        <v>0</v>
      </c>
      <c r="Z578" s="3">
        <f>VLOOKUP(VALUE(HEVARIM[[#This Row],[קוד מעמד]]),הנחות!$I$2:$K$21,3,0)</f>
        <v>1</v>
      </c>
      <c r="AA578" t="b">
        <f>ISERROR(VLOOKUP(HEVARIM[[#This Row],[קוד תקציב]],'[2]ריכוז נתונים'!A:A,1,0))</f>
        <v>0</v>
      </c>
      <c r="AB578" s="1">
        <f t="shared" si="33"/>
        <v>0</v>
      </c>
      <c r="AC578" s="2">
        <f ca="1">IF(HEVARIM[[#This Row],[בר מצוה]]&gt;0,YEAR(TODAY())+'תקציבים מיוחדים'!$F$5-HEVARIM[[#This Row],[גיל]],0)</f>
        <v>0</v>
      </c>
      <c r="AD578" s="1">
        <f t="shared" si="34"/>
        <v>5511.5384615384619</v>
      </c>
      <c r="AE578" s="2">
        <f ca="1">IF(HEVARIM[[#This Row],[בת מצוה]]&gt;0,YEAR(TODAY())+'תקציבים מיוחדים'!$F$5-HEVARIM[[#This Row],[גיל]],0)</f>
        <v>2029</v>
      </c>
      <c r="AF578" s="1">
        <f>IF(AND($S578&gt;="רווק",$Z578=1),AF$4*IF(HEVARIM[[#This Row],[גיל]]&gt;$AF$3,1,(($G578-AF$2)/(AF$3-AF$2))),0)</f>
        <v>28815.476190476187</v>
      </c>
      <c r="AG578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578" s="1">
        <f t="shared" si="35"/>
        <v>50280.238095238092</v>
      </c>
      <c r="AI578" s="2">
        <f ca="1">IF(AH578&gt;0,YEAR(TODAY())+'תקציבים מיוחדים'!$F$7-HEVARIM[[#This Row],[גיל]],0)</f>
        <v>2037</v>
      </c>
      <c r="AJ578" s="9">
        <f>IF(AND(ISERROR(VLOOKUP(H578,'[2]ריכוז נתונים'!A:L,1,0)),P578="1     "),1,0)</f>
        <v>0</v>
      </c>
      <c r="AK57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8" s="1">
        <f>IF(AND(VALUE(HEVARIM[[#This Row],[קוד מעמד]])=1,HEVARIM[[#This Row],[ותק מחברה 40]]&lt;25),HEVARIM[[#This Row],[ותק מחברה 40]]/25*הנחות!$C$4,0)</f>
        <v>0</v>
      </c>
      <c r="AM578" s="9" t="str">
        <f ca="1">IF(HEVARIM[[#This Row],[דמי עזיבה 25 שנות ותק]]&gt;0,YEAR(TODAY())+25-ROUNDDOWN(HEVARIM[[#This Row],[ותק מחברה 40]],0),"")</f>
        <v/>
      </c>
      <c r="AN5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8" s="9" t="str">
        <f ca="1">IF(HEVARIM[[#This Row],[דמי עזיבה לגיל 65]]&gt;0,YEAR(TODAY())+64-ROUNDDOWN(HEVARIM[[#This Row],[גיל]],0),"")</f>
        <v/>
      </c>
      <c r="AP578" s="1">
        <f>SUMIF(HEVARIM[קוד תקציב],HEVARIM[[#This Row],[קוד תקציב משפחה מקורי]],HEVARIM[ותק מחברה 40])</f>
        <v>6.38</v>
      </c>
      <c r="AQ5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5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8" s="9">
        <f>IF(HEVARIM[[#This Row],[קוד מעמד]]="1     ",IFERROR(VLOOKUP(HEVARIM[[#This Row],[קוד תקציב]],'תקציב צביעה - לקראת השינוי'!A:F,4,0),0),0)</f>
        <v>0</v>
      </c>
      <c r="AT578" s="1"/>
    </row>
    <row r="579" spans="1:46">
      <c r="A579" t="s">
        <v>2763</v>
      </c>
      <c r="B579" t="s">
        <v>2764</v>
      </c>
      <c r="C579" t="s">
        <v>2752</v>
      </c>
      <c r="D579" t="s">
        <v>2765</v>
      </c>
      <c r="E579" t="s">
        <v>67</v>
      </c>
      <c r="F579" s="4">
        <v>43167</v>
      </c>
      <c r="G579">
        <v>7</v>
      </c>
      <c r="H579" t="s">
        <v>2753</v>
      </c>
      <c r="I579" t="s">
        <v>2754</v>
      </c>
      <c r="J579" s="4" t="s">
        <v>70</v>
      </c>
      <c r="K579" s="4" t="s">
        <v>71</v>
      </c>
      <c r="L579" t="s">
        <v>2766</v>
      </c>
      <c r="M579" t="s">
        <v>2750</v>
      </c>
      <c r="N579" t="s">
        <v>2751</v>
      </c>
      <c r="O579">
        <f>IFERROR(VLOOKUP(HEVARIM[[#This Row],[קוד תקציב]],[2]תקציבים!A:L,6,0),0)</f>
        <v>2</v>
      </c>
      <c r="P579" s="5" t="s">
        <v>227</v>
      </c>
      <c r="Q579" t="s">
        <v>14</v>
      </c>
      <c r="R579" s="4">
        <v>44743</v>
      </c>
      <c r="S579" s="4" t="s">
        <v>90</v>
      </c>
      <c r="T579" s="96" t="s">
        <v>2753</v>
      </c>
      <c r="U579" t="str">
        <f>VLOOKUP(HEVARIM[[#This Row],[גיל]],GIL,2,1)</f>
        <v>יסודי</v>
      </c>
      <c r="V579">
        <f>IF(HEVARIM[[#This Row],[קוד מעמד]]="4     ",IF(HEVARIM[[#This Row],[גיל]]=1,1,IF(HEVARIM[[#This Row],[גיל]]&lt;=5,5,18)),"")</f>
        <v>18</v>
      </c>
      <c r="W579">
        <f t="shared" si="32"/>
        <v>0</v>
      </c>
      <c r="X57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79">
        <f>IF(HEVARIM[[#This Row],[מצב משפחתי2]]="אלמן",'[2]ריכוז נתונים'!$AC$2,0)</f>
        <v>0</v>
      </c>
      <c r="Z579" s="3">
        <f>VLOOKUP(VALUE(HEVARIM[[#This Row],[קוד מעמד]]),הנחות!$I$2:$K$21,3,0)</f>
        <v>1</v>
      </c>
      <c r="AA579" t="b">
        <f>ISERROR(VLOOKUP(HEVARIM[[#This Row],[קוד תקציב]],'[2]ריכוז נתונים'!A:A,1,0))</f>
        <v>0</v>
      </c>
      <c r="AB579" s="1">
        <f t="shared" si="33"/>
        <v>3858.0769230769229</v>
      </c>
      <c r="AC579" s="2">
        <f ca="1">IF(HEVARIM[[#This Row],[בר מצוה]]&gt;0,YEAR(TODAY())+'תקציבים מיוחדים'!$F$5-HEVARIM[[#This Row],[גיל]],0)</f>
        <v>2032</v>
      </c>
      <c r="AD579" s="1">
        <f t="shared" si="34"/>
        <v>0</v>
      </c>
      <c r="AE579" s="2">
        <f ca="1">IF(HEVARIM[[#This Row],[בת מצוה]]&gt;0,YEAR(TODAY())+'תקציבים מיוחדים'!$F$5-HEVARIM[[#This Row],[גיל]],0)</f>
        <v>0</v>
      </c>
      <c r="AF579" s="1">
        <f>IF(AND($S579&gt;="רווק",$Z579=1),AF$4*IF(HEVARIM[[#This Row],[גיל]]&gt;$AF$3,1,(($G579-AF$2)/(AF$3-AF$2))),0)</f>
        <v>20170.833333333332</v>
      </c>
      <c r="AG579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579" s="1">
        <f t="shared" si="35"/>
        <v>35196.166666666664</v>
      </c>
      <c r="AI579" s="2">
        <f ca="1">IF(AH579&gt;0,YEAR(TODAY())+'תקציבים מיוחדים'!$F$7-HEVARIM[[#This Row],[גיל]],0)</f>
        <v>2040</v>
      </c>
      <c r="AJ579" s="9">
        <f>IF(AND(ISERROR(VLOOKUP(H579,'[2]ריכוז נתונים'!A:L,1,0)),P579="1     "),1,0)</f>
        <v>0</v>
      </c>
      <c r="AK57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79" s="1">
        <f>IF(AND(VALUE(HEVARIM[[#This Row],[קוד מעמד]])=1,HEVARIM[[#This Row],[ותק מחברה 40]]&lt;25),HEVARIM[[#This Row],[ותק מחברה 40]]/25*הנחות!$C$4,0)</f>
        <v>0</v>
      </c>
      <c r="AM579" s="9" t="str">
        <f ca="1">IF(HEVARIM[[#This Row],[דמי עזיבה 25 שנות ותק]]&gt;0,YEAR(TODAY())+25-ROUNDDOWN(HEVARIM[[#This Row],[ותק מחברה 40]],0),"")</f>
        <v/>
      </c>
      <c r="AN5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79" s="9" t="str">
        <f ca="1">IF(HEVARIM[[#This Row],[דמי עזיבה לגיל 65]]&gt;0,YEAR(TODAY())+64-ROUNDDOWN(HEVARIM[[#This Row],[גיל]],0),"")</f>
        <v/>
      </c>
      <c r="AP579" s="1">
        <f>SUMIF(HEVARIM[קוד תקציב],HEVARIM[[#This Row],[קוד תקציב משפחה מקורי]],HEVARIM[ותק מחברה 40])</f>
        <v>6.38</v>
      </c>
      <c r="AQ5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1</v>
      </c>
      <c r="AR5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79" s="9">
        <f>IF(HEVARIM[[#This Row],[קוד מעמד]]="1     ",IFERROR(VLOOKUP(HEVARIM[[#This Row],[קוד תקציב]],'תקציב צביעה - לקראת השינוי'!A:F,4,0),0),0)</f>
        <v>0</v>
      </c>
      <c r="AT579" s="1"/>
    </row>
    <row r="580" spans="1:46">
      <c r="A580" t="s">
        <v>2767</v>
      </c>
      <c r="B580" t="s">
        <v>2768</v>
      </c>
      <c r="C580" t="s">
        <v>2752</v>
      </c>
      <c r="D580" t="s">
        <v>383</v>
      </c>
      <c r="E580" t="s">
        <v>79</v>
      </c>
      <c r="F580" s="4">
        <v>43896</v>
      </c>
      <c r="G580">
        <v>5</v>
      </c>
      <c r="H580" t="s">
        <v>2753</v>
      </c>
      <c r="I580" t="s">
        <v>2754</v>
      </c>
      <c r="J580" s="4" t="s">
        <v>70</v>
      </c>
      <c r="K580" s="4" t="s">
        <v>71</v>
      </c>
      <c r="L580" t="s">
        <v>2769</v>
      </c>
      <c r="M580" t="s">
        <v>2750</v>
      </c>
      <c r="N580" t="s">
        <v>2751</v>
      </c>
      <c r="O580">
        <f>IFERROR(VLOOKUP(HEVARIM[[#This Row],[קוד תקציב]],[2]תקציבים!A:L,6,0),0)</f>
        <v>2</v>
      </c>
      <c r="P580" s="5" t="s">
        <v>227</v>
      </c>
      <c r="Q580" t="s">
        <v>14</v>
      </c>
      <c r="R580" s="4">
        <v>44743</v>
      </c>
      <c r="S580" s="4" t="s">
        <v>90</v>
      </c>
      <c r="T580" s="96" t="s">
        <v>2753</v>
      </c>
      <c r="U580" t="str">
        <f>VLOOKUP(HEVARIM[[#This Row],[גיל]],GIL,2,1)</f>
        <v>גנים</v>
      </c>
      <c r="V580">
        <f>IF(HEVARIM[[#This Row],[קוד מעמד]]="4     ",IF(HEVARIM[[#This Row],[גיל]]=1,1,IF(HEVARIM[[#This Row],[גיל]]&lt;=5,5,18)),"")</f>
        <v>5</v>
      </c>
      <c r="W580">
        <f t="shared" si="32"/>
        <v>0</v>
      </c>
      <c r="X58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0">
        <f>IF(HEVARIM[[#This Row],[מצב משפחתי2]]="אלמן",'[2]ריכוז נתונים'!$AC$2,0)</f>
        <v>0</v>
      </c>
      <c r="Z580" s="3">
        <f>VLOOKUP(VALUE(HEVARIM[[#This Row],[קוד מעמד]]),הנחות!$I$2:$K$21,3,0)</f>
        <v>1</v>
      </c>
      <c r="AA580" t="b">
        <f>ISERROR(VLOOKUP(HEVARIM[[#This Row],[קוד תקציב]],'[2]ריכוז נתונים'!A:A,1,0))</f>
        <v>0</v>
      </c>
      <c r="AB580" s="1">
        <f t="shared" si="33"/>
        <v>0</v>
      </c>
      <c r="AC580" s="2">
        <f ca="1">IF(HEVARIM[[#This Row],[בר מצוה]]&gt;0,YEAR(TODAY())+'תקציבים מיוחדים'!$F$5-HEVARIM[[#This Row],[גיל]],0)</f>
        <v>0</v>
      </c>
      <c r="AD580" s="1">
        <f t="shared" si="34"/>
        <v>2755.7692307692309</v>
      </c>
      <c r="AE580" s="2">
        <f ca="1">IF(HEVARIM[[#This Row],[בת מצוה]]&gt;0,YEAR(TODAY())+'תקציבים מיוחדים'!$F$5-HEVARIM[[#This Row],[גיל]],0)</f>
        <v>2034</v>
      </c>
      <c r="AF580" s="1">
        <f>IF(AND($S580&gt;="רווק",$Z580=1),AF$4*IF(HEVARIM[[#This Row],[גיל]]&gt;$AF$3,1,(($G580-AF$2)/(AF$3-AF$2))),0)</f>
        <v>14407.738095238094</v>
      </c>
      <c r="AG580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580" s="1">
        <f t="shared" si="35"/>
        <v>25140.119047619046</v>
      </c>
      <c r="AI580" s="2">
        <f ca="1">IF(AH580&gt;0,YEAR(TODAY())+'תקציבים מיוחדים'!$F$7-HEVARIM[[#This Row],[גיל]],0)</f>
        <v>2042</v>
      </c>
      <c r="AJ580" s="9">
        <f>IF(AND(ISERROR(VLOOKUP(H580,'[2]ריכוז נתונים'!A:L,1,0)),P580="1     "),1,0)</f>
        <v>0</v>
      </c>
      <c r="AK58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0" s="1">
        <f>IF(AND(VALUE(HEVARIM[[#This Row],[קוד מעמד]])=1,HEVARIM[[#This Row],[ותק מחברה 40]]&lt;25),HEVARIM[[#This Row],[ותק מחברה 40]]/25*הנחות!$C$4,0)</f>
        <v>0</v>
      </c>
      <c r="AM580" s="9" t="str">
        <f ca="1">IF(HEVARIM[[#This Row],[דמי עזיבה 25 שנות ותק]]&gt;0,YEAR(TODAY())+25-ROUNDDOWN(HEVARIM[[#This Row],[ותק מחברה 40]],0),"")</f>
        <v/>
      </c>
      <c r="AN5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0" s="9" t="str">
        <f ca="1">IF(HEVARIM[[#This Row],[דמי עזיבה לגיל 65]]&gt;0,YEAR(TODAY())+64-ROUNDDOWN(HEVARIM[[#This Row],[גיל]],0),"")</f>
        <v/>
      </c>
      <c r="AP580" s="1">
        <f>SUMIF(HEVARIM[קוד תקציב],HEVARIM[[#This Row],[קוד תקציב משפחה מקורי]],HEVARIM[ותק מחברה 40])</f>
        <v>6.38</v>
      </c>
      <c r="AQ5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0" s="9">
        <f>IF(HEVARIM[[#This Row],[קוד מעמד]]="1     ",IFERROR(VLOOKUP(HEVARIM[[#This Row],[קוד תקציב]],'תקציב צביעה - לקראת השינוי'!A:F,4,0),0),0)</f>
        <v>0</v>
      </c>
      <c r="AT580" s="1"/>
    </row>
    <row r="581" spans="1:46">
      <c r="A581" t="s">
        <v>2770</v>
      </c>
      <c r="B581" t="s">
        <v>2771</v>
      </c>
      <c r="C581" t="s">
        <v>2752</v>
      </c>
      <c r="D581" t="s">
        <v>2772</v>
      </c>
      <c r="E581" t="s">
        <v>67</v>
      </c>
      <c r="F581" s="4">
        <v>45321</v>
      </c>
      <c r="G581">
        <v>1</v>
      </c>
      <c r="H581" t="s">
        <v>2753</v>
      </c>
      <c r="I581" t="s">
        <v>2754</v>
      </c>
      <c r="J581" s="4" t="s">
        <v>70</v>
      </c>
      <c r="K581" s="4" t="s">
        <v>71</v>
      </c>
      <c r="L581" t="s">
        <v>2773</v>
      </c>
      <c r="M581" t="s">
        <v>2750</v>
      </c>
      <c r="N581" t="s">
        <v>2751</v>
      </c>
      <c r="O581">
        <f>IFERROR(VLOOKUP(HEVARIM[[#This Row],[קוד תקציב]],[2]תקציבים!A:L,6,0),0)</f>
        <v>2</v>
      </c>
      <c r="P581" s="5" t="s">
        <v>227</v>
      </c>
      <c r="Q581" t="s">
        <v>14</v>
      </c>
      <c r="R581" s="4">
        <v>45321</v>
      </c>
      <c r="S581" s="4" t="s">
        <v>90</v>
      </c>
      <c r="T581" s="96" t="s">
        <v>2753</v>
      </c>
      <c r="U581" t="str">
        <f>VLOOKUP(HEVARIM[[#This Row],[גיל]],GIL,2,1)</f>
        <v>פעוט</v>
      </c>
      <c r="V581">
        <f>IF(HEVARIM[[#This Row],[קוד מעמד]]="4     ",IF(HEVARIM[[#This Row],[גיל]]=1,1,IF(HEVARIM[[#This Row],[גיל]]&lt;=5,5,18)),"")</f>
        <v>1</v>
      </c>
      <c r="W581">
        <f t="shared" si="32"/>
        <v>0</v>
      </c>
      <c r="X58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1">
        <f>IF(HEVARIM[[#This Row],[מצב משפחתי2]]="אלמן",'[2]ריכוז נתונים'!$AC$2,0)</f>
        <v>0</v>
      </c>
      <c r="Z581" s="3">
        <f>VLOOKUP(VALUE(HEVARIM[[#This Row],[קוד מעמד]]),הנחות!$I$2:$K$21,3,0)</f>
        <v>1</v>
      </c>
      <c r="AA581" t="b">
        <f>ISERROR(VLOOKUP(HEVARIM[[#This Row],[קוד תקציב]],'[2]ריכוז נתונים'!A:A,1,0))</f>
        <v>0</v>
      </c>
      <c r="AB581" s="1">
        <f t="shared" si="33"/>
        <v>551.15384615384619</v>
      </c>
      <c r="AC581" s="2">
        <f ca="1">IF(HEVARIM[[#This Row],[בר מצוה]]&gt;0,YEAR(TODAY())+'תקציבים מיוחדים'!$F$5-HEVARIM[[#This Row],[גיל]],0)</f>
        <v>2038</v>
      </c>
      <c r="AD581" s="1">
        <f t="shared" si="34"/>
        <v>0</v>
      </c>
      <c r="AE581" s="2">
        <f ca="1">IF(HEVARIM[[#This Row],[בת מצוה]]&gt;0,YEAR(TODAY())+'תקציבים מיוחדים'!$F$5-HEVARIM[[#This Row],[גיל]],0)</f>
        <v>0</v>
      </c>
      <c r="AF581" s="1">
        <f>IF(AND($S581&gt;="רווק",$Z581=1),AF$4*IF(HEVARIM[[#This Row],[גיל]]&gt;$AF$3,1,(($G581-AF$2)/(AF$3-AF$2))),0)</f>
        <v>2881.5476190476188</v>
      </c>
      <c r="AG581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581" s="1">
        <f t="shared" si="35"/>
        <v>5028.0238095238092</v>
      </c>
      <c r="AI581" s="2">
        <f ca="1">IF(AH581&gt;0,YEAR(TODAY())+'תקציבים מיוחדים'!$F$7-HEVARIM[[#This Row],[גיל]],0)</f>
        <v>2046</v>
      </c>
      <c r="AJ581" s="9">
        <f>IF(AND(ISERROR(VLOOKUP(H581,'[2]ריכוז נתונים'!A:L,1,0)),P581="1     "),1,0)</f>
        <v>0</v>
      </c>
      <c r="AK58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1" s="1">
        <f>IF(AND(VALUE(HEVARIM[[#This Row],[קוד מעמד]])=1,HEVARIM[[#This Row],[ותק מחברה 40]]&lt;25),HEVARIM[[#This Row],[ותק מחברה 40]]/25*הנחות!$C$4,0)</f>
        <v>0</v>
      </c>
      <c r="AM581" s="9" t="str">
        <f ca="1">IF(HEVARIM[[#This Row],[דמי עזיבה 25 שנות ותק]]&gt;0,YEAR(TODAY())+25-ROUNDDOWN(HEVARIM[[#This Row],[ותק מחברה 40]],0),"")</f>
        <v/>
      </c>
      <c r="AN5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1" s="9" t="str">
        <f ca="1">IF(HEVARIM[[#This Row],[דמי עזיבה לגיל 65]]&gt;0,YEAR(TODAY())+64-ROUNDDOWN(HEVARIM[[#This Row],[גיל]],0),"")</f>
        <v/>
      </c>
      <c r="AP581" s="1">
        <f>SUMIF(HEVARIM[קוד תקציב],HEVARIM[[#This Row],[קוד תקציב משפחה מקורי]],HEVARIM[ותק מחברה 40])</f>
        <v>6.38</v>
      </c>
      <c r="AQ5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1" s="9">
        <f>IF(HEVARIM[[#This Row],[קוד מעמד]]="1     ",IFERROR(VLOOKUP(HEVARIM[[#This Row],[קוד תקציב]],'תקציב צביעה - לקראת השינוי'!A:F,4,0),0),0)</f>
        <v>0</v>
      </c>
      <c r="AT581" s="1"/>
    </row>
    <row r="582" spans="1:46">
      <c r="A582" t="s">
        <v>2789</v>
      </c>
      <c r="B582" t="s">
        <v>2790</v>
      </c>
      <c r="C582" t="s">
        <v>2780</v>
      </c>
      <c r="D582" t="s">
        <v>2791</v>
      </c>
      <c r="E582" t="s">
        <v>79</v>
      </c>
      <c r="F582" s="4">
        <v>43639</v>
      </c>
      <c r="G582">
        <v>6</v>
      </c>
      <c r="H582" t="s">
        <v>2782</v>
      </c>
      <c r="I582" t="s">
        <v>2783</v>
      </c>
      <c r="J582" s="4" t="s">
        <v>70</v>
      </c>
      <c r="K582" s="4" t="s">
        <v>454</v>
      </c>
      <c r="L582" t="s">
        <v>2792</v>
      </c>
      <c r="M582" t="s">
        <v>2778</v>
      </c>
      <c r="N582" t="s">
        <v>2779</v>
      </c>
      <c r="O582">
        <f>IFERROR(VLOOKUP(HEVARIM[[#This Row],[קוד תקציב]],[2]תקציבים!A:L,6,0),0)</f>
        <v>2</v>
      </c>
      <c r="P582" s="5" t="s">
        <v>227</v>
      </c>
      <c r="Q582" t="s">
        <v>14</v>
      </c>
      <c r="R582" s="4">
        <v>44743</v>
      </c>
      <c r="S582" s="4" t="s">
        <v>90</v>
      </c>
      <c r="T582" s="96" t="s">
        <v>2782</v>
      </c>
      <c r="U582" t="str">
        <f>VLOOKUP(HEVARIM[[#This Row],[גיל]],GIL,2,1)</f>
        <v>יסודי</v>
      </c>
      <c r="V582">
        <f>IF(HEVARIM[[#This Row],[קוד מעמד]]="4     ",IF(HEVARIM[[#This Row],[גיל]]=1,1,IF(HEVARIM[[#This Row],[גיל]]&lt;=5,5,18)),"")</f>
        <v>18</v>
      </c>
      <c r="W582">
        <f t="shared" ref="W582:W645" si="36">IF(G582&lt;67,0,
 IF(O582=1,
   IF(G582&gt;=80,1896-231,1795-231),
 IF(O582=2,
   IF(G582&gt;=80,2899-332,2697-332),
 0))
)</f>
        <v>0</v>
      </c>
      <c r="X58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2">
        <f>IF(HEVARIM[[#This Row],[מצב משפחתי2]]="אלמן",'[2]ריכוז נתונים'!$AC$2,0)</f>
        <v>0</v>
      </c>
      <c r="Z582" s="3">
        <f>VLOOKUP(VALUE(HEVARIM[[#This Row],[קוד מעמד]]),הנחות!$I$2:$K$21,3,0)</f>
        <v>1</v>
      </c>
      <c r="AA582" t="b">
        <f>ISERROR(VLOOKUP(HEVARIM[[#This Row],[קוד תקציב]],'[2]ריכוז נתונים'!A:A,1,0))</f>
        <v>0</v>
      </c>
      <c r="AB582" s="1">
        <f t="shared" ref="AB582:AB645" si="37">IF(AND($G582&gt;=AC$2,$G582&lt;=AC$3,$E582="ז ",$Z582=1),AC$4*(($G582-AC$2)/(AC$3-AC$2)),0)</f>
        <v>0</v>
      </c>
      <c r="AC582" s="2">
        <f ca="1">IF(HEVARIM[[#This Row],[בר מצוה]]&gt;0,YEAR(TODAY())+'תקציבים מיוחדים'!$F$5-HEVARIM[[#This Row],[גיל]],0)</f>
        <v>0</v>
      </c>
      <c r="AD582" s="1">
        <f t="shared" ref="AD582:AD645" si="38">IF(AND($G582&gt;=AE$2,$G582&lt;=AE$3,$E582="נ ",$Z582=1),AE$4*(($G582-AE$2)/(AE$3-AE$2)),0)</f>
        <v>3306.9230769230771</v>
      </c>
      <c r="AE582" s="2">
        <f ca="1">IF(HEVARIM[[#This Row],[בת מצוה]]&gt;0,YEAR(TODAY())+'תקציבים מיוחדים'!$F$5-HEVARIM[[#This Row],[גיל]],0)</f>
        <v>2033</v>
      </c>
      <c r="AF582" s="1">
        <f>IF(AND($S582&gt;="רווק",$Z582=1),AF$4*IF(HEVARIM[[#This Row],[גיל]]&gt;$AF$3,1,(($G582-AF$2)/(AF$3-AF$2))),0)</f>
        <v>17289.285714285714</v>
      </c>
      <c r="AG582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582" s="1">
        <f t="shared" ref="AH582:AH645" si="39">IF(AND($G582&gt;=AI$2,$G582&lt;=AI$3,$Z582=1),AI$4*(($G582-AI$2)/(AI$3-AI$2)),0)</f>
        <v>30168.142857142855</v>
      </c>
      <c r="AI582" s="2">
        <f ca="1">IF(AH582&gt;0,YEAR(TODAY())+'תקציבים מיוחדים'!$F$7-HEVARIM[[#This Row],[גיל]],0)</f>
        <v>2041</v>
      </c>
      <c r="AJ582" s="9">
        <f>IF(AND(ISERROR(VLOOKUP(H582,'[2]ריכוז נתונים'!A:L,1,0)),P582="1     "),1,0)</f>
        <v>0</v>
      </c>
      <c r="AK58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2" s="1">
        <f>IF(AND(VALUE(HEVARIM[[#This Row],[קוד מעמד]])=1,HEVARIM[[#This Row],[ותק מחברה 40]]&lt;25),HEVARIM[[#This Row],[ותק מחברה 40]]/25*הנחות!$C$4,0)</f>
        <v>0</v>
      </c>
      <c r="AM582" s="9" t="str">
        <f ca="1">IF(HEVARIM[[#This Row],[דמי עזיבה 25 שנות ותק]]&gt;0,YEAR(TODAY())+25-ROUNDDOWN(HEVARIM[[#This Row],[ותק מחברה 40]],0),"")</f>
        <v/>
      </c>
      <c r="AN5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2" s="9" t="str">
        <f ca="1">IF(HEVARIM[[#This Row],[דמי עזיבה לגיל 65]]&gt;0,YEAR(TODAY())+64-ROUNDDOWN(HEVARIM[[#This Row],[גיל]],0),"")</f>
        <v/>
      </c>
      <c r="AP582" s="1">
        <f>SUMIF(HEVARIM[קוד תקציב],HEVARIM[[#This Row],[קוד תקציב משפחה מקורי]],HEVARIM[ותק מחברה 40])</f>
        <v>6.38</v>
      </c>
      <c r="AQ5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2" s="9">
        <f>IF(HEVARIM[[#This Row],[קוד מעמד]]="1     ",IFERROR(VLOOKUP(HEVARIM[[#This Row],[קוד תקציב]],'תקציב צביעה - לקראת השינוי'!A:F,4,0),0),0)</f>
        <v>0</v>
      </c>
      <c r="AT582" s="1"/>
    </row>
    <row r="583" spans="1:46">
      <c r="A583" t="s">
        <v>2793</v>
      </c>
      <c r="B583" t="s">
        <v>2794</v>
      </c>
      <c r="C583" t="s">
        <v>2780</v>
      </c>
      <c r="D583" t="s">
        <v>2795</v>
      </c>
      <c r="E583" t="s">
        <v>79</v>
      </c>
      <c r="F583" s="4">
        <v>44606</v>
      </c>
      <c r="G583">
        <v>3</v>
      </c>
      <c r="H583" t="s">
        <v>2782</v>
      </c>
      <c r="I583" t="s">
        <v>2783</v>
      </c>
      <c r="J583" s="4" t="s">
        <v>70</v>
      </c>
      <c r="K583" s="4" t="s">
        <v>454</v>
      </c>
      <c r="L583" t="s">
        <v>2796</v>
      </c>
      <c r="M583" t="s">
        <v>2778</v>
      </c>
      <c r="N583" t="s">
        <v>2779</v>
      </c>
      <c r="O583">
        <f>IFERROR(VLOOKUP(HEVARIM[[#This Row],[קוד תקציב]],[2]תקציבים!A:L,6,0),0)</f>
        <v>2</v>
      </c>
      <c r="P583" s="5" t="s">
        <v>227</v>
      </c>
      <c r="Q583" t="s">
        <v>14</v>
      </c>
      <c r="R583" s="4">
        <v>44743</v>
      </c>
      <c r="S583" s="4" t="s">
        <v>90</v>
      </c>
      <c r="T583" s="96" t="s">
        <v>2782</v>
      </c>
      <c r="U583" t="str">
        <f>VLOOKUP(HEVARIM[[#This Row],[גיל]],GIL,2,1)</f>
        <v>גנים</v>
      </c>
      <c r="V583">
        <f>IF(HEVARIM[[#This Row],[קוד מעמד]]="4     ",IF(HEVARIM[[#This Row],[גיל]]=1,1,IF(HEVARIM[[#This Row],[גיל]]&lt;=5,5,18)),"")</f>
        <v>5</v>
      </c>
      <c r="W583">
        <f t="shared" si="36"/>
        <v>0</v>
      </c>
      <c r="X58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3">
        <f>IF(HEVARIM[[#This Row],[מצב משפחתי2]]="אלמן",'[2]ריכוז נתונים'!$AC$2,0)</f>
        <v>0</v>
      </c>
      <c r="Z583" s="3">
        <f>VLOOKUP(VALUE(HEVARIM[[#This Row],[קוד מעמד]]),הנחות!$I$2:$K$21,3,0)</f>
        <v>1</v>
      </c>
      <c r="AA583" t="b">
        <f>ISERROR(VLOOKUP(HEVARIM[[#This Row],[קוד תקציב]],'[2]ריכוז נתונים'!A:A,1,0))</f>
        <v>0</v>
      </c>
      <c r="AB583" s="1">
        <f t="shared" si="37"/>
        <v>0</v>
      </c>
      <c r="AC583" s="2">
        <f ca="1">IF(HEVARIM[[#This Row],[בר מצוה]]&gt;0,YEAR(TODAY())+'תקציבים מיוחדים'!$F$5-HEVARIM[[#This Row],[גיל]],0)</f>
        <v>0</v>
      </c>
      <c r="AD583" s="1">
        <f t="shared" si="38"/>
        <v>1653.4615384615386</v>
      </c>
      <c r="AE583" s="2">
        <f ca="1">IF(HEVARIM[[#This Row],[בת מצוה]]&gt;0,YEAR(TODAY())+'תקציבים מיוחדים'!$F$5-HEVARIM[[#This Row],[גיל]],0)</f>
        <v>2036</v>
      </c>
      <c r="AF583" s="1">
        <f>IF(AND($S583&gt;="רווק",$Z583=1),AF$4*IF(HEVARIM[[#This Row],[גיל]]&gt;$AF$3,1,(($G583-AF$2)/(AF$3-AF$2))),0)</f>
        <v>8644.6428571428569</v>
      </c>
      <c r="AG583" s="2">
        <f ca="1">IF(HEVARIM[[#This Row],[מענק חתונה]]&gt;0,IF(HEVARIM[[#This Row],[גיל]]&gt;'תקציבים מיוחדים'!$F$6,2025,YEAR(TODAY())+'תקציבים מיוחדים'!$F$6-HEVARIM[[#This Row],[גיל]]),0)</f>
        <v>2044</v>
      </c>
      <c r="AH583" s="1">
        <f t="shared" si="39"/>
        <v>15084.071428571428</v>
      </c>
      <c r="AI583" s="2">
        <f ca="1">IF(AH583&gt;0,YEAR(TODAY())+'תקציבים מיוחדים'!$F$7-HEVARIM[[#This Row],[גיל]],0)</f>
        <v>2044</v>
      </c>
      <c r="AJ583" s="9">
        <f>IF(AND(ISERROR(VLOOKUP(H583,'[2]ריכוז נתונים'!A:L,1,0)),P583="1     "),1,0)</f>
        <v>0</v>
      </c>
      <c r="AK58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3" s="1">
        <f>IF(AND(VALUE(HEVARIM[[#This Row],[קוד מעמד]])=1,HEVARIM[[#This Row],[ותק מחברה 40]]&lt;25),HEVARIM[[#This Row],[ותק מחברה 40]]/25*הנחות!$C$4,0)</f>
        <v>0</v>
      </c>
      <c r="AM583" s="9" t="str">
        <f ca="1">IF(HEVARIM[[#This Row],[דמי עזיבה 25 שנות ותק]]&gt;0,YEAR(TODAY())+25-ROUNDDOWN(HEVARIM[[#This Row],[ותק מחברה 40]],0),"")</f>
        <v/>
      </c>
      <c r="AN5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3" s="9" t="str">
        <f ca="1">IF(HEVARIM[[#This Row],[דמי עזיבה לגיל 65]]&gt;0,YEAR(TODAY())+64-ROUNDDOWN(HEVARIM[[#This Row],[גיל]],0),"")</f>
        <v/>
      </c>
      <c r="AP583" s="1">
        <f>SUMIF(HEVARIM[קוד תקציב],HEVARIM[[#This Row],[קוד תקציב משפחה מקורי]],HEVARIM[ותק מחברה 40])</f>
        <v>6.38</v>
      </c>
      <c r="AQ5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3" s="9">
        <f>IF(HEVARIM[[#This Row],[קוד מעמד]]="1     ",IFERROR(VLOOKUP(HEVARIM[[#This Row],[קוד תקציב]],'תקציב צביעה - לקראת השינוי'!A:F,4,0),0),0)</f>
        <v>0</v>
      </c>
      <c r="AT583" s="1"/>
    </row>
    <row r="584" spans="1:46">
      <c r="A584" t="s">
        <v>2797</v>
      </c>
      <c r="B584" t="s">
        <v>2798</v>
      </c>
      <c r="C584" t="s">
        <v>2780</v>
      </c>
      <c r="D584" t="s">
        <v>2799</v>
      </c>
      <c r="E584" t="s">
        <v>67</v>
      </c>
      <c r="F584" s="4">
        <v>45031</v>
      </c>
      <c r="G584">
        <v>2</v>
      </c>
      <c r="H584" t="s">
        <v>2782</v>
      </c>
      <c r="I584" t="s">
        <v>2783</v>
      </c>
      <c r="J584" s="4" t="s">
        <v>70</v>
      </c>
      <c r="K584" s="4" t="s">
        <v>454</v>
      </c>
      <c r="L584" t="s">
        <v>2800</v>
      </c>
      <c r="M584" t="s">
        <v>2778</v>
      </c>
      <c r="N584" t="s">
        <v>2779</v>
      </c>
      <c r="O584">
        <f>IFERROR(VLOOKUP(HEVARIM[[#This Row],[קוד תקציב]],[2]תקציבים!A:L,6,0),0)</f>
        <v>2</v>
      </c>
      <c r="P584" s="5" t="s">
        <v>227</v>
      </c>
      <c r="Q584" t="s">
        <v>14</v>
      </c>
      <c r="R584" s="4">
        <v>45031</v>
      </c>
      <c r="S584" s="4" t="s">
        <v>90</v>
      </c>
      <c r="T584" s="96" t="s">
        <v>2782</v>
      </c>
      <c r="U584" t="str">
        <f>VLOOKUP(HEVARIM[[#This Row],[גיל]],GIL,2,1)</f>
        <v>פעוט</v>
      </c>
      <c r="V584">
        <f>IF(HEVARIM[[#This Row],[קוד מעמד]]="4     ",IF(HEVARIM[[#This Row],[גיל]]=1,1,IF(HEVARIM[[#This Row],[גיל]]&lt;=5,5,18)),"")</f>
        <v>5</v>
      </c>
      <c r="W584">
        <f t="shared" si="36"/>
        <v>0</v>
      </c>
      <c r="X58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4">
        <f>IF(HEVARIM[[#This Row],[מצב משפחתי2]]="אלמן",'[2]ריכוז נתונים'!$AC$2,0)</f>
        <v>0</v>
      </c>
      <c r="Z584" s="3">
        <f>VLOOKUP(VALUE(HEVARIM[[#This Row],[קוד מעמד]]),הנחות!$I$2:$K$21,3,0)</f>
        <v>1</v>
      </c>
      <c r="AA584" t="b">
        <f>ISERROR(VLOOKUP(HEVARIM[[#This Row],[קוד תקציב]],'[2]ריכוז נתונים'!A:A,1,0))</f>
        <v>0</v>
      </c>
      <c r="AB584" s="1">
        <f t="shared" si="37"/>
        <v>1102.3076923076924</v>
      </c>
      <c r="AC584" s="2">
        <f ca="1">IF(HEVARIM[[#This Row],[בר מצוה]]&gt;0,YEAR(TODAY())+'תקציבים מיוחדים'!$F$5-HEVARIM[[#This Row],[גיל]],0)</f>
        <v>2037</v>
      </c>
      <c r="AD584" s="1">
        <f t="shared" si="38"/>
        <v>0</v>
      </c>
      <c r="AE584" s="2">
        <f ca="1">IF(HEVARIM[[#This Row],[בת מצוה]]&gt;0,YEAR(TODAY())+'תקציבים מיוחדים'!$F$5-HEVARIM[[#This Row],[גיל]],0)</f>
        <v>0</v>
      </c>
      <c r="AF584" s="1">
        <f>IF(AND($S584&gt;="רווק",$Z584=1),AF$4*IF(HEVARIM[[#This Row],[גיל]]&gt;$AF$3,1,(($G584-AF$2)/(AF$3-AF$2))),0)</f>
        <v>5763.0952380952376</v>
      </c>
      <c r="AG584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584" s="1">
        <f t="shared" si="39"/>
        <v>10056.047619047618</v>
      </c>
      <c r="AI584" s="2">
        <f ca="1">IF(AH584&gt;0,YEAR(TODAY())+'תקציבים מיוחדים'!$F$7-HEVARIM[[#This Row],[גיל]],0)</f>
        <v>2045</v>
      </c>
      <c r="AJ584" s="9">
        <f>IF(AND(ISERROR(VLOOKUP(H584,'[2]ריכוז נתונים'!A:L,1,0)),P584="1     "),1,0)</f>
        <v>0</v>
      </c>
      <c r="AK58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4" s="1">
        <f>IF(AND(VALUE(HEVARIM[[#This Row],[קוד מעמד]])=1,HEVARIM[[#This Row],[ותק מחברה 40]]&lt;25),HEVARIM[[#This Row],[ותק מחברה 40]]/25*הנחות!$C$4,0)</f>
        <v>0</v>
      </c>
      <c r="AM584" s="9" t="str">
        <f ca="1">IF(HEVARIM[[#This Row],[דמי עזיבה 25 שנות ותק]]&gt;0,YEAR(TODAY())+25-ROUNDDOWN(HEVARIM[[#This Row],[ותק מחברה 40]],0),"")</f>
        <v/>
      </c>
      <c r="AN58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4" s="9" t="str">
        <f ca="1">IF(HEVARIM[[#This Row],[דמי עזיבה לגיל 65]]&gt;0,YEAR(TODAY())+64-ROUNDDOWN(HEVARIM[[#This Row],[גיל]],0),"")</f>
        <v/>
      </c>
      <c r="AP584" s="1">
        <f>SUMIF(HEVARIM[קוד תקציב],HEVARIM[[#This Row],[קוד תקציב משפחה מקורי]],HEVARIM[ותק מחברה 40])</f>
        <v>6.38</v>
      </c>
      <c r="AQ5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4" s="9">
        <f>IF(HEVARIM[[#This Row],[קוד מעמד]]="1     ",IFERROR(VLOOKUP(HEVARIM[[#This Row],[קוד תקציב]],'תקציב צביעה - לקראת השינוי'!A:F,4,0),0),0)</f>
        <v>0</v>
      </c>
      <c r="AT584" s="1"/>
    </row>
    <row r="585" spans="1:46">
      <c r="A585" t="s">
        <v>2778</v>
      </c>
      <c r="B585" t="s">
        <v>2779</v>
      </c>
      <c r="C585" t="s">
        <v>2780</v>
      </c>
      <c r="D585" t="s">
        <v>2781</v>
      </c>
      <c r="E585" t="s">
        <v>67</v>
      </c>
      <c r="F585" s="4">
        <v>35728</v>
      </c>
      <c r="G585">
        <v>28</v>
      </c>
      <c r="H585" t="s">
        <v>2782</v>
      </c>
      <c r="I585" t="s">
        <v>2783</v>
      </c>
      <c r="J585" s="4" t="s">
        <v>70</v>
      </c>
      <c r="K585" s="4" t="s">
        <v>454</v>
      </c>
      <c r="L585" t="s">
        <v>2784</v>
      </c>
      <c r="M585" t="s">
        <v>2778</v>
      </c>
      <c r="N585" t="s">
        <v>2779</v>
      </c>
      <c r="O585">
        <f>IFERROR(VLOOKUP(HEVARIM[[#This Row],[קוד תקציב]],[2]תקציבים!A:L,6,0),0)</f>
        <v>2</v>
      </c>
      <c r="P585" s="5" t="s">
        <v>104</v>
      </c>
      <c r="Q585" t="s">
        <v>11</v>
      </c>
      <c r="R585" s="4">
        <v>45495</v>
      </c>
      <c r="S585" s="4" t="s">
        <v>74</v>
      </c>
      <c r="T585" s="96" t="s">
        <v>2782</v>
      </c>
      <c r="U585" t="str">
        <f>VLOOKUP(HEVARIM[[#This Row],[גיל]],GIL,2,1)</f>
        <v>--</v>
      </c>
      <c r="V585" t="str">
        <f>IF(HEVARIM[[#This Row],[קוד מעמד]]="4     ",IF(HEVARIM[[#This Row],[גיל]]=1,1,IF(HEVARIM[[#This Row],[גיל]]&lt;=5,5,18)),"")</f>
        <v/>
      </c>
      <c r="W585">
        <f t="shared" si="36"/>
        <v>0</v>
      </c>
      <c r="X58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5">
        <f>IF(HEVARIM[[#This Row],[מצב משפחתי2]]="אלמן",'[2]ריכוז נתונים'!$AC$2,0)</f>
        <v>0</v>
      </c>
      <c r="Z585" s="3">
        <f>VLOOKUP(VALUE(HEVARIM[[#This Row],[קוד מעמד]]),הנחות!$I$2:$K$21,3,0)</f>
        <v>0</v>
      </c>
      <c r="AA585" t="b">
        <f>ISERROR(VLOOKUP(HEVARIM[[#This Row],[קוד תקציב]],'[2]ריכוז נתונים'!A:A,1,0))</f>
        <v>0</v>
      </c>
      <c r="AB585" s="1">
        <f t="shared" si="37"/>
        <v>0</v>
      </c>
      <c r="AC585" s="2">
        <f ca="1">IF(HEVARIM[[#This Row],[בר מצוה]]&gt;0,YEAR(TODAY())+'תקציבים מיוחדים'!$F$5-HEVARIM[[#This Row],[גיל]],0)</f>
        <v>0</v>
      </c>
      <c r="AD585" s="1">
        <f t="shared" si="38"/>
        <v>0</v>
      </c>
      <c r="AE585" s="2">
        <f ca="1">IF(HEVARIM[[#This Row],[בת מצוה]]&gt;0,YEAR(TODAY())+'תקציבים מיוחדים'!$F$5-HEVARIM[[#This Row],[גיל]],0)</f>
        <v>0</v>
      </c>
      <c r="AF585" s="1">
        <f>IF(AND($S585&gt;="רווק",$Z585=1),AF$4*IF(HEVARIM[[#This Row],[גיל]]&gt;$AF$3,1,(($G585-AF$2)/(AF$3-AF$2))),0)</f>
        <v>0</v>
      </c>
      <c r="AG58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85" s="1">
        <f t="shared" si="39"/>
        <v>0</v>
      </c>
      <c r="AI585" s="2">
        <f ca="1">IF(AH585&gt;0,YEAR(TODAY())+'תקציבים מיוחדים'!$F$7-HEVARIM[[#This Row],[גיל]],0)</f>
        <v>0</v>
      </c>
      <c r="AJ585" s="9">
        <f>IF(AND(ISERROR(VLOOKUP(H585,'[2]ריכוז נתונים'!A:L,1,0)),P585="1     "),1,0)</f>
        <v>0</v>
      </c>
      <c r="AK585" s="1">
        <f>IF(VALUE(HEVARIM[[#This Row],[קוד מעמד]])=1,VLOOKUP((IF(LEFT(HEVARIM[[#This Row],[קוד חבר]],1)="0",HEVARIM[[#This Row],[קוד חבר]],VALUE(HEVARIM[[#This Row],[קוד חבר]]))),'ותק חברה 40'!AQ:AW,7,0),"")</f>
        <v>3.19</v>
      </c>
      <c r="AL585" s="1">
        <f>IF(AND(VALUE(HEVARIM[[#This Row],[קוד מעמד]])=1,HEVARIM[[#This Row],[ותק מחברה 40]]&lt;25),HEVARIM[[#This Row],[ותק מחברה 40]]/25*הנחות!$C$4,0)</f>
        <v>4789.4165549999989</v>
      </c>
      <c r="AM585" s="9">
        <f ca="1">IF(HEVARIM[[#This Row],[דמי עזיבה 25 שנות ותק]]&gt;0,YEAR(TODAY())+25-ROUNDDOWN(HEVARIM[[#This Row],[ותק מחברה 40]],0),"")</f>
        <v>2048</v>
      </c>
      <c r="AN58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5" s="9" t="str">
        <f ca="1">IF(HEVARIM[[#This Row],[דמי עזיבה לגיל 65]]&gt;0,YEAR(TODAY())+64-ROUNDDOWN(HEVARIM[[#This Row],[גיל]],0),"")</f>
        <v/>
      </c>
      <c r="AP585" s="1">
        <f>SUMIF(HEVARIM[קוד תקציב],HEVARIM[[#This Row],[קוד תקציב משפחה מקורי]],HEVARIM[ותק מחברה 40])</f>
        <v>6.38</v>
      </c>
      <c r="AQ5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5" s="9">
        <f>IF(HEVARIM[[#This Row],[קוד מעמד]]="1     ",IFERROR(VLOOKUP(HEVARIM[[#This Row],[קוד תקציב]],'תקציב צביעה - לקראת השינוי'!A:F,4,0),0),0)</f>
        <v>0</v>
      </c>
      <c r="AT585" s="1"/>
    </row>
    <row r="586" spans="1:46">
      <c r="A586" t="s">
        <v>2875</v>
      </c>
      <c r="B586" t="s">
        <v>2876</v>
      </c>
      <c r="C586" t="s">
        <v>918</v>
      </c>
      <c r="D586" t="s">
        <v>2877</v>
      </c>
      <c r="E586" t="s">
        <v>67</v>
      </c>
      <c r="F586" s="4">
        <v>33331</v>
      </c>
      <c r="G586">
        <v>34</v>
      </c>
      <c r="H586" t="s">
        <v>2878</v>
      </c>
      <c r="I586" t="s">
        <v>2879</v>
      </c>
      <c r="J586" s="4" t="s">
        <v>70</v>
      </c>
      <c r="K586" s="4" t="s">
        <v>71</v>
      </c>
      <c r="L586" t="s">
        <v>2880</v>
      </c>
      <c r="M586" t="s">
        <v>2875</v>
      </c>
      <c r="N586" t="s">
        <v>2876</v>
      </c>
      <c r="O586">
        <f>IFERROR(VLOOKUP(HEVARIM[[#This Row],[קוד תקציב]],[2]תקציבים!A:L,6,0),0)</f>
        <v>2</v>
      </c>
      <c r="P586" s="5" t="s">
        <v>104</v>
      </c>
      <c r="Q586" t="s">
        <v>11</v>
      </c>
      <c r="R586" s="4">
        <v>45621</v>
      </c>
      <c r="S586" s="4" t="s">
        <v>74</v>
      </c>
      <c r="T586" s="96" t="s">
        <v>2878</v>
      </c>
      <c r="U586" t="str">
        <f>VLOOKUP(HEVARIM[[#This Row],[גיל]],GIL,2,1)</f>
        <v>--</v>
      </c>
      <c r="V586" t="str">
        <f>IF(HEVARIM[[#This Row],[קוד מעמד]]="4     ",IF(HEVARIM[[#This Row],[גיל]]=1,1,IF(HEVARIM[[#This Row],[גיל]]&lt;=5,5,18)),"")</f>
        <v/>
      </c>
      <c r="W586">
        <f t="shared" si="36"/>
        <v>0</v>
      </c>
      <c r="X58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6">
        <f>IF(HEVARIM[[#This Row],[מצב משפחתי2]]="אלמן",'[2]ריכוז נתונים'!$AC$2,0)</f>
        <v>0</v>
      </c>
      <c r="Z586" s="3">
        <f>VLOOKUP(VALUE(HEVARIM[[#This Row],[קוד מעמד]]),הנחות!$I$2:$K$21,3,0)</f>
        <v>0</v>
      </c>
      <c r="AA586" t="b">
        <f>ISERROR(VLOOKUP(HEVARIM[[#This Row],[קוד תקציב]],'[2]ריכוז נתונים'!A:A,1,0))</f>
        <v>0</v>
      </c>
      <c r="AB586" s="1">
        <f t="shared" si="37"/>
        <v>0</v>
      </c>
      <c r="AC586" s="2">
        <f ca="1">IF(HEVARIM[[#This Row],[בר מצוה]]&gt;0,YEAR(TODAY())+'תקציבים מיוחדים'!$F$5-HEVARIM[[#This Row],[גיל]],0)</f>
        <v>0</v>
      </c>
      <c r="AD586" s="1">
        <f t="shared" si="38"/>
        <v>0</v>
      </c>
      <c r="AE586" s="2">
        <f ca="1">IF(HEVARIM[[#This Row],[בת מצוה]]&gt;0,YEAR(TODAY())+'תקציבים מיוחדים'!$F$5-HEVARIM[[#This Row],[גיל]],0)</f>
        <v>0</v>
      </c>
      <c r="AF586" s="1">
        <f>IF(AND($S586&gt;="רווק",$Z586=1),AF$4*IF(HEVARIM[[#This Row],[גיל]]&gt;$AF$3,1,(($G586-AF$2)/(AF$3-AF$2))),0)</f>
        <v>0</v>
      </c>
      <c r="AG58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86" s="1">
        <f t="shared" si="39"/>
        <v>0</v>
      </c>
      <c r="AI586" s="2">
        <f ca="1">IF(AH586&gt;0,YEAR(TODAY())+'תקציבים מיוחדים'!$F$7-HEVARIM[[#This Row],[גיל]],0)</f>
        <v>0</v>
      </c>
      <c r="AJ586" s="9">
        <f>IF(AND(ISERROR(VLOOKUP(H586,'[2]ריכוז נתונים'!A:L,1,0)),P586="1     "),1,0)</f>
        <v>0</v>
      </c>
      <c r="AK586" s="1">
        <f>IF(VALUE(HEVARIM[[#This Row],[קוד מעמד]])=1,VLOOKUP((IF(LEFT(HEVARIM[[#This Row],[קוד חבר]],1)="0",HEVARIM[[#This Row],[קוד חבר]],VALUE(HEVARIM[[#This Row],[קוד חבר]]))),'ותק חברה 40'!AQ:AW,7,0),"")</f>
        <v>3.03</v>
      </c>
      <c r="AL586" s="1">
        <f>IF(AND(VALUE(HEVARIM[[#This Row],[קוד מעמד]])=1,HEVARIM[[#This Row],[ותק מחברה 40]]&lt;25),HEVARIM[[#This Row],[ותק מחברה 40]]/25*הנחות!$C$4,0)</f>
        <v>4549.1950349999988</v>
      </c>
      <c r="AM586" s="9">
        <f ca="1">IF(HEVARIM[[#This Row],[דמי עזיבה 25 שנות ותק]]&gt;0,YEAR(TODAY())+25-ROUNDDOWN(HEVARIM[[#This Row],[ותק מחברה 40]],0),"")</f>
        <v>2048</v>
      </c>
      <c r="AN5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6" s="9" t="str">
        <f ca="1">IF(HEVARIM[[#This Row],[דמי עזיבה לגיל 65]]&gt;0,YEAR(TODAY())+64-ROUNDDOWN(HEVARIM[[#This Row],[גיל]],0),"")</f>
        <v/>
      </c>
      <c r="AP586" s="1">
        <f>SUMIF(HEVARIM[קוד תקציב],HEVARIM[[#This Row],[קוד תקציב משפחה מקורי]],HEVARIM[ותק מחברה 40])</f>
        <v>6.06</v>
      </c>
      <c r="AQ5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6" s="9">
        <f>IF(HEVARIM[[#This Row],[קוד מעמד]]="1     ",IFERROR(VLOOKUP(HEVARIM[[#This Row],[קוד תקציב]],'תקציב צביעה - לקראת השינוי'!A:F,4,0),0),0)</f>
        <v>0</v>
      </c>
      <c r="AT586" s="1"/>
    </row>
    <row r="587" spans="1:46">
      <c r="A587" t="s">
        <v>2881</v>
      </c>
      <c r="B587" t="s">
        <v>2882</v>
      </c>
      <c r="C587" t="s">
        <v>918</v>
      </c>
      <c r="D587" t="s">
        <v>1083</v>
      </c>
      <c r="E587" t="s">
        <v>79</v>
      </c>
      <c r="F587" s="4">
        <v>33113</v>
      </c>
      <c r="G587">
        <v>35</v>
      </c>
      <c r="H587" t="s">
        <v>2878</v>
      </c>
      <c r="I587" t="s">
        <v>2879</v>
      </c>
      <c r="J587" s="4" t="s">
        <v>70</v>
      </c>
      <c r="K587" s="4" t="s">
        <v>71</v>
      </c>
      <c r="L587" t="s">
        <v>2883</v>
      </c>
      <c r="M587" t="s">
        <v>2875</v>
      </c>
      <c r="N587" t="s">
        <v>2876</v>
      </c>
      <c r="O587">
        <f>IFERROR(VLOOKUP(HEVARIM[[#This Row],[קוד תקציב]],[2]תקציבים!A:L,6,0),0)</f>
        <v>2</v>
      </c>
      <c r="P587" s="5" t="s">
        <v>104</v>
      </c>
      <c r="Q587" t="s">
        <v>11</v>
      </c>
      <c r="R587" s="4">
        <v>45621</v>
      </c>
      <c r="S587" s="4" t="s">
        <v>74</v>
      </c>
      <c r="T587" s="96" t="s">
        <v>2878</v>
      </c>
      <c r="U587" t="str">
        <f>VLOOKUP(HEVARIM[[#This Row],[גיל]],GIL,2,1)</f>
        <v>--</v>
      </c>
      <c r="V587" t="str">
        <f>IF(HEVARIM[[#This Row],[קוד מעמד]]="4     ",IF(HEVARIM[[#This Row],[גיל]]=1,1,IF(HEVARIM[[#This Row],[גיל]]&lt;=5,5,18)),"")</f>
        <v/>
      </c>
      <c r="W587">
        <f t="shared" si="36"/>
        <v>0</v>
      </c>
      <c r="X58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7">
        <f>IF(HEVARIM[[#This Row],[מצב משפחתי2]]="אלמן",'[2]ריכוז נתונים'!$AC$2,0)</f>
        <v>0</v>
      </c>
      <c r="Z587" s="3">
        <f>VLOOKUP(VALUE(HEVARIM[[#This Row],[קוד מעמד]]),הנחות!$I$2:$K$21,3,0)</f>
        <v>0</v>
      </c>
      <c r="AA587" t="b">
        <f>ISERROR(VLOOKUP(HEVARIM[[#This Row],[קוד תקציב]],'[2]ריכוז נתונים'!A:A,1,0))</f>
        <v>0</v>
      </c>
      <c r="AB587" s="1">
        <f t="shared" si="37"/>
        <v>0</v>
      </c>
      <c r="AC587" s="2">
        <f ca="1">IF(HEVARIM[[#This Row],[בר מצוה]]&gt;0,YEAR(TODAY())+'תקציבים מיוחדים'!$F$5-HEVARIM[[#This Row],[גיל]],0)</f>
        <v>0</v>
      </c>
      <c r="AD587" s="1">
        <f t="shared" si="38"/>
        <v>0</v>
      </c>
      <c r="AE587" s="2">
        <f ca="1">IF(HEVARIM[[#This Row],[בת מצוה]]&gt;0,YEAR(TODAY())+'תקציבים מיוחדים'!$F$5-HEVARIM[[#This Row],[גיל]],0)</f>
        <v>0</v>
      </c>
      <c r="AF587" s="1">
        <f>IF(AND($S587&gt;="רווק",$Z587=1),AF$4*IF(HEVARIM[[#This Row],[גיל]]&gt;$AF$3,1,(($G587-AF$2)/(AF$3-AF$2))),0)</f>
        <v>0</v>
      </c>
      <c r="AG58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87" s="1">
        <f t="shared" si="39"/>
        <v>0</v>
      </c>
      <c r="AI587" s="2">
        <f ca="1">IF(AH587&gt;0,YEAR(TODAY())+'תקציבים מיוחדים'!$F$7-HEVARIM[[#This Row],[גיל]],0)</f>
        <v>0</v>
      </c>
      <c r="AJ587" s="9">
        <f>IF(AND(ISERROR(VLOOKUP(H587,'[2]ריכוז נתונים'!A:L,1,0)),P587="1     "),1,0)</f>
        <v>0</v>
      </c>
      <c r="AK587" s="1">
        <f>IF(VALUE(HEVARIM[[#This Row],[קוד מעמד]])=1,VLOOKUP((IF(LEFT(HEVARIM[[#This Row],[קוד חבר]],1)="0",HEVARIM[[#This Row],[קוד חבר]],VALUE(HEVARIM[[#This Row],[קוד חבר]]))),'ותק חברה 40'!AQ:AW,7,0),"")</f>
        <v>3.03</v>
      </c>
      <c r="AL587" s="1">
        <f>IF(AND(VALUE(HEVARIM[[#This Row],[קוד מעמד]])=1,HEVARIM[[#This Row],[ותק מחברה 40]]&lt;25),HEVARIM[[#This Row],[ותק מחברה 40]]/25*הנחות!$C$4,0)</f>
        <v>4549.1950349999988</v>
      </c>
      <c r="AM587" s="9">
        <f ca="1">IF(HEVARIM[[#This Row],[דמי עזיבה 25 שנות ותק]]&gt;0,YEAR(TODAY())+25-ROUNDDOWN(HEVARIM[[#This Row],[ותק מחברה 40]],0),"")</f>
        <v>2048</v>
      </c>
      <c r="AN5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7" s="9" t="str">
        <f ca="1">IF(HEVARIM[[#This Row],[דמי עזיבה לגיל 65]]&gt;0,YEAR(TODAY())+64-ROUNDDOWN(HEVARIM[[#This Row],[גיל]],0),"")</f>
        <v/>
      </c>
      <c r="AP587" s="1">
        <f>SUMIF(HEVARIM[קוד תקציב],HEVARIM[[#This Row],[קוד תקציב משפחה מקורי]],HEVARIM[ותק מחברה 40])</f>
        <v>6.06</v>
      </c>
      <c r="AQ5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7" s="9">
        <f>IF(HEVARIM[[#This Row],[קוד מעמד]]="1     ",IFERROR(VLOOKUP(HEVARIM[[#This Row],[קוד תקציב]],'תקציב צביעה - לקראת השינוי'!A:F,4,0),0),0)</f>
        <v>0</v>
      </c>
      <c r="AT587" s="1"/>
    </row>
    <row r="588" spans="1:46">
      <c r="A588" t="s">
        <v>2884</v>
      </c>
      <c r="B588" t="s">
        <v>2885</v>
      </c>
      <c r="C588" t="s">
        <v>918</v>
      </c>
      <c r="D588" t="s">
        <v>2761</v>
      </c>
      <c r="E588" t="s">
        <v>79</v>
      </c>
      <c r="F588" s="4">
        <v>44237</v>
      </c>
      <c r="G588">
        <v>4</v>
      </c>
      <c r="H588" t="s">
        <v>2878</v>
      </c>
      <c r="I588" t="s">
        <v>2879</v>
      </c>
      <c r="J588" s="4" t="s">
        <v>70</v>
      </c>
      <c r="K588" s="4" t="s">
        <v>71</v>
      </c>
      <c r="L588" t="s">
        <v>2886</v>
      </c>
      <c r="M588" t="s">
        <v>2875</v>
      </c>
      <c r="N588" t="s">
        <v>2876</v>
      </c>
      <c r="O588">
        <f>IFERROR(VLOOKUP(HEVARIM[[#This Row],[קוד תקציב]],[2]תקציבים!A:L,6,0),0)</f>
        <v>2</v>
      </c>
      <c r="P588" s="5" t="s">
        <v>227</v>
      </c>
      <c r="Q588" t="s">
        <v>14</v>
      </c>
      <c r="R588" s="4">
        <v>44788</v>
      </c>
      <c r="S588" s="4" t="s">
        <v>90</v>
      </c>
      <c r="T588" s="96" t="s">
        <v>2878</v>
      </c>
      <c r="U588" t="str">
        <f>VLOOKUP(HEVARIM[[#This Row],[גיל]],GIL,2,1)</f>
        <v>גנים</v>
      </c>
      <c r="V588">
        <f>IF(HEVARIM[[#This Row],[קוד מעמד]]="4     ",IF(HEVARIM[[#This Row],[גיל]]=1,1,IF(HEVARIM[[#This Row],[גיל]]&lt;=5,5,18)),"")</f>
        <v>5</v>
      </c>
      <c r="W588">
        <f t="shared" si="36"/>
        <v>0</v>
      </c>
      <c r="X58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8">
        <f>IF(HEVARIM[[#This Row],[מצב משפחתי2]]="אלמן",'[2]ריכוז נתונים'!$AC$2,0)</f>
        <v>0</v>
      </c>
      <c r="Z588" s="3">
        <f>VLOOKUP(VALUE(HEVARIM[[#This Row],[קוד מעמד]]),הנחות!$I$2:$K$21,3,0)</f>
        <v>1</v>
      </c>
      <c r="AA588" t="b">
        <f>ISERROR(VLOOKUP(HEVARIM[[#This Row],[קוד תקציב]],'[2]ריכוז נתונים'!A:A,1,0))</f>
        <v>0</v>
      </c>
      <c r="AB588" s="1">
        <f t="shared" si="37"/>
        <v>0</v>
      </c>
      <c r="AC588" s="2">
        <f ca="1">IF(HEVARIM[[#This Row],[בר מצוה]]&gt;0,YEAR(TODAY())+'תקציבים מיוחדים'!$F$5-HEVARIM[[#This Row],[גיל]],0)</f>
        <v>0</v>
      </c>
      <c r="AD588" s="1">
        <f t="shared" si="38"/>
        <v>2204.6153846153848</v>
      </c>
      <c r="AE588" s="2">
        <f ca="1">IF(HEVARIM[[#This Row],[בת מצוה]]&gt;0,YEAR(TODAY())+'תקציבים מיוחדים'!$F$5-HEVARIM[[#This Row],[גיל]],0)</f>
        <v>2035</v>
      </c>
      <c r="AF588" s="1">
        <f>IF(AND($S588&gt;="רווק",$Z588=1),AF$4*IF(HEVARIM[[#This Row],[גיל]]&gt;$AF$3,1,(($G588-AF$2)/(AF$3-AF$2))),0)</f>
        <v>11526.190476190475</v>
      </c>
      <c r="AG588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588" s="1">
        <f t="shared" si="39"/>
        <v>20112.095238095237</v>
      </c>
      <c r="AI588" s="2">
        <f ca="1">IF(AH588&gt;0,YEAR(TODAY())+'תקציבים מיוחדים'!$F$7-HEVARIM[[#This Row],[גיל]],0)</f>
        <v>2043</v>
      </c>
      <c r="AJ588" s="9">
        <f>IF(AND(ISERROR(VLOOKUP(H588,'[2]ריכוז נתונים'!A:L,1,0)),P588="1     "),1,0)</f>
        <v>0</v>
      </c>
      <c r="AK58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8" s="1">
        <f>IF(AND(VALUE(HEVARIM[[#This Row],[קוד מעמד]])=1,HEVARIM[[#This Row],[ותק מחברה 40]]&lt;25),HEVARIM[[#This Row],[ותק מחברה 40]]/25*הנחות!$C$4,0)</f>
        <v>0</v>
      </c>
      <c r="AM588" s="9" t="str">
        <f ca="1">IF(HEVARIM[[#This Row],[דמי עזיבה 25 שנות ותק]]&gt;0,YEAR(TODAY())+25-ROUNDDOWN(HEVARIM[[#This Row],[ותק מחברה 40]],0),"")</f>
        <v/>
      </c>
      <c r="AN5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8" s="9" t="str">
        <f ca="1">IF(HEVARIM[[#This Row],[דמי עזיבה לגיל 65]]&gt;0,YEAR(TODAY())+64-ROUNDDOWN(HEVARIM[[#This Row],[גיל]],0),"")</f>
        <v/>
      </c>
      <c r="AP588" s="1">
        <f>SUMIF(HEVARIM[קוד תקציב],HEVARIM[[#This Row],[קוד תקציב משפחה מקורי]],HEVARIM[ותק מחברה 40])</f>
        <v>6.06</v>
      </c>
      <c r="AQ5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8" s="9">
        <f>IF(HEVARIM[[#This Row],[קוד מעמד]]="1     ",IFERROR(VLOOKUP(HEVARIM[[#This Row],[קוד תקציב]],'תקציב צביעה - לקראת השינוי'!A:F,4,0),0),0)</f>
        <v>0</v>
      </c>
      <c r="AT588" s="1"/>
    </row>
    <row r="589" spans="1:46">
      <c r="A589" t="s">
        <v>2887</v>
      </c>
      <c r="B589" t="s">
        <v>2888</v>
      </c>
      <c r="C589" t="s">
        <v>918</v>
      </c>
      <c r="D589" t="s">
        <v>2889</v>
      </c>
      <c r="E589" t="s">
        <v>67</v>
      </c>
      <c r="F589" s="4">
        <v>44237</v>
      </c>
      <c r="G589">
        <v>4</v>
      </c>
      <c r="H589" t="s">
        <v>2878</v>
      </c>
      <c r="I589" t="s">
        <v>2879</v>
      </c>
      <c r="J589" s="4" t="s">
        <v>70</v>
      </c>
      <c r="K589" s="4" t="s">
        <v>71</v>
      </c>
      <c r="L589" t="s">
        <v>2890</v>
      </c>
      <c r="M589" t="s">
        <v>2875</v>
      </c>
      <c r="N589" t="s">
        <v>2876</v>
      </c>
      <c r="O589">
        <f>IFERROR(VLOOKUP(HEVARIM[[#This Row],[קוד תקציב]],[2]תקציבים!A:L,6,0),0)</f>
        <v>2</v>
      </c>
      <c r="P589" s="5" t="s">
        <v>227</v>
      </c>
      <c r="Q589" t="s">
        <v>14</v>
      </c>
      <c r="R589" s="4">
        <v>44788</v>
      </c>
      <c r="S589" s="4" t="s">
        <v>90</v>
      </c>
      <c r="T589" s="96" t="s">
        <v>2878</v>
      </c>
      <c r="U589" t="str">
        <f>VLOOKUP(HEVARIM[[#This Row],[גיל]],GIL,2,1)</f>
        <v>גנים</v>
      </c>
      <c r="V589">
        <f>IF(HEVARIM[[#This Row],[קוד מעמד]]="4     ",IF(HEVARIM[[#This Row],[גיל]]=1,1,IF(HEVARIM[[#This Row],[גיל]]&lt;=5,5,18)),"")</f>
        <v>5</v>
      </c>
      <c r="W589">
        <f t="shared" si="36"/>
        <v>0</v>
      </c>
      <c r="X58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89">
        <f>IF(HEVARIM[[#This Row],[מצב משפחתי2]]="אלמן",'[2]ריכוז נתונים'!$AC$2,0)</f>
        <v>0</v>
      </c>
      <c r="Z589" s="3">
        <f>VLOOKUP(VALUE(HEVARIM[[#This Row],[קוד מעמד]]),הנחות!$I$2:$K$21,3,0)</f>
        <v>1</v>
      </c>
      <c r="AA589" t="b">
        <f>ISERROR(VLOOKUP(HEVARIM[[#This Row],[קוד תקציב]],'[2]ריכוז נתונים'!A:A,1,0))</f>
        <v>0</v>
      </c>
      <c r="AB589" s="1">
        <f t="shared" si="37"/>
        <v>2204.6153846153848</v>
      </c>
      <c r="AC589" s="2">
        <f ca="1">IF(HEVARIM[[#This Row],[בר מצוה]]&gt;0,YEAR(TODAY())+'תקציבים מיוחדים'!$F$5-HEVARIM[[#This Row],[גיל]],0)</f>
        <v>2035</v>
      </c>
      <c r="AD589" s="1">
        <f t="shared" si="38"/>
        <v>0</v>
      </c>
      <c r="AE589" s="2">
        <f ca="1">IF(HEVARIM[[#This Row],[בת מצוה]]&gt;0,YEAR(TODAY())+'תקציבים מיוחדים'!$F$5-HEVARIM[[#This Row],[גיל]],0)</f>
        <v>0</v>
      </c>
      <c r="AF589" s="1">
        <f>IF(AND($S589&gt;="רווק",$Z589=1),AF$4*IF(HEVARIM[[#This Row],[גיל]]&gt;$AF$3,1,(($G589-AF$2)/(AF$3-AF$2))),0)</f>
        <v>11526.190476190475</v>
      </c>
      <c r="AG589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589" s="1">
        <f t="shared" si="39"/>
        <v>20112.095238095237</v>
      </c>
      <c r="AI589" s="2">
        <f ca="1">IF(AH589&gt;0,YEAR(TODAY())+'תקציבים מיוחדים'!$F$7-HEVARIM[[#This Row],[גיל]],0)</f>
        <v>2043</v>
      </c>
      <c r="AJ589" s="9">
        <f>IF(AND(ISERROR(VLOOKUP(H589,'[2]ריכוז נתונים'!A:L,1,0)),P589="1     "),1,0)</f>
        <v>0</v>
      </c>
      <c r="AK58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89" s="1">
        <f>IF(AND(VALUE(HEVARIM[[#This Row],[קוד מעמד]])=1,HEVARIM[[#This Row],[ותק מחברה 40]]&lt;25),HEVARIM[[#This Row],[ותק מחברה 40]]/25*הנחות!$C$4,0)</f>
        <v>0</v>
      </c>
      <c r="AM589" s="9" t="str">
        <f ca="1">IF(HEVARIM[[#This Row],[דמי עזיבה 25 שנות ותק]]&gt;0,YEAR(TODAY())+25-ROUNDDOWN(HEVARIM[[#This Row],[ותק מחברה 40]],0),"")</f>
        <v/>
      </c>
      <c r="AN58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89" s="9" t="str">
        <f ca="1">IF(HEVARIM[[#This Row],[דמי עזיבה לגיל 65]]&gt;0,YEAR(TODAY())+64-ROUNDDOWN(HEVARIM[[#This Row],[גיל]],0),"")</f>
        <v/>
      </c>
      <c r="AP589" s="1">
        <f>SUMIF(HEVARIM[קוד תקציב],HEVARIM[[#This Row],[קוד תקציב משפחה מקורי]],HEVARIM[ותק מחברה 40])</f>
        <v>6.06</v>
      </c>
      <c r="AQ5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89" s="9">
        <f>IF(HEVARIM[[#This Row],[קוד מעמד]]="1     ",IFERROR(VLOOKUP(HEVARIM[[#This Row],[קוד תקציב]],'תקציב צביעה - לקראת השינוי'!A:F,4,0),0),0)</f>
        <v>0</v>
      </c>
      <c r="AT589" s="1"/>
    </row>
    <row r="590" spans="1:46">
      <c r="A590" t="s">
        <v>2891</v>
      </c>
      <c r="B590" t="s">
        <v>2892</v>
      </c>
      <c r="C590" t="s">
        <v>918</v>
      </c>
      <c r="D590" t="s">
        <v>299</v>
      </c>
      <c r="E590" t="s">
        <v>79</v>
      </c>
      <c r="F590" s="4">
        <v>45621</v>
      </c>
      <c r="G590">
        <v>1</v>
      </c>
      <c r="H590" t="s">
        <v>2878</v>
      </c>
      <c r="I590" t="s">
        <v>2879</v>
      </c>
      <c r="J590" s="4" t="s">
        <v>70</v>
      </c>
      <c r="K590" s="4" t="s">
        <v>71</v>
      </c>
      <c r="L590" t="s">
        <v>2893</v>
      </c>
      <c r="M590" t="s">
        <v>2875</v>
      </c>
      <c r="N590" t="s">
        <v>2876</v>
      </c>
      <c r="O590">
        <f>IFERROR(VLOOKUP(HEVARIM[[#This Row],[קוד תקציב]],[2]תקציבים!A:L,6,0),0)</f>
        <v>2</v>
      </c>
      <c r="P590" s="5" t="s">
        <v>227</v>
      </c>
      <c r="Q590" t="s">
        <v>14</v>
      </c>
      <c r="R590" s="4">
        <v>45621</v>
      </c>
      <c r="S590" s="4" t="s">
        <v>90</v>
      </c>
      <c r="T590" s="96" t="s">
        <v>2878</v>
      </c>
      <c r="U590" t="str">
        <f>VLOOKUP(HEVARIM[[#This Row],[גיל]],GIL,2,1)</f>
        <v>פעוט</v>
      </c>
      <c r="V590">
        <f>IF(HEVARIM[[#This Row],[קוד מעמד]]="4     ",IF(HEVARIM[[#This Row],[גיל]]=1,1,IF(HEVARIM[[#This Row],[גיל]]&lt;=5,5,18)),"")</f>
        <v>1</v>
      </c>
      <c r="W590">
        <f t="shared" si="36"/>
        <v>0</v>
      </c>
      <c r="X59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0">
        <f>IF(HEVARIM[[#This Row],[מצב משפחתי2]]="אלמן",'[2]ריכוז נתונים'!$AC$2,0)</f>
        <v>0</v>
      </c>
      <c r="Z590" s="3">
        <f>VLOOKUP(VALUE(HEVARIM[[#This Row],[קוד מעמד]]),הנחות!$I$2:$K$21,3,0)</f>
        <v>1</v>
      </c>
      <c r="AA590" t="b">
        <f>ISERROR(VLOOKUP(HEVARIM[[#This Row],[קוד תקציב]],'[2]ריכוז נתונים'!A:A,1,0))</f>
        <v>0</v>
      </c>
      <c r="AB590" s="1">
        <f t="shared" si="37"/>
        <v>0</v>
      </c>
      <c r="AC590" s="2">
        <f ca="1">IF(HEVARIM[[#This Row],[בר מצוה]]&gt;0,YEAR(TODAY())+'תקציבים מיוחדים'!$F$5-HEVARIM[[#This Row],[גיל]],0)</f>
        <v>0</v>
      </c>
      <c r="AD590" s="1">
        <f t="shared" si="38"/>
        <v>551.15384615384619</v>
      </c>
      <c r="AE590" s="2">
        <f ca="1">IF(HEVARIM[[#This Row],[בת מצוה]]&gt;0,YEAR(TODAY())+'תקציבים מיוחדים'!$F$5-HEVARIM[[#This Row],[גיל]],0)</f>
        <v>2038</v>
      </c>
      <c r="AF590" s="1">
        <f>IF(AND($S590&gt;="רווק",$Z590=1),AF$4*IF(HEVARIM[[#This Row],[גיל]]&gt;$AF$3,1,(($G590-AF$2)/(AF$3-AF$2))),0)</f>
        <v>2881.5476190476188</v>
      </c>
      <c r="AG590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590" s="1">
        <f t="shared" si="39"/>
        <v>5028.0238095238092</v>
      </c>
      <c r="AI590" s="2">
        <f ca="1">IF(AH590&gt;0,YEAR(TODAY())+'תקציבים מיוחדים'!$F$7-HEVARIM[[#This Row],[גיל]],0)</f>
        <v>2046</v>
      </c>
      <c r="AJ590" s="9">
        <f>IF(AND(ISERROR(VLOOKUP(H590,'[2]ריכוז נתונים'!A:L,1,0)),P590="1     "),1,0)</f>
        <v>0</v>
      </c>
      <c r="AK59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0" s="1">
        <f>IF(AND(VALUE(HEVARIM[[#This Row],[קוד מעמד]])=1,HEVARIM[[#This Row],[ותק מחברה 40]]&lt;25),HEVARIM[[#This Row],[ותק מחברה 40]]/25*הנחות!$C$4,0)</f>
        <v>0</v>
      </c>
      <c r="AM590" s="9" t="str">
        <f ca="1">IF(HEVARIM[[#This Row],[דמי עזיבה 25 שנות ותק]]&gt;0,YEAR(TODAY())+25-ROUNDDOWN(HEVARIM[[#This Row],[ותק מחברה 40]],0),"")</f>
        <v/>
      </c>
      <c r="AN5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0" s="9" t="str">
        <f ca="1">IF(HEVARIM[[#This Row],[דמי עזיבה לגיל 65]]&gt;0,YEAR(TODAY())+64-ROUNDDOWN(HEVARIM[[#This Row],[גיל]],0),"")</f>
        <v/>
      </c>
      <c r="AP590" s="1">
        <f>SUMIF(HEVARIM[קוד תקציב],HEVARIM[[#This Row],[קוד תקציב משפחה מקורי]],HEVARIM[ותק מחברה 40])</f>
        <v>6.06</v>
      </c>
      <c r="AQ5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0" s="9">
        <f>IF(HEVARIM[[#This Row],[קוד מעמד]]="1     ",IFERROR(VLOOKUP(HEVARIM[[#This Row],[קוד תקציב]],'תקציב צביעה - לקראת השינוי'!A:F,4,0),0),0)</f>
        <v>0</v>
      </c>
      <c r="AT590" s="1"/>
    </row>
    <row r="591" spans="1:46">
      <c r="A591" t="s">
        <v>2894</v>
      </c>
      <c r="B591" t="s">
        <v>2895</v>
      </c>
      <c r="C591" t="s">
        <v>2896</v>
      </c>
      <c r="D591" t="s">
        <v>1281</v>
      </c>
      <c r="E591" t="s">
        <v>67</v>
      </c>
      <c r="F591" s="4">
        <v>31016</v>
      </c>
      <c r="G591">
        <v>41</v>
      </c>
      <c r="H591" t="s">
        <v>2897</v>
      </c>
      <c r="I591" t="s">
        <v>2898</v>
      </c>
      <c r="J591" s="4" t="s">
        <v>70</v>
      </c>
      <c r="K591" s="4" t="s">
        <v>71</v>
      </c>
      <c r="L591" t="s">
        <v>2899</v>
      </c>
      <c r="M591" t="s">
        <v>2894</v>
      </c>
      <c r="N591" t="s">
        <v>2895</v>
      </c>
      <c r="O591">
        <f>IFERROR(VLOOKUP(HEVARIM[[#This Row],[קוד תקציב]],[2]תקציבים!A:L,6,0),0)</f>
        <v>2</v>
      </c>
      <c r="P591" s="5" t="s">
        <v>104</v>
      </c>
      <c r="Q591" t="s">
        <v>11</v>
      </c>
      <c r="R591" s="4">
        <v>44471</v>
      </c>
      <c r="S591" s="4" t="s">
        <v>74</v>
      </c>
      <c r="T591" s="96" t="s">
        <v>2897</v>
      </c>
      <c r="U591" t="str">
        <f>VLOOKUP(HEVARIM[[#This Row],[גיל]],GIL,2,1)</f>
        <v>--</v>
      </c>
      <c r="V591" t="str">
        <f>IF(HEVARIM[[#This Row],[קוד מעמד]]="4     ",IF(HEVARIM[[#This Row],[גיל]]=1,1,IF(HEVARIM[[#This Row],[גיל]]&lt;=5,5,18)),"")</f>
        <v/>
      </c>
      <c r="W591">
        <f t="shared" si="36"/>
        <v>0</v>
      </c>
      <c r="X59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1">
        <f>IF(HEVARIM[[#This Row],[מצב משפחתי2]]="אלמן",'[2]ריכוז נתונים'!$AC$2,0)</f>
        <v>0</v>
      </c>
      <c r="Z591" s="3">
        <f>VLOOKUP(VALUE(HEVARIM[[#This Row],[קוד מעמד]]),הנחות!$I$2:$K$21,3,0)</f>
        <v>0</v>
      </c>
      <c r="AA591" t="b">
        <f>ISERROR(VLOOKUP(HEVARIM[[#This Row],[קוד תקציב]],'[2]ריכוז נתונים'!A:A,1,0))</f>
        <v>0</v>
      </c>
      <c r="AB591" s="1">
        <f t="shared" si="37"/>
        <v>0</v>
      </c>
      <c r="AC591" s="2">
        <f ca="1">IF(HEVARIM[[#This Row],[בר מצוה]]&gt;0,YEAR(TODAY())+'תקציבים מיוחדים'!$F$5-HEVARIM[[#This Row],[גיל]],0)</f>
        <v>0</v>
      </c>
      <c r="AD591" s="1">
        <f t="shared" si="38"/>
        <v>0</v>
      </c>
      <c r="AE591" s="2">
        <f ca="1">IF(HEVARIM[[#This Row],[בת מצוה]]&gt;0,YEAR(TODAY())+'תקציבים מיוחדים'!$F$5-HEVARIM[[#This Row],[גיל]],0)</f>
        <v>0</v>
      </c>
      <c r="AF591" s="1">
        <f>IF(AND($S591&gt;="רווק",$Z591=1),AF$4*IF(HEVARIM[[#This Row],[גיל]]&gt;$AF$3,1,(($G591-AF$2)/(AF$3-AF$2))),0)</f>
        <v>0</v>
      </c>
      <c r="AG59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91" s="1">
        <f t="shared" si="39"/>
        <v>0</v>
      </c>
      <c r="AI591" s="2">
        <f ca="1">IF(AH591&gt;0,YEAR(TODAY())+'תקציבים מיוחדים'!$F$7-HEVARIM[[#This Row],[גיל]],0)</f>
        <v>0</v>
      </c>
      <c r="AJ591" s="9">
        <f>IF(AND(ISERROR(VLOOKUP(H591,'[2]ריכוז נתונים'!A:L,1,0)),P591="1     "),1,0)</f>
        <v>0</v>
      </c>
      <c r="AK591" s="1">
        <f>IF(VALUE(HEVARIM[[#This Row],[קוד מעמד]])=1,VLOOKUP((IF(LEFT(HEVARIM[[#This Row],[קוד חבר]],1)="0",HEVARIM[[#This Row],[קוד חבר]],VALUE(HEVARIM[[#This Row],[קוד חבר]]))),'ותק חברה 40'!AQ:AW,7,0),"")</f>
        <v>7.06</v>
      </c>
      <c r="AL591" s="1">
        <f>IF(AND(VALUE(HEVARIM[[#This Row],[קוד מעמד]])=1,HEVARIM[[#This Row],[ותק מחברה 40]]&lt;25),HEVARIM[[#This Row],[ותק מחברה 40]]/25*הנחות!$C$4,0)</f>
        <v>10599.774569999998</v>
      </c>
      <c r="AM591" s="9">
        <f ca="1">IF(HEVARIM[[#This Row],[דמי עזיבה 25 שנות ותק]]&gt;0,YEAR(TODAY())+25-ROUNDDOWN(HEVARIM[[#This Row],[ותק מחברה 40]],0),"")</f>
        <v>2044</v>
      </c>
      <c r="AN59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1" s="9" t="str">
        <f ca="1">IF(HEVARIM[[#This Row],[דמי עזיבה לגיל 65]]&gt;0,YEAR(TODAY())+64-ROUNDDOWN(HEVARIM[[#This Row],[גיל]],0),"")</f>
        <v/>
      </c>
      <c r="AP591" s="1">
        <f>SUMIF(HEVARIM[קוד תקציב],HEVARIM[[#This Row],[קוד תקציב משפחה מקורי]],HEVARIM[ותק מחברה 40])</f>
        <v>15.75</v>
      </c>
      <c r="AQ5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1" s="9">
        <f>IF(HEVARIM[[#This Row],[קוד מעמד]]="1     ",IFERROR(VLOOKUP(HEVARIM[[#This Row],[קוד תקציב]],'תקציב צביעה - לקראת השינוי'!A:F,4,0),0),0)</f>
        <v>0</v>
      </c>
      <c r="AT591" s="1"/>
    </row>
    <row r="592" spans="1:46">
      <c r="A592" t="s">
        <v>2900</v>
      </c>
      <c r="B592" t="s">
        <v>2901</v>
      </c>
      <c r="C592" t="s">
        <v>2896</v>
      </c>
      <c r="D592" t="s">
        <v>2313</v>
      </c>
      <c r="E592" t="s">
        <v>79</v>
      </c>
      <c r="F592" s="4">
        <v>31512</v>
      </c>
      <c r="G592">
        <v>39</v>
      </c>
      <c r="H592" t="s">
        <v>2897</v>
      </c>
      <c r="I592" t="s">
        <v>2898</v>
      </c>
      <c r="J592" s="4" t="s">
        <v>70</v>
      </c>
      <c r="K592" s="4" t="s">
        <v>71</v>
      </c>
      <c r="L592" t="s">
        <v>2902</v>
      </c>
      <c r="M592" t="s">
        <v>2894</v>
      </c>
      <c r="N592" t="s">
        <v>2895</v>
      </c>
      <c r="O592">
        <f>IFERROR(VLOOKUP(HEVARIM[[#This Row],[קוד תקציב]],[2]תקציבים!A:L,6,0),0)</f>
        <v>2</v>
      </c>
      <c r="P592" s="5" t="s">
        <v>104</v>
      </c>
      <c r="Q592" t="s">
        <v>11</v>
      </c>
      <c r="R592" s="4">
        <v>44471</v>
      </c>
      <c r="S592" s="4" t="s">
        <v>74</v>
      </c>
      <c r="T592" s="96" t="s">
        <v>2897</v>
      </c>
      <c r="U592" t="str">
        <f>VLOOKUP(HEVARIM[[#This Row],[גיל]],GIL,2,1)</f>
        <v>--</v>
      </c>
      <c r="V592" t="str">
        <f>IF(HEVARIM[[#This Row],[קוד מעמד]]="4     ",IF(HEVARIM[[#This Row],[גיל]]=1,1,IF(HEVARIM[[#This Row],[גיל]]&lt;=5,5,18)),"")</f>
        <v/>
      </c>
      <c r="W592">
        <f t="shared" si="36"/>
        <v>0</v>
      </c>
      <c r="X59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2">
        <f>IF(HEVARIM[[#This Row],[מצב משפחתי2]]="אלמן",'[2]ריכוז נתונים'!$AC$2,0)</f>
        <v>0</v>
      </c>
      <c r="Z592" s="3">
        <f>VLOOKUP(VALUE(HEVARIM[[#This Row],[קוד מעמד]]),הנחות!$I$2:$K$21,3,0)</f>
        <v>0</v>
      </c>
      <c r="AA592" t="b">
        <f>ISERROR(VLOOKUP(HEVARIM[[#This Row],[קוד תקציב]],'[2]ריכוז נתונים'!A:A,1,0))</f>
        <v>0</v>
      </c>
      <c r="AB592" s="1">
        <f t="shared" si="37"/>
        <v>0</v>
      </c>
      <c r="AC592" s="2">
        <f ca="1">IF(HEVARIM[[#This Row],[בר מצוה]]&gt;0,YEAR(TODAY())+'תקציבים מיוחדים'!$F$5-HEVARIM[[#This Row],[גיל]],0)</f>
        <v>0</v>
      </c>
      <c r="AD592" s="1">
        <f t="shared" si="38"/>
        <v>0</v>
      </c>
      <c r="AE592" s="2">
        <f ca="1">IF(HEVARIM[[#This Row],[בת מצוה]]&gt;0,YEAR(TODAY())+'תקציבים מיוחדים'!$F$5-HEVARIM[[#This Row],[גיל]],0)</f>
        <v>0</v>
      </c>
      <c r="AF592" s="1">
        <f>IF(AND($S592&gt;="רווק",$Z592=1),AF$4*IF(HEVARIM[[#This Row],[גיל]]&gt;$AF$3,1,(($G592-AF$2)/(AF$3-AF$2))),0)</f>
        <v>0</v>
      </c>
      <c r="AG59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92" s="1">
        <f t="shared" si="39"/>
        <v>0</v>
      </c>
      <c r="AI592" s="2">
        <f ca="1">IF(AH592&gt;0,YEAR(TODAY())+'תקציבים מיוחדים'!$F$7-HEVARIM[[#This Row],[גיל]],0)</f>
        <v>0</v>
      </c>
      <c r="AJ592" s="9">
        <f>IF(AND(ISERROR(VLOOKUP(H592,'[2]ריכוז נתונים'!A:L,1,0)),P592="1     "),1,0)</f>
        <v>0</v>
      </c>
      <c r="AK592" s="1">
        <f>IF(VALUE(HEVARIM[[#This Row],[קוד מעמד]])=1,VLOOKUP((IF(LEFT(HEVARIM[[#This Row],[קוד חבר]],1)="0",HEVARIM[[#This Row],[קוד חבר]],VALUE(HEVARIM[[#This Row],[קוד חבר]]))),'ותק חברה 40'!AQ:AW,7,0),"")</f>
        <v>8.69</v>
      </c>
      <c r="AL592" s="1">
        <f>IF(AND(VALUE(HEVARIM[[#This Row],[קוד מעמד]])=1,HEVARIM[[#This Row],[ותק מחברה 40]]&lt;25),HEVARIM[[#This Row],[ותק מחברה 40]]/25*הנחות!$C$4,0)</f>
        <v>13047.031304999997</v>
      </c>
      <c r="AM592" s="9">
        <f ca="1">IF(HEVARIM[[#This Row],[דמי עזיבה 25 שנות ותק]]&gt;0,YEAR(TODAY())+25-ROUNDDOWN(HEVARIM[[#This Row],[ותק מחברה 40]],0),"")</f>
        <v>2043</v>
      </c>
      <c r="AN5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2" s="9" t="str">
        <f ca="1">IF(HEVARIM[[#This Row],[דמי עזיבה לגיל 65]]&gt;0,YEAR(TODAY())+64-ROUNDDOWN(HEVARIM[[#This Row],[גיל]],0),"")</f>
        <v/>
      </c>
      <c r="AP592" s="1">
        <f>SUMIF(HEVARIM[קוד תקציב],HEVARIM[[#This Row],[קוד תקציב משפחה מקורי]],HEVARIM[ותק מחברה 40])</f>
        <v>15.75</v>
      </c>
      <c r="AQ5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2" s="9">
        <f>IF(HEVARIM[[#This Row],[קוד מעמד]]="1     ",IFERROR(VLOOKUP(HEVARIM[[#This Row],[קוד תקציב]],'תקציב צביעה - לקראת השינוי'!A:F,4,0),0),0)</f>
        <v>0</v>
      </c>
      <c r="AT592" s="1"/>
    </row>
    <row r="593" spans="1:46">
      <c r="A593" t="s">
        <v>2903</v>
      </c>
      <c r="B593" t="s">
        <v>2904</v>
      </c>
      <c r="C593" t="s">
        <v>2896</v>
      </c>
      <c r="D593" t="s">
        <v>2905</v>
      </c>
      <c r="E593" t="s">
        <v>79</v>
      </c>
      <c r="F593" s="4">
        <v>41497</v>
      </c>
      <c r="G593">
        <v>12</v>
      </c>
      <c r="H593" t="s">
        <v>2897</v>
      </c>
      <c r="I593" t="s">
        <v>2898</v>
      </c>
      <c r="J593" s="4" t="s">
        <v>70</v>
      </c>
      <c r="K593" s="4" t="s">
        <v>71</v>
      </c>
      <c r="L593" t="s">
        <v>2906</v>
      </c>
      <c r="M593" t="s">
        <v>2894</v>
      </c>
      <c r="N593" t="s">
        <v>2895</v>
      </c>
      <c r="O593">
        <f>IFERROR(VLOOKUP(HEVARIM[[#This Row],[קוד תקציב]],[2]תקציבים!A:L,6,0),0)</f>
        <v>2</v>
      </c>
      <c r="P593" s="5" t="s">
        <v>227</v>
      </c>
      <c r="Q593" t="s">
        <v>14</v>
      </c>
      <c r="R593" s="4">
        <v>44471</v>
      </c>
      <c r="S593" s="4" t="s">
        <v>90</v>
      </c>
      <c r="T593" s="96" t="s">
        <v>2897</v>
      </c>
      <c r="U593" t="str">
        <f>VLOOKUP(HEVARIM[[#This Row],[גיל]],GIL,2,1)</f>
        <v>יסודי</v>
      </c>
      <c r="V593">
        <f>IF(HEVARIM[[#This Row],[קוד מעמד]]="4     ",IF(HEVARIM[[#This Row],[גיל]]=1,1,IF(HEVARIM[[#This Row],[גיל]]&lt;=5,5,18)),"")</f>
        <v>18</v>
      </c>
      <c r="W593">
        <f t="shared" si="36"/>
        <v>0</v>
      </c>
      <c r="X59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3">
        <f>IF(HEVARIM[[#This Row],[מצב משפחתי2]]="אלמן",'[2]ריכוז נתונים'!$AC$2,0)</f>
        <v>0</v>
      </c>
      <c r="Z593" s="3">
        <f>VLOOKUP(VALUE(HEVARIM[[#This Row],[קוד מעמד]]),הנחות!$I$2:$K$21,3,0)</f>
        <v>1</v>
      </c>
      <c r="AA593" t="b">
        <f>ISERROR(VLOOKUP(HEVARIM[[#This Row],[קוד תקציב]],'[2]ריכוז נתונים'!A:A,1,0))</f>
        <v>0</v>
      </c>
      <c r="AB593" s="1">
        <f t="shared" si="37"/>
        <v>0</v>
      </c>
      <c r="AC593" s="2">
        <f ca="1">IF(HEVARIM[[#This Row],[בר מצוה]]&gt;0,YEAR(TODAY())+'תקציבים מיוחדים'!$F$5-HEVARIM[[#This Row],[גיל]],0)</f>
        <v>0</v>
      </c>
      <c r="AD593" s="1">
        <f t="shared" si="38"/>
        <v>6613.8461538461543</v>
      </c>
      <c r="AE593" s="2">
        <f ca="1">IF(HEVARIM[[#This Row],[בת מצוה]]&gt;0,YEAR(TODAY())+'תקציבים מיוחדים'!$F$5-HEVARIM[[#This Row],[גיל]],0)</f>
        <v>2027</v>
      </c>
      <c r="AF593" s="1">
        <f>IF(AND($S593&gt;="רווק",$Z593=1),AF$4*IF(HEVARIM[[#This Row],[גיל]]&gt;$AF$3,1,(($G593-AF$2)/(AF$3-AF$2))),0)</f>
        <v>34578.571428571428</v>
      </c>
      <c r="AG593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593" s="1">
        <f t="shared" si="39"/>
        <v>60336.28571428571</v>
      </c>
      <c r="AI593" s="2">
        <f ca="1">IF(AH593&gt;0,YEAR(TODAY())+'תקציבים מיוחדים'!$F$7-HEVARIM[[#This Row],[גיל]],0)</f>
        <v>2035</v>
      </c>
      <c r="AJ593" s="9">
        <f>IF(AND(ISERROR(VLOOKUP(H593,'[2]ריכוז נתונים'!A:L,1,0)),P593="1     "),1,0)</f>
        <v>0</v>
      </c>
      <c r="AK59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3" s="1">
        <f>IF(AND(VALUE(HEVARIM[[#This Row],[קוד מעמד]])=1,HEVARIM[[#This Row],[ותק מחברה 40]]&lt;25),HEVARIM[[#This Row],[ותק מחברה 40]]/25*הנחות!$C$4,0)</f>
        <v>0</v>
      </c>
      <c r="AM593" s="9" t="str">
        <f ca="1">IF(HEVARIM[[#This Row],[דמי עזיבה 25 שנות ותק]]&gt;0,YEAR(TODAY())+25-ROUNDDOWN(HEVARIM[[#This Row],[ותק מחברה 40]],0),"")</f>
        <v/>
      </c>
      <c r="AN59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3" s="9" t="str">
        <f ca="1">IF(HEVARIM[[#This Row],[דמי עזיבה לגיל 65]]&gt;0,YEAR(TODAY())+64-ROUNDDOWN(HEVARIM[[#This Row],[גיל]],0),"")</f>
        <v/>
      </c>
      <c r="AP593" s="1">
        <f>SUMIF(HEVARIM[קוד תקציב],HEVARIM[[#This Row],[קוד תקציב משפחה מקורי]],HEVARIM[ותק מחברה 40])</f>
        <v>15.75</v>
      </c>
      <c r="AQ5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3" s="9">
        <f>IF(HEVARIM[[#This Row],[קוד מעמד]]="1     ",IFERROR(VLOOKUP(HEVARIM[[#This Row],[קוד תקציב]],'תקציב צביעה - לקראת השינוי'!A:F,4,0),0),0)</f>
        <v>0</v>
      </c>
      <c r="AT593" s="1"/>
    </row>
    <row r="594" spans="1:46">
      <c r="A594" t="s">
        <v>2907</v>
      </c>
      <c r="B594" t="s">
        <v>2908</v>
      </c>
      <c r="C594" t="s">
        <v>2896</v>
      </c>
      <c r="D594" t="s">
        <v>2909</v>
      </c>
      <c r="E594" t="s">
        <v>67</v>
      </c>
      <c r="F594" s="4">
        <v>42337</v>
      </c>
      <c r="G594">
        <v>10</v>
      </c>
      <c r="H594" t="s">
        <v>2897</v>
      </c>
      <c r="I594" t="s">
        <v>2898</v>
      </c>
      <c r="J594" s="4" t="s">
        <v>70</v>
      </c>
      <c r="K594" s="4" t="s">
        <v>71</v>
      </c>
      <c r="L594" t="s">
        <v>2910</v>
      </c>
      <c r="M594" t="s">
        <v>2894</v>
      </c>
      <c r="N594" t="s">
        <v>2895</v>
      </c>
      <c r="O594">
        <f>IFERROR(VLOOKUP(HEVARIM[[#This Row],[קוד תקציב]],[2]תקציבים!A:L,6,0),0)</f>
        <v>2</v>
      </c>
      <c r="P594" s="5" t="s">
        <v>227</v>
      </c>
      <c r="Q594" t="s">
        <v>14</v>
      </c>
      <c r="R594" s="4">
        <v>44471</v>
      </c>
      <c r="S594" s="4" t="s">
        <v>90</v>
      </c>
      <c r="T594" s="96" t="s">
        <v>2897</v>
      </c>
      <c r="U594" t="str">
        <f>VLOOKUP(HEVARIM[[#This Row],[גיל]],GIL,2,1)</f>
        <v>יסודי</v>
      </c>
      <c r="V594">
        <f>IF(HEVARIM[[#This Row],[קוד מעמד]]="4     ",IF(HEVARIM[[#This Row],[גיל]]=1,1,IF(HEVARIM[[#This Row],[גיל]]&lt;=5,5,18)),"")</f>
        <v>18</v>
      </c>
      <c r="W594">
        <f t="shared" si="36"/>
        <v>0</v>
      </c>
      <c r="X59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4">
        <f>IF(HEVARIM[[#This Row],[מצב משפחתי2]]="אלמן",'[2]ריכוז נתונים'!$AC$2,0)</f>
        <v>0</v>
      </c>
      <c r="Z594" s="3">
        <f>VLOOKUP(VALUE(HEVARIM[[#This Row],[קוד מעמד]]),הנחות!$I$2:$K$21,3,0)</f>
        <v>1</v>
      </c>
      <c r="AA594" t="b">
        <f>ISERROR(VLOOKUP(HEVARIM[[#This Row],[קוד תקציב]],'[2]ריכוז נתונים'!A:A,1,0))</f>
        <v>0</v>
      </c>
      <c r="AB594" s="1">
        <f t="shared" si="37"/>
        <v>5511.5384615384619</v>
      </c>
      <c r="AC594" s="2">
        <f ca="1">IF(HEVARIM[[#This Row],[בר מצוה]]&gt;0,YEAR(TODAY())+'תקציבים מיוחדים'!$F$5-HEVARIM[[#This Row],[גיל]],0)</f>
        <v>2029</v>
      </c>
      <c r="AD594" s="1">
        <f t="shared" si="38"/>
        <v>0</v>
      </c>
      <c r="AE594" s="2">
        <f ca="1">IF(HEVARIM[[#This Row],[בת מצוה]]&gt;0,YEAR(TODAY())+'תקציבים מיוחדים'!$F$5-HEVARIM[[#This Row],[גיל]],0)</f>
        <v>0</v>
      </c>
      <c r="AF594" s="1">
        <f>IF(AND($S594&gt;="רווק",$Z594=1),AF$4*IF(HEVARIM[[#This Row],[גיל]]&gt;$AF$3,1,(($G594-AF$2)/(AF$3-AF$2))),0)</f>
        <v>28815.476190476187</v>
      </c>
      <c r="AG594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594" s="1">
        <f t="shared" si="39"/>
        <v>50280.238095238092</v>
      </c>
      <c r="AI594" s="2">
        <f ca="1">IF(AH594&gt;0,YEAR(TODAY())+'תקציבים מיוחדים'!$F$7-HEVARIM[[#This Row],[גיל]],0)</f>
        <v>2037</v>
      </c>
      <c r="AJ594" s="9">
        <f>IF(AND(ISERROR(VLOOKUP(H594,'[2]ריכוז נתונים'!A:L,1,0)),P594="1     "),1,0)</f>
        <v>0</v>
      </c>
      <c r="AK59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4" s="1">
        <f>IF(AND(VALUE(HEVARIM[[#This Row],[קוד מעמד]])=1,HEVARIM[[#This Row],[ותק מחברה 40]]&lt;25),HEVARIM[[#This Row],[ותק מחברה 40]]/25*הנחות!$C$4,0)</f>
        <v>0</v>
      </c>
      <c r="AM594" s="9" t="str">
        <f ca="1">IF(HEVARIM[[#This Row],[דמי עזיבה 25 שנות ותק]]&gt;0,YEAR(TODAY())+25-ROUNDDOWN(HEVARIM[[#This Row],[ותק מחברה 40]],0),"")</f>
        <v/>
      </c>
      <c r="AN59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4" s="9" t="str">
        <f ca="1">IF(HEVARIM[[#This Row],[דמי עזיבה לגיל 65]]&gt;0,YEAR(TODAY())+64-ROUNDDOWN(HEVARIM[[#This Row],[גיל]],0),"")</f>
        <v/>
      </c>
      <c r="AP594" s="1">
        <f>SUMIF(HEVARIM[קוד תקציב],HEVARIM[[#This Row],[קוד תקציב משפחה מקורי]],HEVARIM[ותק מחברה 40])</f>
        <v>15.75</v>
      </c>
      <c r="AQ5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4" s="9">
        <f>IF(HEVARIM[[#This Row],[קוד מעמד]]="1     ",IFERROR(VLOOKUP(HEVARIM[[#This Row],[קוד תקציב]],'תקציב צביעה - לקראת השינוי'!A:F,4,0),0),0)</f>
        <v>0</v>
      </c>
      <c r="AT594" s="1"/>
    </row>
    <row r="595" spans="1:46">
      <c r="A595" t="s">
        <v>2911</v>
      </c>
      <c r="B595" t="s">
        <v>2912</v>
      </c>
      <c r="C595" t="s">
        <v>2896</v>
      </c>
      <c r="D595" t="s">
        <v>2913</v>
      </c>
      <c r="E595" t="s">
        <v>79</v>
      </c>
      <c r="F595" s="4">
        <v>43193</v>
      </c>
      <c r="G595">
        <v>7</v>
      </c>
      <c r="H595" t="s">
        <v>2897</v>
      </c>
      <c r="I595" t="s">
        <v>2898</v>
      </c>
      <c r="J595" s="4" t="s">
        <v>70</v>
      </c>
      <c r="K595" s="4" t="s">
        <v>71</v>
      </c>
      <c r="L595" t="s">
        <v>2914</v>
      </c>
      <c r="M595" t="s">
        <v>2894</v>
      </c>
      <c r="N595" t="s">
        <v>2895</v>
      </c>
      <c r="O595">
        <f>IFERROR(VLOOKUP(HEVARIM[[#This Row],[קוד תקציב]],[2]תקציבים!A:L,6,0),0)</f>
        <v>2</v>
      </c>
      <c r="P595" s="5" t="s">
        <v>227</v>
      </c>
      <c r="Q595" t="s">
        <v>14</v>
      </c>
      <c r="R595" s="4">
        <v>44471</v>
      </c>
      <c r="S595" s="4" t="s">
        <v>90</v>
      </c>
      <c r="T595" s="96" t="s">
        <v>2897</v>
      </c>
      <c r="U595" t="str">
        <f>VLOOKUP(HEVARIM[[#This Row],[גיל]],GIL,2,1)</f>
        <v>יסודי</v>
      </c>
      <c r="V595">
        <f>IF(HEVARIM[[#This Row],[קוד מעמד]]="4     ",IF(HEVARIM[[#This Row],[גיל]]=1,1,IF(HEVARIM[[#This Row],[גיל]]&lt;=5,5,18)),"")</f>
        <v>18</v>
      </c>
      <c r="W595">
        <f t="shared" si="36"/>
        <v>0</v>
      </c>
      <c r="X59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5">
        <f>IF(HEVARIM[[#This Row],[מצב משפחתי2]]="אלמן",'[2]ריכוז נתונים'!$AC$2,0)</f>
        <v>0</v>
      </c>
      <c r="Z595" s="3">
        <f>VLOOKUP(VALUE(HEVARIM[[#This Row],[קוד מעמד]]),הנחות!$I$2:$K$21,3,0)</f>
        <v>1</v>
      </c>
      <c r="AA595" t="b">
        <f>ISERROR(VLOOKUP(HEVARIM[[#This Row],[קוד תקציב]],'[2]ריכוז נתונים'!A:A,1,0))</f>
        <v>0</v>
      </c>
      <c r="AB595" s="1">
        <f t="shared" si="37"/>
        <v>0</v>
      </c>
      <c r="AC595" s="2">
        <f ca="1">IF(HEVARIM[[#This Row],[בר מצוה]]&gt;0,YEAR(TODAY())+'תקציבים מיוחדים'!$F$5-HEVARIM[[#This Row],[גיל]],0)</f>
        <v>0</v>
      </c>
      <c r="AD595" s="1">
        <f t="shared" si="38"/>
        <v>3858.0769230769229</v>
      </c>
      <c r="AE595" s="2">
        <f ca="1">IF(HEVARIM[[#This Row],[בת מצוה]]&gt;0,YEAR(TODAY())+'תקציבים מיוחדים'!$F$5-HEVARIM[[#This Row],[גיל]],0)</f>
        <v>2032</v>
      </c>
      <c r="AF595" s="1">
        <f>IF(AND($S595&gt;="רווק",$Z595=1),AF$4*IF(HEVARIM[[#This Row],[גיל]]&gt;$AF$3,1,(($G595-AF$2)/(AF$3-AF$2))),0)</f>
        <v>20170.833333333332</v>
      </c>
      <c r="AG595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595" s="1">
        <f t="shared" si="39"/>
        <v>35196.166666666664</v>
      </c>
      <c r="AI595" s="2">
        <f ca="1">IF(AH595&gt;0,YEAR(TODAY())+'תקציבים מיוחדים'!$F$7-HEVARIM[[#This Row],[גיל]],0)</f>
        <v>2040</v>
      </c>
      <c r="AJ595" s="9">
        <f>IF(AND(ISERROR(VLOOKUP(H595,'[2]ריכוז נתונים'!A:L,1,0)),P595="1     "),1,0)</f>
        <v>0</v>
      </c>
      <c r="AK59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5" s="1">
        <f>IF(AND(VALUE(HEVARIM[[#This Row],[קוד מעמד]])=1,HEVARIM[[#This Row],[ותק מחברה 40]]&lt;25),HEVARIM[[#This Row],[ותק מחברה 40]]/25*הנחות!$C$4,0)</f>
        <v>0</v>
      </c>
      <c r="AM595" s="9" t="str">
        <f ca="1">IF(HEVARIM[[#This Row],[דמי עזיבה 25 שנות ותק]]&gt;0,YEAR(TODAY())+25-ROUNDDOWN(HEVARIM[[#This Row],[ותק מחברה 40]],0),"")</f>
        <v/>
      </c>
      <c r="AN5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5" s="9" t="str">
        <f ca="1">IF(HEVARIM[[#This Row],[דמי עזיבה לגיל 65]]&gt;0,YEAR(TODAY())+64-ROUNDDOWN(HEVARIM[[#This Row],[גיל]],0),"")</f>
        <v/>
      </c>
      <c r="AP595" s="1">
        <f>SUMIF(HEVARIM[קוד תקציב],HEVARIM[[#This Row],[קוד תקציב משפחה מקורי]],HEVARIM[ותק מחברה 40])</f>
        <v>15.75</v>
      </c>
      <c r="AQ5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5" s="9">
        <f>IF(HEVARIM[[#This Row],[קוד מעמד]]="1     ",IFERROR(VLOOKUP(HEVARIM[[#This Row],[קוד תקציב]],'תקציב צביעה - לקראת השינוי'!A:F,4,0),0),0)</f>
        <v>0</v>
      </c>
      <c r="AT595" s="1"/>
    </row>
    <row r="596" spans="1:46">
      <c r="A596" t="s">
        <v>2915</v>
      </c>
      <c r="B596" t="s">
        <v>2916</v>
      </c>
      <c r="C596" t="s">
        <v>2896</v>
      </c>
      <c r="D596" t="s">
        <v>2917</v>
      </c>
      <c r="E596" t="s">
        <v>67</v>
      </c>
      <c r="F596" s="4">
        <v>44160</v>
      </c>
      <c r="G596">
        <v>5</v>
      </c>
      <c r="H596" t="s">
        <v>2897</v>
      </c>
      <c r="I596" t="s">
        <v>2898</v>
      </c>
      <c r="J596" s="4" t="s">
        <v>70</v>
      </c>
      <c r="K596" s="4" t="s">
        <v>71</v>
      </c>
      <c r="L596" t="s">
        <v>2918</v>
      </c>
      <c r="M596" t="s">
        <v>2894</v>
      </c>
      <c r="N596" t="s">
        <v>2895</v>
      </c>
      <c r="O596">
        <f>IFERROR(VLOOKUP(HEVARIM[[#This Row],[קוד תקציב]],[2]תקציבים!A:L,6,0),0)</f>
        <v>2</v>
      </c>
      <c r="P596" s="5" t="s">
        <v>227</v>
      </c>
      <c r="Q596" t="s">
        <v>14</v>
      </c>
      <c r="R596" s="4">
        <v>44471</v>
      </c>
      <c r="S596" s="4" t="s">
        <v>90</v>
      </c>
      <c r="T596" s="96" t="s">
        <v>2897</v>
      </c>
      <c r="U596" t="str">
        <f>VLOOKUP(HEVARIM[[#This Row],[גיל]],GIL,2,1)</f>
        <v>גנים</v>
      </c>
      <c r="V596">
        <f>IF(HEVARIM[[#This Row],[קוד מעמד]]="4     ",IF(HEVARIM[[#This Row],[גיל]]=1,1,IF(HEVARIM[[#This Row],[גיל]]&lt;=5,5,18)),"")</f>
        <v>5</v>
      </c>
      <c r="W596">
        <f t="shared" si="36"/>
        <v>0</v>
      </c>
      <c r="X59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6">
        <f>IF(HEVARIM[[#This Row],[מצב משפחתי2]]="אלמן",'[2]ריכוז נתונים'!$AC$2,0)</f>
        <v>0</v>
      </c>
      <c r="Z596" s="3">
        <f>VLOOKUP(VALUE(HEVARIM[[#This Row],[קוד מעמד]]),הנחות!$I$2:$K$21,3,0)</f>
        <v>1</v>
      </c>
      <c r="AA596" t="b">
        <f>ISERROR(VLOOKUP(HEVARIM[[#This Row],[קוד תקציב]],'[2]ריכוז נתונים'!A:A,1,0))</f>
        <v>0</v>
      </c>
      <c r="AB596" s="1">
        <f t="shared" si="37"/>
        <v>2755.7692307692309</v>
      </c>
      <c r="AC596" s="2">
        <f ca="1">IF(HEVARIM[[#This Row],[בר מצוה]]&gt;0,YEAR(TODAY())+'תקציבים מיוחדים'!$F$5-HEVARIM[[#This Row],[גיל]],0)</f>
        <v>2034</v>
      </c>
      <c r="AD596" s="1">
        <f t="shared" si="38"/>
        <v>0</v>
      </c>
      <c r="AE596" s="2">
        <f ca="1">IF(HEVARIM[[#This Row],[בת מצוה]]&gt;0,YEAR(TODAY())+'תקציבים מיוחדים'!$F$5-HEVARIM[[#This Row],[גיל]],0)</f>
        <v>0</v>
      </c>
      <c r="AF596" s="1">
        <f>IF(AND($S596&gt;="רווק",$Z596=1),AF$4*IF(HEVARIM[[#This Row],[גיל]]&gt;$AF$3,1,(($G596-AF$2)/(AF$3-AF$2))),0)</f>
        <v>14407.738095238094</v>
      </c>
      <c r="AG596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596" s="1">
        <f t="shared" si="39"/>
        <v>25140.119047619046</v>
      </c>
      <c r="AI596" s="2">
        <f ca="1">IF(AH596&gt;0,YEAR(TODAY())+'תקציבים מיוחדים'!$F$7-HEVARIM[[#This Row],[גיל]],0)</f>
        <v>2042</v>
      </c>
      <c r="AJ596" s="9">
        <f>IF(AND(ISERROR(VLOOKUP(H596,'[2]ריכוז נתונים'!A:L,1,0)),P596="1     "),1,0)</f>
        <v>0</v>
      </c>
      <c r="AK59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6" s="1">
        <f>IF(AND(VALUE(HEVARIM[[#This Row],[קוד מעמד]])=1,HEVARIM[[#This Row],[ותק מחברה 40]]&lt;25),HEVARIM[[#This Row],[ותק מחברה 40]]/25*הנחות!$C$4,0)</f>
        <v>0</v>
      </c>
      <c r="AM596" s="9" t="str">
        <f ca="1">IF(HEVARIM[[#This Row],[דמי עזיבה 25 שנות ותק]]&gt;0,YEAR(TODAY())+25-ROUNDDOWN(HEVARIM[[#This Row],[ותק מחברה 40]],0),"")</f>
        <v/>
      </c>
      <c r="AN5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6" s="9" t="str">
        <f ca="1">IF(HEVARIM[[#This Row],[דמי עזיבה לגיל 65]]&gt;0,YEAR(TODAY())+64-ROUNDDOWN(HEVARIM[[#This Row],[גיל]],0),"")</f>
        <v/>
      </c>
      <c r="AP596" s="1">
        <f>SUMIF(HEVARIM[קוד תקציב],HEVARIM[[#This Row],[קוד תקציב משפחה מקורי]],HEVARIM[ותק מחברה 40])</f>
        <v>15.75</v>
      </c>
      <c r="AQ5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6" s="9">
        <f>IF(HEVARIM[[#This Row],[קוד מעמד]]="1     ",IFERROR(VLOOKUP(HEVARIM[[#This Row],[קוד תקציב]],'תקציב צביעה - לקראת השינוי'!A:F,4,0),0),0)</f>
        <v>0</v>
      </c>
      <c r="AT596" s="1"/>
    </row>
    <row r="597" spans="1:46">
      <c r="A597" t="s">
        <v>2919</v>
      </c>
      <c r="B597" t="s">
        <v>2920</v>
      </c>
      <c r="C597" t="s">
        <v>2896</v>
      </c>
      <c r="D597" t="s">
        <v>2921</v>
      </c>
      <c r="E597" t="s">
        <v>67</v>
      </c>
      <c r="F597" s="4">
        <v>44965</v>
      </c>
      <c r="G597">
        <v>2</v>
      </c>
      <c r="H597" t="s">
        <v>2897</v>
      </c>
      <c r="I597" t="s">
        <v>2898</v>
      </c>
      <c r="J597" s="4" t="s">
        <v>70</v>
      </c>
      <c r="K597" s="4" t="s">
        <v>71</v>
      </c>
      <c r="L597" t="s">
        <v>2922</v>
      </c>
      <c r="M597" t="s">
        <v>2894</v>
      </c>
      <c r="N597" t="s">
        <v>2895</v>
      </c>
      <c r="O597">
        <f>IFERROR(VLOOKUP(HEVARIM[[#This Row],[קוד תקציב]],[2]תקציבים!A:L,6,0),0)</f>
        <v>2</v>
      </c>
      <c r="P597" s="5" t="s">
        <v>227</v>
      </c>
      <c r="Q597" t="s">
        <v>14</v>
      </c>
      <c r="R597" s="4">
        <v>44965</v>
      </c>
      <c r="S597" s="4" t="s">
        <v>90</v>
      </c>
      <c r="T597" s="96" t="s">
        <v>2897</v>
      </c>
      <c r="U597" t="str">
        <f>VLOOKUP(HEVARIM[[#This Row],[גיל]],GIL,2,1)</f>
        <v>פעוט</v>
      </c>
      <c r="V597">
        <f>IF(HEVARIM[[#This Row],[קוד מעמד]]="4     ",IF(HEVARIM[[#This Row],[גיל]]=1,1,IF(HEVARIM[[#This Row],[גיל]]&lt;=5,5,18)),"")</f>
        <v>5</v>
      </c>
      <c r="W597">
        <f t="shared" si="36"/>
        <v>0</v>
      </c>
      <c r="X59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7">
        <f>IF(HEVARIM[[#This Row],[מצב משפחתי2]]="אלמן",'[2]ריכוז נתונים'!$AC$2,0)</f>
        <v>0</v>
      </c>
      <c r="Z597" s="3">
        <f>VLOOKUP(VALUE(HEVARIM[[#This Row],[קוד מעמד]]),הנחות!$I$2:$K$21,3,0)</f>
        <v>1</v>
      </c>
      <c r="AA597" t="b">
        <f>ISERROR(VLOOKUP(HEVARIM[[#This Row],[קוד תקציב]],'[2]ריכוז נתונים'!A:A,1,0))</f>
        <v>0</v>
      </c>
      <c r="AB597" s="1">
        <f t="shared" si="37"/>
        <v>1102.3076923076924</v>
      </c>
      <c r="AC597" s="2">
        <f ca="1">IF(HEVARIM[[#This Row],[בר מצוה]]&gt;0,YEAR(TODAY())+'תקציבים מיוחדים'!$F$5-HEVARIM[[#This Row],[גיל]],0)</f>
        <v>2037</v>
      </c>
      <c r="AD597" s="1">
        <f t="shared" si="38"/>
        <v>0</v>
      </c>
      <c r="AE597" s="2">
        <f ca="1">IF(HEVARIM[[#This Row],[בת מצוה]]&gt;0,YEAR(TODAY())+'תקציבים מיוחדים'!$F$5-HEVARIM[[#This Row],[גיל]],0)</f>
        <v>0</v>
      </c>
      <c r="AF597" s="1">
        <f>IF(AND($S597&gt;="רווק",$Z597=1),AF$4*IF(HEVARIM[[#This Row],[גיל]]&gt;$AF$3,1,(($G597-AF$2)/(AF$3-AF$2))),0)</f>
        <v>5763.0952380952376</v>
      </c>
      <c r="AG597" s="2">
        <f ca="1">IF(HEVARIM[[#This Row],[מענק חתונה]]&gt;0,IF(HEVARIM[[#This Row],[גיל]]&gt;'תקציבים מיוחדים'!$F$6,2025,YEAR(TODAY())+'תקציבים מיוחדים'!$F$6-HEVARIM[[#This Row],[גיל]]),0)</f>
        <v>2045</v>
      </c>
      <c r="AH597" s="1">
        <f t="shared" si="39"/>
        <v>10056.047619047618</v>
      </c>
      <c r="AI597" s="2">
        <f ca="1">IF(AH597&gt;0,YEAR(TODAY())+'תקציבים מיוחדים'!$F$7-HEVARIM[[#This Row],[גיל]],0)</f>
        <v>2045</v>
      </c>
      <c r="AJ597" s="9">
        <f>IF(AND(ISERROR(VLOOKUP(H597,'[2]ריכוז נתונים'!A:L,1,0)),P597="1     "),1,0)</f>
        <v>0</v>
      </c>
      <c r="AK59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7" s="1">
        <f>IF(AND(VALUE(HEVARIM[[#This Row],[קוד מעמד]])=1,HEVARIM[[#This Row],[ותק מחברה 40]]&lt;25),HEVARIM[[#This Row],[ותק מחברה 40]]/25*הנחות!$C$4,0)</f>
        <v>0</v>
      </c>
      <c r="AM597" s="9" t="str">
        <f ca="1">IF(HEVARIM[[#This Row],[דמי עזיבה 25 שנות ותק]]&gt;0,YEAR(TODAY())+25-ROUNDDOWN(HEVARIM[[#This Row],[ותק מחברה 40]],0),"")</f>
        <v/>
      </c>
      <c r="AN5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7" s="9" t="str">
        <f ca="1">IF(HEVARIM[[#This Row],[דמי עזיבה לגיל 65]]&gt;0,YEAR(TODAY())+64-ROUNDDOWN(HEVARIM[[#This Row],[גיל]],0),"")</f>
        <v/>
      </c>
      <c r="AP597" s="1">
        <f>SUMIF(HEVARIM[קוד תקציב],HEVARIM[[#This Row],[קוד תקציב משפחה מקורי]],HEVARIM[ותק מחברה 40])</f>
        <v>15.75</v>
      </c>
      <c r="AQ5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7" s="9">
        <f>IF(HEVARIM[[#This Row],[קוד מעמד]]="1     ",IFERROR(VLOOKUP(HEVARIM[[#This Row],[קוד תקציב]],'תקציב צביעה - לקראת השינוי'!A:F,4,0),0),0)</f>
        <v>0</v>
      </c>
      <c r="AT597" s="1"/>
    </row>
    <row r="598" spans="1:46">
      <c r="A598" t="s">
        <v>3833</v>
      </c>
      <c r="B598" t="s">
        <v>3834</v>
      </c>
      <c r="C598" t="s">
        <v>2896</v>
      </c>
      <c r="D598" t="s">
        <v>3835</v>
      </c>
      <c r="E598" t="s">
        <v>79</v>
      </c>
      <c r="F598" s="4">
        <v>45944</v>
      </c>
      <c r="G598">
        <v>0</v>
      </c>
      <c r="H598" t="s">
        <v>2897</v>
      </c>
      <c r="I598" t="s">
        <v>2898</v>
      </c>
      <c r="J598" s="4" t="s">
        <v>70</v>
      </c>
      <c r="K598" s="4" t="s">
        <v>71</v>
      </c>
      <c r="L598" t="s">
        <v>3836</v>
      </c>
      <c r="M598" t="s">
        <v>2894</v>
      </c>
      <c r="N598" t="s">
        <v>2895</v>
      </c>
      <c r="O598">
        <f>IFERROR(VLOOKUP(HEVARIM[[#This Row],[קוד תקציב]],[2]תקציבים!A:L,6,0),0)</f>
        <v>2</v>
      </c>
      <c r="P598" s="5" t="s">
        <v>227</v>
      </c>
      <c r="Q598" t="s">
        <v>14</v>
      </c>
      <c r="R598" s="4">
        <v>45944</v>
      </c>
      <c r="S598" s="4" t="s">
        <v>90</v>
      </c>
      <c r="T598" s="96" t="s">
        <v>2897</v>
      </c>
      <c r="U598" t="str">
        <f>VLOOKUP(HEVARIM[[#This Row],[גיל]],GIL,2,1)</f>
        <v>פעוט</v>
      </c>
      <c r="V598">
        <f>IF(HEVARIM[[#This Row],[קוד מעמד]]="4     ",IF(HEVARIM[[#This Row],[גיל]]=1,1,IF(HEVARIM[[#This Row],[גיל]]&lt;=5,5,18)),"")</f>
        <v>5</v>
      </c>
      <c r="W598">
        <f t="shared" si="36"/>
        <v>0</v>
      </c>
      <c r="X59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8">
        <f>IF(HEVARIM[[#This Row],[מצב משפחתי2]]="אלמן",'[2]ריכוז נתונים'!$AC$2,0)</f>
        <v>0</v>
      </c>
      <c r="Z598" s="3">
        <f>VLOOKUP(VALUE(HEVARIM[[#This Row],[קוד מעמד]]),הנחות!$I$2:$K$21,3,0)</f>
        <v>1</v>
      </c>
      <c r="AA598" t="b">
        <f>ISERROR(VLOOKUP(HEVARIM[[#This Row],[קוד תקציב]],'[2]ריכוז נתונים'!A:A,1,0))</f>
        <v>0</v>
      </c>
      <c r="AB598" s="1">
        <f t="shared" si="37"/>
        <v>0</v>
      </c>
      <c r="AC598" s="2">
        <f ca="1">IF(HEVARIM[[#This Row],[בר מצוה]]&gt;0,YEAR(TODAY())+'תקציבים מיוחדים'!$F$5-HEVARIM[[#This Row],[גיל]],0)</f>
        <v>0</v>
      </c>
      <c r="AD598" s="1">
        <f t="shared" si="38"/>
        <v>0</v>
      </c>
      <c r="AE598" s="2">
        <f ca="1">IF(HEVARIM[[#This Row],[בת מצוה]]&gt;0,YEAR(TODAY())+'תקציבים מיוחדים'!$F$5-HEVARIM[[#This Row],[גיל]],0)</f>
        <v>0</v>
      </c>
      <c r="AF598" s="1">
        <f>IF(AND($S598&gt;="רווק",$Z598=1),AF$4*IF(HEVARIM[[#This Row],[גיל]]&gt;$AF$3,1,(($G598-AF$2)/(AF$3-AF$2))),0)</f>
        <v>0</v>
      </c>
      <c r="AG59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98" s="1">
        <f t="shared" si="39"/>
        <v>0</v>
      </c>
      <c r="AI598" s="2">
        <f ca="1">IF(AH598&gt;0,YEAR(TODAY())+'תקציבים מיוחדים'!$F$7-HEVARIM[[#This Row],[גיל]],0)</f>
        <v>0</v>
      </c>
      <c r="AJ598" s="9">
        <f>IF(AND(ISERROR(VLOOKUP(H598,'[2]ריכוז נתונים'!A:L,1,0)),P598="1     "),1,0)</f>
        <v>0</v>
      </c>
      <c r="AK59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598" s="1">
        <f>IF(AND(VALUE(HEVARIM[[#This Row],[קוד מעמד]])=1,HEVARIM[[#This Row],[ותק מחברה 40]]&lt;25),HEVARIM[[#This Row],[ותק מחברה 40]]/25*הנחות!$C$4,0)</f>
        <v>0</v>
      </c>
      <c r="AM598" s="9" t="str">
        <f ca="1">IF(HEVARIM[[#This Row],[דמי עזיבה 25 שנות ותק]]&gt;0,YEAR(TODAY())+25-ROUNDDOWN(HEVARIM[[#This Row],[ותק מחברה 40]],0),"")</f>
        <v/>
      </c>
      <c r="AN59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598" s="9" t="str">
        <f ca="1">IF(HEVARIM[[#This Row],[דמי עזיבה לגיל 65]]&gt;0,YEAR(TODAY())+64-ROUNDDOWN(HEVARIM[[#This Row],[גיל]],0),"")</f>
        <v/>
      </c>
      <c r="AP598" s="1">
        <f>SUMIF(HEVARIM[קוד תקציב],HEVARIM[[#This Row],[קוד תקציב משפחה מקורי]],HEVARIM[ותק מחברה 40])</f>
        <v>15.75</v>
      </c>
      <c r="AQ5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598" s="9">
        <f>IF(HEVARIM[[#This Row],[קוד מעמד]]="1     ",IFERROR(VLOOKUP(HEVARIM[[#This Row],[קוד תקציב]],'תקציב צביעה - לקראת השינוי'!A:F,4,0),0),0)</f>
        <v>0</v>
      </c>
      <c r="AT598" s="1"/>
    </row>
    <row r="599" spans="1:46">
      <c r="A599" t="s">
        <v>1676</v>
      </c>
      <c r="B599" t="s">
        <v>1677</v>
      </c>
      <c r="C599" t="s">
        <v>1435</v>
      </c>
      <c r="D599" t="s">
        <v>1678</v>
      </c>
      <c r="E599" t="s">
        <v>79</v>
      </c>
      <c r="F599" s="4">
        <v>25639</v>
      </c>
      <c r="G599">
        <v>55</v>
      </c>
      <c r="H599" t="s">
        <v>1669</v>
      </c>
      <c r="I599" t="s">
        <v>1670</v>
      </c>
      <c r="J599" s="4" t="s">
        <v>70</v>
      </c>
      <c r="K599" s="4" t="s">
        <v>71</v>
      </c>
      <c r="L599" t="s">
        <v>1679</v>
      </c>
      <c r="M599" t="s">
        <v>1672</v>
      </c>
      <c r="N599" t="s">
        <v>1673</v>
      </c>
      <c r="O599">
        <f>IFERROR(VLOOKUP(HEVARIM[[#This Row],[קוד תקציב]],[2]תקציבים!A:L,6,0),0)</f>
        <v>2</v>
      </c>
      <c r="P599" s="5" t="s">
        <v>104</v>
      </c>
      <c r="Q599" t="s">
        <v>11</v>
      </c>
      <c r="R599" s="4">
        <v>37104</v>
      </c>
      <c r="S599" s="4" t="s">
        <v>74</v>
      </c>
      <c r="T599" s="96"/>
      <c r="U599" t="str">
        <f>VLOOKUP(HEVARIM[[#This Row],[גיל]],GIL,2,1)</f>
        <v>--</v>
      </c>
      <c r="V599" t="str">
        <f>IF(HEVARIM[[#This Row],[קוד מעמד]]="4     ",IF(HEVARIM[[#This Row],[גיל]]=1,1,IF(HEVARIM[[#This Row],[גיל]]&lt;=5,5,18)),"")</f>
        <v/>
      </c>
      <c r="W599">
        <f t="shared" si="36"/>
        <v>0</v>
      </c>
      <c r="X59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599">
        <f>IF(HEVARIM[[#This Row],[מצב משפחתי2]]="אלמן",'[2]ריכוז נתונים'!$AC$2,0)</f>
        <v>0</v>
      </c>
      <c r="Z599" s="3">
        <f>VLOOKUP(VALUE(HEVARIM[[#This Row],[קוד מעמד]]),הנחות!$I$2:$K$21,3,0)</f>
        <v>0</v>
      </c>
      <c r="AA599" t="b">
        <f>ISERROR(VLOOKUP(HEVARIM[[#This Row],[קוד תקציב]],'[2]ריכוז נתונים'!A:A,1,0))</f>
        <v>0</v>
      </c>
      <c r="AB599" s="1">
        <f t="shared" si="37"/>
        <v>0</v>
      </c>
      <c r="AC599" s="2">
        <f ca="1">IF(HEVARIM[[#This Row],[בר מצוה]]&gt;0,YEAR(TODAY())+'תקציבים מיוחדים'!$F$5-HEVARIM[[#This Row],[גיל]],0)</f>
        <v>0</v>
      </c>
      <c r="AD599" s="1">
        <f t="shared" si="38"/>
        <v>0</v>
      </c>
      <c r="AE599" s="2">
        <f ca="1">IF(HEVARIM[[#This Row],[בת מצוה]]&gt;0,YEAR(TODAY())+'תקציבים מיוחדים'!$F$5-HEVARIM[[#This Row],[גיל]],0)</f>
        <v>0</v>
      </c>
      <c r="AF599" s="1">
        <f>IF(AND($S599&gt;="רווק",$Z599=1),AF$4*IF(HEVARIM[[#This Row],[גיל]]&gt;$AF$3,1,(($G599-AF$2)/(AF$3-AF$2))),0)</f>
        <v>0</v>
      </c>
      <c r="AG59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599" s="1">
        <f t="shared" si="39"/>
        <v>0</v>
      </c>
      <c r="AI599" s="2">
        <f ca="1">IF(AH599&gt;0,YEAR(TODAY())+'תקציבים מיוחדים'!$F$7-HEVARIM[[#This Row],[גיל]],0)</f>
        <v>0</v>
      </c>
      <c r="AJ599" s="9">
        <f>IF(AND(ISERROR(VLOOKUP(H599,'[2]ריכוז נתונים'!A:L,1,0)),P599="1     "),1,0)</f>
        <v>0</v>
      </c>
      <c r="AK599" s="1">
        <f>IF(VALUE(HEVARIM[[#This Row],[קוד מעמד]])=1,VLOOKUP((IF(LEFT(HEVARIM[[#This Row],[קוד חבר]],1)="0",HEVARIM[[#This Row],[קוד חבר]],VALUE(HEVARIM[[#This Row],[קוד חבר]]))),'ותק חברה 40'!AQ:AW,7,0),"")</f>
        <v>33.57</v>
      </c>
      <c r="AL599" s="1">
        <f>IF(AND(VALUE(HEVARIM[[#This Row],[קוד מעמד]])=1,HEVARIM[[#This Row],[ותק מחברה 40]]&lt;25),HEVARIM[[#This Row],[ותק מחברה 40]]/25*הנחות!$C$4,0)</f>
        <v>0</v>
      </c>
      <c r="AM599" s="9" t="str">
        <f ca="1">IF(HEVARIM[[#This Row],[דמי עזיבה 25 שנות ותק]]&gt;0,YEAR(TODAY())+25-ROUNDDOWN(HEVARIM[[#This Row],[ותק מחברה 40]],0),"")</f>
        <v/>
      </c>
      <c r="AN599" s="1">
        <f>IF(AND(VALUE(HEVARIM[[#This Row],[קוד מעמד]])=1,HEVARIM[[#This Row],[ותק מחברה 40]]&gt;25,HEVARIM[[#This Row],[גיל]]&lt;65),הנחות!$C$14+(HEVARIM[[#This Row],[ותק מחברה 40]]-25)*הנחות!$C$10*0.25,0)</f>
        <v>49786.982437500003</v>
      </c>
      <c r="AO599" s="9">
        <f ca="1">IF(HEVARIM[[#This Row],[דמי עזיבה לגיל 65]]&gt;0,YEAR(TODAY())+64-ROUNDDOWN(HEVARIM[[#This Row],[גיל]],0),"")</f>
        <v>2035</v>
      </c>
      <c r="AP599" s="1">
        <f>SUMIF(HEVARIM[קוד תקציב],HEVARIM[[#This Row],[קוד תקציב משפחה מקורי]],HEVARIM[ותק מחברה 40])</f>
        <v>0</v>
      </c>
      <c r="AQ5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5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599" s="9">
        <f>IF(HEVARIM[[#This Row],[קוד מעמד]]="1     ",IFERROR(VLOOKUP(HEVARIM[[#This Row],[קוד תקציב]],'תקציב צביעה - לקראת השינוי'!A:F,4,0),0),0)</f>
        <v>2031</v>
      </c>
      <c r="AT599" s="1"/>
    </row>
    <row r="600" spans="1:46">
      <c r="A600" t="s">
        <v>2932</v>
      </c>
      <c r="B600" t="s">
        <v>2933</v>
      </c>
      <c r="C600" t="s">
        <v>2925</v>
      </c>
      <c r="D600" t="s">
        <v>2934</v>
      </c>
      <c r="E600" t="s">
        <v>79</v>
      </c>
      <c r="F600" s="4">
        <v>15384</v>
      </c>
      <c r="G600">
        <v>83</v>
      </c>
      <c r="H600" t="s">
        <v>2935</v>
      </c>
      <c r="I600" t="s">
        <v>2936</v>
      </c>
      <c r="J600" s="4" t="s">
        <v>70</v>
      </c>
      <c r="K600" s="4" t="s">
        <v>71</v>
      </c>
      <c r="L600" t="s">
        <v>2937</v>
      </c>
      <c r="M600" t="s">
        <v>2932</v>
      </c>
      <c r="N600" t="s">
        <v>2933</v>
      </c>
      <c r="O600">
        <f>IFERROR(VLOOKUP(HEVARIM[[#This Row],[קוד תקציב]],[2]תקציבים!A:L,6,0),0)</f>
        <v>1</v>
      </c>
      <c r="P600" s="5" t="s">
        <v>104</v>
      </c>
      <c r="Q600" t="s">
        <v>11</v>
      </c>
      <c r="R600" s="4">
        <v>23315</v>
      </c>
      <c r="S600" s="4" t="s">
        <v>449</v>
      </c>
      <c r="T600" s="96"/>
      <c r="U600" t="str">
        <f>VLOOKUP(HEVARIM[[#This Row],[גיל]],GIL,2,1)</f>
        <v>--</v>
      </c>
      <c r="V600" t="str">
        <f>IF(HEVARIM[[#This Row],[קוד מעמד]]="4     ",IF(HEVARIM[[#This Row],[גיל]]=1,1,IF(HEVARIM[[#This Row],[גיל]]&lt;=5,5,18)),"")</f>
        <v/>
      </c>
      <c r="W600">
        <f t="shared" si="36"/>
        <v>1665</v>
      </c>
      <c r="X60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00">
        <f>IF(HEVARIM[[#This Row],[מצב משפחתי2]]="אלמן",'[2]ריכוז נתונים'!$AC$2,0)</f>
        <v>4900</v>
      </c>
      <c r="Z600" s="3">
        <f>VLOOKUP(VALUE(HEVARIM[[#This Row],[קוד מעמד]]),הנחות!$I$2:$K$21,3,0)</f>
        <v>0</v>
      </c>
      <c r="AA600" t="b">
        <f>ISERROR(VLOOKUP(HEVARIM[[#This Row],[קוד תקציב]],'[2]ריכוז נתונים'!A:A,1,0))</f>
        <v>0</v>
      </c>
      <c r="AB600" s="1">
        <f t="shared" si="37"/>
        <v>0</v>
      </c>
      <c r="AC600" s="2">
        <f ca="1">IF(HEVARIM[[#This Row],[בר מצוה]]&gt;0,YEAR(TODAY())+'תקציבים מיוחדים'!$F$5-HEVARIM[[#This Row],[גיל]],0)</f>
        <v>0</v>
      </c>
      <c r="AD600" s="1">
        <f t="shared" si="38"/>
        <v>0</v>
      </c>
      <c r="AE600" s="2">
        <f ca="1">IF(HEVARIM[[#This Row],[בת מצוה]]&gt;0,YEAR(TODAY())+'תקציבים מיוחדים'!$F$5-HEVARIM[[#This Row],[גיל]],0)</f>
        <v>0</v>
      </c>
      <c r="AF600" s="1">
        <f>IF(AND($S600&gt;="רווק",$Z600=1),AF$4*IF(HEVARIM[[#This Row],[גיל]]&gt;$AF$3,1,(($G600-AF$2)/(AF$3-AF$2))),0)</f>
        <v>0</v>
      </c>
      <c r="AG60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0" s="1">
        <f t="shared" si="39"/>
        <v>0</v>
      </c>
      <c r="AI600" s="2">
        <f ca="1">IF(AH600&gt;0,YEAR(TODAY())+'תקציבים מיוחדים'!$F$7-HEVARIM[[#This Row],[גיל]],0)</f>
        <v>0</v>
      </c>
      <c r="AJ600" s="9">
        <f>IF(AND(ISERROR(VLOOKUP(H600,'[2]ריכוז נתונים'!A:L,1,0)),P600="1     "),1,0)</f>
        <v>0</v>
      </c>
      <c r="AK60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00" s="1">
        <f>IF(AND(VALUE(HEVARIM[[#This Row],[קוד מעמד]])=1,HEVARIM[[#This Row],[ותק מחברה 40]]&lt;25),HEVARIM[[#This Row],[ותק מחברה 40]]/25*הנחות!$C$4,0)</f>
        <v>0</v>
      </c>
      <c r="AM600" s="9" t="str">
        <f ca="1">IF(HEVARIM[[#This Row],[דמי עזיבה 25 שנות ותק]]&gt;0,YEAR(TODAY())+25-ROUNDDOWN(HEVARIM[[#This Row],[ותק מחברה 40]],0),"")</f>
        <v/>
      </c>
      <c r="AN6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0" s="9" t="str">
        <f ca="1">IF(HEVARIM[[#This Row],[דמי עזיבה לגיל 65]]&gt;0,YEAR(TODAY())+64-ROUNDDOWN(HEVARIM[[#This Row],[גיל]],0),"")</f>
        <v/>
      </c>
      <c r="AP600" s="1">
        <f>SUMIF(HEVARIM[קוד תקציב],HEVARIM[[#This Row],[קוד תקציב משפחה מקורי]],HEVARIM[ותק מחברה 40])</f>
        <v>0</v>
      </c>
      <c r="AQ6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00" s="9">
        <f>IF(HEVARIM[[#This Row],[קוד מעמד]]="1     ",IFERROR(VLOOKUP(HEVARIM[[#This Row],[קוד תקציב]],'תקציב צביעה - לקראת השינוי'!A:F,4,0),0),0)</f>
        <v>2032</v>
      </c>
      <c r="AT600" s="1"/>
    </row>
    <row r="601" spans="1:46">
      <c r="A601" t="s">
        <v>2930</v>
      </c>
      <c r="B601" t="s">
        <v>2931</v>
      </c>
      <c r="C601" t="s">
        <v>2925</v>
      </c>
      <c r="D601" t="s">
        <v>187</v>
      </c>
      <c r="E601" t="s">
        <v>67</v>
      </c>
      <c r="F601" s="4">
        <v>27320</v>
      </c>
      <c r="G601">
        <v>51</v>
      </c>
      <c r="H601" t="s">
        <v>2927</v>
      </c>
      <c r="I601" t="s">
        <v>2928</v>
      </c>
      <c r="J601" s="4" t="s">
        <v>70</v>
      </c>
      <c r="K601" s="4" t="s">
        <v>71</v>
      </c>
      <c r="L601" t="s">
        <v>3028</v>
      </c>
      <c r="M601" t="s">
        <v>2930</v>
      </c>
      <c r="N601" t="s">
        <v>2931</v>
      </c>
      <c r="O601">
        <f>IFERROR(VLOOKUP(HEVARIM[[#This Row],[קוד תקציב]],[2]תקציבים!A:L,6,0),0)</f>
        <v>2</v>
      </c>
      <c r="P601" s="5" t="s">
        <v>104</v>
      </c>
      <c r="Q601" t="s">
        <v>11</v>
      </c>
      <c r="R601" s="4">
        <v>38231</v>
      </c>
      <c r="S601" s="4" t="s">
        <v>74</v>
      </c>
      <c r="T601" s="96"/>
      <c r="U601" t="str">
        <f>VLOOKUP(HEVARIM[[#This Row],[גיל]],GIL,2,1)</f>
        <v>--</v>
      </c>
      <c r="V601" t="str">
        <f>IF(HEVARIM[[#This Row],[קוד מעמד]]="4     ",IF(HEVARIM[[#This Row],[גיל]]=1,1,IF(HEVARIM[[#This Row],[גיל]]&lt;=5,5,18)),"")</f>
        <v/>
      </c>
      <c r="W601">
        <f t="shared" si="36"/>
        <v>0</v>
      </c>
      <c r="X6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1">
        <f>IF(HEVARIM[[#This Row],[מצב משפחתי2]]="אלמן",'[2]ריכוז נתונים'!$AC$2,0)</f>
        <v>0</v>
      </c>
      <c r="Z601" s="3">
        <f>VLOOKUP(VALUE(HEVARIM[[#This Row],[קוד מעמד]]),הנחות!$I$2:$K$21,3,0)</f>
        <v>0</v>
      </c>
      <c r="AA601" t="b">
        <f>ISERROR(VLOOKUP(HEVARIM[[#This Row],[קוד תקציב]],'[2]ריכוז נתונים'!A:A,1,0))</f>
        <v>0</v>
      </c>
      <c r="AB601" s="1">
        <f t="shared" si="37"/>
        <v>0</v>
      </c>
      <c r="AC601" s="2">
        <f ca="1">IF(HEVARIM[[#This Row],[בר מצוה]]&gt;0,YEAR(TODAY())+'תקציבים מיוחדים'!$F$5-HEVARIM[[#This Row],[גיל]],0)</f>
        <v>0</v>
      </c>
      <c r="AD601" s="1">
        <f t="shared" si="38"/>
        <v>0</v>
      </c>
      <c r="AE601" s="2">
        <f ca="1">IF(HEVARIM[[#This Row],[בת מצוה]]&gt;0,YEAR(TODAY())+'תקציבים מיוחדים'!$F$5-HEVARIM[[#This Row],[גיל]],0)</f>
        <v>0</v>
      </c>
      <c r="AF601" s="1">
        <f>IF(AND($S601&gt;="רווק",$Z601=1),AF$4*IF(HEVARIM[[#This Row],[גיל]]&gt;$AF$3,1,(($G601-AF$2)/(AF$3-AF$2))),0)</f>
        <v>0</v>
      </c>
      <c r="AG60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1" s="1">
        <f t="shared" si="39"/>
        <v>0</v>
      </c>
      <c r="AI601" s="2">
        <f ca="1">IF(AH601&gt;0,YEAR(TODAY())+'תקציבים מיוחדים'!$F$7-HEVARIM[[#This Row],[גיל]],0)</f>
        <v>0</v>
      </c>
      <c r="AJ601" s="9">
        <f>IF(AND(ISERROR(VLOOKUP(H601,'[2]ריכוז נתונים'!A:L,1,0)),P601="1     "),1,0)</f>
        <v>0</v>
      </c>
      <c r="AK601" s="1">
        <f>IF(VALUE(HEVARIM[[#This Row],[קוד מעמד]])=1,VLOOKUP((IF(LEFT(HEVARIM[[#This Row],[קוד חבר]],1)="0",HEVARIM[[#This Row],[קוד חבר]],VALUE(HEVARIM[[#This Row],[קוד חבר]]))),'ותק חברה 40'!AQ:AW,7,0),"")</f>
        <v>26.56</v>
      </c>
      <c r="AL601" s="1">
        <f>IF(AND(VALUE(HEVARIM[[#This Row],[קוד מעמד]])=1,HEVARIM[[#This Row],[ותק מחברה 40]]&lt;25),HEVARIM[[#This Row],[ותק מחברה 40]]/25*הנחות!$C$4,0)</f>
        <v>0</v>
      </c>
      <c r="AM601" s="9" t="str">
        <f ca="1">IF(HEVARIM[[#This Row],[דמי עזיבה 25 שנות ותק]]&gt;0,YEAR(TODAY())+25-ROUNDDOWN(HEVARIM[[#This Row],[ותק מחברה 40]],0),"")</f>
        <v/>
      </c>
      <c r="AN601" s="1">
        <f>IF(AND(VALUE(HEVARIM[[#This Row],[קוד מעמד]])=1,HEVARIM[[#This Row],[ותק מחברה 40]]&gt;25,HEVARIM[[#This Row],[גיל]]&lt;65),הנחות!$C$14+(HEVARIM[[#This Row],[ותק מחברה 40]]-25)*הנחות!$C$10*0.25,0)</f>
        <v>30992.865749999997</v>
      </c>
      <c r="AO601" s="9">
        <f ca="1">IF(HEVARIM[[#This Row],[דמי עזיבה לגיל 65]]&gt;0,YEAR(TODAY())+64-ROUNDDOWN(HEVARIM[[#This Row],[גיל]],0),"")</f>
        <v>2039</v>
      </c>
      <c r="AP601" s="1">
        <f>SUMIF(HEVARIM[קוד תקציב],HEVARIM[[#This Row],[קוד תקציב משפחה מקורי]],HEVARIM[ותק מחברה 40])</f>
        <v>0</v>
      </c>
      <c r="AQ6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601" s="9">
        <f>IF(HEVARIM[[#This Row],[קוד מעמד]]="1     ",IFERROR(VLOOKUP(HEVARIM[[#This Row],[קוד תקציב]],'תקציב צביעה - לקראת השינוי'!A:F,4,0),0),0)</f>
        <v>2034</v>
      </c>
      <c r="AT601" s="1"/>
    </row>
    <row r="602" spans="1:46">
      <c r="A602" t="s">
        <v>2944</v>
      </c>
      <c r="B602" t="s">
        <v>2945</v>
      </c>
      <c r="C602" t="s">
        <v>2940</v>
      </c>
      <c r="D602" t="s">
        <v>2946</v>
      </c>
      <c r="E602" t="s">
        <v>79</v>
      </c>
      <c r="F602" s="4">
        <v>20604</v>
      </c>
      <c r="G602">
        <v>69</v>
      </c>
      <c r="H602" t="s">
        <v>2941</v>
      </c>
      <c r="I602" t="s">
        <v>2942</v>
      </c>
      <c r="J602" s="4" t="s">
        <v>70</v>
      </c>
      <c r="K602" s="4" t="s">
        <v>71</v>
      </c>
      <c r="L602" t="s">
        <v>2947</v>
      </c>
      <c r="M602" t="s">
        <v>2938</v>
      </c>
      <c r="N602" t="s">
        <v>2939</v>
      </c>
      <c r="O602">
        <f>IFERROR(VLOOKUP(HEVARIM[[#This Row],[קוד תקציב]],[2]תקציבים!A:L,6,0),0)</f>
        <v>2</v>
      </c>
      <c r="P602" s="5" t="s">
        <v>104</v>
      </c>
      <c r="Q602" t="s">
        <v>11</v>
      </c>
      <c r="R602" s="4">
        <v>30255</v>
      </c>
      <c r="S602" s="4" t="s">
        <v>74</v>
      </c>
      <c r="T602" s="96" t="s">
        <v>2941</v>
      </c>
      <c r="U602" t="str">
        <f>VLOOKUP(HEVARIM[[#This Row],[גיל]],GIL,2,1)</f>
        <v>--</v>
      </c>
      <c r="V602" t="str">
        <f>IF(HEVARIM[[#This Row],[קוד מעמד]]="4     ",IF(HEVARIM[[#This Row],[גיל]]=1,1,IF(HEVARIM[[#This Row],[גיל]]&lt;=5,5,18)),"")</f>
        <v/>
      </c>
      <c r="W602">
        <f t="shared" si="36"/>
        <v>2365</v>
      </c>
      <c r="X60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02">
        <f>IF(HEVARIM[[#This Row],[מצב משפחתי2]]="אלמן",'[2]ריכוז נתונים'!$AC$2,0)</f>
        <v>0</v>
      </c>
      <c r="Z602" s="3">
        <f>VLOOKUP(VALUE(HEVARIM[[#This Row],[קוד מעמד]]),הנחות!$I$2:$K$21,3,0)</f>
        <v>0</v>
      </c>
      <c r="AA602" t="b">
        <f>ISERROR(VLOOKUP(HEVARIM[[#This Row],[קוד תקציב]],'[2]ריכוז נתונים'!A:A,1,0))</f>
        <v>0</v>
      </c>
      <c r="AB602" s="1">
        <f t="shared" si="37"/>
        <v>0</v>
      </c>
      <c r="AC602" s="2">
        <f ca="1">IF(HEVARIM[[#This Row],[בר מצוה]]&gt;0,YEAR(TODAY())+'תקציבים מיוחדים'!$F$5-HEVARIM[[#This Row],[גיל]],0)</f>
        <v>0</v>
      </c>
      <c r="AD602" s="1">
        <f t="shared" si="38"/>
        <v>0</v>
      </c>
      <c r="AE602" s="2">
        <f ca="1">IF(HEVARIM[[#This Row],[בת מצוה]]&gt;0,YEAR(TODAY())+'תקציבים מיוחדים'!$F$5-HEVARIM[[#This Row],[גיל]],0)</f>
        <v>0</v>
      </c>
      <c r="AF602" s="1">
        <f>IF(AND($S602&gt;="רווק",$Z602=1),AF$4*IF(HEVARIM[[#This Row],[גיל]]&gt;$AF$3,1,(($G602-AF$2)/(AF$3-AF$2))),0)</f>
        <v>0</v>
      </c>
      <c r="AG60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2" s="1">
        <f t="shared" si="39"/>
        <v>0</v>
      </c>
      <c r="AI602" s="2">
        <f ca="1">IF(AH602&gt;0,YEAR(TODAY())+'תקציבים מיוחדים'!$F$7-HEVARIM[[#This Row],[גיל]],0)</f>
        <v>0</v>
      </c>
      <c r="AJ602" s="9">
        <f>IF(AND(ISERROR(VLOOKUP(H602,'[2]ריכוז נתונים'!A:L,1,0)),P602="1     "),1,0)</f>
        <v>0</v>
      </c>
      <c r="AK602" s="1">
        <f>IF(VALUE(HEVARIM[[#This Row],[קוד מעמד]])=1,VLOOKUP((IF(LEFT(HEVARIM[[#This Row],[קוד חבר]],1)="0",HEVARIM[[#This Row],[קוד חבר]],VALUE(HEVARIM[[#This Row],[קוד חבר]]))),'ותק חברה 40'!AQ:AW,7,0),"")</f>
        <v>43.21</v>
      </c>
      <c r="AL602" s="1">
        <f>IF(AND(VALUE(HEVARIM[[#This Row],[קוד מעמד]])=1,HEVARIM[[#This Row],[ותק מחברה 40]]&lt;25),HEVARIM[[#This Row],[ותק מחברה 40]]/25*הנחות!$C$4,0)</f>
        <v>0</v>
      </c>
      <c r="AM602" s="9" t="str">
        <f ca="1">IF(HEVARIM[[#This Row],[דמי עזיבה 25 שנות ותק]]&gt;0,YEAR(TODAY())+25-ROUNDDOWN(HEVARIM[[#This Row],[ותק מחברה 40]],0),"")</f>
        <v/>
      </c>
      <c r="AN6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2" s="9" t="str">
        <f ca="1">IF(HEVARIM[[#This Row],[דמי עזיבה לגיל 65]]&gt;0,YEAR(TODAY())+64-ROUNDDOWN(HEVARIM[[#This Row],[גיל]],0),"")</f>
        <v/>
      </c>
      <c r="AP602" s="1">
        <f>SUMIF(HEVARIM[קוד תקציב],HEVARIM[[#This Row],[קוד תקציב משפחה מקורי]],HEVARIM[ותק מחברה 40])</f>
        <v>91.210000000000008</v>
      </c>
      <c r="AQ6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602" s="9">
        <f>IF(HEVARIM[[#This Row],[קוד מעמד]]="1     ",IFERROR(VLOOKUP(HEVARIM[[#This Row],[קוד תקציב]],'תקציב צביעה - לקראת השינוי'!A:F,4,0),0),0)</f>
        <v>2027</v>
      </c>
      <c r="AT602" s="1"/>
    </row>
    <row r="603" spans="1:46">
      <c r="A603" t="s">
        <v>2964</v>
      </c>
      <c r="B603" t="s">
        <v>2965</v>
      </c>
      <c r="C603" t="s">
        <v>2940</v>
      </c>
      <c r="D603" t="s">
        <v>2966</v>
      </c>
      <c r="E603" t="s">
        <v>67</v>
      </c>
      <c r="F603" s="4">
        <v>31297</v>
      </c>
      <c r="G603">
        <v>40</v>
      </c>
      <c r="H603" t="s">
        <v>2967</v>
      </c>
      <c r="I603" t="s">
        <v>2968</v>
      </c>
      <c r="J603" s="4" t="s">
        <v>70</v>
      </c>
      <c r="K603" s="4" t="s">
        <v>71</v>
      </c>
      <c r="L603" t="s">
        <v>2969</v>
      </c>
      <c r="M603" t="s">
        <v>2964</v>
      </c>
      <c r="N603" t="s">
        <v>2965</v>
      </c>
      <c r="O603">
        <f>IFERROR(VLOOKUP(HEVARIM[[#This Row],[קוד תקציב]],[2]תקציבים!A:L,6,0),0)</f>
        <v>2</v>
      </c>
      <c r="P603" s="5" t="s">
        <v>104</v>
      </c>
      <c r="Q603" t="s">
        <v>11</v>
      </c>
      <c r="R603" s="4">
        <v>43871</v>
      </c>
      <c r="S603" s="4" t="s">
        <v>74</v>
      </c>
      <c r="T603" s="96" t="s">
        <v>2941</v>
      </c>
      <c r="U603" t="str">
        <f>VLOOKUP(HEVARIM[[#This Row],[גיל]],GIL,2,1)</f>
        <v>--</v>
      </c>
      <c r="V603" t="str">
        <f>IF(HEVARIM[[#This Row],[קוד מעמד]]="4     ",IF(HEVARIM[[#This Row],[גיל]]=1,1,IF(HEVARIM[[#This Row],[גיל]]&lt;=5,5,18)),"")</f>
        <v/>
      </c>
      <c r="W603">
        <f t="shared" si="36"/>
        <v>0</v>
      </c>
      <c r="X60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3">
        <f>IF(HEVARIM[[#This Row],[מצב משפחתי2]]="אלמן",'[2]ריכוז נתונים'!$AC$2,0)</f>
        <v>0</v>
      </c>
      <c r="Z603" s="3">
        <f>VLOOKUP(VALUE(HEVARIM[[#This Row],[קוד מעמד]]),הנחות!$I$2:$K$21,3,0)</f>
        <v>0</v>
      </c>
      <c r="AA603" t="b">
        <f>ISERROR(VLOOKUP(HEVARIM[[#This Row],[קוד תקציב]],'[2]ריכוז נתונים'!A:A,1,0))</f>
        <v>0</v>
      </c>
      <c r="AB603" s="1">
        <f t="shared" si="37"/>
        <v>0</v>
      </c>
      <c r="AC603" s="2">
        <f ca="1">IF(HEVARIM[[#This Row],[בר מצוה]]&gt;0,YEAR(TODAY())+'תקציבים מיוחדים'!$F$5-HEVARIM[[#This Row],[גיל]],0)</f>
        <v>0</v>
      </c>
      <c r="AD603" s="1">
        <f t="shared" si="38"/>
        <v>0</v>
      </c>
      <c r="AE603" s="2">
        <f ca="1">IF(HEVARIM[[#This Row],[בת מצוה]]&gt;0,YEAR(TODAY())+'תקציבים מיוחדים'!$F$5-HEVARIM[[#This Row],[גיל]],0)</f>
        <v>0</v>
      </c>
      <c r="AF603" s="1">
        <f>IF(AND($S603&gt;="רווק",$Z603=1),AF$4*IF(HEVARIM[[#This Row],[גיל]]&gt;$AF$3,1,(($G603-AF$2)/(AF$3-AF$2))),0)</f>
        <v>0</v>
      </c>
      <c r="AG60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3" s="1">
        <f t="shared" si="39"/>
        <v>0</v>
      </c>
      <c r="AI603" s="2">
        <f ca="1">IF(AH603&gt;0,YEAR(TODAY())+'תקציבים מיוחדים'!$F$7-HEVARIM[[#This Row],[גיל]],0)</f>
        <v>0</v>
      </c>
      <c r="AJ603" s="9">
        <f>IF(AND(ISERROR(VLOOKUP(H603,'[2]ריכוז נתונים'!A:L,1,0)),P603="1     "),1,0)</f>
        <v>0</v>
      </c>
      <c r="AK603" s="1">
        <f>IF(VALUE(HEVARIM[[#This Row],[קוד מעמד]])=1,VLOOKUP((IF(LEFT(HEVARIM[[#This Row],[קוד חבר]],1)="0",HEVARIM[[#This Row],[קוד חבר]],VALUE(HEVARIM[[#This Row],[קוד חבר]]))),'ותק חברה 40'!AQ:AW,7,0),"")</f>
        <v>8.56</v>
      </c>
      <c r="AL603" s="1">
        <f>IF(AND(VALUE(HEVARIM[[#This Row],[קוד מעמד]])=1,HEVARIM[[#This Row],[ותק מחברה 40]]&lt;25),HEVARIM[[#This Row],[ותק מחברה 40]]/25*הנחות!$C$4,0)</f>
        <v>12851.85132</v>
      </c>
      <c r="AM603" s="9">
        <f ca="1">IF(HEVARIM[[#This Row],[דמי עזיבה 25 שנות ותק]]&gt;0,YEAR(TODAY())+25-ROUNDDOWN(HEVARIM[[#This Row],[ותק מחברה 40]],0),"")</f>
        <v>2043</v>
      </c>
      <c r="AN6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3" s="9" t="str">
        <f ca="1">IF(HEVARIM[[#This Row],[דמי עזיבה לגיל 65]]&gt;0,YEAR(TODAY())+64-ROUNDDOWN(HEVARIM[[#This Row],[גיל]],0),"")</f>
        <v/>
      </c>
      <c r="AP603" s="1">
        <f>SUMIF(HEVARIM[קוד תקציב],HEVARIM[[#This Row],[קוד תקציב משפחה מקורי]],HEVARIM[ותק מחברה 40])</f>
        <v>91.210000000000008</v>
      </c>
      <c r="AQ6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3" s="9">
        <f>IF(HEVARIM[[#This Row],[קוד מעמד]]="1     ",IFERROR(VLOOKUP(HEVARIM[[#This Row],[קוד תקציב]],'תקציב צביעה - לקראת השינוי'!A:F,4,0),0),0)</f>
        <v>0</v>
      </c>
      <c r="AT603" s="1"/>
    </row>
    <row r="604" spans="1:46">
      <c r="A604" t="s">
        <v>3146</v>
      </c>
      <c r="B604" t="s">
        <v>3147</v>
      </c>
      <c r="C604" t="s">
        <v>3141</v>
      </c>
      <c r="D604" t="s">
        <v>3148</v>
      </c>
      <c r="E604" t="s">
        <v>79</v>
      </c>
      <c r="F604" s="4">
        <v>36070</v>
      </c>
      <c r="G604">
        <v>27</v>
      </c>
      <c r="H604" t="s">
        <v>3143</v>
      </c>
      <c r="I604" t="s">
        <v>3144</v>
      </c>
      <c r="J604" s="4" t="s">
        <v>70</v>
      </c>
      <c r="K604" s="4" t="s">
        <v>81</v>
      </c>
      <c r="L604" t="s">
        <v>3149</v>
      </c>
      <c r="M604" t="s">
        <v>3139</v>
      </c>
      <c r="N604" t="s">
        <v>3140</v>
      </c>
      <c r="O604">
        <f>IFERROR(VLOOKUP(HEVARIM[[#This Row],[קוד תקציב]],[2]תקציבים!A:L,6,0),0)</f>
        <v>0</v>
      </c>
      <c r="P604" s="5" t="s">
        <v>129</v>
      </c>
      <c r="Q604" t="s">
        <v>26</v>
      </c>
      <c r="R604" s="4">
        <v>44805</v>
      </c>
      <c r="S604" s="4" t="s">
        <v>74</v>
      </c>
      <c r="T604" s="96" t="s">
        <v>2950</v>
      </c>
      <c r="U604" t="str">
        <f>VLOOKUP(HEVARIM[[#This Row],[גיל]],GIL,2,1)</f>
        <v>--</v>
      </c>
      <c r="V604" t="str">
        <f>IF(HEVARIM[[#This Row],[קוד מעמד]]="4     ",IF(HEVARIM[[#This Row],[גיל]]=1,1,IF(HEVARIM[[#This Row],[גיל]]&lt;=5,5,18)),"")</f>
        <v/>
      </c>
      <c r="W604">
        <f t="shared" si="36"/>
        <v>0</v>
      </c>
      <c r="X60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4">
        <f>IF(HEVARIM[[#This Row],[מצב משפחתי2]]="אלמן",'[2]ריכוז נתונים'!$AC$2,0)</f>
        <v>0</v>
      </c>
      <c r="Z604" s="3">
        <f>VLOOKUP(VALUE(HEVARIM[[#This Row],[קוד מעמד]]),הנחות!$I$2:$K$21,3,0)</f>
        <v>1</v>
      </c>
      <c r="AA604" t="b">
        <f>ISERROR(VLOOKUP(HEVARIM[[#This Row],[קוד תקציב]],'[2]ריכוז נתונים'!A:A,1,0))</f>
        <v>1</v>
      </c>
      <c r="AB604" s="1">
        <f t="shared" si="37"/>
        <v>0</v>
      </c>
      <c r="AC604" s="2">
        <f ca="1">IF(HEVARIM[[#This Row],[בר מצוה]]&gt;0,YEAR(TODAY())+'תקציבים מיוחדים'!$F$5-HEVARIM[[#This Row],[גיל]],0)</f>
        <v>0</v>
      </c>
      <c r="AD604" s="1">
        <f t="shared" si="38"/>
        <v>0</v>
      </c>
      <c r="AE604" s="2">
        <f ca="1">IF(HEVARIM[[#This Row],[בת מצוה]]&gt;0,YEAR(TODAY())+'תקציבים מיוחדים'!$F$5-HEVARIM[[#This Row],[גיל]],0)</f>
        <v>0</v>
      </c>
      <c r="AF604" s="1">
        <f>IF(AND($S604&gt;="רווק",$Z604=1),AF$4*IF(HEVARIM[[#This Row],[גיל]]&gt;$AF$3,1,(($G604-AF$2)/(AF$3-AF$2))),0)</f>
        <v>0</v>
      </c>
      <c r="AG60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4" s="1">
        <f t="shared" si="39"/>
        <v>0</v>
      </c>
      <c r="AI604" s="2">
        <f ca="1">IF(AH604&gt;0,YEAR(TODAY())+'תקציבים מיוחדים'!$F$7-HEVARIM[[#This Row],[גיל]],0)</f>
        <v>0</v>
      </c>
      <c r="AJ604" s="9">
        <f>IF(AND(ISERROR(VLOOKUP(H604,'[2]ריכוז נתונים'!A:L,1,0)),P604="1     "),1,0)</f>
        <v>0</v>
      </c>
      <c r="AK60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04" s="1">
        <f>IF(AND(VALUE(HEVARIM[[#This Row],[קוד מעמד]])=1,HEVARIM[[#This Row],[ותק מחברה 40]]&lt;25),HEVARIM[[#This Row],[ותק מחברה 40]]/25*הנחות!$C$4,0)</f>
        <v>0</v>
      </c>
      <c r="AM604" s="9" t="str">
        <f ca="1">IF(HEVARIM[[#This Row],[דמי עזיבה 25 שנות ותק]]&gt;0,YEAR(TODAY())+25-ROUNDDOWN(HEVARIM[[#This Row],[ותק מחברה 40]],0),"")</f>
        <v/>
      </c>
      <c r="AN6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4" s="9" t="str">
        <f ca="1">IF(HEVARIM[[#This Row],[דמי עזיבה לגיל 65]]&gt;0,YEAR(TODAY())+64-ROUNDDOWN(HEVARIM[[#This Row],[גיל]],0),"")</f>
        <v/>
      </c>
      <c r="AP604" s="1">
        <f>SUMIF(HEVARIM[קוד תקציב],HEVARIM[[#This Row],[קוד תקציב משפחה מקורי]],HEVARIM[ותק מחברה 40])</f>
        <v>84.06</v>
      </c>
      <c r="AQ6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4" s="9">
        <f>IF(HEVARIM[[#This Row],[קוד מעמד]]="1     ",IFERROR(VLOOKUP(HEVARIM[[#This Row],[קוד תקציב]],'תקציב צביעה - לקראת השינוי'!A:F,4,0),0),0)</f>
        <v>0</v>
      </c>
      <c r="AT604" s="1"/>
    </row>
    <row r="605" spans="1:46">
      <c r="A605" t="s">
        <v>3086</v>
      </c>
      <c r="B605" t="s">
        <v>3087</v>
      </c>
      <c r="C605" t="s">
        <v>3081</v>
      </c>
      <c r="D605" t="s">
        <v>734</v>
      </c>
      <c r="E605" t="s">
        <v>79</v>
      </c>
      <c r="F605" s="4">
        <v>32741</v>
      </c>
      <c r="G605">
        <v>36</v>
      </c>
      <c r="H605" t="s">
        <v>3083</v>
      </c>
      <c r="I605" t="s">
        <v>3084</v>
      </c>
      <c r="J605" s="4" t="s">
        <v>70</v>
      </c>
      <c r="K605" s="4" t="s">
        <v>454</v>
      </c>
      <c r="L605" t="s">
        <v>3088</v>
      </c>
      <c r="M605" t="s">
        <v>3079</v>
      </c>
      <c r="N605" t="s">
        <v>3080</v>
      </c>
      <c r="O605">
        <f>IFERROR(VLOOKUP(HEVARIM[[#This Row],[קוד תקציב]],[2]תקציבים!A:L,6,0),0)</f>
        <v>2</v>
      </c>
      <c r="P605" s="5" t="s">
        <v>104</v>
      </c>
      <c r="Q605" t="s">
        <v>11</v>
      </c>
      <c r="R605" s="4">
        <v>44440</v>
      </c>
      <c r="S605" s="4" t="s">
        <v>74</v>
      </c>
      <c r="T605" s="96" t="s">
        <v>2950</v>
      </c>
      <c r="U605" t="str">
        <f>VLOOKUP(HEVARIM[[#This Row],[גיל]],GIL,2,1)</f>
        <v>--</v>
      </c>
      <c r="V605" t="str">
        <f>IF(HEVARIM[[#This Row],[קוד מעמד]]="4     ",IF(HEVARIM[[#This Row],[גיל]]=1,1,IF(HEVARIM[[#This Row],[גיל]]&lt;=5,5,18)),"")</f>
        <v/>
      </c>
      <c r="W605">
        <f t="shared" si="36"/>
        <v>0</v>
      </c>
      <c r="X6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5">
        <f>IF(HEVARIM[[#This Row],[מצב משפחתי2]]="אלמן",'[2]ריכוז נתונים'!$AC$2,0)</f>
        <v>0</v>
      </c>
      <c r="Z605" s="3">
        <f>VLOOKUP(VALUE(HEVARIM[[#This Row],[קוד מעמד]]),הנחות!$I$2:$K$21,3,0)</f>
        <v>0</v>
      </c>
      <c r="AA605" t="b">
        <f>ISERROR(VLOOKUP(HEVARIM[[#This Row],[קוד תקציב]],'[2]ריכוז נתונים'!A:A,1,0))</f>
        <v>0</v>
      </c>
      <c r="AB605" s="1">
        <f t="shared" si="37"/>
        <v>0</v>
      </c>
      <c r="AC605" s="2">
        <f ca="1">IF(HEVARIM[[#This Row],[בר מצוה]]&gt;0,YEAR(TODAY())+'תקציבים מיוחדים'!$F$5-HEVARIM[[#This Row],[גיל]],0)</f>
        <v>0</v>
      </c>
      <c r="AD605" s="1">
        <f t="shared" si="38"/>
        <v>0</v>
      </c>
      <c r="AE605" s="2">
        <f ca="1">IF(HEVARIM[[#This Row],[בת מצוה]]&gt;0,YEAR(TODAY())+'תקציבים מיוחדים'!$F$5-HEVARIM[[#This Row],[גיל]],0)</f>
        <v>0</v>
      </c>
      <c r="AF605" s="1">
        <f>IF(AND($S605&gt;="רווק",$Z605=1),AF$4*IF(HEVARIM[[#This Row],[גיל]]&gt;$AF$3,1,(($G605-AF$2)/(AF$3-AF$2))),0)</f>
        <v>0</v>
      </c>
      <c r="AG60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5" s="1">
        <f t="shared" si="39"/>
        <v>0</v>
      </c>
      <c r="AI605" s="2">
        <f ca="1">IF(AH605&gt;0,YEAR(TODAY())+'תקציבים מיוחדים'!$F$7-HEVARIM[[#This Row],[גיל]],0)</f>
        <v>0</v>
      </c>
      <c r="AJ605" s="9">
        <f>IF(AND(ISERROR(VLOOKUP(H605,'[2]ריכוז נתונים'!A:L,1,0)),P605="1     "),1,0)</f>
        <v>0</v>
      </c>
      <c r="AK605" s="1">
        <f>IF(VALUE(HEVARIM[[#This Row],[קוד מעמד]])=1,VLOOKUP((IF(LEFT(HEVARIM[[#This Row],[קוד חבר]],1)="0",HEVARIM[[#This Row],[קוד חבר]],VALUE(HEVARIM[[#This Row],[קוד חבר]]))),'ותק חברה 40'!AQ:AW,7,0),"")</f>
        <v>6</v>
      </c>
      <c r="AL605" s="1">
        <f>IF(AND(VALUE(HEVARIM[[#This Row],[קוד מעמד]])=1,HEVARIM[[#This Row],[ותק מחברה 40]]&lt;25),HEVARIM[[#This Row],[ותק מחברה 40]]/25*הנחות!$C$4,0)</f>
        <v>9008.3069999999989</v>
      </c>
      <c r="AM605" s="9">
        <f ca="1">IF(HEVARIM[[#This Row],[דמי עזיבה 25 שנות ותק]]&gt;0,YEAR(TODAY())+25-ROUNDDOWN(HEVARIM[[#This Row],[ותק מחברה 40]],0),"")</f>
        <v>2045</v>
      </c>
      <c r="AN60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5" s="9" t="str">
        <f ca="1">IF(HEVARIM[[#This Row],[דמי עזיבה לגיל 65]]&gt;0,YEAR(TODAY())+64-ROUNDDOWN(HEVARIM[[#This Row],[גיל]],0),"")</f>
        <v/>
      </c>
      <c r="AP605" s="1">
        <f>SUMIF(HEVARIM[קוד תקציב],HEVARIM[[#This Row],[קוד תקציב משפחה מקורי]],HEVARIM[ותק מחברה 40])</f>
        <v>84.06</v>
      </c>
      <c r="AQ6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5" s="9">
        <f>IF(HEVARIM[[#This Row],[קוד מעמד]]="1     ",IFERROR(VLOOKUP(HEVARIM[[#This Row],[קוד תקציב]],'תקציב צביעה - לקראת השינוי'!A:F,4,0),0),0)</f>
        <v>0</v>
      </c>
      <c r="AT605" s="1"/>
    </row>
    <row r="606" spans="1:46">
      <c r="A606" t="s">
        <v>3011</v>
      </c>
      <c r="B606" t="s">
        <v>3012</v>
      </c>
      <c r="C606" t="s">
        <v>399</v>
      </c>
      <c r="D606" t="s">
        <v>3013</v>
      </c>
      <c r="E606" t="s">
        <v>67</v>
      </c>
      <c r="F606" s="4">
        <v>37867</v>
      </c>
      <c r="G606">
        <v>22</v>
      </c>
      <c r="H606" t="s">
        <v>3782</v>
      </c>
      <c r="I606" t="s">
        <v>3783</v>
      </c>
      <c r="J606" s="4" t="s">
        <v>70</v>
      </c>
      <c r="K606" s="4" t="s">
        <v>71</v>
      </c>
      <c r="L606" t="s">
        <v>3014</v>
      </c>
      <c r="M606" t="s">
        <v>3011</v>
      </c>
      <c r="N606" t="s">
        <v>3012</v>
      </c>
      <c r="O606">
        <f>IFERROR(VLOOKUP(HEVARIM[[#This Row],[קוד תקציב]],[2]תקציבים!A:L,6,0),0)</f>
        <v>0</v>
      </c>
      <c r="P606" s="5" t="s">
        <v>73</v>
      </c>
      <c r="Q606" t="s">
        <v>27</v>
      </c>
      <c r="R606" s="4">
        <v>45878</v>
      </c>
      <c r="S606" s="4" t="s">
        <v>90</v>
      </c>
      <c r="T606" s="96" t="s">
        <v>2950</v>
      </c>
      <c r="U606" t="str">
        <f>VLOOKUP(HEVARIM[[#This Row],[גיל]],GIL,2,1)</f>
        <v>--</v>
      </c>
      <c r="V606" t="str">
        <f>IF(HEVARIM[[#This Row],[קוד מעמד]]="4     ",IF(HEVARIM[[#This Row],[גיל]]=1,1,IF(HEVARIM[[#This Row],[גיל]]&lt;=5,5,18)),"")</f>
        <v/>
      </c>
      <c r="W606">
        <f t="shared" si="36"/>
        <v>0</v>
      </c>
      <c r="X60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6">
        <f>IF(HEVARIM[[#This Row],[מצב משפחתי2]]="אלמן",'[2]ריכוז נתונים'!$AC$2,0)</f>
        <v>0</v>
      </c>
      <c r="Z606" s="3">
        <f>VLOOKUP(VALUE(HEVARIM[[#This Row],[קוד מעמד]]),הנחות!$I$2:$K$21,3,0)</f>
        <v>1</v>
      </c>
      <c r="AA606" t="b">
        <f>ISERROR(VLOOKUP(HEVARIM[[#This Row],[קוד תקציב]],'[2]ריכוז נתונים'!A:A,1,0))</f>
        <v>1</v>
      </c>
      <c r="AB606" s="1">
        <f t="shared" si="37"/>
        <v>0</v>
      </c>
      <c r="AC606" s="2">
        <f ca="1">IF(HEVARIM[[#This Row],[בר מצוה]]&gt;0,YEAR(TODAY())+'תקציבים מיוחדים'!$F$5-HEVARIM[[#This Row],[גיל]],0)</f>
        <v>0</v>
      </c>
      <c r="AD606" s="1">
        <f t="shared" si="38"/>
        <v>0</v>
      </c>
      <c r="AE606" s="2">
        <f ca="1">IF(HEVARIM[[#This Row],[בת מצוה]]&gt;0,YEAR(TODAY())+'תקציבים מיוחדים'!$F$5-HEVARIM[[#This Row],[גיל]],0)</f>
        <v>0</v>
      </c>
      <c r="AF606" s="1">
        <f>IF(AND($S606&gt;="רווק",$Z606=1),AF$4*IF(HEVARIM[[#This Row],[גיל]]&gt;$AF$3,1,(($G606-AF$2)/(AF$3-AF$2))),0)</f>
        <v>60512.5</v>
      </c>
      <c r="AG606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606" s="1">
        <f t="shared" si="39"/>
        <v>0</v>
      </c>
      <c r="AI606" s="2">
        <f ca="1">IF(AH606&gt;0,YEAR(TODAY())+'תקציבים מיוחדים'!$F$7-HEVARIM[[#This Row],[גיל]],0)</f>
        <v>0</v>
      </c>
      <c r="AJ606" s="9">
        <f>IF(AND(ISERROR(VLOOKUP(H606,'[2]ריכוז נתונים'!A:L,1,0)),P606="1     "),1,0)</f>
        <v>0</v>
      </c>
      <c r="AK60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06" s="1">
        <f>IF(AND(VALUE(HEVARIM[[#This Row],[קוד מעמד]])=1,HEVARIM[[#This Row],[ותק מחברה 40]]&lt;25),HEVARIM[[#This Row],[ותק מחברה 40]]/25*הנחות!$C$4,0)</f>
        <v>0</v>
      </c>
      <c r="AM606" s="9" t="str">
        <f ca="1">IF(HEVARIM[[#This Row],[דמי עזיבה 25 שנות ותק]]&gt;0,YEAR(TODAY())+25-ROUNDDOWN(HEVARIM[[#This Row],[ותק מחברה 40]],0),"")</f>
        <v/>
      </c>
      <c r="AN6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6" s="9" t="str">
        <f ca="1">IF(HEVARIM[[#This Row],[דמי עזיבה לגיל 65]]&gt;0,YEAR(TODAY())+64-ROUNDDOWN(HEVARIM[[#This Row],[גיל]],0),"")</f>
        <v/>
      </c>
      <c r="AP606" s="1">
        <f>SUMIF(HEVARIM[קוד תקציב],HEVARIM[[#This Row],[קוד תקציב משפחה מקורי]],HEVARIM[ותק מחברה 40])</f>
        <v>84.06</v>
      </c>
      <c r="AQ6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6" s="9">
        <f>IF(HEVARIM[[#This Row],[קוד מעמד]]="1     ",IFERROR(VLOOKUP(HEVARIM[[#This Row],[קוד תקציב]],'תקציב צביעה - לקראת השינוי'!A:F,4,0),0),0)</f>
        <v>0</v>
      </c>
      <c r="AT606" s="1"/>
    </row>
    <row r="607" spans="1:46">
      <c r="A607" t="s">
        <v>1624</v>
      </c>
      <c r="B607" t="s">
        <v>1625</v>
      </c>
      <c r="C607" t="s">
        <v>1435</v>
      </c>
      <c r="D607" t="s">
        <v>1075</v>
      </c>
      <c r="E607" t="s">
        <v>79</v>
      </c>
      <c r="F607" s="4">
        <v>34806</v>
      </c>
      <c r="G607">
        <v>30</v>
      </c>
      <c r="H607" t="s">
        <v>1621</v>
      </c>
      <c r="I607" t="s">
        <v>1622</v>
      </c>
      <c r="J607" s="4" t="s">
        <v>70</v>
      </c>
      <c r="K607" s="4" t="s">
        <v>81</v>
      </c>
      <c r="L607" t="s">
        <v>1626</v>
      </c>
      <c r="M607" t="s">
        <v>1619</v>
      </c>
      <c r="N607" t="s">
        <v>1620</v>
      </c>
      <c r="O607">
        <f>IFERROR(VLOOKUP(HEVARIM[[#This Row],[קוד תקציב]],[2]תקציבים!A:L,6,0),0)</f>
        <v>0</v>
      </c>
      <c r="P607" s="5" t="s">
        <v>83</v>
      </c>
      <c r="Q607" t="s">
        <v>15</v>
      </c>
      <c r="R607" s="4">
        <v>45764</v>
      </c>
      <c r="S607" s="4" t="s">
        <v>74</v>
      </c>
      <c r="T607" s="96" t="s">
        <v>2950</v>
      </c>
      <c r="U607" t="str">
        <f>VLOOKUP(HEVARIM[[#This Row],[גיל]],GIL,2,1)</f>
        <v>--</v>
      </c>
      <c r="V607" t="str">
        <f>IF(HEVARIM[[#This Row],[קוד מעמד]]="4     ",IF(HEVARIM[[#This Row],[גיל]]=1,1,IF(HEVARIM[[#This Row],[גיל]]&lt;=5,5,18)),"")</f>
        <v/>
      </c>
      <c r="W607">
        <f t="shared" si="36"/>
        <v>0</v>
      </c>
      <c r="X60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7">
        <f>IF(HEVARIM[[#This Row],[מצב משפחתי2]]="אלמן",'[2]ריכוז נתונים'!$AC$2,0)</f>
        <v>0</v>
      </c>
      <c r="Z607" s="3">
        <f>VLOOKUP(VALUE(HEVARIM[[#This Row],[קוד מעמד]]),הנחות!$I$2:$K$21,3,0)</f>
        <v>0</v>
      </c>
      <c r="AA607" t="b">
        <f>ISERROR(VLOOKUP(HEVARIM[[#This Row],[קוד תקציב]],'[2]ריכוז נתונים'!A:A,1,0))</f>
        <v>1</v>
      </c>
      <c r="AB607" s="1">
        <f t="shared" si="37"/>
        <v>0</v>
      </c>
      <c r="AC607" s="2">
        <f ca="1">IF(HEVARIM[[#This Row],[בר מצוה]]&gt;0,YEAR(TODAY())+'תקציבים מיוחדים'!$F$5-HEVARIM[[#This Row],[גיל]],0)</f>
        <v>0</v>
      </c>
      <c r="AD607" s="1">
        <f t="shared" si="38"/>
        <v>0</v>
      </c>
      <c r="AE607" s="2">
        <f ca="1">IF(HEVARIM[[#This Row],[בת מצוה]]&gt;0,YEAR(TODAY())+'תקציבים מיוחדים'!$F$5-HEVARIM[[#This Row],[גיל]],0)</f>
        <v>0</v>
      </c>
      <c r="AF607" s="1">
        <f>IF(AND($S607&gt;="רווק",$Z607=1),AF$4*IF(HEVARIM[[#This Row],[גיל]]&gt;$AF$3,1,(($G607-AF$2)/(AF$3-AF$2))),0)</f>
        <v>0</v>
      </c>
      <c r="AG60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7" s="1">
        <f t="shared" si="39"/>
        <v>0</v>
      </c>
      <c r="AI607" s="2">
        <f ca="1">IF(AH607&gt;0,YEAR(TODAY())+'תקציבים מיוחדים'!$F$7-HEVARIM[[#This Row],[גיל]],0)</f>
        <v>0</v>
      </c>
      <c r="AJ607" s="9">
        <f>IF(AND(ISERROR(VLOOKUP(H607,'[2]ריכוז נתונים'!A:L,1,0)),P607="1     "),1,0)</f>
        <v>0</v>
      </c>
      <c r="AK60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07" s="1">
        <f>IF(AND(VALUE(HEVARIM[[#This Row],[קוד מעמד]])=1,HEVARIM[[#This Row],[ותק מחברה 40]]&lt;25),HEVARIM[[#This Row],[ותק מחברה 40]]/25*הנחות!$C$4,0)</f>
        <v>0</v>
      </c>
      <c r="AM607" s="9" t="str">
        <f ca="1">IF(HEVARIM[[#This Row],[דמי עזיבה 25 שנות ותק]]&gt;0,YEAR(TODAY())+25-ROUNDDOWN(HEVARIM[[#This Row],[ותק מחברה 40]],0),"")</f>
        <v/>
      </c>
      <c r="AN60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7" s="9" t="str">
        <f ca="1">IF(HEVARIM[[#This Row],[דמי עזיבה לגיל 65]]&gt;0,YEAR(TODAY())+64-ROUNDDOWN(HEVARIM[[#This Row],[גיל]],0),"")</f>
        <v/>
      </c>
      <c r="AP607" s="1">
        <f>SUMIF(HEVARIM[קוד תקציב],HEVARIM[[#This Row],[קוד תקציב משפחה מקורי]],HEVARIM[ותק מחברה 40])</f>
        <v>84.06</v>
      </c>
      <c r="AQ6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7" s="9">
        <f>IF(HEVARIM[[#This Row],[קוד מעמד]]="1     ",IFERROR(VLOOKUP(HEVARIM[[#This Row],[קוד תקציב]],'תקציב צביעה - לקראת השינוי'!A:F,4,0),0),0)</f>
        <v>0</v>
      </c>
      <c r="AT607" s="1"/>
    </row>
    <row r="608" spans="1:46">
      <c r="A608" t="s">
        <v>2970</v>
      </c>
      <c r="B608" t="s">
        <v>2971</v>
      </c>
      <c r="C608" t="s">
        <v>2940</v>
      </c>
      <c r="D608" t="s">
        <v>1771</v>
      </c>
      <c r="E608" t="s">
        <v>79</v>
      </c>
      <c r="F608" s="4">
        <v>31403</v>
      </c>
      <c r="G608">
        <v>40</v>
      </c>
      <c r="H608" t="s">
        <v>2967</v>
      </c>
      <c r="I608" t="s">
        <v>2968</v>
      </c>
      <c r="J608" s="4" t="s">
        <v>70</v>
      </c>
      <c r="K608" s="4" t="s">
        <v>71</v>
      </c>
      <c r="L608" t="s">
        <v>2972</v>
      </c>
      <c r="M608" t="s">
        <v>2964</v>
      </c>
      <c r="N608" t="s">
        <v>2965</v>
      </c>
      <c r="O608">
        <f>IFERROR(VLOOKUP(HEVARIM[[#This Row],[קוד תקציב]],[2]תקציבים!A:L,6,0),0)</f>
        <v>2</v>
      </c>
      <c r="P608" s="5" t="s">
        <v>104</v>
      </c>
      <c r="Q608" t="s">
        <v>11</v>
      </c>
      <c r="R608" s="4">
        <v>43871</v>
      </c>
      <c r="S608" s="4" t="s">
        <v>74</v>
      </c>
      <c r="T608" s="96" t="s">
        <v>2967</v>
      </c>
      <c r="U608" t="str">
        <f>VLOOKUP(HEVARIM[[#This Row],[גיל]],GIL,2,1)</f>
        <v>--</v>
      </c>
      <c r="V608" t="str">
        <f>IF(HEVARIM[[#This Row],[קוד מעמד]]="4     ",IF(HEVARIM[[#This Row],[גיל]]=1,1,IF(HEVARIM[[#This Row],[גיל]]&lt;=5,5,18)),"")</f>
        <v/>
      </c>
      <c r="W608">
        <f t="shared" si="36"/>
        <v>0</v>
      </c>
      <c r="X6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8">
        <f>IF(HEVARIM[[#This Row],[מצב משפחתי2]]="אלמן",'[2]ריכוז נתונים'!$AC$2,0)</f>
        <v>0</v>
      </c>
      <c r="Z608" s="3">
        <f>VLOOKUP(VALUE(HEVARIM[[#This Row],[קוד מעמד]]),הנחות!$I$2:$K$21,3,0)</f>
        <v>0</v>
      </c>
      <c r="AA608" t="b">
        <f>ISERROR(VLOOKUP(HEVARIM[[#This Row],[קוד תקציב]],'[2]ריכוז נתונים'!A:A,1,0))</f>
        <v>0</v>
      </c>
      <c r="AB608" s="1">
        <f t="shared" si="37"/>
        <v>0</v>
      </c>
      <c r="AC608" s="2">
        <f ca="1">IF(HEVARIM[[#This Row],[בר מצוה]]&gt;0,YEAR(TODAY())+'תקציבים מיוחדים'!$F$5-HEVARIM[[#This Row],[גיל]],0)</f>
        <v>0</v>
      </c>
      <c r="AD608" s="1">
        <f t="shared" si="38"/>
        <v>0</v>
      </c>
      <c r="AE608" s="2">
        <f ca="1">IF(HEVARIM[[#This Row],[בת מצוה]]&gt;0,YEAR(TODAY())+'תקציבים מיוחדים'!$F$5-HEVARIM[[#This Row],[גיל]],0)</f>
        <v>0</v>
      </c>
      <c r="AF608" s="1">
        <f>IF(AND($S608&gt;="רווק",$Z608=1),AF$4*IF(HEVARIM[[#This Row],[גיל]]&gt;$AF$3,1,(($G608-AF$2)/(AF$3-AF$2))),0)</f>
        <v>0</v>
      </c>
      <c r="AG60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08" s="1">
        <f t="shared" si="39"/>
        <v>0</v>
      </c>
      <c r="AI608" s="2">
        <f ca="1">IF(AH608&gt;0,YEAR(TODAY())+'תקציבים מיוחדים'!$F$7-HEVARIM[[#This Row],[גיל]],0)</f>
        <v>0</v>
      </c>
      <c r="AJ608" s="9">
        <f>IF(AND(ISERROR(VLOOKUP(H608,'[2]ריכוז נתונים'!A:L,1,0)),P608="1     "),1,0)</f>
        <v>0</v>
      </c>
      <c r="AK608" s="1">
        <f>IF(VALUE(HEVARIM[[#This Row],[קוד מעמד]])=1,VLOOKUP((IF(LEFT(HEVARIM[[#This Row],[קוד חבר]],1)="0",HEVARIM[[#This Row],[קוד חבר]],VALUE(HEVARIM[[#This Row],[קוד חבר]]))),'ותק חברה 40'!AQ:AW,7,0),"")</f>
        <v>8.56</v>
      </c>
      <c r="AL608" s="1">
        <f>IF(AND(VALUE(HEVARIM[[#This Row],[קוד מעמד]])=1,HEVARIM[[#This Row],[ותק מחברה 40]]&lt;25),HEVARIM[[#This Row],[ותק מחברה 40]]/25*הנחות!$C$4,0)</f>
        <v>12851.85132</v>
      </c>
      <c r="AM608" s="9">
        <f ca="1">IF(HEVARIM[[#This Row],[דמי עזיבה 25 שנות ותק]]&gt;0,YEAR(TODAY())+25-ROUNDDOWN(HEVARIM[[#This Row],[ותק מחברה 40]],0),"")</f>
        <v>2043</v>
      </c>
      <c r="AN60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8" s="9" t="str">
        <f ca="1">IF(HEVARIM[[#This Row],[דמי עזיבה לגיל 65]]&gt;0,YEAR(TODAY())+64-ROUNDDOWN(HEVARIM[[#This Row],[גיל]],0),"")</f>
        <v/>
      </c>
      <c r="AP608" s="1">
        <f>SUMIF(HEVARIM[קוד תקציב],HEVARIM[[#This Row],[קוד תקציב משפחה מקורי]],HEVARIM[ותק מחברה 40])</f>
        <v>17.12</v>
      </c>
      <c r="AQ6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8" s="9">
        <f>IF(HEVARIM[[#This Row],[קוד מעמד]]="1     ",IFERROR(VLOOKUP(HEVARIM[[#This Row],[קוד תקציב]],'תקציב צביעה - לקראת השינוי'!A:F,4,0),0),0)</f>
        <v>0</v>
      </c>
      <c r="AT608" s="1"/>
    </row>
    <row r="609" spans="1:46">
      <c r="A609" t="s">
        <v>2973</v>
      </c>
      <c r="B609" t="s">
        <v>2974</v>
      </c>
      <c r="C609" t="s">
        <v>2940</v>
      </c>
      <c r="D609" t="s">
        <v>2975</v>
      </c>
      <c r="E609" t="s">
        <v>79</v>
      </c>
      <c r="F609" s="4">
        <v>39814</v>
      </c>
      <c r="G609">
        <v>16</v>
      </c>
      <c r="H609" t="s">
        <v>2967</v>
      </c>
      <c r="I609" t="s">
        <v>2968</v>
      </c>
      <c r="J609" s="4" t="s">
        <v>70</v>
      </c>
      <c r="K609" s="4" t="s">
        <v>71</v>
      </c>
      <c r="L609" t="s">
        <v>2976</v>
      </c>
      <c r="M609" t="s">
        <v>2964</v>
      </c>
      <c r="N609" t="s">
        <v>2965</v>
      </c>
      <c r="O609">
        <f>IFERROR(VLOOKUP(HEVARIM[[#This Row],[קוד תקציב]],[2]תקציבים!A:L,6,0),0)</f>
        <v>2</v>
      </c>
      <c r="P609" s="5" t="s">
        <v>227</v>
      </c>
      <c r="Q609" t="s">
        <v>14</v>
      </c>
      <c r="R609" s="4">
        <v>43871</v>
      </c>
      <c r="S609" s="4" t="s">
        <v>90</v>
      </c>
      <c r="T609" s="96" t="s">
        <v>2967</v>
      </c>
      <c r="U609" t="str">
        <f>VLOOKUP(HEVARIM[[#This Row],[גיל]],GIL,2,1)</f>
        <v>תיכון</v>
      </c>
      <c r="V609">
        <f>IF(HEVARIM[[#This Row],[קוד מעמד]]="4     ",IF(HEVARIM[[#This Row],[גיל]]=1,1,IF(HEVARIM[[#This Row],[גיל]]&lt;=5,5,18)),"")</f>
        <v>18</v>
      </c>
      <c r="W609">
        <f t="shared" si="36"/>
        <v>0</v>
      </c>
      <c r="X6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09">
        <f>IF(HEVARIM[[#This Row],[מצב משפחתי2]]="אלמן",'[2]ריכוז נתונים'!$AC$2,0)</f>
        <v>0</v>
      </c>
      <c r="Z609" s="3">
        <f>VLOOKUP(VALUE(HEVARIM[[#This Row],[קוד מעמד]]),הנחות!$I$2:$K$21,3,0)</f>
        <v>1</v>
      </c>
      <c r="AA609" t="b">
        <f>ISERROR(VLOOKUP(HEVARIM[[#This Row],[קוד תקציב]],'[2]ריכוז נתונים'!A:A,1,0))</f>
        <v>0</v>
      </c>
      <c r="AB609" s="1">
        <f t="shared" si="37"/>
        <v>0</v>
      </c>
      <c r="AC609" s="2">
        <f ca="1">IF(HEVARIM[[#This Row],[בר מצוה]]&gt;0,YEAR(TODAY())+'תקציבים מיוחדים'!$F$5-HEVARIM[[#This Row],[גיל]],0)</f>
        <v>0</v>
      </c>
      <c r="AD609" s="1">
        <f t="shared" si="38"/>
        <v>0</v>
      </c>
      <c r="AE609" s="2">
        <f ca="1">IF(HEVARIM[[#This Row],[בת מצוה]]&gt;0,YEAR(TODAY())+'תקציבים מיוחדים'!$F$5-HEVARIM[[#This Row],[גיל]],0)</f>
        <v>0</v>
      </c>
      <c r="AF609" s="1">
        <f>IF(AND($S609&gt;="רווק",$Z609=1),AF$4*IF(HEVARIM[[#This Row],[גיל]]&gt;$AF$3,1,(($G609-AF$2)/(AF$3-AF$2))),0)</f>
        <v>46104.761904761901</v>
      </c>
      <c r="AG609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609" s="1">
        <f t="shared" si="39"/>
        <v>80448.380952380947</v>
      </c>
      <c r="AI609" s="2">
        <f ca="1">IF(AH609&gt;0,YEAR(TODAY())+'תקציבים מיוחדים'!$F$7-HEVARIM[[#This Row],[גיל]],0)</f>
        <v>2031</v>
      </c>
      <c r="AJ609" s="9">
        <f>IF(AND(ISERROR(VLOOKUP(H609,'[2]ריכוז נתונים'!A:L,1,0)),P609="1     "),1,0)</f>
        <v>0</v>
      </c>
      <c r="AK60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09" s="1">
        <f>IF(AND(VALUE(HEVARIM[[#This Row],[קוד מעמד]])=1,HEVARIM[[#This Row],[ותק מחברה 40]]&lt;25),HEVARIM[[#This Row],[ותק מחברה 40]]/25*הנחות!$C$4,0)</f>
        <v>0</v>
      </c>
      <c r="AM609" s="9" t="str">
        <f ca="1">IF(HEVARIM[[#This Row],[דמי עזיבה 25 שנות ותק]]&gt;0,YEAR(TODAY())+25-ROUNDDOWN(HEVARIM[[#This Row],[ותק מחברה 40]],0),"")</f>
        <v/>
      </c>
      <c r="AN60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09" s="9" t="str">
        <f ca="1">IF(HEVARIM[[#This Row],[דמי עזיבה לגיל 65]]&gt;0,YEAR(TODAY())+64-ROUNDDOWN(HEVARIM[[#This Row],[גיל]],0),"")</f>
        <v/>
      </c>
      <c r="AP609" s="1">
        <f>SUMIF(HEVARIM[קוד תקציב],HEVARIM[[#This Row],[קוד תקציב משפחה מקורי]],HEVARIM[ותק מחברה 40])</f>
        <v>17.12</v>
      </c>
      <c r="AQ6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09" s="9">
        <f>IF(HEVARIM[[#This Row],[קוד מעמד]]="1     ",IFERROR(VLOOKUP(HEVARIM[[#This Row],[קוד תקציב]],'תקציב צביעה - לקראת השינוי'!A:F,4,0),0),0)</f>
        <v>0</v>
      </c>
      <c r="AT609" s="1"/>
    </row>
    <row r="610" spans="1:46">
      <c r="A610" t="s">
        <v>2977</v>
      </c>
      <c r="B610" t="s">
        <v>2978</v>
      </c>
      <c r="C610" t="s">
        <v>2940</v>
      </c>
      <c r="D610" t="s">
        <v>2979</v>
      </c>
      <c r="E610" t="s">
        <v>79</v>
      </c>
      <c r="F610" s="4">
        <v>40590</v>
      </c>
      <c r="G610">
        <v>14</v>
      </c>
      <c r="H610" t="s">
        <v>2967</v>
      </c>
      <c r="I610" t="s">
        <v>2968</v>
      </c>
      <c r="J610" s="4" t="s">
        <v>70</v>
      </c>
      <c r="K610" s="4" t="s">
        <v>71</v>
      </c>
      <c r="L610" t="s">
        <v>2980</v>
      </c>
      <c r="M610" t="s">
        <v>2964</v>
      </c>
      <c r="N610" t="s">
        <v>2965</v>
      </c>
      <c r="O610">
        <f>IFERROR(VLOOKUP(HEVARIM[[#This Row],[קוד תקציב]],[2]תקציבים!A:L,6,0),0)</f>
        <v>2</v>
      </c>
      <c r="P610" s="5" t="s">
        <v>227</v>
      </c>
      <c r="Q610" t="s">
        <v>14</v>
      </c>
      <c r="R610" s="4">
        <v>43871</v>
      </c>
      <c r="S610" s="4" t="s">
        <v>90</v>
      </c>
      <c r="T610" s="96" t="s">
        <v>2967</v>
      </c>
      <c r="U610" t="str">
        <f>VLOOKUP(HEVARIM[[#This Row],[גיל]],GIL,2,1)</f>
        <v>חטיבה</v>
      </c>
      <c r="V610">
        <f>IF(HEVARIM[[#This Row],[קוד מעמד]]="4     ",IF(HEVARIM[[#This Row],[גיל]]=1,1,IF(HEVARIM[[#This Row],[גיל]]&lt;=5,5,18)),"")</f>
        <v>18</v>
      </c>
      <c r="W610">
        <f t="shared" si="36"/>
        <v>0</v>
      </c>
      <c r="X61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0">
        <f>IF(HEVARIM[[#This Row],[מצב משפחתי2]]="אלמן",'[2]ריכוז נתונים'!$AC$2,0)</f>
        <v>0</v>
      </c>
      <c r="Z610" s="3">
        <f>VLOOKUP(VALUE(HEVARIM[[#This Row],[קוד מעמד]]),הנחות!$I$2:$K$21,3,0)</f>
        <v>1</v>
      </c>
      <c r="AA610" t="b">
        <f>ISERROR(VLOOKUP(HEVARIM[[#This Row],[קוד תקציב]],'[2]ריכוז נתונים'!A:A,1,0))</f>
        <v>0</v>
      </c>
      <c r="AB610" s="1">
        <f t="shared" si="37"/>
        <v>0</v>
      </c>
      <c r="AC610" s="2">
        <f ca="1">IF(HEVARIM[[#This Row],[בר מצוה]]&gt;0,YEAR(TODAY())+'תקציבים מיוחדים'!$F$5-HEVARIM[[#This Row],[גיל]],0)</f>
        <v>0</v>
      </c>
      <c r="AD610" s="1">
        <f t="shared" si="38"/>
        <v>0</v>
      </c>
      <c r="AE610" s="2">
        <f ca="1">IF(HEVARIM[[#This Row],[בת מצוה]]&gt;0,YEAR(TODAY())+'תקציבים מיוחדים'!$F$5-HEVARIM[[#This Row],[גיל]],0)</f>
        <v>0</v>
      </c>
      <c r="AF610" s="1">
        <f>IF(AND($S610&gt;="רווק",$Z610=1),AF$4*IF(HEVARIM[[#This Row],[גיל]]&gt;$AF$3,1,(($G610-AF$2)/(AF$3-AF$2))),0)</f>
        <v>40341.666666666664</v>
      </c>
      <c r="AG610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610" s="1">
        <f t="shared" si="39"/>
        <v>70392.333333333328</v>
      </c>
      <c r="AI610" s="2">
        <f ca="1">IF(AH610&gt;0,YEAR(TODAY())+'תקציבים מיוחדים'!$F$7-HEVARIM[[#This Row],[גיל]],0)</f>
        <v>2033</v>
      </c>
      <c r="AJ610" s="9">
        <f>IF(AND(ISERROR(VLOOKUP(H610,'[2]ריכוז נתונים'!A:L,1,0)),P610="1     "),1,0)</f>
        <v>0</v>
      </c>
      <c r="AK61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0" s="1">
        <f>IF(AND(VALUE(HEVARIM[[#This Row],[קוד מעמד]])=1,HEVARIM[[#This Row],[ותק מחברה 40]]&lt;25),HEVARIM[[#This Row],[ותק מחברה 40]]/25*הנחות!$C$4,0)</f>
        <v>0</v>
      </c>
      <c r="AM610" s="9" t="str">
        <f ca="1">IF(HEVARIM[[#This Row],[דמי עזיבה 25 שנות ותק]]&gt;0,YEAR(TODAY())+25-ROUNDDOWN(HEVARIM[[#This Row],[ותק מחברה 40]],0),"")</f>
        <v/>
      </c>
      <c r="AN6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0" s="9" t="str">
        <f ca="1">IF(HEVARIM[[#This Row],[דמי עזיבה לגיל 65]]&gt;0,YEAR(TODAY())+64-ROUNDDOWN(HEVARIM[[#This Row],[גיל]],0),"")</f>
        <v/>
      </c>
      <c r="AP610" s="1">
        <f>SUMIF(HEVARIM[קוד תקציב],HEVARIM[[#This Row],[קוד תקציב משפחה מקורי]],HEVARIM[ותק מחברה 40])</f>
        <v>17.12</v>
      </c>
      <c r="AQ6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0" s="9">
        <f>IF(HEVARIM[[#This Row],[קוד מעמד]]="1     ",IFERROR(VLOOKUP(HEVARIM[[#This Row],[קוד תקציב]],'תקציב צביעה - לקראת השינוי'!A:F,4,0),0),0)</f>
        <v>0</v>
      </c>
      <c r="AT610" s="1"/>
    </row>
    <row r="611" spans="1:46">
      <c r="A611" t="s">
        <v>2981</v>
      </c>
      <c r="B611" t="s">
        <v>2982</v>
      </c>
      <c r="C611" t="s">
        <v>2940</v>
      </c>
      <c r="D611" t="s">
        <v>2983</v>
      </c>
      <c r="E611" t="s">
        <v>79</v>
      </c>
      <c r="F611" s="4">
        <v>41482</v>
      </c>
      <c r="G611">
        <v>12</v>
      </c>
      <c r="H611" t="s">
        <v>2967</v>
      </c>
      <c r="I611" t="s">
        <v>2968</v>
      </c>
      <c r="J611" s="4" t="s">
        <v>70</v>
      </c>
      <c r="K611" s="4" t="s">
        <v>71</v>
      </c>
      <c r="L611" t="s">
        <v>2984</v>
      </c>
      <c r="M611" t="s">
        <v>2964</v>
      </c>
      <c r="N611" t="s">
        <v>2965</v>
      </c>
      <c r="O611">
        <f>IFERROR(VLOOKUP(HEVARIM[[#This Row],[קוד תקציב]],[2]תקציבים!A:L,6,0),0)</f>
        <v>2</v>
      </c>
      <c r="P611" s="5" t="s">
        <v>227</v>
      </c>
      <c r="Q611" t="s">
        <v>14</v>
      </c>
      <c r="R611" s="4">
        <v>43871</v>
      </c>
      <c r="S611" s="4" t="s">
        <v>90</v>
      </c>
      <c r="T611" s="96" t="s">
        <v>2967</v>
      </c>
      <c r="U611" t="str">
        <f>VLOOKUP(HEVARIM[[#This Row],[גיל]],GIL,2,1)</f>
        <v>יסודי</v>
      </c>
      <c r="V611">
        <f>IF(HEVARIM[[#This Row],[קוד מעמד]]="4     ",IF(HEVARIM[[#This Row],[גיל]]=1,1,IF(HEVARIM[[#This Row],[גיל]]&lt;=5,5,18)),"")</f>
        <v>18</v>
      </c>
      <c r="W611">
        <f t="shared" si="36"/>
        <v>0</v>
      </c>
      <c r="X61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1">
        <f>IF(HEVARIM[[#This Row],[מצב משפחתי2]]="אלמן",'[2]ריכוז נתונים'!$AC$2,0)</f>
        <v>0</v>
      </c>
      <c r="Z611" s="3">
        <f>VLOOKUP(VALUE(HEVARIM[[#This Row],[קוד מעמד]]),הנחות!$I$2:$K$21,3,0)</f>
        <v>1</v>
      </c>
      <c r="AA611" t="b">
        <f>ISERROR(VLOOKUP(HEVARIM[[#This Row],[קוד תקציב]],'[2]ריכוז נתונים'!A:A,1,0))</f>
        <v>0</v>
      </c>
      <c r="AB611" s="1">
        <f t="shared" si="37"/>
        <v>0</v>
      </c>
      <c r="AC611" s="2">
        <f ca="1">IF(HEVARIM[[#This Row],[בר מצוה]]&gt;0,YEAR(TODAY())+'תקציבים מיוחדים'!$F$5-HEVARIM[[#This Row],[גיל]],0)</f>
        <v>0</v>
      </c>
      <c r="AD611" s="1">
        <f t="shared" si="38"/>
        <v>6613.8461538461543</v>
      </c>
      <c r="AE611" s="2">
        <f ca="1">IF(HEVARIM[[#This Row],[בת מצוה]]&gt;0,YEAR(TODAY())+'תקציבים מיוחדים'!$F$5-HEVARIM[[#This Row],[גיל]],0)</f>
        <v>2027</v>
      </c>
      <c r="AF611" s="1">
        <f>IF(AND($S611&gt;="רווק",$Z611=1),AF$4*IF(HEVARIM[[#This Row],[גיל]]&gt;$AF$3,1,(($G611-AF$2)/(AF$3-AF$2))),0)</f>
        <v>34578.571428571428</v>
      </c>
      <c r="AG611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611" s="1">
        <f t="shared" si="39"/>
        <v>60336.28571428571</v>
      </c>
      <c r="AI611" s="2">
        <f ca="1">IF(AH611&gt;0,YEAR(TODAY())+'תקציבים מיוחדים'!$F$7-HEVARIM[[#This Row],[גיל]],0)</f>
        <v>2035</v>
      </c>
      <c r="AJ611" s="9">
        <f>IF(AND(ISERROR(VLOOKUP(H611,'[2]ריכוז נתונים'!A:L,1,0)),P611="1     "),1,0)</f>
        <v>0</v>
      </c>
      <c r="AK61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1" s="1">
        <f>IF(AND(VALUE(HEVARIM[[#This Row],[קוד מעמד]])=1,HEVARIM[[#This Row],[ותק מחברה 40]]&lt;25),HEVARIM[[#This Row],[ותק מחברה 40]]/25*הנחות!$C$4,0)</f>
        <v>0</v>
      </c>
      <c r="AM611" s="9" t="str">
        <f ca="1">IF(HEVARIM[[#This Row],[דמי עזיבה 25 שנות ותק]]&gt;0,YEAR(TODAY())+25-ROUNDDOWN(HEVARIM[[#This Row],[ותק מחברה 40]],0),"")</f>
        <v/>
      </c>
      <c r="AN61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1" s="9" t="str">
        <f ca="1">IF(HEVARIM[[#This Row],[דמי עזיבה לגיל 65]]&gt;0,YEAR(TODAY())+64-ROUNDDOWN(HEVARIM[[#This Row],[גיל]],0),"")</f>
        <v/>
      </c>
      <c r="AP611" s="1">
        <f>SUMIF(HEVARIM[קוד תקציב],HEVARIM[[#This Row],[קוד תקציב משפחה מקורי]],HEVARIM[ותק מחברה 40])</f>
        <v>17.12</v>
      </c>
      <c r="AQ61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1" s="9">
        <f>IF(HEVARIM[[#This Row],[קוד מעמד]]="1     ",IFERROR(VLOOKUP(HEVARIM[[#This Row],[קוד תקציב]],'תקציב צביעה - לקראת השינוי'!A:F,4,0),0),0)</f>
        <v>0</v>
      </c>
      <c r="AT611" s="1"/>
    </row>
    <row r="612" spans="1:46">
      <c r="A612" t="s">
        <v>2985</v>
      </c>
      <c r="B612" t="s">
        <v>2986</v>
      </c>
      <c r="C612" t="s">
        <v>2940</v>
      </c>
      <c r="D612" t="s">
        <v>2987</v>
      </c>
      <c r="E612" t="s">
        <v>67</v>
      </c>
      <c r="F612" s="4">
        <v>43598</v>
      </c>
      <c r="G612">
        <v>6</v>
      </c>
      <c r="H612" t="s">
        <v>2967</v>
      </c>
      <c r="I612" t="s">
        <v>2968</v>
      </c>
      <c r="J612" s="4" t="s">
        <v>70</v>
      </c>
      <c r="K612" s="4" t="s">
        <v>71</v>
      </c>
      <c r="L612" t="s">
        <v>2988</v>
      </c>
      <c r="M612" t="s">
        <v>2964</v>
      </c>
      <c r="N612" t="s">
        <v>2965</v>
      </c>
      <c r="O612">
        <f>IFERROR(VLOOKUP(HEVARIM[[#This Row],[קוד תקציב]],[2]תקציבים!A:L,6,0),0)</f>
        <v>2</v>
      </c>
      <c r="P612" s="5" t="s">
        <v>227</v>
      </c>
      <c r="Q612" t="s">
        <v>14</v>
      </c>
      <c r="R612" s="4">
        <v>43871</v>
      </c>
      <c r="S612" s="4" t="s">
        <v>90</v>
      </c>
      <c r="T612" s="96" t="s">
        <v>2967</v>
      </c>
      <c r="U612" t="str">
        <f>VLOOKUP(HEVARIM[[#This Row],[גיל]],GIL,2,1)</f>
        <v>יסודי</v>
      </c>
      <c r="V612">
        <f>IF(HEVARIM[[#This Row],[קוד מעמד]]="4     ",IF(HEVARIM[[#This Row],[גיל]]=1,1,IF(HEVARIM[[#This Row],[גיל]]&lt;=5,5,18)),"")</f>
        <v>18</v>
      </c>
      <c r="W612">
        <f t="shared" si="36"/>
        <v>0</v>
      </c>
      <c r="X61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2">
        <f>IF(HEVARIM[[#This Row],[מצב משפחתי2]]="אלמן",'[2]ריכוז נתונים'!$AC$2,0)</f>
        <v>0</v>
      </c>
      <c r="Z612" s="3">
        <f>VLOOKUP(VALUE(HEVARIM[[#This Row],[קוד מעמד]]),הנחות!$I$2:$K$21,3,0)</f>
        <v>1</v>
      </c>
      <c r="AA612" t="b">
        <f>ISERROR(VLOOKUP(HEVARIM[[#This Row],[קוד תקציב]],'[2]ריכוז נתונים'!A:A,1,0))</f>
        <v>0</v>
      </c>
      <c r="AB612" s="1">
        <f t="shared" si="37"/>
        <v>3306.9230769230771</v>
      </c>
      <c r="AC612" s="2">
        <f ca="1">IF(HEVARIM[[#This Row],[בר מצוה]]&gt;0,YEAR(TODAY())+'תקציבים מיוחדים'!$F$5-HEVARIM[[#This Row],[גיל]],0)</f>
        <v>2033</v>
      </c>
      <c r="AD612" s="1">
        <f t="shared" si="38"/>
        <v>0</v>
      </c>
      <c r="AE612" s="2">
        <f ca="1">IF(HEVARIM[[#This Row],[בת מצוה]]&gt;0,YEAR(TODAY())+'תקציבים מיוחדים'!$F$5-HEVARIM[[#This Row],[גיל]],0)</f>
        <v>0</v>
      </c>
      <c r="AF612" s="1">
        <f>IF(AND($S612&gt;="רווק",$Z612=1),AF$4*IF(HEVARIM[[#This Row],[גיל]]&gt;$AF$3,1,(($G612-AF$2)/(AF$3-AF$2))),0)</f>
        <v>17289.285714285714</v>
      </c>
      <c r="AG612" s="2">
        <f ca="1">IF(HEVARIM[[#This Row],[מענק חתונה]]&gt;0,IF(HEVARIM[[#This Row],[גיל]]&gt;'תקציבים מיוחדים'!$F$6,2025,YEAR(TODAY())+'תקציבים מיוחדים'!$F$6-HEVARIM[[#This Row],[גיל]]),0)</f>
        <v>2041</v>
      </c>
      <c r="AH612" s="1">
        <f t="shared" si="39"/>
        <v>30168.142857142855</v>
      </c>
      <c r="AI612" s="2">
        <f ca="1">IF(AH612&gt;0,YEAR(TODAY())+'תקציבים מיוחדים'!$F$7-HEVARIM[[#This Row],[גיל]],0)</f>
        <v>2041</v>
      </c>
      <c r="AJ612" s="9">
        <f>IF(AND(ISERROR(VLOOKUP(H612,'[2]ריכוז נתונים'!A:L,1,0)),P612="1     "),1,0)</f>
        <v>0</v>
      </c>
      <c r="AK61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2" s="1">
        <f>IF(AND(VALUE(HEVARIM[[#This Row],[קוד מעמד]])=1,HEVARIM[[#This Row],[ותק מחברה 40]]&lt;25),HEVARIM[[#This Row],[ותק מחברה 40]]/25*הנחות!$C$4,0)</f>
        <v>0</v>
      </c>
      <c r="AM612" s="9" t="str">
        <f ca="1">IF(HEVARIM[[#This Row],[דמי עזיבה 25 שנות ותק]]&gt;0,YEAR(TODAY())+25-ROUNDDOWN(HEVARIM[[#This Row],[ותק מחברה 40]],0),"")</f>
        <v/>
      </c>
      <c r="AN61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2" s="9" t="str">
        <f ca="1">IF(HEVARIM[[#This Row],[דמי עזיבה לגיל 65]]&gt;0,YEAR(TODAY())+64-ROUNDDOWN(HEVARIM[[#This Row],[גיל]],0),"")</f>
        <v/>
      </c>
      <c r="AP612" s="1">
        <f>SUMIF(HEVARIM[קוד תקציב],HEVARIM[[#This Row],[קוד תקציב משפחה מקורי]],HEVARIM[ותק מחברה 40])</f>
        <v>17.12</v>
      </c>
      <c r="AQ61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2" s="9">
        <f>IF(HEVARIM[[#This Row],[קוד מעמד]]="1     ",IFERROR(VLOOKUP(HEVARIM[[#This Row],[קוד תקציב]],'תקציב צביעה - לקראת השינוי'!A:F,4,0),0),0)</f>
        <v>0</v>
      </c>
      <c r="AT612" s="1"/>
    </row>
    <row r="613" spans="1:46">
      <c r="A613" t="s">
        <v>2989</v>
      </c>
      <c r="B613" t="s">
        <v>2990</v>
      </c>
      <c r="C613" t="s">
        <v>2940</v>
      </c>
      <c r="D613" t="s">
        <v>2991</v>
      </c>
      <c r="E613" t="s">
        <v>67</v>
      </c>
      <c r="F613" s="4">
        <v>44457</v>
      </c>
      <c r="G613">
        <v>4</v>
      </c>
      <c r="H613" t="s">
        <v>2967</v>
      </c>
      <c r="I613" t="s">
        <v>2968</v>
      </c>
      <c r="J613" s="4" t="s">
        <v>70</v>
      </c>
      <c r="K613" s="4" t="s">
        <v>71</v>
      </c>
      <c r="L613" t="s">
        <v>2992</v>
      </c>
      <c r="M613" t="s">
        <v>2964</v>
      </c>
      <c r="N613" t="s">
        <v>2965</v>
      </c>
      <c r="O613">
        <f>IFERROR(VLOOKUP(HEVARIM[[#This Row],[קוד תקציב]],[2]תקציבים!A:L,6,0),0)</f>
        <v>2</v>
      </c>
      <c r="P613" s="5" t="s">
        <v>227</v>
      </c>
      <c r="Q613" t="s">
        <v>14</v>
      </c>
      <c r="R613" s="4">
        <v>44457</v>
      </c>
      <c r="S613" s="4" t="s">
        <v>90</v>
      </c>
      <c r="T613" s="96" t="s">
        <v>2967</v>
      </c>
      <c r="U613" t="str">
        <f>VLOOKUP(HEVARIM[[#This Row],[גיל]],GIL,2,1)</f>
        <v>גנים</v>
      </c>
      <c r="V613">
        <f>IF(HEVARIM[[#This Row],[קוד מעמד]]="4     ",IF(HEVARIM[[#This Row],[גיל]]=1,1,IF(HEVARIM[[#This Row],[גיל]]&lt;=5,5,18)),"")</f>
        <v>5</v>
      </c>
      <c r="W613">
        <f t="shared" si="36"/>
        <v>0</v>
      </c>
      <c r="X61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3">
        <f>IF(HEVARIM[[#This Row],[מצב משפחתי2]]="אלמן",'[2]ריכוז נתונים'!$AC$2,0)</f>
        <v>0</v>
      </c>
      <c r="Z613" s="3">
        <f>VLOOKUP(VALUE(HEVARIM[[#This Row],[קוד מעמד]]),הנחות!$I$2:$K$21,3,0)</f>
        <v>1</v>
      </c>
      <c r="AA613" t="b">
        <f>ISERROR(VLOOKUP(HEVARIM[[#This Row],[קוד תקציב]],'[2]ריכוז נתונים'!A:A,1,0))</f>
        <v>0</v>
      </c>
      <c r="AB613" s="1">
        <f t="shared" si="37"/>
        <v>2204.6153846153848</v>
      </c>
      <c r="AC613" s="2">
        <f ca="1">IF(HEVARIM[[#This Row],[בר מצוה]]&gt;0,YEAR(TODAY())+'תקציבים מיוחדים'!$F$5-HEVARIM[[#This Row],[גיל]],0)</f>
        <v>2035</v>
      </c>
      <c r="AD613" s="1">
        <f t="shared" si="38"/>
        <v>0</v>
      </c>
      <c r="AE613" s="2">
        <f ca="1">IF(HEVARIM[[#This Row],[בת מצוה]]&gt;0,YEAR(TODAY())+'תקציבים מיוחדים'!$F$5-HEVARIM[[#This Row],[גיל]],0)</f>
        <v>0</v>
      </c>
      <c r="AF613" s="1">
        <f>IF(AND($S613&gt;="רווק",$Z613=1),AF$4*IF(HEVARIM[[#This Row],[גיל]]&gt;$AF$3,1,(($G613-AF$2)/(AF$3-AF$2))),0)</f>
        <v>11526.190476190475</v>
      </c>
      <c r="AG613" s="2">
        <f ca="1">IF(HEVARIM[[#This Row],[מענק חתונה]]&gt;0,IF(HEVARIM[[#This Row],[גיל]]&gt;'תקציבים מיוחדים'!$F$6,2025,YEAR(TODAY())+'תקציבים מיוחדים'!$F$6-HEVARIM[[#This Row],[גיל]]),0)</f>
        <v>2043</v>
      </c>
      <c r="AH613" s="1">
        <f t="shared" si="39"/>
        <v>20112.095238095237</v>
      </c>
      <c r="AI613" s="2">
        <f ca="1">IF(AH613&gt;0,YEAR(TODAY())+'תקציבים מיוחדים'!$F$7-HEVARIM[[#This Row],[גיל]],0)</f>
        <v>2043</v>
      </c>
      <c r="AJ613" s="9">
        <f>IF(AND(ISERROR(VLOOKUP(H613,'[2]ריכוז נתונים'!A:L,1,0)),P613="1     "),1,0)</f>
        <v>0</v>
      </c>
      <c r="AK61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3" s="1">
        <f>IF(AND(VALUE(HEVARIM[[#This Row],[קוד מעמד]])=1,HEVARIM[[#This Row],[ותק מחברה 40]]&lt;25),HEVARIM[[#This Row],[ותק מחברה 40]]/25*הנחות!$C$4,0)</f>
        <v>0</v>
      </c>
      <c r="AM613" s="9" t="str">
        <f ca="1">IF(HEVARIM[[#This Row],[דמי עזיבה 25 שנות ותק]]&gt;0,YEAR(TODAY())+25-ROUNDDOWN(HEVARIM[[#This Row],[ותק מחברה 40]],0),"")</f>
        <v/>
      </c>
      <c r="AN61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3" s="9" t="str">
        <f ca="1">IF(HEVARIM[[#This Row],[דמי עזיבה לגיל 65]]&gt;0,YEAR(TODAY())+64-ROUNDDOWN(HEVARIM[[#This Row],[גיל]],0),"")</f>
        <v/>
      </c>
      <c r="AP613" s="1">
        <f>SUMIF(HEVARIM[קוד תקציב],HEVARIM[[#This Row],[קוד תקציב משפחה מקורי]],HEVARIM[ותק מחברה 40])</f>
        <v>17.12</v>
      </c>
      <c r="AQ61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3" s="9">
        <f>IF(HEVARIM[[#This Row],[קוד מעמד]]="1     ",IFERROR(VLOOKUP(HEVARIM[[#This Row],[קוד תקציב]],'תקציב צביעה - לקראת השינוי'!A:F,4,0),0),0)</f>
        <v>0</v>
      </c>
      <c r="AT613" s="1"/>
    </row>
    <row r="614" spans="1:46">
      <c r="A614" t="s">
        <v>2962</v>
      </c>
      <c r="B614" t="s">
        <v>2963</v>
      </c>
      <c r="C614" t="s">
        <v>2958</v>
      </c>
      <c r="D614" t="s">
        <v>1416</v>
      </c>
      <c r="E614" t="s">
        <v>67</v>
      </c>
      <c r="F614" s="4">
        <v>28721</v>
      </c>
      <c r="G614">
        <v>47</v>
      </c>
      <c r="H614" t="s">
        <v>2959</v>
      </c>
      <c r="I614" t="s">
        <v>2960</v>
      </c>
      <c r="J614" s="4" t="s">
        <v>70</v>
      </c>
      <c r="K614" s="4" t="s">
        <v>71</v>
      </c>
      <c r="L614" t="s">
        <v>2993</v>
      </c>
      <c r="M614" t="s">
        <v>2962</v>
      </c>
      <c r="N614" t="s">
        <v>2963</v>
      </c>
      <c r="O614">
        <f>IFERROR(VLOOKUP(HEVARIM[[#This Row],[קוד תקציב]],[2]תקציבים!A:L,6,0),0)</f>
        <v>2</v>
      </c>
      <c r="P614" s="5" t="s">
        <v>104</v>
      </c>
      <c r="Q614" t="s">
        <v>11</v>
      </c>
      <c r="R614" s="4">
        <v>41275</v>
      </c>
      <c r="S614" s="4" t="s">
        <v>74</v>
      </c>
      <c r="T614" s="96" t="s">
        <v>2959</v>
      </c>
      <c r="U614" t="str">
        <f>VLOOKUP(HEVARIM[[#This Row],[גיל]],GIL,2,1)</f>
        <v>--</v>
      </c>
      <c r="V614" t="str">
        <f>IF(HEVARIM[[#This Row],[קוד מעמד]]="4     ",IF(HEVARIM[[#This Row],[גיל]]=1,1,IF(HEVARIM[[#This Row],[גיל]]&lt;=5,5,18)),"")</f>
        <v/>
      </c>
      <c r="W614">
        <f t="shared" si="36"/>
        <v>0</v>
      </c>
      <c r="X61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4">
        <f>IF(HEVARIM[[#This Row],[מצב משפחתי2]]="אלמן",'[2]ריכוז נתונים'!$AC$2,0)</f>
        <v>0</v>
      </c>
      <c r="Z614" s="3">
        <f>VLOOKUP(VALUE(HEVARIM[[#This Row],[קוד מעמד]]),הנחות!$I$2:$K$21,3,0)</f>
        <v>0</v>
      </c>
      <c r="AA614" t="b">
        <f>ISERROR(VLOOKUP(HEVARIM[[#This Row],[קוד תקציב]],'[2]ריכוז נתונים'!A:A,1,0))</f>
        <v>0</v>
      </c>
      <c r="AB614" s="1">
        <f t="shared" si="37"/>
        <v>0</v>
      </c>
      <c r="AC614" s="2">
        <f ca="1">IF(HEVARIM[[#This Row],[בר מצוה]]&gt;0,YEAR(TODAY())+'תקציבים מיוחדים'!$F$5-HEVARIM[[#This Row],[גיל]],0)</f>
        <v>0</v>
      </c>
      <c r="AD614" s="1">
        <f t="shared" si="38"/>
        <v>0</v>
      </c>
      <c r="AE614" s="2">
        <f ca="1">IF(HEVARIM[[#This Row],[בת מצוה]]&gt;0,YEAR(TODAY())+'תקציבים מיוחדים'!$F$5-HEVARIM[[#This Row],[גיל]],0)</f>
        <v>0</v>
      </c>
      <c r="AF614" s="1">
        <f>IF(AND($S614&gt;="רווק",$Z614=1),AF$4*IF(HEVARIM[[#This Row],[גיל]]&gt;$AF$3,1,(($G614-AF$2)/(AF$3-AF$2))),0)</f>
        <v>0</v>
      </c>
      <c r="AG61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14" s="1">
        <f t="shared" si="39"/>
        <v>0</v>
      </c>
      <c r="AI614" s="2">
        <f ca="1">IF(AH614&gt;0,YEAR(TODAY())+'תקציבים מיוחדים'!$F$7-HEVARIM[[#This Row],[גיל]],0)</f>
        <v>0</v>
      </c>
      <c r="AJ614" s="9">
        <f>IF(AND(ISERROR(VLOOKUP(H614,'[2]ריכוז נתונים'!A:L,1,0)),P614="1     "),1,0)</f>
        <v>0</v>
      </c>
      <c r="AK614" s="1">
        <f>IF(VALUE(HEVARIM[[#This Row],[קוד מעמד]])=1,VLOOKUP((IF(LEFT(HEVARIM[[#This Row],[קוד חבר]],1)="0",HEVARIM[[#This Row],[קוד חבר]],VALUE(HEVARIM[[#This Row],[קוד חבר]]))),'ותק חברה 40'!AQ:AW,7,0),"")</f>
        <v>14.76</v>
      </c>
      <c r="AL614" s="1">
        <f>IF(AND(VALUE(HEVARIM[[#This Row],[קוד מעמד]])=1,HEVARIM[[#This Row],[ותק מחברה 40]]&lt;25),HEVARIM[[#This Row],[ותק מחברה 40]]/25*הנחות!$C$4,0)</f>
        <v>22160.435219999999</v>
      </c>
      <c r="AM614" s="9">
        <f ca="1">IF(HEVARIM[[#This Row],[דמי עזיבה 25 שנות ותק]]&gt;0,YEAR(TODAY())+25-ROUNDDOWN(HEVARIM[[#This Row],[ותק מחברה 40]],0),"")</f>
        <v>2037</v>
      </c>
      <c r="AN61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4" s="9" t="str">
        <f ca="1">IF(HEVARIM[[#This Row],[דמי עזיבה לגיל 65]]&gt;0,YEAR(TODAY())+64-ROUNDDOWN(HEVARIM[[#This Row],[גיל]],0),"")</f>
        <v/>
      </c>
      <c r="AP614" s="1">
        <f>SUMIF(HEVARIM[קוד תקציב],HEVARIM[[#This Row],[קוד תקציב משפחה מקורי]],HEVARIM[ותק מחברה 40])</f>
        <v>33.79</v>
      </c>
      <c r="AQ61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4" s="9">
        <f>IF(HEVARIM[[#This Row],[קוד מעמד]]="1     ",IFERROR(VLOOKUP(HEVARIM[[#This Row],[קוד תקציב]],'תקציב צביעה - לקראת השינוי'!A:F,4,0),0),0)</f>
        <v>0</v>
      </c>
      <c r="AT614" s="1"/>
    </row>
    <row r="615" spans="1:46">
      <c r="A615" t="s">
        <v>2956</v>
      </c>
      <c r="B615" t="s">
        <v>2957</v>
      </c>
      <c r="C615" t="s">
        <v>2958</v>
      </c>
      <c r="D615" t="s">
        <v>817</v>
      </c>
      <c r="E615" t="s">
        <v>67</v>
      </c>
      <c r="F615" s="4">
        <v>38905</v>
      </c>
      <c r="G615">
        <v>19</v>
      </c>
      <c r="H615" t="s">
        <v>2959</v>
      </c>
      <c r="I615" t="s">
        <v>2960</v>
      </c>
      <c r="J615" s="4" t="s">
        <v>70</v>
      </c>
      <c r="K615" s="4" t="s">
        <v>71</v>
      </c>
      <c r="L615" t="s">
        <v>2961</v>
      </c>
      <c r="M615" t="s">
        <v>2962</v>
      </c>
      <c r="N615" t="s">
        <v>2963</v>
      </c>
      <c r="O615">
        <f>IFERROR(VLOOKUP(HEVARIM[[#This Row],[קוד תקציב]],[2]תקציבים!A:L,6,0),0)</f>
        <v>2</v>
      </c>
      <c r="P615" s="5" t="s">
        <v>1688</v>
      </c>
      <c r="Q615" t="s">
        <v>20</v>
      </c>
      <c r="R615" s="4">
        <v>45539</v>
      </c>
      <c r="S615" s="4" t="s">
        <v>90</v>
      </c>
      <c r="T615" s="96" t="s">
        <v>2959</v>
      </c>
      <c r="U615" t="str">
        <f>VLOOKUP(HEVARIM[[#This Row],[גיל]],GIL,2,1)</f>
        <v>--</v>
      </c>
      <c r="V615" t="str">
        <f>IF(HEVARIM[[#This Row],[קוד מעמד]]="4     ",IF(HEVARIM[[#This Row],[גיל]]=1,1,IF(HEVARIM[[#This Row],[גיל]]&lt;=5,5,18)),"")</f>
        <v/>
      </c>
      <c r="W615">
        <f t="shared" si="36"/>
        <v>0</v>
      </c>
      <c r="X61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5">
        <f>IF(HEVARIM[[#This Row],[מצב משפחתי2]]="אלמן",'[2]ריכוז נתונים'!$AC$2,0)</f>
        <v>0</v>
      </c>
      <c r="Z615" s="3">
        <f>VLOOKUP(VALUE(HEVARIM[[#This Row],[קוד מעמד]]),הנחות!$I$2:$K$21,3,0)</f>
        <v>1</v>
      </c>
      <c r="AA615" t="b">
        <f>ISERROR(VLOOKUP(HEVARIM[[#This Row],[קוד תקציב]],'[2]ריכוז נתונים'!A:A,1,0))</f>
        <v>0</v>
      </c>
      <c r="AB615" s="1">
        <f t="shared" si="37"/>
        <v>0</v>
      </c>
      <c r="AC615" s="2">
        <f ca="1">IF(HEVARIM[[#This Row],[בר מצוה]]&gt;0,YEAR(TODAY())+'תקציבים מיוחדים'!$F$5-HEVARIM[[#This Row],[גיל]],0)</f>
        <v>0</v>
      </c>
      <c r="AD615" s="1">
        <f t="shared" si="38"/>
        <v>0</v>
      </c>
      <c r="AE615" s="2">
        <f ca="1">IF(HEVARIM[[#This Row],[בת מצוה]]&gt;0,YEAR(TODAY())+'תקציבים מיוחדים'!$F$5-HEVARIM[[#This Row],[גיל]],0)</f>
        <v>0</v>
      </c>
      <c r="AF615" s="1">
        <f>IF(AND($S615&gt;="רווק",$Z615=1),AF$4*IF(HEVARIM[[#This Row],[גיל]]&gt;$AF$3,1,(($G615-AF$2)/(AF$3-AF$2))),0)</f>
        <v>54749.404761904763</v>
      </c>
      <c r="AG615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615" s="1">
        <f t="shared" si="39"/>
        <v>95532.452380952382</v>
      </c>
      <c r="AI615" s="2">
        <f ca="1">IF(AH615&gt;0,YEAR(TODAY())+'תקציבים מיוחדים'!$F$7-HEVARIM[[#This Row],[גיל]],0)</f>
        <v>2028</v>
      </c>
      <c r="AJ615" s="9">
        <f>IF(AND(ISERROR(VLOOKUP(H615,'[2]ריכוז נתונים'!A:L,1,0)),P615="1     "),1,0)</f>
        <v>0</v>
      </c>
      <c r="AK61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5" s="1">
        <f>IF(AND(VALUE(HEVARIM[[#This Row],[קוד מעמד]])=1,HEVARIM[[#This Row],[ותק מחברה 40]]&lt;25),HEVARIM[[#This Row],[ותק מחברה 40]]/25*הנחות!$C$4,0)</f>
        <v>0</v>
      </c>
      <c r="AM615" s="9" t="str">
        <f ca="1">IF(HEVARIM[[#This Row],[דמי עזיבה 25 שנות ותק]]&gt;0,YEAR(TODAY())+25-ROUNDDOWN(HEVARIM[[#This Row],[ותק מחברה 40]],0),"")</f>
        <v/>
      </c>
      <c r="AN61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5" s="9" t="str">
        <f ca="1">IF(HEVARIM[[#This Row],[דמי עזיבה לגיל 65]]&gt;0,YEAR(TODAY())+64-ROUNDDOWN(HEVARIM[[#This Row],[גיל]],0),"")</f>
        <v/>
      </c>
      <c r="AP615" s="1">
        <f>SUMIF(HEVARIM[קוד תקציב],HEVARIM[[#This Row],[קוד תקציב משפחה מקורי]],HEVARIM[ותק מחברה 40])</f>
        <v>33.79</v>
      </c>
      <c r="AQ61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5" s="9">
        <f>IF(HEVARIM[[#This Row],[קוד מעמד]]="1     ",IFERROR(VLOOKUP(HEVARIM[[#This Row],[קוד תקציב]],'תקציב צביעה - לקראת השינוי'!A:F,4,0),0),0)</f>
        <v>0</v>
      </c>
      <c r="AT615" s="1"/>
    </row>
    <row r="616" spans="1:46">
      <c r="A616" t="s">
        <v>2998</v>
      </c>
      <c r="B616" t="s">
        <v>2999</v>
      </c>
      <c r="C616" t="s">
        <v>2958</v>
      </c>
      <c r="D616" t="s">
        <v>636</v>
      </c>
      <c r="E616" t="s">
        <v>67</v>
      </c>
      <c r="F616" s="4">
        <v>40010</v>
      </c>
      <c r="G616">
        <v>16</v>
      </c>
      <c r="H616" t="s">
        <v>2959</v>
      </c>
      <c r="I616" t="s">
        <v>2960</v>
      </c>
      <c r="J616" s="4" t="s">
        <v>70</v>
      </c>
      <c r="K616" s="4" t="s">
        <v>71</v>
      </c>
      <c r="L616" t="s">
        <v>3000</v>
      </c>
      <c r="M616" t="s">
        <v>2962</v>
      </c>
      <c r="N616" t="s">
        <v>2963</v>
      </c>
      <c r="O616">
        <f>IFERROR(VLOOKUP(HEVARIM[[#This Row],[קוד תקציב]],[2]תקציבים!A:L,6,0),0)</f>
        <v>2</v>
      </c>
      <c r="P616" s="5" t="s">
        <v>227</v>
      </c>
      <c r="Q616" t="s">
        <v>14</v>
      </c>
      <c r="R616" s="4">
        <v>41275</v>
      </c>
      <c r="S616" s="4" t="s">
        <v>90</v>
      </c>
      <c r="T616" s="96" t="s">
        <v>2959</v>
      </c>
      <c r="U616" t="str">
        <f>VLOOKUP(HEVARIM[[#This Row],[גיל]],GIL,2,1)</f>
        <v>תיכון</v>
      </c>
      <c r="V616">
        <f>IF(HEVARIM[[#This Row],[קוד מעמד]]="4     ",IF(HEVARIM[[#This Row],[גיל]]=1,1,IF(HEVARIM[[#This Row],[גיל]]&lt;=5,5,18)),"")</f>
        <v>18</v>
      </c>
      <c r="W616">
        <f t="shared" si="36"/>
        <v>0</v>
      </c>
      <c r="X61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6">
        <f>IF(HEVARIM[[#This Row],[מצב משפחתי2]]="אלמן",'[2]ריכוז נתונים'!$AC$2,0)</f>
        <v>0</v>
      </c>
      <c r="Z616" s="3">
        <f>VLOOKUP(VALUE(HEVARIM[[#This Row],[קוד מעמד]]),הנחות!$I$2:$K$21,3,0)</f>
        <v>1</v>
      </c>
      <c r="AA616" t="b">
        <f>ISERROR(VLOOKUP(HEVARIM[[#This Row],[קוד תקציב]],'[2]ריכוז נתונים'!A:A,1,0))</f>
        <v>0</v>
      </c>
      <c r="AB616" s="1">
        <f t="shared" si="37"/>
        <v>0</v>
      </c>
      <c r="AC616" s="2">
        <f ca="1">IF(HEVARIM[[#This Row],[בר מצוה]]&gt;0,YEAR(TODAY())+'תקציבים מיוחדים'!$F$5-HEVARIM[[#This Row],[גיל]],0)</f>
        <v>0</v>
      </c>
      <c r="AD616" s="1">
        <f t="shared" si="38"/>
        <v>0</v>
      </c>
      <c r="AE616" s="2">
        <f ca="1">IF(HEVARIM[[#This Row],[בת מצוה]]&gt;0,YEAR(TODAY())+'תקציבים מיוחדים'!$F$5-HEVARIM[[#This Row],[גיל]],0)</f>
        <v>0</v>
      </c>
      <c r="AF616" s="1">
        <f>IF(AND($S616&gt;="רווק",$Z616=1),AF$4*IF(HEVARIM[[#This Row],[גיל]]&gt;$AF$3,1,(($G616-AF$2)/(AF$3-AF$2))),0)</f>
        <v>46104.761904761901</v>
      </c>
      <c r="AG616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616" s="1">
        <f t="shared" si="39"/>
        <v>80448.380952380947</v>
      </c>
      <c r="AI616" s="2">
        <f ca="1">IF(AH616&gt;0,YEAR(TODAY())+'תקציבים מיוחדים'!$F$7-HEVARIM[[#This Row],[גיל]],0)</f>
        <v>2031</v>
      </c>
      <c r="AJ616" s="9">
        <f>IF(AND(ISERROR(VLOOKUP(H616,'[2]ריכוז נתונים'!A:L,1,0)),P616="1     "),1,0)</f>
        <v>0</v>
      </c>
      <c r="AK61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6" s="1">
        <f>IF(AND(VALUE(HEVARIM[[#This Row],[קוד מעמד]])=1,HEVARIM[[#This Row],[ותק מחברה 40]]&lt;25),HEVARIM[[#This Row],[ותק מחברה 40]]/25*הנחות!$C$4,0)</f>
        <v>0</v>
      </c>
      <c r="AM616" s="9" t="str">
        <f ca="1">IF(HEVARIM[[#This Row],[דמי עזיבה 25 שנות ותק]]&gt;0,YEAR(TODAY())+25-ROUNDDOWN(HEVARIM[[#This Row],[ותק מחברה 40]],0),"")</f>
        <v/>
      </c>
      <c r="AN61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6" s="9" t="str">
        <f ca="1">IF(HEVARIM[[#This Row],[דמי עזיבה לגיל 65]]&gt;0,YEAR(TODAY())+64-ROUNDDOWN(HEVARIM[[#This Row],[גיל]],0),"")</f>
        <v/>
      </c>
      <c r="AP616" s="1">
        <f>SUMIF(HEVARIM[קוד תקציב],HEVARIM[[#This Row],[קוד תקציב משפחה מקורי]],HEVARIM[ותק מחברה 40])</f>
        <v>33.79</v>
      </c>
      <c r="AQ61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6" s="9">
        <f>IF(HEVARIM[[#This Row],[קוד מעמד]]="1     ",IFERROR(VLOOKUP(HEVARIM[[#This Row],[קוד תקציב]],'תקציב צביעה - לקראת השינוי'!A:F,4,0),0),0)</f>
        <v>0</v>
      </c>
      <c r="AT616" s="1"/>
    </row>
    <row r="617" spans="1:46">
      <c r="A617" t="s">
        <v>3001</v>
      </c>
      <c r="B617" t="s">
        <v>3002</v>
      </c>
      <c r="C617" t="s">
        <v>2958</v>
      </c>
      <c r="D617" t="s">
        <v>1151</v>
      </c>
      <c r="E617" t="s">
        <v>67</v>
      </c>
      <c r="F617" s="4">
        <v>40991</v>
      </c>
      <c r="G617">
        <v>13</v>
      </c>
      <c r="H617" t="s">
        <v>2959</v>
      </c>
      <c r="I617" t="s">
        <v>2960</v>
      </c>
      <c r="J617" s="4" t="s">
        <v>70</v>
      </c>
      <c r="K617" s="4" t="s">
        <v>71</v>
      </c>
      <c r="L617" t="s">
        <v>3003</v>
      </c>
      <c r="M617" t="s">
        <v>2962</v>
      </c>
      <c r="N617" t="s">
        <v>2963</v>
      </c>
      <c r="O617">
        <f>IFERROR(VLOOKUP(HEVARIM[[#This Row],[קוד תקציב]],[2]תקציבים!A:L,6,0),0)</f>
        <v>2</v>
      </c>
      <c r="P617" s="5" t="s">
        <v>227</v>
      </c>
      <c r="Q617" t="s">
        <v>14</v>
      </c>
      <c r="R617" s="4">
        <v>41275</v>
      </c>
      <c r="S617" s="4" t="s">
        <v>90</v>
      </c>
      <c r="T617" s="96" t="s">
        <v>2959</v>
      </c>
      <c r="U617" t="str">
        <f>VLOOKUP(HEVARIM[[#This Row],[גיל]],GIL,2,1)</f>
        <v>חטיבה</v>
      </c>
      <c r="V617">
        <f>IF(HEVARIM[[#This Row],[קוד מעמד]]="4     ",IF(HEVARIM[[#This Row],[גיל]]=1,1,IF(HEVARIM[[#This Row],[גיל]]&lt;=5,5,18)),"")</f>
        <v>18</v>
      </c>
      <c r="W617">
        <f t="shared" si="36"/>
        <v>0</v>
      </c>
      <c r="X61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7">
        <f>IF(HEVARIM[[#This Row],[מצב משפחתי2]]="אלמן",'[2]ריכוז נתונים'!$AC$2,0)</f>
        <v>0</v>
      </c>
      <c r="Z617" s="3">
        <f>VLOOKUP(VALUE(HEVARIM[[#This Row],[קוד מעמד]]),הנחות!$I$2:$K$21,3,0)</f>
        <v>1</v>
      </c>
      <c r="AA617" t="b">
        <f>ISERROR(VLOOKUP(HEVARIM[[#This Row],[קוד תקציב]],'[2]ריכוז נתונים'!A:A,1,0))</f>
        <v>0</v>
      </c>
      <c r="AB617" s="1">
        <f t="shared" si="37"/>
        <v>7165</v>
      </c>
      <c r="AC617" s="2">
        <f ca="1">IF(HEVARIM[[#This Row],[בר מצוה]]&gt;0,YEAR(TODAY())+'תקציבים מיוחדים'!$F$5-HEVARIM[[#This Row],[גיל]],0)</f>
        <v>2026</v>
      </c>
      <c r="AD617" s="1">
        <f t="shared" si="38"/>
        <v>0</v>
      </c>
      <c r="AE617" s="2">
        <f ca="1">IF(HEVARIM[[#This Row],[בת מצוה]]&gt;0,YEAR(TODAY())+'תקציבים מיוחדים'!$F$5-HEVARIM[[#This Row],[גיל]],0)</f>
        <v>0</v>
      </c>
      <c r="AF617" s="1">
        <f>IF(AND($S617&gt;="רווק",$Z617=1),AF$4*IF(HEVARIM[[#This Row],[גיל]]&gt;$AF$3,1,(($G617-AF$2)/(AF$3-AF$2))),0)</f>
        <v>37460.119047619046</v>
      </c>
      <c r="AG617" s="2">
        <f ca="1">IF(HEVARIM[[#This Row],[מענק חתונה]]&gt;0,IF(HEVARIM[[#This Row],[גיל]]&gt;'תקציבים מיוחדים'!$F$6,2025,YEAR(TODAY())+'תקציבים מיוחדים'!$F$6-HEVARIM[[#This Row],[גיל]]),0)</f>
        <v>2034</v>
      </c>
      <c r="AH617" s="1">
        <f t="shared" si="39"/>
        <v>65364.309523809527</v>
      </c>
      <c r="AI617" s="2">
        <f ca="1">IF(AH617&gt;0,YEAR(TODAY())+'תקציבים מיוחדים'!$F$7-HEVARIM[[#This Row],[גיל]],0)</f>
        <v>2034</v>
      </c>
      <c r="AJ617" s="9">
        <f>IF(AND(ISERROR(VLOOKUP(H617,'[2]ריכוז נתונים'!A:L,1,0)),P617="1     "),1,0)</f>
        <v>0</v>
      </c>
      <c r="AK61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7" s="1">
        <f>IF(AND(VALUE(HEVARIM[[#This Row],[קוד מעמד]])=1,HEVARIM[[#This Row],[ותק מחברה 40]]&lt;25),HEVARIM[[#This Row],[ותק מחברה 40]]/25*הנחות!$C$4,0)</f>
        <v>0</v>
      </c>
      <c r="AM617" s="9" t="str">
        <f ca="1">IF(HEVARIM[[#This Row],[דמי עזיבה 25 שנות ותק]]&gt;0,YEAR(TODAY())+25-ROUNDDOWN(HEVARIM[[#This Row],[ותק מחברה 40]],0),"")</f>
        <v/>
      </c>
      <c r="AN61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7" s="9" t="str">
        <f ca="1">IF(HEVARIM[[#This Row],[דמי עזיבה לגיל 65]]&gt;0,YEAR(TODAY())+64-ROUNDDOWN(HEVARIM[[#This Row],[גיל]],0),"")</f>
        <v/>
      </c>
      <c r="AP617" s="1">
        <f>SUMIF(HEVARIM[קוד תקציב],HEVARIM[[#This Row],[קוד תקציב משפחה מקורי]],HEVARIM[ותק מחברה 40])</f>
        <v>33.79</v>
      </c>
      <c r="AQ61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7" s="9">
        <f>IF(HEVARIM[[#This Row],[קוד מעמד]]="1     ",IFERROR(VLOOKUP(HEVARIM[[#This Row],[קוד תקציב]],'תקציב צביעה - לקראת השינוי'!A:F,4,0),0),0)</f>
        <v>0</v>
      </c>
      <c r="AT617" s="1"/>
    </row>
    <row r="618" spans="1:46">
      <c r="A618" t="s">
        <v>3004</v>
      </c>
      <c r="B618" t="s">
        <v>3005</v>
      </c>
      <c r="C618" t="s">
        <v>2958</v>
      </c>
      <c r="D618" t="s">
        <v>205</v>
      </c>
      <c r="E618" t="s">
        <v>79</v>
      </c>
      <c r="F618" s="4">
        <v>42207</v>
      </c>
      <c r="G618">
        <v>10</v>
      </c>
      <c r="H618" t="s">
        <v>2959</v>
      </c>
      <c r="I618" t="s">
        <v>2960</v>
      </c>
      <c r="J618" s="4" t="s">
        <v>70</v>
      </c>
      <c r="K618" s="4" t="s">
        <v>71</v>
      </c>
      <c r="L618" t="s">
        <v>3006</v>
      </c>
      <c r="M618" t="s">
        <v>2962</v>
      </c>
      <c r="N618" t="s">
        <v>2963</v>
      </c>
      <c r="O618">
        <f>IFERROR(VLOOKUP(HEVARIM[[#This Row],[קוד תקציב]],[2]תקציבים!A:L,6,0),0)</f>
        <v>2</v>
      </c>
      <c r="P618" s="5" t="s">
        <v>227</v>
      </c>
      <c r="Q618" t="s">
        <v>14</v>
      </c>
      <c r="R618" s="4">
        <v>42207</v>
      </c>
      <c r="S618" s="4" t="s">
        <v>90</v>
      </c>
      <c r="T618" s="96" t="s">
        <v>2959</v>
      </c>
      <c r="U618" t="str">
        <f>VLOOKUP(HEVARIM[[#This Row],[גיל]],GIL,2,1)</f>
        <v>יסודי</v>
      </c>
      <c r="V618">
        <f>IF(HEVARIM[[#This Row],[קוד מעמד]]="4     ",IF(HEVARIM[[#This Row],[גיל]]=1,1,IF(HEVARIM[[#This Row],[גיל]]&lt;=5,5,18)),"")</f>
        <v>18</v>
      </c>
      <c r="W618">
        <f t="shared" si="36"/>
        <v>0</v>
      </c>
      <c r="X61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8">
        <f>IF(HEVARIM[[#This Row],[מצב משפחתי2]]="אלמן",'[2]ריכוז נתונים'!$AC$2,0)</f>
        <v>0</v>
      </c>
      <c r="Z618" s="3">
        <f>VLOOKUP(VALUE(HEVARIM[[#This Row],[קוד מעמד]]),הנחות!$I$2:$K$21,3,0)</f>
        <v>1</v>
      </c>
      <c r="AA618" t="b">
        <f>ISERROR(VLOOKUP(HEVARIM[[#This Row],[קוד תקציב]],'[2]ריכוז נתונים'!A:A,1,0))</f>
        <v>0</v>
      </c>
      <c r="AB618" s="1">
        <f t="shared" si="37"/>
        <v>0</v>
      </c>
      <c r="AC618" s="2">
        <f ca="1">IF(HEVARIM[[#This Row],[בר מצוה]]&gt;0,YEAR(TODAY())+'תקציבים מיוחדים'!$F$5-HEVARIM[[#This Row],[גיל]],0)</f>
        <v>0</v>
      </c>
      <c r="AD618" s="1">
        <f t="shared" si="38"/>
        <v>5511.5384615384619</v>
      </c>
      <c r="AE618" s="2">
        <f ca="1">IF(HEVARIM[[#This Row],[בת מצוה]]&gt;0,YEAR(TODAY())+'תקציבים מיוחדים'!$F$5-HEVARIM[[#This Row],[גיל]],0)</f>
        <v>2029</v>
      </c>
      <c r="AF618" s="1">
        <f>IF(AND($S618&gt;="רווק",$Z618=1),AF$4*IF(HEVARIM[[#This Row],[גיל]]&gt;$AF$3,1,(($G618-AF$2)/(AF$3-AF$2))),0)</f>
        <v>28815.476190476187</v>
      </c>
      <c r="AG618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618" s="1">
        <f t="shared" si="39"/>
        <v>50280.238095238092</v>
      </c>
      <c r="AI618" s="2">
        <f ca="1">IF(AH618&gt;0,YEAR(TODAY())+'תקציבים מיוחדים'!$F$7-HEVARIM[[#This Row],[גיל]],0)</f>
        <v>2037</v>
      </c>
      <c r="AJ618" s="9">
        <f>IF(AND(ISERROR(VLOOKUP(H618,'[2]ריכוז נתונים'!A:L,1,0)),P618="1     "),1,0)</f>
        <v>0</v>
      </c>
      <c r="AK61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8" s="1">
        <f>IF(AND(VALUE(HEVARIM[[#This Row],[קוד מעמד]])=1,HEVARIM[[#This Row],[ותק מחברה 40]]&lt;25),HEVARIM[[#This Row],[ותק מחברה 40]]/25*הנחות!$C$4,0)</f>
        <v>0</v>
      </c>
      <c r="AM618" s="9" t="str">
        <f ca="1">IF(HEVARIM[[#This Row],[דמי עזיבה 25 שנות ותק]]&gt;0,YEAR(TODAY())+25-ROUNDDOWN(HEVARIM[[#This Row],[ותק מחברה 40]],0),"")</f>
        <v/>
      </c>
      <c r="AN61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8" s="9" t="str">
        <f ca="1">IF(HEVARIM[[#This Row],[דמי עזיבה לגיל 65]]&gt;0,YEAR(TODAY())+64-ROUNDDOWN(HEVARIM[[#This Row],[גיל]],0),"")</f>
        <v/>
      </c>
      <c r="AP618" s="1">
        <f>SUMIF(HEVARIM[קוד תקציב],HEVARIM[[#This Row],[קוד תקציב משפחה מקורי]],HEVARIM[ותק מחברה 40])</f>
        <v>33.79</v>
      </c>
      <c r="AQ61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8" s="9">
        <f>IF(HEVARIM[[#This Row],[קוד מעמד]]="1     ",IFERROR(VLOOKUP(HEVARIM[[#This Row],[קוד תקציב]],'תקציב צביעה - לקראת השינוי'!A:F,4,0),0),0)</f>
        <v>0</v>
      </c>
      <c r="AT618" s="1"/>
    </row>
    <row r="619" spans="1:46">
      <c r="A619" t="s">
        <v>3007</v>
      </c>
      <c r="B619" t="s">
        <v>3008</v>
      </c>
      <c r="C619" t="s">
        <v>2958</v>
      </c>
      <c r="D619" t="s">
        <v>3009</v>
      </c>
      <c r="E619" t="s">
        <v>67</v>
      </c>
      <c r="F619" s="4">
        <v>43460</v>
      </c>
      <c r="G619">
        <v>7</v>
      </c>
      <c r="H619" t="s">
        <v>2959</v>
      </c>
      <c r="I619" t="s">
        <v>2960</v>
      </c>
      <c r="J619" s="4" t="s">
        <v>70</v>
      </c>
      <c r="K619" s="4" t="s">
        <v>71</v>
      </c>
      <c r="L619" t="s">
        <v>3010</v>
      </c>
      <c r="M619" t="s">
        <v>2962</v>
      </c>
      <c r="N619" t="s">
        <v>2963</v>
      </c>
      <c r="O619">
        <f>IFERROR(VLOOKUP(HEVARIM[[#This Row],[קוד תקציב]],[2]תקציבים!A:L,6,0),0)</f>
        <v>2</v>
      </c>
      <c r="P619" s="5" t="s">
        <v>227</v>
      </c>
      <c r="Q619" t="s">
        <v>14</v>
      </c>
      <c r="R619" s="4">
        <v>43460</v>
      </c>
      <c r="S619" s="4" t="s">
        <v>90</v>
      </c>
      <c r="T619" s="96" t="s">
        <v>2959</v>
      </c>
      <c r="U619" t="str">
        <f>VLOOKUP(HEVARIM[[#This Row],[גיל]],GIL,2,1)</f>
        <v>יסודי</v>
      </c>
      <c r="V619">
        <f>IF(HEVARIM[[#This Row],[קוד מעמד]]="4     ",IF(HEVARIM[[#This Row],[גיל]]=1,1,IF(HEVARIM[[#This Row],[גיל]]&lt;=5,5,18)),"")</f>
        <v>18</v>
      </c>
      <c r="W619">
        <f t="shared" si="36"/>
        <v>0</v>
      </c>
      <c r="X61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19">
        <f>IF(HEVARIM[[#This Row],[מצב משפחתי2]]="אלמן",'[2]ריכוז נתונים'!$AC$2,0)</f>
        <v>0</v>
      </c>
      <c r="Z619" s="3">
        <f>VLOOKUP(VALUE(HEVARIM[[#This Row],[קוד מעמד]]),הנחות!$I$2:$K$21,3,0)</f>
        <v>1</v>
      </c>
      <c r="AA619" t="b">
        <f>ISERROR(VLOOKUP(HEVARIM[[#This Row],[קוד תקציב]],'[2]ריכוז נתונים'!A:A,1,0))</f>
        <v>0</v>
      </c>
      <c r="AB619" s="1">
        <f t="shared" si="37"/>
        <v>3858.0769230769229</v>
      </c>
      <c r="AC619" s="2">
        <f ca="1">IF(HEVARIM[[#This Row],[בר מצוה]]&gt;0,YEAR(TODAY())+'תקציבים מיוחדים'!$F$5-HEVARIM[[#This Row],[גיל]],0)</f>
        <v>2032</v>
      </c>
      <c r="AD619" s="1">
        <f t="shared" si="38"/>
        <v>0</v>
      </c>
      <c r="AE619" s="2">
        <f ca="1">IF(HEVARIM[[#This Row],[בת מצוה]]&gt;0,YEAR(TODAY())+'תקציבים מיוחדים'!$F$5-HEVARIM[[#This Row],[גיל]],0)</f>
        <v>0</v>
      </c>
      <c r="AF619" s="1">
        <f>IF(AND($S619&gt;="רווק",$Z619=1),AF$4*IF(HEVARIM[[#This Row],[גיל]]&gt;$AF$3,1,(($G619-AF$2)/(AF$3-AF$2))),0)</f>
        <v>20170.833333333332</v>
      </c>
      <c r="AG619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619" s="1">
        <f t="shared" si="39"/>
        <v>35196.166666666664</v>
      </c>
      <c r="AI619" s="2">
        <f ca="1">IF(AH619&gt;0,YEAR(TODAY())+'תקציבים מיוחדים'!$F$7-HEVARIM[[#This Row],[גיל]],0)</f>
        <v>2040</v>
      </c>
      <c r="AJ619" s="9">
        <f>IF(AND(ISERROR(VLOOKUP(H619,'[2]ריכוז נתונים'!A:L,1,0)),P619="1     "),1,0)</f>
        <v>0</v>
      </c>
      <c r="AK61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19" s="1">
        <f>IF(AND(VALUE(HEVARIM[[#This Row],[קוד מעמד]])=1,HEVARIM[[#This Row],[ותק מחברה 40]]&lt;25),HEVARIM[[#This Row],[ותק מחברה 40]]/25*הנחות!$C$4,0)</f>
        <v>0</v>
      </c>
      <c r="AM619" s="9" t="str">
        <f ca="1">IF(HEVARIM[[#This Row],[דמי עזיבה 25 שנות ותק]]&gt;0,YEAR(TODAY())+25-ROUNDDOWN(HEVARIM[[#This Row],[ותק מחברה 40]],0),"")</f>
        <v/>
      </c>
      <c r="AN61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19" s="9" t="str">
        <f ca="1">IF(HEVARIM[[#This Row],[דמי עזיבה לגיל 65]]&gt;0,YEAR(TODAY())+64-ROUNDDOWN(HEVARIM[[#This Row],[גיל]],0),"")</f>
        <v/>
      </c>
      <c r="AP619" s="1">
        <f>SUMIF(HEVARIM[קוד תקציב],HEVARIM[[#This Row],[קוד תקציב משפחה מקורי]],HEVARIM[ותק מחברה 40])</f>
        <v>33.79</v>
      </c>
      <c r="AQ61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1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19" s="9">
        <f>IF(HEVARIM[[#This Row],[קוד מעמד]]="1     ",IFERROR(VLOOKUP(HEVARIM[[#This Row],[קוד תקציב]],'תקציב צביעה - לקראת השינוי'!A:F,4,0),0),0)</f>
        <v>0</v>
      </c>
      <c r="AT619" s="1"/>
    </row>
    <row r="620" spans="1:46">
      <c r="A620" t="s">
        <v>3021</v>
      </c>
      <c r="B620" t="s">
        <v>3022</v>
      </c>
      <c r="C620" t="s">
        <v>3023</v>
      </c>
      <c r="D620" t="s">
        <v>2154</v>
      </c>
      <c r="E620" t="s">
        <v>67</v>
      </c>
      <c r="F620" s="4">
        <v>40755</v>
      </c>
      <c r="G620">
        <v>14</v>
      </c>
      <c r="H620" t="s">
        <v>3018</v>
      </c>
      <c r="I620" t="s">
        <v>3019</v>
      </c>
      <c r="J620" s="4" t="s">
        <v>70</v>
      </c>
      <c r="K620" s="4" t="s">
        <v>71</v>
      </c>
      <c r="L620" t="s">
        <v>3024</v>
      </c>
      <c r="M620" t="s">
        <v>3015</v>
      </c>
      <c r="N620" t="s">
        <v>3016</v>
      </c>
      <c r="O620">
        <f>IFERROR(VLOOKUP(HEVARIM[[#This Row],[קוד תקציב]],[2]תקציבים!A:L,6,0),0)</f>
        <v>1</v>
      </c>
      <c r="P620" s="5" t="s">
        <v>227</v>
      </c>
      <c r="Q620" t="s">
        <v>14</v>
      </c>
      <c r="R620" s="4">
        <v>40755</v>
      </c>
      <c r="S620" s="4" t="s">
        <v>90</v>
      </c>
      <c r="T620" s="96" t="s">
        <v>3018</v>
      </c>
      <c r="U620" t="str">
        <f>VLOOKUP(HEVARIM[[#This Row],[גיל]],GIL,2,1)</f>
        <v>חטיבה</v>
      </c>
      <c r="V620">
        <f>IF(HEVARIM[[#This Row],[קוד מעמד]]="4     ",IF(HEVARIM[[#This Row],[גיל]]=1,1,IF(HEVARIM[[#This Row],[גיל]]&lt;=5,5,18)),"")</f>
        <v>18</v>
      </c>
      <c r="W620">
        <f t="shared" si="36"/>
        <v>0</v>
      </c>
      <c r="X62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0">
        <f>IF(HEVARIM[[#This Row],[מצב משפחתי2]]="אלמן",'[2]ריכוז נתונים'!$AC$2,0)</f>
        <v>0</v>
      </c>
      <c r="Z620" s="3">
        <f>VLOOKUP(VALUE(HEVARIM[[#This Row],[קוד מעמד]]),הנחות!$I$2:$K$21,3,0)</f>
        <v>1</v>
      </c>
      <c r="AA620" t="b">
        <f>ISERROR(VLOOKUP(HEVARIM[[#This Row],[קוד תקציב]],'[2]ריכוז נתונים'!A:A,1,0))</f>
        <v>0</v>
      </c>
      <c r="AB620" s="1">
        <f t="shared" si="37"/>
        <v>0</v>
      </c>
      <c r="AC620" s="2">
        <f ca="1">IF(HEVARIM[[#This Row],[בר מצוה]]&gt;0,YEAR(TODAY())+'תקציבים מיוחדים'!$F$5-HEVARIM[[#This Row],[גיל]],0)</f>
        <v>0</v>
      </c>
      <c r="AD620" s="1">
        <f t="shared" si="38"/>
        <v>0</v>
      </c>
      <c r="AE620" s="2">
        <f ca="1">IF(HEVARIM[[#This Row],[בת מצוה]]&gt;0,YEAR(TODAY())+'תקציבים מיוחדים'!$F$5-HEVARIM[[#This Row],[גיל]],0)</f>
        <v>0</v>
      </c>
      <c r="AF620" s="1">
        <f>IF(AND($S620&gt;="רווק",$Z620=1),AF$4*IF(HEVARIM[[#This Row],[גיל]]&gt;$AF$3,1,(($G620-AF$2)/(AF$3-AF$2))),0)</f>
        <v>40341.666666666664</v>
      </c>
      <c r="AG620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620" s="1">
        <f t="shared" si="39"/>
        <v>70392.333333333328</v>
      </c>
      <c r="AI620" s="2">
        <f ca="1">IF(AH620&gt;0,YEAR(TODAY())+'תקציבים מיוחדים'!$F$7-HEVARIM[[#This Row],[גיל]],0)</f>
        <v>2033</v>
      </c>
      <c r="AJ620" s="9">
        <f>IF(AND(ISERROR(VLOOKUP(H620,'[2]ריכוז נתונים'!A:L,1,0)),P620="1     "),1,0)</f>
        <v>0</v>
      </c>
      <c r="AK62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0" s="1">
        <f>IF(AND(VALUE(HEVARIM[[#This Row],[קוד מעמד]])=1,HEVARIM[[#This Row],[ותק מחברה 40]]&lt;25),HEVARIM[[#This Row],[ותק מחברה 40]]/25*הנחות!$C$4,0)</f>
        <v>0</v>
      </c>
      <c r="AM620" s="9" t="str">
        <f ca="1">IF(HEVARIM[[#This Row],[דמי עזיבה 25 שנות ותק]]&gt;0,YEAR(TODAY())+25-ROUNDDOWN(HEVARIM[[#This Row],[ותק מחברה 40]],0),"")</f>
        <v/>
      </c>
      <c r="AN62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0" s="9" t="str">
        <f ca="1">IF(HEVARIM[[#This Row],[דמי עזיבה לגיל 65]]&gt;0,YEAR(TODAY())+64-ROUNDDOWN(HEVARIM[[#This Row],[גיל]],0),"")</f>
        <v/>
      </c>
      <c r="AP620" s="1">
        <f>SUMIF(HEVARIM[קוד תקציב],HEVARIM[[#This Row],[קוד תקציב משפחה מקורי]],HEVARIM[ותק מחברה 40])</f>
        <v>16.739999999999998</v>
      </c>
      <c r="AQ62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0" s="9">
        <f>IF(HEVARIM[[#This Row],[קוד מעמד]]="1     ",IFERROR(VLOOKUP(HEVARIM[[#This Row],[קוד תקציב]],'תקציב צביעה - לקראת השינוי'!A:F,4,0),0),0)</f>
        <v>0</v>
      </c>
      <c r="AT620" s="1"/>
    </row>
    <row r="621" spans="1:46">
      <c r="A621" t="s">
        <v>3025</v>
      </c>
      <c r="B621" t="s">
        <v>3026</v>
      </c>
      <c r="C621" t="s">
        <v>3023</v>
      </c>
      <c r="D621" t="s">
        <v>1425</v>
      </c>
      <c r="E621" t="s">
        <v>79</v>
      </c>
      <c r="F621" s="4">
        <v>41484</v>
      </c>
      <c r="G621">
        <v>12</v>
      </c>
      <c r="H621" t="s">
        <v>3018</v>
      </c>
      <c r="I621" t="s">
        <v>3019</v>
      </c>
      <c r="J621" s="4" t="s">
        <v>70</v>
      </c>
      <c r="K621" s="4" t="s">
        <v>71</v>
      </c>
      <c r="L621" t="s">
        <v>3027</v>
      </c>
      <c r="M621" t="s">
        <v>3015</v>
      </c>
      <c r="N621" t="s">
        <v>3016</v>
      </c>
      <c r="O621">
        <f>IFERROR(VLOOKUP(HEVARIM[[#This Row],[קוד תקציב]],[2]תקציבים!A:L,6,0),0)</f>
        <v>1</v>
      </c>
      <c r="P621" s="5" t="s">
        <v>227</v>
      </c>
      <c r="Q621" t="s">
        <v>14</v>
      </c>
      <c r="R621" s="4">
        <v>41484</v>
      </c>
      <c r="S621" s="4" t="s">
        <v>90</v>
      </c>
      <c r="T621" s="96" t="s">
        <v>3018</v>
      </c>
      <c r="U621" t="str">
        <f>VLOOKUP(HEVARIM[[#This Row],[גיל]],GIL,2,1)</f>
        <v>יסודי</v>
      </c>
      <c r="V621">
        <f>IF(HEVARIM[[#This Row],[קוד מעמד]]="4     ",IF(HEVARIM[[#This Row],[גיל]]=1,1,IF(HEVARIM[[#This Row],[גיל]]&lt;=5,5,18)),"")</f>
        <v>18</v>
      </c>
      <c r="W621">
        <f t="shared" si="36"/>
        <v>0</v>
      </c>
      <c r="X62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1">
        <f>IF(HEVARIM[[#This Row],[מצב משפחתי2]]="אלמן",'[2]ריכוז נתונים'!$AC$2,0)</f>
        <v>0</v>
      </c>
      <c r="Z621" s="3">
        <f>VLOOKUP(VALUE(HEVARIM[[#This Row],[קוד מעמד]]),הנחות!$I$2:$K$21,3,0)</f>
        <v>1</v>
      </c>
      <c r="AA621" t="b">
        <f>ISERROR(VLOOKUP(HEVARIM[[#This Row],[קוד תקציב]],'[2]ריכוז נתונים'!A:A,1,0))</f>
        <v>0</v>
      </c>
      <c r="AB621" s="1">
        <f t="shared" si="37"/>
        <v>0</v>
      </c>
      <c r="AC621" s="2">
        <f ca="1">IF(HEVARIM[[#This Row],[בר מצוה]]&gt;0,YEAR(TODAY())+'תקציבים מיוחדים'!$F$5-HEVARIM[[#This Row],[גיל]],0)</f>
        <v>0</v>
      </c>
      <c r="AD621" s="1">
        <f t="shared" si="38"/>
        <v>6613.8461538461543</v>
      </c>
      <c r="AE621" s="2">
        <f ca="1">IF(HEVARIM[[#This Row],[בת מצוה]]&gt;0,YEAR(TODAY())+'תקציבים מיוחדים'!$F$5-HEVARIM[[#This Row],[גיל]],0)</f>
        <v>2027</v>
      </c>
      <c r="AF621" s="1">
        <f>IF(AND($S621&gt;="רווק",$Z621=1),AF$4*IF(HEVARIM[[#This Row],[גיל]]&gt;$AF$3,1,(($G621-AF$2)/(AF$3-AF$2))),0)</f>
        <v>34578.571428571428</v>
      </c>
      <c r="AG621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621" s="1">
        <f t="shared" si="39"/>
        <v>60336.28571428571</v>
      </c>
      <c r="AI621" s="2">
        <f ca="1">IF(AH621&gt;0,YEAR(TODAY())+'תקציבים מיוחדים'!$F$7-HEVARIM[[#This Row],[גיל]],0)</f>
        <v>2035</v>
      </c>
      <c r="AJ621" s="9">
        <f>IF(AND(ISERROR(VLOOKUP(H621,'[2]ריכוז נתונים'!A:L,1,0)),P621="1     "),1,0)</f>
        <v>0</v>
      </c>
      <c r="AK62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1" s="1">
        <f>IF(AND(VALUE(HEVARIM[[#This Row],[קוד מעמד]])=1,HEVARIM[[#This Row],[ותק מחברה 40]]&lt;25),HEVARIM[[#This Row],[ותק מחברה 40]]/25*הנחות!$C$4,0)</f>
        <v>0</v>
      </c>
      <c r="AM621" s="9" t="str">
        <f ca="1">IF(HEVARIM[[#This Row],[דמי עזיבה 25 שנות ותק]]&gt;0,YEAR(TODAY())+25-ROUNDDOWN(HEVARIM[[#This Row],[ותק מחברה 40]],0),"")</f>
        <v/>
      </c>
      <c r="AN62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1" s="9" t="str">
        <f ca="1">IF(HEVARIM[[#This Row],[דמי עזיבה לגיל 65]]&gt;0,YEAR(TODAY())+64-ROUNDDOWN(HEVARIM[[#This Row],[גיל]],0),"")</f>
        <v/>
      </c>
      <c r="AP621" s="1">
        <f>SUMIF(HEVARIM[קוד תקציב],HEVARIM[[#This Row],[קוד תקציב משפחה מקורי]],HEVARIM[ותק מחברה 40])</f>
        <v>16.739999999999998</v>
      </c>
      <c r="AQ62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1" s="9">
        <f>IF(HEVARIM[[#This Row],[קוד מעמד]]="1     ",IFERROR(VLOOKUP(HEVARIM[[#This Row],[קוד תקציב]],'תקציב צביעה - לקראת השינוי'!A:F,4,0),0),0)</f>
        <v>0</v>
      </c>
      <c r="AT621" s="1"/>
    </row>
    <row r="622" spans="1:46">
      <c r="A622" t="s">
        <v>3162</v>
      </c>
      <c r="B622" t="s">
        <v>3163</v>
      </c>
      <c r="C622" t="s">
        <v>2925</v>
      </c>
      <c r="D622" t="s">
        <v>3164</v>
      </c>
      <c r="E622" t="s">
        <v>79</v>
      </c>
      <c r="F622" s="4">
        <v>39085</v>
      </c>
      <c r="G622">
        <v>18</v>
      </c>
      <c r="H622" t="s">
        <v>2927</v>
      </c>
      <c r="I622" t="s">
        <v>2928</v>
      </c>
      <c r="J622" s="4" t="s">
        <v>70</v>
      </c>
      <c r="K622" s="4" t="s">
        <v>71</v>
      </c>
      <c r="L622" t="s">
        <v>3165</v>
      </c>
      <c r="M622" t="s">
        <v>2930</v>
      </c>
      <c r="N622" t="s">
        <v>2931</v>
      </c>
      <c r="O622">
        <f>IFERROR(VLOOKUP(HEVARIM[[#This Row],[קוד תקציב]],[2]תקציבים!A:L,6,0),0)</f>
        <v>2</v>
      </c>
      <c r="P622" s="5" t="s">
        <v>1688</v>
      </c>
      <c r="Q622" t="s">
        <v>20</v>
      </c>
      <c r="R622" s="4">
        <v>45901</v>
      </c>
      <c r="S622" s="4" t="s">
        <v>90</v>
      </c>
      <c r="T622" s="96" t="s">
        <v>2927</v>
      </c>
      <c r="U622" t="str">
        <f>VLOOKUP(HEVARIM[[#This Row],[גיל]],GIL,2,1)</f>
        <v>--</v>
      </c>
      <c r="V622" t="str">
        <f>IF(HEVARIM[[#This Row],[קוד מעמד]]="4     ",IF(HEVARIM[[#This Row],[גיל]]=1,1,IF(HEVARIM[[#This Row],[גיל]]&lt;=5,5,18)),"")</f>
        <v/>
      </c>
      <c r="W622">
        <f t="shared" si="36"/>
        <v>0</v>
      </c>
      <c r="X62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2">
        <f>IF(HEVARIM[[#This Row],[מצב משפחתי2]]="אלמן",'[2]ריכוז נתונים'!$AC$2,0)</f>
        <v>0</v>
      </c>
      <c r="Z622" s="3">
        <f>VLOOKUP(VALUE(HEVARIM[[#This Row],[קוד מעמד]]),הנחות!$I$2:$K$21,3,0)</f>
        <v>1</v>
      </c>
      <c r="AA622" t="b">
        <f>ISERROR(VLOOKUP(HEVARIM[[#This Row],[קוד תקציב]],'[2]ריכוז נתונים'!A:A,1,0))</f>
        <v>0</v>
      </c>
      <c r="AB622" s="1">
        <f t="shared" si="37"/>
        <v>0</v>
      </c>
      <c r="AC622" s="2">
        <f ca="1">IF(HEVARIM[[#This Row],[בר מצוה]]&gt;0,YEAR(TODAY())+'תקציבים מיוחדים'!$F$5-HEVARIM[[#This Row],[גיל]],0)</f>
        <v>0</v>
      </c>
      <c r="AD622" s="1">
        <f t="shared" si="38"/>
        <v>0</v>
      </c>
      <c r="AE622" s="2">
        <f ca="1">IF(HEVARIM[[#This Row],[בת מצוה]]&gt;0,YEAR(TODAY())+'תקציבים מיוחדים'!$F$5-HEVARIM[[#This Row],[גיל]],0)</f>
        <v>0</v>
      </c>
      <c r="AF622" s="1">
        <f>IF(AND($S622&gt;="רווק",$Z622=1),AF$4*IF(HEVARIM[[#This Row],[גיל]]&gt;$AF$3,1,(($G622-AF$2)/(AF$3-AF$2))),0)</f>
        <v>51867.857142857138</v>
      </c>
      <c r="AG622" s="2">
        <f ca="1">IF(HEVARIM[[#This Row],[מענק חתונה]]&gt;0,IF(HEVARIM[[#This Row],[גיל]]&gt;'תקציבים מיוחדים'!$F$6,2025,YEAR(TODAY())+'תקציבים מיוחדים'!$F$6-HEVARIM[[#This Row],[גיל]]),0)</f>
        <v>2029</v>
      </c>
      <c r="AH622" s="1">
        <f t="shared" si="39"/>
        <v>90504.428571428565</v>
      </c>
      <c r="AI622" s="2">
        <f ca="1">IF(AH622&gt;0,YEAR(TODAY())+'תקציבים מיוחדים'!$F$7-HEVARIM[[#This Row],[גיל]],0)</f>
        <v>2029</v>
      </c>
      <c r="AJ622" s="9">
        <f>IF(AND(ISERROR(VLOOKUP(H622,'[2]ריכוז נתונים'!A:L,1,0)),P622="1     "),1,0)</f>
        <v>0</v>
      </c>
      <c r="AK62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2" s="1">
        <f>IF(AND(VALUE(HEVARIM[[#This Row],[קוד מעמד]])=1,HEVARIM[[#This Row],[ותק מחברה 40]]&lt;25),HEVARIM[[#This Row],[ותק מחברה 40]]/25*הנחות!$C$4,0)</f>
        <v>0</v>
      </c>
      <c r="AM622" s="9" t="str">
        <f ca="1">IF(HEVARIM[[#This Row],[דמי עזיבה 25 שנות ותק]]&gt;0,YEAR(TODAY())+25-ROUNDDOWN(HEVARIM[[#This Row],[ותק מחברה 40]],0),"")</f>
        <v/>
      </c>
      <c r="AN62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2" s="9" t="str">
        <f ca="1">IF(HEVARIM[[#This Row],[דמי עזיבה לגיל 65]]&gt;0,YEAR(TODAY())+64-ROUNDDOWN(HEVARIM[[#This Row],[גיל]],0),"")</f>
        <v/>
      </c>
      <c r="AP622" s="1">
        <f>SUMIF(HEVARIM[קוד תקציב],HEVARIM[[#This Row],[קוד תקציב משפחה מקורי]],HEVARIM[ותק מחברה 40])</f>
        <v>47.57</v>
      </c>
      <c r="AQ62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2" s="9">
        <f>IF(HEVARIM[[#This Row],[קוד מעמד]]="1     ",IFERROR(VLOOKUP(HEVARIM[[#This Row],[קוד תקציב]],'תקציב צביעה - לקראת השינוי'!A:F,4,0),0),0)</f>
        <v>0</v>
      </c>
      <c r="AT622" s="1"/>
    </row>
    <row r="623" spans="1:46">
      <c r="A623" t="s">
        <v>3029</v>
      </c>
      <c r="B623" t="s">
        <v>3030</v>
      </c>
      <c r="C623" t="s">
        <v>2925</v>
      </c>
      <c r="D623" t="s">
        <v>3031</v>
      </c>
      <c r="E623" t="s">
        <v>79</v>
      </c>
      <c r="F623" s="4">
        <v>27785</v>
      </c>
      <c r="G623">
        <v>49</v>
      </c>
      <c r="H623" t="s">
        <v>2927</v>
      </c>
      <c r="I623" t="s">
        <v>2928</v>
      </c>
      <c r="J623" s="4" t="s">
        <v>70</v>
      </c>
      <c r="K623" s="4" t="s">
        <v>71</v>
      </c>
      <c r="L623" t="s">
        <v>3032</v>
      </c>
      <c r="M623" t="s">
        <v>2930</v>
      </c>
      <c r="N623" t="s">
        <v>2931</v>
      </c>
      <c r="O623">
        <f>IFERROR(VLOOKUP(HEVARIM[[#This Row],[קוד תקציב]],[2]תקציבים!A:L,6,0),0)</f>
        <v>2</v>
      </c>
      <c r="P623" s="5" t="s">
        <v>104</v>
      </c>
      <c r="Q623" t="s">
        <v>11</v>
      </c>
      <c r="R623" s="4">
        <v>38957</v>
      </c>
      <c r="S623" s="4" t="s">
        <v>74</v>
      </c>
      <c r="T623" s="96" t="s">
        <v>2927</v>
      </c>
      <c r="U623" t="str">
        <f>VLOOKUP(HEVARIM[[#This Row],[גיל]],GIL,2,1)</f>
        <v>--</v>
      </c>
      <c r="V623" t="str">
        <f>IF(HEVARIM[[#This Row],[קוד מעמד]]="4     ",IF(HEVARIM[[#This Row],[גיל]]=1,1,IF(HEVARIM[[#This Row],[גיל]]&lt;=5,5,18)),"")</f>
        <v/>
      </c>
      <c r="W623">
        <f t="shared" si="36"/>
        <v>0</v>
      </c>
      <c r="X62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3">
        <f>IF(HEVARIM[[#This Row],[מצב משפחתי2]]="אלמן",'[2]ריכוז נתונים'!$AC$2,0)</f>
        <v>0</v>
      </c>
      <c r="Z623" s="3">
        <f>VLOOKUP(VALUE(HEVARIM[[#This Row],[קוד מעמד]]),הנחות!$I$2:$K$21,3,0)</f>
        <v>0</v>
      </c>
      <c r="AA623" t="b">
        <f>ISERROR(VLOOKUP(HEVARIM[[#This Row],[קוד תקציב]],'[2]ריכוז נתונים'!A:A,1,0))</f>
        <v>0</v>
      </c>
      <c r="AB623" s="1">
        <f t="shared" si="37"/>
        <v>0</v>
      </c>
      <c r="AC623" s="2">
        <f ca="1">IF(HEVARIM[[#This Row],[בר מצוה]]&gt;0,YEAR(TODAY())+'תקציבים מיוחדים'!$F$5-HEVARIM[[#This Row],[גיל]],0)</f>
        <v>0</v>
      </c>
      <c r="AD623" s="1">
        <f t="shared" si="38"/>
        <v>0</v>
      </c>
      <c r="AE623" s="2">
        <f ca="1">IF(HEVARIM[[#This Row],[בת מצוה]]&gt;0,YEAR(TODAY())+'תקציבים מיוחדים'!$F$5-HEVARIM[[#This Row],[גיל]],0)</f>
        <v>0</v>
      </c>
      <c r="AF623" s="1">
        <f>IF(AND($S623&gt;="רווק",$Z623=1),AF$4*IF(HEVARIM[[#This Row],[גיל]]&gt;$AF$3,1,(($G623-AF$2)/(AF$3-AF$2))),0)</f>
        <v>0</v>
      </c>
      <c r="AG62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23" s="1">
        <f t="shared" si="39"/>
        <v>0</v>
      </c>
      <c r="AI623" s="2">
        <f ca="1">IF(AH623&gt;0,YEAR(TODAY())+'תקציבים מיוחדים'!$F$7-HEVARIM[[#This Row],[גיל]],0)</f>
        <v>0</v>
      </c>
      <c r="AJ623" s="9">
        <f>IF(AND(ISERROR(VLOOKUP(H623,'[2]ריכוז נתונים'!A:L,1,0)),P623="1     "),1,0)</f>
        <v>0</v>
      </c>
      <c r="AK623" s="1">
        <f>IF(VALUE(HEVARIM[[#This Row],[קוד מעמד]])=1,VLOOKUP((IF(LEFT(HEVARIM[[#This Row],[קוד חבר]],1)="0",HEVARIM[[#This Row],[קוד חבר]],VALUE(HEVARIM[[#This Row],[קוד חבר]]))),'ותק חברה 40'!AQ:AW,7,0),"")</f>
        <v>21.01</v>
      </c>
      <c r="AL623" s="1">
        <f>IF(AND(VALUE(HEVARIM[[#This Row],[קוד מעמד]])=1,HEVARIM[[#This Row],[ותק מחברה 40]]&lt;25),HEVARIM[[#This Row],[ותק מחברה 40]]/25*הנחות!$C$4,0)</f>
        <v>31544.088344999996</v>
      </c>
      <c r="AM623" s="9">
        <f ca="1">IF(HEVARIM[[#This Row],[דמי עזיבה 25 שנות ותק]]&gt;0,YEAR(TODAY())+25-ROUNDDOWN(HEVARIM[[#This Row],[ותק מחברה 40]],0),"")</f>
        <v>2030</v>
      </c>
      <c r="AN62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3" s="9" t="str">
        <f ca="1">IF(HEVARIM[[#This Row],[דמי עזיבה לגיל 65]]&gt;0,YEAR(TODAY())+64-ROUNDDOWN(HEVARIM[[#This Row],[גיל]],0),"")</f>
        <v/>
      </c>
      <c r="AP623" s="1">
        <f>SUMIF(HEVARIM[קוד תקציב],HEVARIM[[#This Row],[קוד תקציב משפחה מקורי]],HEVARIM[ותק מחברה 40])</f>
        <v>47.57</v>
      </c>
      <c r="AQ62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623" s="9">
        <f>IF(HEVARIM[[#This Row],[קוד מעמד]]="1     ",IFERROR(VLOOKUP(HEVARIM[[#This Row],[קוד תקציב]],'תקציב צביעה - לקראת השינוי'!A:F,4,0),0),0)</f>
        <v>2034</v>
      </c>
      <c r="AT623" s="1"/>
    </row>
    <row r="624" spans="1:46">
      <c r="A624" t="s">
        <v>3033</v>
      </c>
      <c r="B624" t="s">
        <v>3034</v>
      </c>
      <c r="C624" t="s">
        <v>2925</v>
      </c>
      <c r="D624" t="s">
        <v>1209</v>
      </c>
      <c r="E624" t="s">
        <v>79</v>
      </c>
      <c r="F624" s="4">
        <v>39846</v>
      </c>
      <c r="G624">
        <v>16</v>
      </c>
      <c r="H624" t="s">
        <v>2927</v>
      </c>
      <c r="I624" t="s">
        <v>2928</v>
      </c>
      <c r="J624" s="4" t="s">
        <v>70</v>
      </c>
      <c r="K624" s="4" t="s">
        <v>71</v>
      </c>
      <c r="L624" t="s">
        <v>3035</v>
      </c>
      <c r="M624" t="s">
        <v>2930</v>
      </c>
      <c r="N624" t="s">
        <v>2931</v>
      </c>
      <c r="O624">
        <f>IFERROR(VLOOKUP(HEVARIM[[#This Row],[קוד תקציב]],[2]תקציבים!A:L,6,0),0)</f>
        <v>2</v>
      </c>
      <c r="P624" s="5" t="s">
        <v>227</v>
      </c>
      <c r="Q624" t="s">
        <v>14</v>
      </c>
      <c r="R624" s="4">
        <v>39846</v>
      </c>
      <c r="S624" s="4" t="s">
        <v>90</v>
      </c>
      <c r="T624" s="96" t="s">
        <v>2927</v>
      </c>
      <c r="U624" t="str">
        <f>VLOOKUP(HEVARIM[[#This Row],[גיל]],GIL,2,1)</f>
        <v>תיכון</v>
      </c>
      <c r="V624">
        <f>IF(HEVARIM[[#This Row],[קוד מעמד]]="4     ",IF(HEVARIM[[#This Row],[גיל]]=1,1,IF(HEVARIM[[#This Row],[גיל]]&lt;=5,5,18)),"")</f>
        <v>18</v>
      </c>
      <c r="W624">
        <f t="shared" si="36"/>
        <v>0</v>
      </c>
      <c r="X62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4">
        <f>IF(HEVARIM[[#This Row],[מצב משפחתי2]]="אלמן",'[2]ריכוז נתונים'!$AC$2,0)</f>
        <v>0</v>
      </c>
      <c r="Z624" s="3">
        <f>VLOOKUP(VALUE(HEVARIM[[#This Row],[קוד מעמד]]),הנחות!$I$2:$K$21,3,0)</f>
        <v>1</v>
      </c>
      <c r="AA624" t="b">
        <f>ISERROR(VLOOKUP(HEVARIM[[#This Row],[קוד תקציב]],'[2]ריכוז נתונים'!A:A,1,0))</f>
        <v>0</v>
      </c>
      <c r="AB624" s="1">
        <f t="shared" si="37"/>
        <v>0</v>
      </c>
      <c r="AC624" s="2">
        <f ca="1">IF(HEVARIM[[#This Row],[בר מצוה]]&gt;0,YEAR(TODAY())+'תקציבים מיוחדים'!$F$5-HEVARIM[[#This Row],[גיל]],0)</f>
        <v>0</v>
      </c>
      <c r="AD624" s="1">
        <f t="shared" si="38"/>
        <v>0</v>
      </c>
      <c r="AE624" s="2">
        <f ca="1">IF(HEVARIM[[#This Row],[בת מצוה]]&gt;0,YEAR(TODAY())+'תקציבים מיוחדים'!$F$5-HEVARIM[[#This Row],[גיל]],0)</f>
        <v>0</v>
      </c>
      <c r="AF624" s="1">
        <f>IF(AND($S624&gt;="רווק",$Z624=1),AF$4*IF(HEVARIM[[#This Row],[גיל]]&gt;$AF$3,1,(($G624-AF$2)/(AF$3-AF$2))),0)</f>
        <v>46104.761904761901</v>
      </c>
      <c r="AG624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624" s="1">
        <f t="shared" si="39"/>
        <v>80448.380952380947</v>
      </c>
      <c r="AI624" s="2">
        <f ca="1">IF(AH624&gt;0,YEAR(TODAY())+'תקציבים מיוחדים'!$F$7-HEVARIM[[#This Row],[גיל]],0)</f>
        <v>2031</v>
      </c>
      <c r="AJ624" s="9">
        <f>IF(AND(ISERROR(VLOOKUP(H624,'[2]ריכוז נתונים'!A:L,1,0)),P624="1     "),1,0)</f>
        <v>0</v>
      </c>
      <c r="AK62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4" s="1">
        <f>IF(AND(VALUE(HEVARIM[[#This Row],[קוד מעמד]])=1,HEVARIM[[#This Row],[ותק מחברה 40]]&lt;25),HEVARIM[[#This Row],[ותק מחברה 40]]/25*הנחות!$C$4,0)</f>
        <v>0</v>
      </c>
      <c r="AM624" s="9" t="str">
        <f ca="1">IF(HEVARIM[[#This Row],[דמי עזיבה 25 שנות ותק]]&gt;0,YEAR(TODAY())+25-ROUNDDOWN(HEVARIM[[#This Row],[ותק מחברה 40]],0),"")</f>
        <v/>
      </c>
      <c r="AN62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4" s="9" t="str">
        <f ca="1">IF(HEVARIM[[#This Row],[דמי עזיבה לגיל 65]]&gt;0,YEAR(TODAY())+64-ROUNDDOWN(HEVARIM[[#This Row],[גיל]],0),"")</f>
        <v/>
      </c>
      <c r="AP624" s="1">
        <f>SUMIF(HEVARIM[קוד תקציב],HEVARIM[[#This Row],[קוד תקציב משפחה מקורי]],HEVARIM[ותק מחברה 40])</f>
        <v>47.57</v>
      </c>
      <c r="AQ62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4" s="9">
        <f>IF(HEVARIM[[#This Row],[קוד מעמד]]="1     ",IFERROR(VLOOKUP(HEVARIM[[#This Row],[קוד תקציב]],'תקציב צביעה - לקראת השינוי'!A:F,4,0),0),0)</f>
        <v>0</v>
      </c>
      <c r="AT624" s="1"/>
    </row>
    <row r="625" spans="1:46">
      <c r="A625" t="s">
        <v>3036</v>
      </c>
      <c r="B625" t="s">
        <v>3037</v>
      </c>
      <c r="C625" t="s">
        <v>2925</v>
      </c>
      <c r="D625" t="s">
        <v>3038</v>
      </c>
      <c r="E625" t="s">
        <v>79</v>
      </c>
      <c r="F625" s="4">
        <v>40557</v>
      </c>
      <c r="G625">
        <v>14</v>
      </c>
      <c r="H625" t="s">
        <v>2927</v>
      </c>
      <c r="I625" t="s">
        <v>2928</v>
      </c>
      <c r="J625" s="4" t="s">
        <v>70</v>
      </c>
      <c r="K625" s="4" t="s">
        <v>71</v>
      </c>
      <c r="L625" t="s">
        <v>3039</v>
      </c>
      <c r="M625" t="s">
        <v>2930</v>
      </c>
      <c r="N625" t="s">
        <v>2931</v>
      </c>
      <c r="O625">
        <f>IFERROR(VLOOKUP(HEVARIM[[#This Row],[קוד תקציב]],[2]תקציבים!A:L,6,0),0)</f>
        <v>2</v>
      </c>
      <c r="P625" s="5" t="s">
        <v>227</v>
      </c>
      <c r="Q625" t="s">
        <v>14</v>
      </c>
      <c r="R625" s="4">
        <v>40557</v>
      </c>
      <c r="S625" s="4" t="s">
        <v>90</v>
      </c>
      <c r="T625" s="96" t="s">
        <v>2927</v>
      </c>
      <c r="U625" t="str">
        <f>VLOOKUP(HEVARIM[[#This Row],[גיל]],GIL,2,1)</f>
        <v>חטיבה</v>
      </c>
      <c r="V625">
        <f>IF(HEVARIM[[#This Row],[קוד מעמד]]="4     ",IF(HEVARIM[[#This Row],[גיל]]=1,1,IF(HEVARIM[[#This Row],[גיל]]&lt;=5,5,18)),"")</f>
        <v>18</v>
      </c>
      <c r="W625">
        <f t="shared" si="36"/>
        <v>0</v>
      </c>
      <c r="X62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5">
        <f>IF(HEVARIM[[#This Row],[מצב משפחתי2]]="אלמן",'[2]ריכוז נתונים'!$AC$2,0)</f>
        <v>0</v>
      </c>
      <c r="Z625" s="3">
        <f>VLOOKUP(VALUE(HEVARIM[[#This Row],[קוד מעמד]]),הנחות!$I$2:$K$21,3,0)</f>
        <v>1</v>
      </c>
      <c r="AA625" t="b">
        <f>ISERROR(VLOOKUP(HEVARIM[[#This Row],[קוד תקציב]],'[2]ריכוז נתונים'!A:A,1,0))</f>
        <v>0</v>
      </c>
      <c r="AB625" s="1">
        <f t="shared" si="37"/>
        <v>0</v>
      </c>
      <c r="AC625" s="2">
        <f ca="1">IF(HEVARIM[[#This Row],[בר מצוה]]&gt;0,YEAR(TODAY())+'תקציבים מיוחדים'!$F$5-HEVARIM[[#This Row],[גיל]],0)</f>
        <v>0</v>
      </c>
      <c r="AD625" s="1">
        <f t="shared" si="38"/>
        <v>0</v>
      </c>
      <c r="AE625" s="2">
        <f ca="1">IF(HEVARIM[[#This Row],[בת מצוה]]&gt;0,YEAR(TODAY())+'תקציבים מיוחדים'!$F$5-HEVARIM[[#This Row],[גיל]],0)</f>
        <v>0</v>
      </c>
      <c r="AF625" s="1">
        <f>IF(AND($S625&gt;="רווק",$Z625=1),AF$4*IF(HEVARIM[[#This Row],[גיל]]&gt;$AF$3,1,(($G625-AF$2)/(AF$3-AF$2))),0)</f>
        <v>40341.666666666664</v>
      </c>
      <c r="AG625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625" s="1">
        <f t="shared" si="39"/>
        <v>70392.333333333328</v>
      </c>
      <c r="AI625" s="2">
        <f ca="1">IF(AH625&gt;0,YEAR(TODAY())+'תקציבים מיוחדים'!$F$7-HEVARIM[[#This Row],[גיל]],0)</f>
        <v>2033</v>
      </c>
      <c r="AJ625" s="9">
        <f>IF(AND(ISERROR(VLOOKUP(H625,'[2]ריכוז נתונים'!A:L,1,0)),P625="1     "),1,0)</f>
        <v>0</v>
      </c>
      <c r="AK62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5" s="1">
        <f>IF(AND(VALUE(HEVARIM[[#This Row],[קוד מעמד]])=1,HEVARIM[[#This Row],[ותק מחברה 40]]&lt;25),HEVARIM[[#This Row],[ותק מחברה 40]]/25*הנחות!$C$4,0)</f>
        <v>0</v>
      </c>
      <c r="AM625" s="9" t="str">
        <f ca="1">IF(HEVARIM[[#This Row],[דמי עזיבה 25 שנות ותק]]&gt;0,YEAR(TODAY())+25-ROUNDDOWN(HEVARIM[[#This Row],[ותק מחברה 40]],0),"")</f>
        <v/>
      </c>
      <c r="AN62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5" s="9" t="str">
        <f ca="1">IF(HEVARIM[[#This Row],[דמי עזיבה לגיל 65]]&gt;0,YEAR(TODAY())+64-ROUNDDOWN(HEVARIM[[#This Row],[גיל]],0),"")</f>
        <v/>
      </c>
      <c r="AP625" s="1">
        <f>SUMIF(HEVARIM[קוד תקציב],HEVARIM[[#This Row],[קוד תקציב משפחה מקורי]],HEVARIM[ותק מחברה 40])</f>
        <v>47.57</v>
      </c>
      <c r="AQ62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5" s="9">
        <f>IF(HEVARIM[[#This Row],[קוד מעמד]]="1     ",IFERROR(VLOOKUP(HEVARIM[[#This Row],[קוד תקציב]],'תקציב צביעה - לקראת השינוי'!A:F,4,0),0),0)</f>
        <v>0</v>
      </c>
      <c r="AT625" s="1"/>
    </row>
    <row r="626" spans="1:46">
      <c r="A626" t="s">
        <v>3040</v>
      </c>
      <c r="B626" t="s">
        <v>3041</v>
      </c>
      <c r="C626" t="s">
        <v>2925</v>
      </c>
      <c r="D626" t="s">
        <v>3042</v>
      </c>
      <c r="E626" t="s">
        <v>67</v>
      </c>
      <c r="F626" s="4">
        <v>41535</v>
      </c>
      <c r="G626">
        <v>12</v>
      </c>
      <c r="H626" t="s">
        <v>2927</v>
      </c>
      <c r="I626" t="s">
        <v>2928</v>
      </c>
      <c r="J626" s="4" t="s">
        <v>70</v>
      </c>
      <c r="K626" s="4" t="s">
        <v>71</v>
      </c>
      <c r="L626" t="s">
        <v>3043</v>
      </c>
      <c r="M626" t="s">
        <v>2930</v>
      </c>
      <c r="N626" t="s">
        <v>2931</v>
      </c>
      <c r="O626">
        <f>IFERROR(VLOOKUP(HEVARIM[[#This Row],[קוד תקציב]],[2]תקציבים!A:L,6,0),0)</f>
        <v>2</v>
      </c>
      <c r="P626" s="5" t="s">
        <v>227</v>
      </c>
      <c r="Q626" t="s">
        <v>14</v>
      </c>
      <c r="R626" s="4">
        <v>41535</v>
      </c>
      <c r="S626" s="4" t="s">
        <v>90</v>
      </c>
      <c r="T626" s="96" t="s">
        <v>2927</v>
      </c>
      <c r="U626" t="str">
        <f>VLOOKUP(HEVARIM[[#This Row],[גיל]],GIL,2,1)</f>
        <v>יסודי</v>
      </c>
      <c r="V626">
        <f>IF(HEVARIM[[#This Row],[קוד מעמד]]="4     ",IF(HEVARIM[[#This Row],[גיל]]=1,1,IF(HEVARIM[[#This Row],[גיל]]&lt;=5,5,18)),"")</f>
        <v>18</v>
      </c>
      <c r="W626">
        <f t="shared" si="36"/>
        <v>0</v>
      </c>
      <c r="X62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6">
        <f>IF(HEVARIM[[#This Row],[מצב משפחתי2]]="אלמן",'[2]ריכוז נתונים'!$AC$2,0)</f>
        <v>0</v>
      </c>
      <c r="Z626" s="3">
        <f>VLOOKUP(VALUE(HEVARIM[[#This Row],[קוד מעמד]]),הנחות!$I$2:$K$21,3,0)</f>
        <v>1</v>
      </c>
      <c r="AA626" t="b">
        <f>ISERROR(VLOOKUP(HEVARIM[[#This Row],[קוד תקציב]],'[2]ריכוז נתונים'!A:A,1,0))</f>
        <v>0</v>
      </c>
      <c r="AB626" s="1">
        <f t="shared" si="37"/>
        <v>6613.8461538461543</v>
      </c>
      <c r="AC626" s="2">
        <f ca="1">IF(HEVARIM[[#This Row],[בר מצוה]]&gt;0,YEAR(TODAY())+'תקציבים מיוחדים'!$F$5-HEVARIM[[#This Row],[גיל]],0)</f>
        <v>2027</v>
      </c>
      <c r="AD626" s="1">
        <f t="shared" si="38"/>
        <v>0</v>
      </c>
      <c r="AE626" s="2">
        <f ca="1">IF(HEVARIM[[#This Row],[בת מצוה]]&gt;0,YEAR(TODAY())+'תקציבים מיוחדים'!$F$5-HEVARIM[[#This Row],[גיל]],0)</f>
        <v>0</v>
      </c>
      <c r="AF626" s="1">
        <f>IF(AND($S626&gt;="רווק",$Z626=1),AF$4*IF(HEVARIM[[#This Row],[גיל]]&gt;$AF$3,1,(($G626-AF$2)/(AF$3-AF$2))),0)</f>
        <v>34578.571428571428</v>
      </c>
      <c r="AG626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626" s="1">
        <f t="shared" si="39"/>
        <v>60336.28571428571</v>
      </c>
      <c r="AI626" s="2">
        <f ca="1">IF(AH626&gt;0,YEAR(TODAY())+'תקציבים מיוחדים'!$F$7-HEVARIM[[#This Row],[גיל]],0)</f>
        <v>2035</v>
      </c>
      <c r="AJ626" s="9">
        <f>IF(AND(ISERROR(VLOOKUP(H626,'[2]ריכוז נתונים'!A:L,1,0)),P626="1     "),1,0)</f>
        <v>0</v>
      </c>
      <c r="AK62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6" s="1">
        <f>IF(AND(VALUE(HEVARIM[[#This Row],[קוד מעמד]])=1,HEVARIM[[#This Row],[ותק מחברה 40]]&lt;25),HEVARIM[[#This Row],[ותק מחברה 40]]/25*הנחות!$C$4,0)</f>
        <v>0</v>
      </c>
      <c r="AM626" s="9" t="str">
        <f ca="1">IF(HEVARIM[[#This Row],[דמי עזיבה 25 שנות ותק]]&gt;0,YEAR(TODAY())+25-ROUNDDOWN(HEVARIM[[#This Row],[ותק מחברה 40]],0),"")</f>
        <v/>
      </c>
      <c r="AN62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6" s="9" t="str">
        <f ca="1">IF(HEVARIM[[#This Row],[דמי עזיבה לגיל 65]]&gt;0,YEAR(TODAY())+64-ROUNDDOWN(HEVARIM[[#This Row],[גיל]],0),"")</f>
        <v/>
      </c>
      <c r="AP626" s="1">
        <f>SUMIF(HEVARIM[קוד תקציב],HEVARIM[[#This Row],[קוד תקציב משפחה מקורי]],HEVARIM[ותק מחברה 40])</f>
        <v>47.57</v>
      </c>
      <c r="AQ62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6" s="9">
        <f>IF(HEVARIM[[#This Row],[קוד מעמד]]="1     ",IFERROR(VLOOKUP(HEVARIM[[#This Row],[קוד תקציב]],'תקציב צביעה - לקראת השינוי'!A:F,4,0),0),0)</f>
        <v>0</v>
      </c>
      <c r="AT626" s="1"/>
    </row>
    <row r="627" spans="1:46">
      <c r="A627" t="s">
        <v>3044</v>
      </c>
      <c r="B627" t="s">
        <v>3045</v>
      </c>
      <c r="C627" t="s">
        <v>2925</v>
      </c>
      <c r="D627" t="s">
        <v>3046</v>
      </c>
      <c r="E627" t="s">
        <v>67</v>
      </c>
      <c r="F627" s="4">
        <v>42834</v>
      </c>
      <c r="G627">
        <v>8</v>
      </c>
      <c r="H627" t="s">
        <v>2927</v>
      </c>
      <c r="I627" t="s">
        <v>2928</v>
      </c>
      <c r="J627" s="4" t="s">
        <v>70</v>
      </c>
      <c r="K627" s="4" t="s">
        <v>71</v>
      </c>
      <c r="L627" t="s">
        <v>3047</v>
      </c>
      <c r="M627" t="s">
        <v>2930</v>
      </c>
      <c r="N627" t="s">
        <v>2931</v>
      </c>
      <c r="O627">
        <f>IFERROR(VLOOKUP(HEVARIM[[#This Row],[קוד תקציב]],[2]תקציבים!A:L,6,0),0)</f>
        <v>2</v>
      </c>
      <c r="P627" s="5" t="s">
        <v>227</v>
      </c>
      <c r="Q627" t="s">
        <v>14</v>
      </c>
      <c r="R627" s="4">
        <v>42834</v>
      </c>
      <c r="S627" s="4" t="s">
        <v>90</v>
      </c>
      <c r="T627" s="96" t="s">
        <v>2927</v>
      </c>
      <c r="U627" t="str">
        <f>VLOOKUP(HEVARIM[[#This Row],[גיל]],GIL,2,1)</f>
        <v>יסודי</v>
      </c>
      <c r="V627">
        <f>IF(HEVARIM[[#This Row],[קוד מעמד]]="4     ",IF(HEVARIM[[#This Row],[גיל]]=1,1,IF(HEVARIM[[#This Row],[גיל]]&lt;=5,5,18)),"")</f>
        <v>18</v>
      </c>
      <c r="W627">
        <f t="shared" si="36"/>
        <v>0</v>
      </c>
      <c r="X62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7">
        <f>IF(HEVARIM[[#This Row],[מצב משפחתי2]]="אלמן",'[2]ריכוז נתונים'!$AC$2,0)</f>
        <v>0</v>
      </c>
      <c r="Z627" s="3">
        <f>VLOOKUP(VALUE(HEVARIM[[#This Row],[קוד מעמד]]),הנחות!$I$2:$K$21,3,0)</f>
        <v>1</v>
      </c>
      <c r="AA627" t="b">
        <f>ISERROR(VLOOKUP(HEVARIM[[#This Row],[קוד תקציב]],'[2]ריכוז נתונים'!A:A,1,0))</f>
        <v>0</v>
      </c>
      <c r="AB627" s="1">
        <f t="shared" si="37"/>
        <v>4409.2307692307695</v>
      </c>
      <c r="AC627" s="2">
        <f ca="1">IF(HEVARIM[[#This Row],[בר מצוה]]&gt;0,YEAR(TODAY())+'תקציבים מיוחדים'!$F$5-HEVARIM[[#This Row],[גיל]],0)</f>
        <v>2031</v>
      </c>
      <c r="AD627" s="1">
        <f t="shared" si="38"/>
        <v>0</v>
      </c>
      <c r="AE627" s="2">
        <f ca="1">IF(HEVARIM[[#This Row],[בת מצוה]]&gt;0,YEAR(TODAY())+'תקציבים מיוחדים'!$F$5-HEVARIM[[#This Row],[גיל]],0)</f>
        <v>0</v>
      </c>
      <c r="AF627" s="1">
        <f>IF(AND($S627&gt;="רווק",$Z627=1),AF$4*IF(HEVARIM[[#This Row],[גיל]]&gt;$AF$3,1,(($G627-AF$2)/(AF$3-AF$2))),0)</f>
        <v>23052.38095238095</v>
      </c>
      <c r="AG627" s="2">
        <f ca="1">IF(HEVARIM[[#This Row],[מענק חתונה]]&gt;0,IF(HEVARIM[[#This Row],[גיל]]&gt;'תקציבים מיוחדים'!$F$6,2025,YEAR(TODAY())+'תקציבים מיוחדים'!$F$6-HEVARIM[[#This Row],[גיל]]),0)</f>
        <v>2039</v>
      </c>
      <c r="AH627" s="1">
        <f t="shared" si="39"/>
        <v>40224.190476190473</v>
      </c>
      <c r="AI627" s="2">
        <f ca="1">IF(AH627&gt;0,YEAR(TODAY())+'תקציבים מיוחדים'!$F$7-HEVARIM[[#This Row],[גיל]],0)</f>
        <v>2039</v>
      </c>
      <c r="AJ627" s="9">
        <f>IF(AND(ISERROR(VLOOKUP(H627,'[2]ריכוז נתונים'!A:L,1,0)),P627="1     "),1,0)</f>
        <v>0</v>
      </c>
      <c r="AK62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7" s="1">
        <f>IF(AND(VALUE(HEVARIM[[#This Row],[קוד מעמד]])=1,HEVARIM[[#This Row],[ותק מחברה 40]]&lt;25),HEVARIM[[#This Row],[ותק מחברה 40]]/25*הנחות!$C$4,0)</f>
        <v>0</v>
      </c>
      <c r="AM627" s="9" t="str">
        <f ca="1">IF(HEVARIM[[#This Row],[דמי עזיבה 25 שנות ותק]]&gt;0,YEAR(TODAY())+25-ROUNDDOWN(HEVARIM[[#This Row],[ותק מחברה 40]],0),"")</f>
        <v/>
      </c>
      <c r="AN62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7" s="9" t="str">
        <f ca="1">IF(HEVARIM[[#This Row],[דמי עזיבה לגיל 65]]&gt;0,YEAR(TODAY())+64-ROUNDDOWN(HEVARIM[[#This Row],[גיל]],0),"")</f>
        <v/>
      </c>
      <c r="AP627" s="1">
        <f>SUMIF(HEVARIM[קוד תקציב],HEVARIM[[#This Row],[קוד תקציב משפחה מקורי]],HEVARIM[ותק מחברה 40])</f>
        <v>47.57</v>
      </c>
      <c r="AQ62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7" s="9">
        <f>IF(HEVARIM[[#This Row],[קוד מעמד]]="1     ",IFERROR(VLOOKUP(HEVARIM[[#This Row],[קוד תקציב]],'תקציב צביעה - לקראת השינוי'!A:F,4,0),0),0)</f>
        <v>0</v>
      </c>
      <c r="AT627" s="1"/>
    </row>
    <row r="628" spans="1:46">
      <c r="A628" t="s">
        <v>2923</v>
      </c>
      <c r="B628" t="s">
        <v>2924</v>
      </c>
      <c r="C628" t="s">
        <v>2925</v>
      </c>
      <c r="D628" t="s">
        <v>2926</v>
      </c>
      <c r="E628" t="s">
        <v>79</v>
      </c>
      <c r="F628" s="4">
        <v>38103</v>
      </c>
      <c r="G628">
        <v>21</v>
      </c>
      <c r="H628" t="s">
        <v>3780</v>
      </c>
      <c r="I628" t="s">
        <v>3781</v>
      </c>
      <c r="J628" s="4" t="s">
        <v>70</v>
      </c>
      <c r="K628" s="4" t="s">
        <v>71</v>
      </c>
      <c r="L628" t="s">
        <v>2929</v>
      </c>
      <c r="M628" t="s">
        <v>2923</v>
      </c>
      <c r="N628" t="s">
        <v>2924</v>
      </c>
      <c r="O628">
        <f>IFERROR(VLOOKUP(HEVARIM[[#This Row],[קוד תקציב]],[2]תקציבים!A:L,6,0),0)</f>
        <v>0</v>
      </c>
      <c r="P628" s="5" t="s">
        <v>73</v>
      </c>
      <c r="Q628" t="s">
        <v>27</v>
      </c>
      <c r="R628" s="4">
        <v>45889</v>
      </c>
      <c r="S628" s="4" t="s">
        <v>90</v>
      </c>
      <c r="T628" s="96" t="s">
        <v>2927</v>
      </c>
      <c r="U628" t="str">
        <f>VLOOKUP(HEVARIM[[#This Row],[גיל]],GIL,2,1)</f>
        <v>--</v>
      </c>
      <c r="V628" t="str">
        <f>IF(HEVARIM[[#This Row],[קוד מעמד]]="4     ",IF(HEVARIM[[#This Row],[גיל]]=1,1,IF(HEVARIM[[#This Row],[גיל]]&lt;=5,5,18)),"")</f>
        <v/>
      </c>
      <c r="W628">
        <f t="shared" si="36"/>
        <v>0</v>
      </c>
      <c r="X62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8">
        <f>IF(HEVARIM[[#This Row],[מצב משפחתי2]]="אלמן",'[2]ריכוז נתונים'!$AC$2,0)</f>
        <v>0</v>
      </c>
      <c r="Z628" s="3">
        <f>VLOOKUP(VALUE(HEVARIM[[#This Row],[קוד מעמד]]),הנחות!$I$2:$K$21,3,0)</f>
        <v>1</v>
      </c>
      <c r="AA628" t="b">
        <f>ISERROR(VLOOKUP(HEVARIM[[#This Row],[קוד תקציב]],'[2]ריכוז נתונים'!A:A,1,0))</f>
        <v>1</v>
      </c>
      <c r="AB628" s="1">
        <f t="shared" si="37"/>
        <v>0</v>
      </c>
      <c r="AC628" s="2">
        <f ca="1">IF(HEVARIM[[#This Row],[בר מצוה]]&gt;0,YEAR(TODAY())+'תקציבים מיוחדים'!$F$5-HEVARIM[[#This Row],[גיל]],0)</f>
        <v>0</v>
      </c>
      <c r="AD628" s="1">
        <f t="shared" si="38"/>
        <v>0</v>
      </c>
      <c r="AE628" s="2">
        <f ca="1">IF(HEVARIM[[#This Row],[בת מצוה]]&gt;0,YEAR(TODAY())+'תקציבים מיוחדים'!$F$5-HEVARIM[[#This Row],[גיל]],0)</f>
        <v>0</v>
      </c>
      <c r="AF628" s="1">
        <f>IF(AND($S628&gt;="רווק",$Z628=1),AF$4*IF(HEVARIM[[#This Row],[גיל]]&gt;$AF$3,1,(($G628-AF$2)/(AF$3-AF$2))),0)</f>
        <v>60512.5</v>
      </c>
      <c r="AG628" s="2">
        <f ca="1">IF(HEVARIM[[#This Row],[מענק חתונה]]&gt;0,IF(HEVARIM[[#This Row],[גיל]]&gt;'תקציבים מיוחדים'!$F$6,2025,YEAR(TODAY())+'תקציבים מיוחדים'!$F$6-HEVARIM[[#This Row],[גיל]]),0)</f>
        <v>2026</v>
      </c>
      <c r="AH628" s="1">
        <f t="shared" si="39"/>
        <v>105588.5</v>
      </c>
      <c r="AI628" s="2">
        <f ca="1">IF(AH628&gt;0,YEAR(TODAY())+'תקציבים מיוחדים'!$F$7-HEVARIM[[#This Row],[גיל]],0)</f>
        <v>2026</v>
      </c>
      <c r="AJ628" s="9">
        <f>IF(AND(ISERROR(VLOOKUP(H628,'[2]ריכוז נתונים'!A:L,1,0)),P628="1     "),1,0)</f>
        <v>0</v>
      </c>
      <c r="AK62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8" s="1">
        <f>IF(AND(VALUE(HEVARIM[[#This Row],[קוד מעמד]])=1,HEVARIM[[#This Row],[ותק מחברה 40]]&lt;25),HEVARIM[[#This Row],[ותק מחברה 40]]/25*הנחות!$C$4,0)</f>
        <v>0</v>
      </c>
      <c r="AM628" s="9" t="str">
        <f ca="1">IF(HEVARIM[[#This Row],[דמי עזיבה 25 שנות ותק]]&gt;0,YEAR(TODAY())+25-ROUNDDOWN(HEVARIM[[#This Row],[ותק מחברה 40]],0),"")</f>
        <v/>
      </c>
      <c r="AN62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8" s="9" t="str">
        <f ca="1">IF(HEVARIM[[#This Row],[דמי עזיבה לגיל 65]]&gt;0,YEAR(TODAY())+64-ROUNDDOWN(HEVARIM[[#This Row],[גיל]],0),"")</f>
        <v/>
      </c>
      <c r="AP628" s="1">
        <f>SUMIF(HEVARIM[קוד תקציב],HEVARIM[[#This Row],[קוד תקציב משפחה מקורי]],HEVARIM[ותק מחברה 40])</f>
        <v>47.57</v>
      </c>
      <c r="AQ62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8" s="9">
        <f>IF(HEVARIM[[#This Row],[קוד מעמד]]="1     ",IFERROR(VLOOKUP(HEVARIM[[#This Row],[קוד תקציב]],'תקציב צביעה - לקראת השינוי'!A:F,4,0),0),0)</f>
        <v>0</v>
      </c>
      <c r="AT628" s="1"/>
    </row>
    <row r="629" spans="1:46">
      <c r="A629" t="s">
        <v>3048</v>
      </c>
      <c r="B629" t="s">
        <v>3049</v>
      </c>
      <c r="C629" t="s">
        <v>249</v>
      </c>
      <c r="D629" t="s">
        <v>3050</v>
      </c>
      <c r="E629" t="s">
        <v>67</v>
      </c>
      <c r="F629" s="4">
        <v>31178</v>
      </c>
      <c r="G629">
        <v>40</v>
      </c>
      <c r="H629" t="s">
        <v>3051</v>
      </c>
      <c r="I629" t="s">
        <v>3052</v>
      </c>
      <c r="J629" s="4" t="s">
        <v>70</v>
      </c>
      <c r="K629" s="4" t="s">
        <v>71</v>
      </c>
      <c r="L629" t="s">
        <v>3053</v>
      </c>
      <c r="M629" t="s">
        <v>3048</v>
      </c>
      <c r="N629" t="s">
        <v>3049</v>
      </c>
      <c r="O629">
        <f>IFERROR(VLOOKUP(HEVARIM[[#This Row],[קוד תקציב]],[2]תקציבים!A:L,6,0),0)</f>
        <v>0</v>
      </c>
      <c r="P629" s="5" t="s">
        <v>3054</v>
      </c>
      <c r="Q629" t="s">
        <v>21</v>
      </c>
      <c r="R629" s="4">
        <v>44105</v>
      </c>
      <c r="S629" s="4" t="s">
        <v>74</v>
      </c>
      <c r="T629" s="96" t="s">
        <v>3051</v>
      </c>
      <c r="U629" t="str">
        <f>VLOOKUP(HEVARIM[[#This Row],[גיל]],GIL,2,1)</f>
        <v>--</v>
      </c>
      <c r="V629" t="str">
        <f>IF(HEVARIM[[#This Row],[קוד מעמד]]="4     ",IF(HEVARIM[[#This Row],[גיל]]=1,1,IF(HEVARIM[[#This Row],[גיל]]&lt;=5,5,18)),"")</f>
        <v/>
      </c>
      <c r="W629">
        <f t="shared" si="36"/>
        <v>0</v>
      </c>
      <c r="X62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29">
        <f>IF(HEVARIM[[#This Row],[מצב משפחתי2]]="אלמן",'[2]ריכוז נתונים'!$AC$2,0)</f>
        <v>0</v>
      </c>
      <c r="Z629" s="3">
        <f>VLOOKUP(VALUE(HEVARIM[[#This Row],[קוד מעמד]]),הנחות!$I$2:$K$21,3,0)</f>
        <v>0</v>
      </c>
      <c r="AA629" t="b">
        <f>ISERROR(VLOOKUP(HEVARIM[[#This Row],[קוד תקציב]],'[2]ריכוז נתונים'!A:A,1,0))</f>
        <v>1</v>
      </c>
      <c r="AB629" s="1">
        <f t="shared" si="37"/>
        <v>0</v>
      </c>
      <c r="AC629" s="2">
        <f ca="1">IF(HEVARIM[[#This Row],[בר מצוה]]&gt;0,YEAR(TODAY())+'תקציבים מיוחדים'!$F$5-HEVARIM[[#This Row],[גיל]],0)</f>
        <v>0</v>
      </c>
      <c r="AD629" s="1">
        <f t="shared" si="38"/>
        <v>0</v>
      </c>
      <c r="AE629" s="2">
        <f ca="1">IF(HEVARIM[[#This Row],[בת מצוה]]&gt;0,YEAR(TODAY())+'תקציבים מיוחדים'!$F$5-HEVARIM[[#This Row],[גיל]],0)</f>
        <v>0</v>
      </c>
      <c r="AF629" s="1">
        <f>IF(AND($S629&gt;="רווק",$Z629=1),AF$4*IF(HEVARIM[[#This Row],[גיל]]&gt;$AF$3,1,(($G629-AF$2)/(AF$3-AF$2))),0)</f>
        <v>0</v>
      </c>
      <c r="AG62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29" s="1">
        <f t="shared" si="39"/>
        <v>0</v>
      </c>
      <c r="AI629" s="2">
        <f ca="1">IF(AH629&gt;0,YEAR(TODAY())+'תקציבים מיוחדים'!$F$7-HEVARIM[[#This Row],[גיל]],0)</f>
        <v>0</v>
      </c>
      <c r="AJ629" s="9">
        <f>IF(AND(ISERROR(VLOOKUP(H629,'[2]ריכוז נתונים'!A:L,1,0)),P629="1     "),1,0)</f>
        <v>0</v>
      </c>
      <c r="AK62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29" s="1">
        <f>IF(AND(VALUE(HEVARIM[[#This Row],[קוד מעמד]])=1,HEVARIM[[#This Row],[ותק מחברה 40]]&lt;25),HEVARIM[[#This Row],[ותק מחברה 40]]/25*הנחות!$C$4,0)</f>
        <v>0</v>
      </c>
      <c r="AM629" s="9" t="str">
        <f ca="1">IF(HEVARIM[[#This Row],[דמי עזיבה 25 שנות ותק]]&gt;0,YEAR(TODAY())+25-ROUNDDOWN(HEVARIM[[#This Row],[ותק מחברה 40]],0),"")</f>
        <v/>
      </c>
      <c r="AN62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29" s="9" t="str">
        <f ca="1">IF(HEVARIM[[#This Row],[דמי עזיבה לגיל 65]]&gt;0,YEAR(TODAY())+64-ROUNDDOWN(HEVARIM[[#This Row],[גיל]],0),"")</f>
        <v/>
      </c>
      <c r="AP629" s="1">
        <f>SUMIF(HEVARIM[קוד תקציב],HEVARIM[[#This Row],[קוד תקציב משפחה מקורי]],HEVARIM[ותק מחברה 40])</f>
        <v>0</v>
      </c>
      <c r="AQ62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2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29" s="9">
        <f>IF(HEVARIM[[#This Row],[קוד מעמד]]="1     ",IFERROR(VLOOKUP(HEVARIM[[#This Row],[קוד תקציב]],'תקציב צביעה - לקראת השינוי'!A:F,4,0),0),0)</f>
        <v>0</v>
      </c>
      <c r="AT629" s="1"/>
    </row>
    <row r="630" spans="1:46">
      <c r="A630" t="s">
        <v>3055</v>
      </c>
      <c r="B630" t="s">
        <v>3056</v>
      </c>
      <c r="C630" t="s">
        <v>249</v>
      </c>
      <c r="D630" t="s">
        <v>3057</v>
      </c>
      <c r="E630" t="s">
        <v>79</v>
      </c>
      <c r="F630" s="4">
        <v>31052</v>
      </c>
      <c r="G630">
        <v>40</v>
      </c>
      <c r="H630" t="s">
        <v>3051</v>
      </c>
      <c r="I630" t="s">
        <v>3052</v>
      </c>
      <c r="J630" s="4" t="s">
        <v>70</v>
      </c>
      <c r="K630" s="4" t="s">
        <v>71</v>
      </c>
      <c r="L630" t="s">
        <v>3058</v>
      </c>
      <c r="M630" t="s">
        <v>3048</v>
      </c>
      <c r="N630" t="s">
        <v>3049</v>
      </c>
      <c r="O630">
        <f>IFERROR(VLOOKUP(HEVARIM[[#This Row],[קוד תקציב]],[2]תקציבים!A:L,6,0),0)</f>
        <v>0</v>
      </c>
      <c r="P630" s="5" t="s">
        <v>3054</v>
      </c>
      <c r="Q630" t="s">
        <v>21</v>
      </c>
      <c r="R630" s="4">
        <v>44105</v>
      </c>
      <c r="S630" s="4" t="s">
        <v>74</v>
      </c>
      <c r="T630" s="96" t="s">
        <v>3051</v>
      </c>
      <c r="U630" t="str">
        <f>VLOOKUP(HEVARIM[[#This Row],[גיל]],GIL,2,1)</f>
        <v>--</v>
      </c>
      <c r="V630" t="str">
        <f>IF(HEVARIM[[#This Row],[קוד מעמד]]="4     ",IF(HEVARIM[[#This Row],[גיל]]=1,1,IF(HEVARIM[[#This Row],[גיל]]&lt;=5,5,18)),"")</f>
        <v/>
      </c>
      <c r="W630">
        <f t="shared" si="36"/>
        <v>0</v>
      </c>
      <c r="X63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0">
        <f>IF(HEVARIM[[#This Row],[מצב משפחתי2]]="אלמן",'[2]ריכוז נתונים'!$AC$2,0)</f>
        <v>0</v>
      </c>
      <c r="Z630" s="3">
        <f>VLOOKUP(VALUE(HEVARIM[[#This Row],[קוד מעמד]]),הנחות!$I$2:$K$21,3,0)</f>
        <v>0</v>
      </c>
      <c r="AA630" t="b">
        <f>ISERROR(VLOOKUP(HEVARIM[[#This Row],[קוד תקציב]],'[2]ריכוז נתונים'!A:A,1,0))</f>
        <v>1</v>
      </c>
      <c r="AB630" s="1">
        <f t="shared" si="37"/>
        <v>0</v>
      </c>
      <c r="AC630" s="2">
        <f ca="1">IF(HEVARIM[[#This Row],[בר מצוה]]&gt;0,YEAR(TODAY())+'תקציבים מיוחדים'!$F$5-HEVARIM[[#This Row],[גיל]],0)</f>
        <v>0</v>
      </c>
      <c r="AD630" s="1">
        <f t="shared" si="38"/>
        <v>0</v>
      </c>
      <c r="AE630" s="2">
        <f ca="1">IF(HEVARIM[[#This Row],[בת מצוה]]&gt;0,YEAR(TODAY())+'תקציבים מיוחדים'!$F$5-HEVARIM[[#This Row],[גיל]],0)</f>
        <v>0</v>
      </c>
      <c r="AF630" s="1">
        <f>IF(AND($S630&gt;="רווק",$Z630=1),AF$4*IF(HEVARIM[[#This Row],[גיל]]&gt;$AF$3,1,(($G630-AF$2)/(AF$3-AF$2))),0)</f>
        <v>0</v>
      </c>
      <c r="AG63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0" s="1">
        <f t="shared" si="39"/>
        <v>0</v>
      </c>
      <c r="AI630" s="2">
        <f ca="1">IF(AH630&gt;0,YEAR(TODAY())+'תקציבים מיוחדים'!$F$7-HEVARIM[[#This Row],[גיל]],0)</f>
        <v>0</v>
      </c>
      <c r="AJ630" s="9">
        <f>IF(AND(ISERROR(VLOOKUP(H630,'[2]ריכוז נתונים'!A:L,1,0)),P630="1     "),1,0)</f>
        <v>0</v>
      </c>
      <c r="AK63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0" s="1">
        <f>IF(AND(VALUE(HEVARIM[[#This Row],[קוד מעמד]])=1,HEVARIM[[#This Row],[ותק מחברה 40]]&lt;25),HEVARIM[[#This Row],[ותק מחברה 40]]/25*הנחות!$C$4,0)</f>
        <v>0</v>
      </c>
      <c r="AM630" s="9" t="str">
        <f ca="1">IF(HEVARIM[[#This Row],[דמי עזיבה 25 שנות ותק]]&gt;0,YEAR(TODAY())+25-ROUNDDOWN(HEVARIM[[#This Row],[ותק מחברה 40]],0),"")</f>
        <v/>
      </c>
      <c r="AN63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0" s="9" t="str">
        <f ca="1">IF(HEVARIM[[#This Row],[דמי עזיבה לגיל 65]]&gt;0,YEAR(TODAY())+64-ROUNDDOWN(HEVARIM[[#This Row],[גיל]],0),"")</f>
        <v/>
      </c>
      <c r="AP630" s="1">
        <f>SUMIF(HEVARIM[קוד תקציב],HEVARIM[[#This Row],[קוד תקציב משפחה מקורי]],HEVARIM[ותק מחברה 40])</f>
        <v>0</v>
      </c>
      <c r="AQ63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0" s="9">
        <f>IF(HEVARIM[[#This Row],[קוד מעמד]]="1     ",IFERROR(VLOOKUP(HEVARIM[[#This Row],[קוד תקציב]],'תקציב צביעה - לקראת השינוי'!A:F,4,0),0),0)</f>
        <v>0</v>
      </c>
      <c r="AT630" s="1"/>
    </row>
    <row r="631" spans="1:46">
      <c r="A631" t="s">
        <v>3059</v>
      </c>
      <c r="B631" t="s">
        <v>3060</v>
      </c>
      <c r="C631" t="s">
        <v>249</v>
      </c>
      <c r="D631" t="s">
        <v>3061</v>
      </c>
      <c r="E631" t="s">
        <v>79</v>
      </c>
      <c r="F631" s="4">
        <v>40081</v>
      </c>
      <c r="G631">
        <v>16</v>
      </c>
      <c r="H631" t="s">
        <v>3051</v>
      </c>
      <c r="I631" t="s">
        <v>3052</v>
      </c>
      <c r="J631" s="4" t="s">
        <v>70</v>
      </c>
      <c r="K631" s="4" t="s">
        <v>71</v>
      </c>
      <c r="L631" t="s">
        <v>3062</v>
      </c>
      <c r="M631" t="s">
        <v>3048</v>
      </c>
      <c r="N631" t="s">
        <v>3049</v>
      </c>
      <c r="O631">
        <f>IFERROR(VLOOKUP(HEVARIM[[#This Row],[קוד תקציב]],[2]תקציבים!A:L,6,0),0)</f>
        <v>0</v>
      </c>
      <c r="P631" s="5" t="s">
        <v>3063</v>
      </c>
      <c r="Q631" t="s">
        <v>17</v>
      </c>
      <c r="R631" s="4">
        <v>44105</v>
      </c>
      <c r="S631" s="4" t="s">
        <v>90</v>
      </c>
      <c r="T631" s="96" t="s">
        <v>3051</v>
      </c>
      <c r="U631" t="str">
        <f>VLOOKUP(HEVARIM[[#This Row],[גיל]],GIL,2,1)</f>
        <v>תיכון</v>
      </c>
      <c r="V631" t="str">
        <f>IF(HEVARIM[[#This Row],[קוד מעמד]]="4     ",IF(HEVARIM[[#This Row],[גיל]]=1,1,IF(HEVARIM[[#This Row],[גיל]]&lt;=5,5,18)),"")</f>
        <v/>
      </c>
      <c r="W631">
        <f t="shared" si="36"/>
        <v>0</v>
      </c>
      <c r="X63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1">
        <f>IF(HEVARIM[[#This Row],[מצב משפחתי2]]="אלמן",'[2]ריכוז נתונים'!$AC$2,0)</f>
        <v>0</v>
      </c>
      <c r="Z631" s="3">
        <f>VLOOKUP(VALUE(HEVARIM[[#This Row],[קוד מעמד]]),הנחות!$I$2:$K$21,3,0)</f>
        <v>0</v>
      </c>
      <c r="AA631" t="b">
        <f>ISERROR(VLOOKUP(HEVARIM[[#This Row],[קוד תקציב]],'[2]ריכוז נתונים'!A:A,1,0))</f>
        <v>1</v>
      </c>
      <c r="AB631" s="1">
        <f t="shared" si="37"/>
        <v>0</v>
      </c>
      <c r="AC631" s="2">
        <f ca="1">IF(HEVARIM[[#This Row],[בר מצוה]]&gt;0,YEAR(TODAY())+'תקציבים מיוחדים'!$F$5-HEVARIM[[#This Row],[גיל]],0)</f>
        <v>0</v>
      </c>
      <c r="AD631" s="1">
        <f t="shared" si="38"/>
        <v>0</v>
      </c>
      <c r="AE631" s="2">
        <f ca="1">IF(HEVARIM[[#This Row],[בת מצוה]]&gt;0,YEAR(TODAY())+'תקציבים מיוחדים'!$F$5-HEVARIM[[#This Row],[גיל]],0)</f>
        <v>0</v>
      </c>
      <c r="AF631" s="1">
        <f>IF(AND($S631&gt;="רווק",$Z631=1),AF$4*IF(HEVARIM[[#This Row],[גיל]]&gt;$AF$3,1,(($G631-AF$2)/(AF$3-AF$2))),0)</f>
        <v>0</v>
      </c>
      <c r="AG63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1" s="1">
        <f t="shared" si="39"/>
        <v>0</v>
      </c>
      <c r="AI631" s="2">
        <f ca="1">IF(AH631&gt;0,YEAR(TODAY())+'תקציבים מיוחדים'!$F$7-HEVARIM[[#This Row],[גיל]],0)</f>
        <v>0</v>
      </c>
      <c r="AJ631" s="9">
        <f>IF(AND(ISERROR(VLOOKUP(H631,'[2]ריכוז נתונים'!A:L,1,0)),P631="1     "),1,0)</f>
        <v>0</v>
      </c>
      <c r="AK63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1" s="1">
        <f>IF(AND(VALUE(HEVARIM[[#This Row],[קוד מעמד]])=1,HEVARIM[[#This Row],[ותק מחברה 40]]&lt;25),HEVARIM[[#This Row],[ותק מחברה 40]]/25*הנחות!$C$4,0)</f>
        <v>0</v>
      </c>
      <c r="AM631" s="9" t="str">
        <f ca="1">IF(HEVARIM[[#This Row],[דמי עזיבה 25 שנות ותק]]&gt;0,YEAR(TODAY())+25-ROUNDDOWN(HEVARIM[[#This Row],[ותק מחברה 40]],0),"")</f>
        <v/>
      </c>
      <c r="AN63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1" s="9" t="str">
        <f ca="1">IF(HEVARIM[[#This Row],[דמי עזיבה לגיל 65]]&gt;0,YEAR(TODAY())+64-ROUNDDOWN(HEVARIM[[#This Row],[גיל]],0),"")</f>
        <v/>
      </c>
      <c r="AP631" s="1">
        <f>SUMIF(HEVARIM[קוד תקציב],HEVARIM[[#This Row],[קוד תקציב משפחה מקורי]],HEVARIM[ותק מחברה 40])</f>
        <v>0</v>
      </c>
      <c r="AQ63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1" s="9">
        <f>IF(HEVARIM[[#This Row],[קוד מעמד]]="1     ",IFERROR(VLOOKUP(HEVARIM[[#This Row],[קוד תקציב]],'תקציב צביעה - לקראת השינוי'!A:F,4,0),0),0)</f>
        <v>0</v>
      </c>
      <c r="AT631" s="1"/>
    </row>
    <row r="632" spans="1:46">
      <c r="A632" t="s">
        <v>3064</v>
      </c>
      <c r="B632" t="s">
        <v>3065</v>
      </c>
      <c r="C632" t="s">
        <v>249</v>
      </c>
      <c r="D632" t="s">
        <v>3066</v>
      </c>
      <c r="E632" t="s">
        <v>67</v>
      </c>
      <c r="F632" s="4">
        <v>40697</v>
      </c>
      <c r="G632">
        <v>14</v>
      </c>
      <c r="H632" t="s">
        <v>3051</v>
      </c>
      <c r="I632" t="s">
        <v>3052</v>
      </c>
      <c r="J632" s="4" t="s">
        <v>70</v>
      </c>
      <c r="K632" s="4" t="s">
        <v>71</v>
      </c>
      <c r="L632" t="s">
        <v>3067</v>
      </c>
      <c r="M632" t="s">
        <v>3048</v>
      </c>
      <c r="N632" t="s">
        <v>3049</v>
      </c>
      <c r="O632">
        <f>IFERROR(VLOOKUP(HEVARIM[[#This Row],[קוד תקציב]],[2]תקציבים!A:L,6,0),0)</f>
        <v>0</v>
      </c>
      <c r="P632" s="5" t="s">
        <v>3063</v>
      </c>
      <c r="Q632" t="s">
        <v>17</v>
      </c>
      <c r="R632" s="4">
        <v>44105</v>
      </c>
      <c r="S632" s="4" t="s">
        <v>90</v>
      </c>
      <c r="T632" s="96" t="s">
        <v>3051</v>
      </c>
      <c r="U632" t="str">
        <f>VLOOKUP(HEVARIM[[#This Row],[גיל]],GIL,2,1)</f>
        <v>חטיבה</v>
      </c>
      <c r="V632" t="str">
        <f>IF(HEVARIM[[#This Row],[קוד מעמד]]="4     ",IF(HEVARIM[[#This Row],[גיל]]=1,1,IF(HEVARIM[[#This Row],[גיל]]&lt;=5,5,18)),"")</f>
        <v/>
      </c>
      <c r="W632">
        <f t="shared" si="36"/>
        <v>0</v>
      </c>
      <c r="X63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2">
        <f>IF(HEVARIM[[#This Row],[מצב משפחתי2]]="אלמן",'[2]ריכוז נתונים'!$AC$2,0)</f>
        <v>0</v>
      </c>
      <c r="Z632" s="3">
        <f>VLOOKUP(VALUE(HEVARIM[[#This Row],[קוד מעמד]]),הנחות!$I$2:$K$21,3,0)</f>
        <v>0</v>
      </c>
      <c r="AA632" t="b">
        <f>ISERROR(VLOOKUP(HEVARIM[[#This Row],[קוד תקציב]],'[2]ריכוז נתונים'!A:A,1,0))</f>
        <v>1</v>
      </c>
      <c r="AB632" s="1">
        <f t="shared" si="37"/>
        <v>0</v>
      </c>
      <c r="AC632" s="2">
        <f ca="1">IF(HEVARIM[[#This Row],[בר מצוה]]&gt;0,YEAR(TODAY())+'תקציבים מיוחדים'!$F$5-HEVARIM[[#This Row],[גיל]],0)</f>
        <v>0</v>
      </c>
      <c r="AD632" s="1">
        <f t="shared" si="38"/>
        <v>0</v>
      </c>
      <c r="AE632" s="2">
        <f ca="1">IF(HEVARIM[[#This Row],[בת מצוה]]&gt;0,YEAR(TODAY())+'תקציבים מיוחדים'!$F$5-HEVARIM[[#This Row],[גיל]],0)</f>
        <v>0</v>
      </c>
      <c r="AF632" s="1">
        <f>IF(AND($S632&gt;="רווק",$Z632=1),AF$4*IF(HEVARIM[[#This Row],[גיל]]&gt;$AF$3,1,(($G632-AF$2)/(AF$3-AF$2))),0)</f>
        <v>0</v>
      </c>
      <c r="AG63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2" s="1">
        <f t="shared" si="39"/>
        <v>0</v>
      </c>
      <c r="AI632" s="2">
        <f ca="1">IF(AH632&gt;0,YEAR(TODAY())+'תקציבים מיוחדים'!$F$7-HEVARIM[[#This Row],[גיל]],0)</f>
        <v>0</v>
      </c>
      <c r="AJ632" s="9">
        <f>IF(AND(ISERROR(VLOOKUP(H632,'[2]ריכוז נתונים'!A:L,1,0)),P632="1     "),1,0)</f>
        <v>0</v>
      </c>
      <c r="AK63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2" s="1">
        <f>IF(AND(VALUE(HEVARIM[[#This Row],[קוד מעמד]])=1,HEVARIM[[#This Row],[ותק מחברה 40]]&lt;25),HEVARIM[[#This Row],[ותק מחברה 40]]/25*הנחות!$C$4,0)</f>
        <v>0</v>
      </c>
      <c r="AM632" s="9" t="str">
        <f ca="1">IF(HEVARIM[[#This Row],[דמי עזיבה 25 שנות ותק]]&gt;0,YEAR(TODAY())+25-ROUNDDOWN(HEVARIM[[#This Row],[ותק מחברה 40]],0),"")</f>
        <v/>
      </c>
      <c r="AN63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2" s="9" t="str">
        <f ca="1">IF(HEVARIM[[#This Row],[דמי עזיבה לגיל 65]]&gt;0,YEAR(TODAY())+64-ROUNDDOWN(HEVARIM[[#This Row],[גיל]],0),"")</f>
        <v/>
      </c>
      <c r="AP632" s="1">
        <f>SUMIF(HEVARIM[קוד תקציב],HEVARIM[[#This Row],[קוד תקציב משפחה מקורי]],HEVARIM[ותק מחברה 40])</f>
        <v>0</v>
      </c>
      <c r="AQ63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2" s="9">
        <f>IF(HEVARIM[[#This Row],[קוד מעמד]]="1     ",IFERROR(VLOOKUP(HEVARIM[[#This Row],[קוד תקציב]],'תקציב צביעה - לקראת השינוי'!A:F,4,0),0),0)</f>
        <v>0</v>
      </c>
      <c r="AT632" s="1"/>
    </row>
    <row r="633" spans="1:46">
      <c r="A633" t="s">
        <v>3068</v>
      </c>
      <c r="B633" t="s">
        <v>3069</v>
      </c>
      <c r="C633" t="s">
        <v>249</v>
      </c>
      <c r="D633" t="s">
        <v>2079</v>
      </c>
      <c r="E633" t="s">
        <v>67</v>
      </c>
      <c r="F633" s="4">
        <v>41302</v>
      </c>
      <c r="G633">
        <v>12</v>
      </c>
      <c r="H633" t="s">
        <v>3051</v>
      </c>
      <c r="I633" t="s">
        <v>3052</v>
      </c>
      <c r="J633" s="4" t="s">
        <v>70</v>
      </c>
      <c r="K633" s="4" t="s">
        <v>71</v>
      </c>
      <c r="L633" t="s">
        <v>3070</v>
      </c>
      <c r="M633" t="s">
        <v>3048</v>
      </c>
      <c r="N633" t="s">
        <v>3049</v>
      </c>
      <c r="O633">
        <f>IFERROR(VLOOKUP(HEVARIM[[#This Row],[קוד תקציב]],[2]תקציבים!A:L,6,0),0)</f>
        <v>0</v>
      </c>
      <c r="P633" s="5" t="s">
        <v>3063</v>
      </c>
      <c r="Q633" t="s">
        <v>17</v>
      </c>
      <c r="R633" s="4">
        <v>44105</v>
      </c>
      <c r="S633" s="4" t="s">
        <v>90</v>
      </c>
      <c r="T633" s="96" t="s">
        <v>3051</v>
      </c>
      <c r="U633" t="str">
        <f>VLOOKUP(HEVARIM[[#This Row],[גיל]],GIL,2,1)</f>
        <v>יסודי</v>
      </c>
      <c r="V633" t="str">
        <f>IF(HEVARIM[[#This Row],[קוד מעמד]]="4     ",IF(HEVARIM[[#This Row],[גיל]]=1,1,IF(HEVARIM[[#This Row],[גיל]]&lt;=5,5,18)),"")</f>
        <v/>
      </c>
      <c r="W633">
        <f t="shared" si="36"/>
        <v>0</v>
      </c>
      <c r="X63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3">
        <f>IF(HEVARIM[[#This Row],[מצב משפחתי2]]="אלמן",'[2]ריכוז נתונים'!$AC$2,0)</f>
        <v>0</v>
      </c>
      <c r="Z633" s="3">
        <f>VLOOKUP(VALUE(HEVARIM[[#This Row],[קוד מעמד]]),הנחות!$I$2:$K$21,3,0)</f>
        <v>0</v>
      </c>
      <c r="AA633" t="b">
        <f>ISERROR(VLOOKUP(HEVARIM[[#This Row],[קוד תקציב]],'[2]ריכוז נתונים'!A:A,1,0))</f>
        <v>1</v>
      </c>
      <c r="AB633" s="1">
        <f t="shared" si="37"/>
        <v>0</v>
      </c>
      <c r="AC633" s="2">
        <f ca="1">IF(HEVARIM[[#This Row],[בר מצוה]]&gt;0,YEAR(TODAY())+'תקציבים מיוחדים'!$F$5-HEVARIM[[#This Row],[גיל]],0)</f>
        <v>0</v>
      </c>
      <c r="AD633" s="1">
        <f t="shared" si="38"/>
        <v>0</v>
      </c>
      <c r="AE633" s="2">
        <f ca="1">IF(HEVARIM[[#This Row],[בת מצוה]]&gt;0,YEAR(TODAY())+'תקציבים מיוחדים'!$F$5-HEVARIM[[#This Row],[גיל]],0)</f>
        <v>0</v>
      </c>
      <c r="AF633" s="1">
        <f>IF(AND($S633&gt;="רווק",$Z633=1),AF$4*IF(HEVARIM[[#This Row],[גיל]]&gt;$AF$3,1,(($G633-AF$2)/(AF$3-AF$2))),0)</f>
        <v>0</v>
      </c>
      <c r="AG63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3" s="1">
        <f t="shared" si="39"/>
        <v>0</v>
      </c>
      <c r="AI633" s="2">
        <f ca="1">IF(AH633&gt;0,YEAR(TODAY())+'תקציבים מיוחדים'!$F$7-HEVARIM[[#This Row],[גיל]],0)</f>
        <v>0</v>
      </c>
      <c r="AJ633" s="9">
        <f>IF(AND(ISERROR(VLOOKUP(H633,'[2]ריכוז נתונים'!A:L,1,0)),P633="1     "),1,0)</f>
        <v>0</v>
      </c>
      <c r="AK63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3" s="1">
        <f>IF(AND(VALUE(HEVARIM[[#This Row],[קוד מעמד]])=1,HEVARIM[[#This Row],[ותק מחברה 40]]&lt;25),HEVARIM[[#This Row],[ותק מחברה 40]]/25*הנחות!$C$4,0)</f>
        <v>0</v>
      </c>
      <c r="AM633" s="9" t="str">
        <f ca="1">IF(HEVARIM[[#This Row],[דמי עזיבה 25 שנות ותק]]&gt;0,YEAR(TODAY())+25-ROUNDDOWN(HEVARIM[[#This Row],[ותק מחברה 40]],0),"")</f>
        <v/>
      </c>
      <c r="AN63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3" s="9" t="str">
        <f ca="1">IF(HEVARIM[[#This Row],[דמי עזיבה לגיל 65]]&gt;0,YEAR(TODAY())+64-ROUNDDOWN(HEVARIM[[#This Row],[גיל]],0),"")</f>
        <v/>
      </c>
      <c r="AP633" s="1">
        <f>SUMIF(HEVARIM[קוד תקציב],HEVARIM[[#This Row],[קוד תקציב משפחה מקורי]],HEVARIM[ותק מחברה 40])</f>
        <v>0</v>
      </c>
      <c r="AQ63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3" s="9">
        <f>IF(HEVARIM[[#This Row],[קוד מעמד]]="1     ",IFERROR(VLOOKUP(HEVARIM[[#This Row],[קוד תקציב]],'תקציב צביעה - לקראת השינוי'!A:F,4,0),0),0)</f>
        <v>0</v>
      </c>
      <c r="AT633" s="1"/>
    </row>
    <row r="634" spans="1:46">
      <c r="A634" t="s">
        <v>3071</v>
      </c>
      <c r="B634" t="s">
        <v>3072</v>
      </c>
      <c r="C634" t="s">
        <v>249</v>
      </c>
      <c r="D634" t="s">
        <v>3073</v>
      </c>
      <c r="E634" t="s">
        <v>67</v>
      </c>
      <c r="F634" s="4">
        <v>42299</v>
      </c>
      <c r="G634">
        <v>10</v>
      </c>
      <c r="H634" t="s">
        <v>3051</v>
      </c>
      <c r="I634" t="s">
        <v>3052</v>
      </c>
      <c r="J634" s="4" t="s">
        <v>70</v>
      </c>
      <c r="K634" s="4" t="s">
        <v>71</v>
      </c>
      <c r="L634" t="s">
        <v>3074</v>
      </c>
      <c r="M634" t="s">
        <v>3048</v>
      </c>
      <c r="N634" t="s">
        <v>3049</v>
      </c>
      <c r="O634">
        <f>IFERROR(VLOOKUP(HEVARIM[[#This Row],[קוד תקציב]],[2]תקציבים!A:L,6,0),0)</f>
        <v>0</v>
      </c>
      <c r="P634" s="5" t="s">
        <v>3063</v>
      </c>
      <c r="Q634" t="s">
        <v>17</v>
      </c>
      <c r="R634" s="4">
        <v>44105</v>
      </c>
      <c r="S634" s="4" t="s">
        <v>90</v>
      </c>
      <c r="T634" s="96" t="s">
        <v>3051</v>
      </c>
      <c r="U634" t="str">
        <f>VLOOKUP(HEVARIM[[#This Row],[גיל]],GIL,2,1)</f>
        <v>יסודי</v>
      </c>
      <c r="V634" t="str">
        <f>IF(HEVARIM[[#This Row],[קוד מעמד]]="4     ",IF(HEVARIM[[#This Row],[גיל]]=1,1,IF(HEVARIM[[#This Row],[גיל]]&lt;=5,5,18)),"")</f>
        <v/>
      </c>
      <c r="W634">
        <f t="shared" si="36"/>
        <v>0</v>
      </c>
      <c r="X63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4">
        <f>IF(HEVARIM[[#This Row],[מצב משפחתי2]]="אלמן",'[2]ריכוז נתונים'!$AC$2,0)</f>
        <v>0</v>
      </c>
      <c r="Z634" s="3">
        <f>VLOOKUP(VALUE(HEVARIM[[#This Row],[קוד מעמד]]),הנחות!$I$2:$K$21,3,0)</f>
        <v>0</v>
      </c>
      <c r="AA634" t="b">
        <f>ISERROR(VLOOKUP(HEVARIM[[#This Row],[קוד תקציב]],'[2]ריכוז נתונים'!A:A,1,0))</f>
        <v>1</v>
      </c>
      <c r="AB634" s="1">
        <f t="shared" si="37"/>
        <v>0</v>
      </c>
      <c r="AC634" s="2">
        <f ca="1">IF(HEVARIM[[#This Row],[בר מצוה]]&gt;0,YEAR(TODAY())+'תקציבים מיוחדים'!$F$5-HEVARIM[[#This Row],[גיל]],0)</f>
        <v>0</v>
      </c>
      <c r="AD634" s="1">
        <f t="shared" si="38"/>
        <v>0</v>
      </c>
      <c r="AE634" s="2">
        <f ca="1">IF(HEVARIM[[#This Row],[בת מצוה]]&gt;0,YEAR(TODAY())+'תקציבים מיוחדים'!$F$5-HEVARIM[[#This Row],[גיל]],0)</f>
        <v>0</v>
      </c>
      <c r="AF634" s="1">
        <f>IF(AND($S634&gt;="רווק",$Z634=1),AF$4*IF(HEVARIM[[#This Row],[גיל]]&gt;$AF$3,1,(($G634-AF$2)/(AF$3-AF$2))),0)</f>
        <v>0</v>
      </c>
      <c r="AG63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4" s="1">
        <f t="shared" si="39"/>
        <v>0</v>
      </c>
      <c r="AI634" s="2">
        <f ca="1">IF(AH634&gt;0,YEAR(TODAY())+'תקציבים מיוחדים'!$F$7-HEVARIM[[#This Row],[גיל]],0)</f>
        <v>0</v>
      </c>
      <c r="AJ634" s="9">
        <f>IF(AND(ISERROR(VLOOKUP(H634,'[2]ריכוז נתונים'!A:L,1,0)),P634="1     "),1,0)</f>
        <v>0</v>
      </c>
      <c r="AK63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4" s="1">
        <f>IF(AND(VALUE(HEVARIM[[#This Row],[קוד מעמד]])=1,HEVARIM[[#This Row],[ותק מחברה 40]]&lt;25),HEVARIM[[#This Row],[ותק מחברה 40]]/25*הנחות!$C$4,0)</f>
        <v>0</v>
      </c>
      <c r="AM634" s="9" t="str">
        <f ca="1">IF(HEVARIM[[#This Row],[דמי עזיבה 25 שנות ותק]]&gt;0,YEAR(TODAY())+25-ROUNDDOWN(HEVARIM[[#This Row],[ותק מחברה 40]],0),"")</f>
        <v/>
      </c>
      <c r="AN63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4" s="9" t="str">
        <f ca="1">IF(HEVARIM[[#This Row],[דמי עזיבה לגיל 65]]&gt;0,YEAR(TODAY())+64-ROUNDDOWN(HEVARIM[[#This Row],[גיל]],0),"")</f>
        <v/>
      </c>
      <c r="AP634" s="1">
        <f>SUMIF(HEVARIM[קוד תקציב],HEVARIM[[#This Row],[קוד תקציב משפחה מקורי]],HEVARIM[ותק מחברה 40])</f>
        <v>0</v>
      </c>
      <c r="AQ63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4" s="9">
        <f>IF(HEVARIM[[#This Row],[קוד מעמד]]="1     ",IFERROR(VLOOKUP(HEVARIM[[#This Row],[קוד תקציב]],'תקציב צביעה - לקראת השינוי'!A:F,4,0),0),0)</f>
        <v>0</v>
      </c>
      <c r="AT634" s="1"/>
    </row>
    <row r="635" spans="1:46">
      <c r="A635" t="s">
        <v>3075</v>
      </c>
      <c r="B635" t="s">
        <v>3076</v>
      </c>
      <c r="C635" t="s">
        <v>249</v>
      </c>
      <c r="D635" t="s">
        <v>3077</v>
      </c>
      <c r="E635" t="s">
        <v>79</v>
      </c>
      <c r="F635" s="4">
        <v>43595</v>
      </c>
      <c r="G635">
        <v>6</v>
      </c>
      <c r="H635" t="s">
        <v>3051</v>
      </c>
      <c r="I635" t="s">
        <v>3052</v>
      </c>
      <c r="J635" s="4" t="s">
        <v>70</v>
      </c>
      <c r="K635" s="4" t="s">
        <v>71</v>
      </c>
      <c r="L635" t="s">
        <v>3078</v>
      </c>
      <c r="M635" t="s">
        <v>3048</v>
      </c>
      <c r="N635" t="s">
        <v>3049</v>
      </c>
      <c r="O635">
        <f>IFERROR(VLOOKUP(HEVARIM[[#This Row],[קוד תקציב]],[2]תקציבים!A:L,6,0),0)</f>
        <v>0</v>
      </c>
      <c r="P635" s="5" t="s">
        <v>3063</v>
      </c>
      <c r="Q635" t="s">
        <v>17</v>
      </c>
      <c r="R635" s="4">
        <v>44105</v>
      </c>
      <c r="S635" s="4" t="s">
        <v>90</v>
      </c>
      <c r="T635" s="96" t="s">
        <v>3051</v>
      </c>
      <c r="U635" t="str">
        <f>VLOOKUP(HEVARIM[[#This Row],[גיל]],GIL,2,1)</f>
        <v>יסודי</v>
      </c>
      <c r="V635" t="str">
        <f>IF(HEVARIM[[#This Row],[קוד מעמד]]="4     ",IF(HEVARIM[[#This Row],[גיל]]=1,1,IF(HEVARIM[[#This Row],[גיל]]&lt;=5,5,18)),"")</f>
        <v/>
      </c>
      <c r="W635">
        <f t="shared" si="36"/>
        <v>0</v>
      </c>
      <c r="X63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5">
        <f>IF(HEVARIM[[#This Row],[מצב משפחתי2]]="אלמן",'[2]ריכוז נתונים'!$AC$2,0)</f>
        <v>0</v>
      </c>
      <c r="Z635" s="3">
        <f>VLOOKUP(VALUE(HEVARIM[[#This Row],[קוד מעמד]]),הנחות!$I$2:$K$21,3,0)</f>
        <v>0</v>
      </c>
      <c r="AA635" t="b">
        <f>ISERROR(VLOOKUP(HEVARIM[[#This Row],[קוד תקציב]],'[2]ריכוז נתונים'!A:A,1,0))</f>
        <v>1</v>
      </c>
      <c r="AB635" s="1">
        <f t="shared" si="37"/>
        <v>0</v>
      </c>
      <c r="AC635" s="2">
        <f ca="1">IF(HEVARIM[[#This Row],[בר מצוה]]&gt;0,YEAR(TODAY())+'תקציבים מיוחדים'!$F$5-HEVARIM[[#This Row],[גיל]],0)</f>
        <v>0</v>
      </c>
      <c r="AD635" s="1">
        <f t="shared" si="38"/>
        <v>0</v>
      </c>
      <c r="AE635" s="2">
        <f ca="1">IF(HEVARIM[[#This Row],[בת מצוה]]&gt;0,YEAR(TODAY())+'תקציבים מיוחדים'!$F$5-HEVARIM[[#This Row],[גיל]],0)</f>
        <v>0</v>
      </c>
      <c r="AF635" s="1">
        <f>IF(AND($S635&gt;="רווק",$Z635=1),AF$4*IF(HEVARIM[[#This Row],[גיל]]&gt;$AF$3,1,(($G635-AF$2)/(AF$3-AF$2))),0)</f>
        <v>0</v>
      </c>
      <c r="AG63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5" s="1">
        <f t="shared" si="39"/>
        <v>0</v>
      </c>
      <c r="AI635" s="2">
        <f ca="1">IF(AH635&gt;0,YEAR(TODAY())+'תקציבים מיוחדים'!$F$7-HEVARIM[[#This Row],[גיל]],0)</f>
        <v>0</v>
      </c>
      <c r="AJ635" s="9">
        <f>IF(AND(ISERROR(VLOOKUP(H635,'[2]ריכוז נתונים'!A:L,1,0)),P635="1     "),1,0)</f>
        <v>0</v>
      </c>
      <c r="AK63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5" s="1">
        <f>IF(AND(VALUE(HEVARIM[[#This Row],[קוד מעמד]])=1,HEVARIM[[#This Row],[ותק מחברה 40]]&lt;25),HEVARIM[[#This Row],[ותק מחברה 40]]/25*הנחות!$C$4,0)</f>
        <v>0</v>
      </c>
      <c r="AM635" s="9" t="str">
        <f ca="1">IF(HEVARIM[[#This Row],[דמי עזיבה 25 שנות ותק]]&gt;0,YEAR(TODAY())+25-ROUNDDOWN(HEVARIM[[#This Row],[ותק מחברה 40]],0),"")</f>
        <v/>
      </c>
      <c r="AN63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5" s="9" t="str">
        <f ca="1">IF(HEVARIM[[#This Row],[דמי עזיבה לגיל 65]]&gt;0,YEAR(TODAY())+64-ROUNDDOWN(HEVARIM[[#This Row],[גיל]],0),"")</f>
        <v/>
      </c>
      <c r="AP635" s="1">
        <f>SUMIF(HEVARIM[קוד תקציב],HEVARIM[[#This Row],[קוד תקציב משפחה מקורי]],HEVARIM[ותק מחברה 40])</f>
        <v>0</v>
      </c>
      <c r="AQ63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5" s="9">
        <f>IF(HEVARIM[[#This Row],[קוד מעמד]]="1     ",IFERROR(VLOOKUP(HEVARIM[[#This Row],[קוד תקציב]],'תקציב צביעה - לקראת השינוי'!A:F,4,0),0),0)</f>
        <v>0</v>
      </c>
      <c r="AT635" s="1"/>
    </row>
    <row r="636" spans="1:46">
      <c r="A636" t="s">
        <v>3837</v>
      </c>
      <c r="B636" t="s">
        <v>3838</v>
      </c>
      <c r="C636" t="s">
        <v>249</v>
      </c>
      <c r="D636" t="s">
        <v>3839</v>
      </c>
      <c r="E636" t="s">
        <v>67</v>
      </c>
      <c r="F636" s="4">
        <v>45953</v>
      </c>
      <c r="G636">
        <v>0</v>
      </c>
      <c r="H636" t="s">
        <v>3051</v>
      </c>
      <c r="I636" t="s">
        <v>3052</v>
      </c>
      <c r="J636" s="4" t="s">
        <v>70</v>
      </c>
      <c r="K636" s="4" t="s">
        <v>71</v>
      </c>
      <c r="L636" t="s">
        <v>3840</v>
      </c>
      <c r="M636" t="s">
        <v>3048</v>
      </c>
      <c r="N636" t="s">
        <v>3049</v>
      </c>
      <c r="O636">
        <f>IFERROR(VLOOKUP(HEVARIM[[#This Row],[קוד תקציב]],[2]תקציבים!A:L,6,0),0)</f>
        <v>0</v>
      </c>
      <c r="P636" s="5" t="s">
        <v>89</v>
      </c>
      <c r="Q636" t="s">
        <v>19</v>
      </c>
      <c r="R636" s="4">
        <v>45953</v>
      </c>
      <c r="S636" s="4" t="s">
        <v>90</v>
      </c>
      <c r="T636" s="96" t="s">
        <v>3051</v>
      </c>
      <c r="U636" t="str">
        <f>VLOOKUP(HEVARIM[[#This Row],[גיל]],GIL,2,1)</f>
        <v>פעוט</v>
      </c>
      <c r="V636" t="str">
        <f>IF(HEVARIM[[#This Row],[קוד מעמד]]="4     ",IF(HEVARIM[[#This Row],[גיל]]=1,1,IF(HEVARIM[[#This Row],[גיל]]&lt;=5,5,18)),"")</f>
        <v/>
      </c>
      <c r="W636">
        <f t="shared" si="36"/>
        <v>0</v>
      </c>
      <c r="X63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6">
        <f>IF(HEVARIM[[#This Row],[מצב משפחתי2]]="אלמן",'[2]ריכוז נתונים'!$AC$2,0)</f>
        <v>0</v>
      </c>
      <c r="Z636" s="3">
        <f>VLOOKUP(VALUE(HEVARIM[[#This Row],[קוד מעמד]]),הנחות!$I$2:$K$21,3,0)</f>
        <v>0</v>
      </c>
      <c r="AA636" t="b">
        <f>ISERROR(VLOOKUP(HEVARIM[[#This Row],[קוד תקציב]],'[2]ריכוז נתונים'!A:A,1,0))</f>
        <v>1</v>
      </c>
      <c r="AB636" s="1">
        <f t="shared" si="37"/>
        <v>0</v>
      </c>
      <c r="AC636" s="2">
        <f ca="1">IF(HEVARIM[[#This Row],[בר מצוה]]&gt;0,YEAR(TODAY())+'תקציבים מיוחדים'!$F$5-HEVARIM[[#This Row],[גיל]],0)</f>
        <v>0</v>
      </c>
      <c r="AD636" s="1">
        <f t="shared" si="38"/>
        <v>0</v>
      </c>
      <c r="AE636" s="2">
        <f ca="1">IF(HEVARIM[[#This Row],[בת מצוה]]&gt;0,YEAR(TODAY())+'תקציבים מיוחדים'!$F$5-HEVARIM[[#This Row],[גיל]],0)</f>
        <v>0</v>
      </c>
      <c r="AF636" s="1">
        <f>IF(AND($S636&gt;="רווק",$Z636=1),AF$4*IF(HEVARIM[[#This Row],[גיל]]&gt;$AF$3,1,(($G636-AF$2)/(AF$3-AF$2))),0)</f>
        <v>0</v>
      </c>
      <c r="AG63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6" s="1">
        <f t="shared" si="39"/>
        <v>0</v>
      </c>
      <c r="AI636" s="2">
        <f ca="1">IF(AH636&gt;0,YEAR(TODAY())+'תקציבים מיוחדים'!$F$7-HEVARIM[[#This Row],[גיל]],0)</f>
        <v>0</v>
      </c>
      <c r="AJ636" s="9">
        <f>IF(AND(ISERROR(VLOOKUP(H636,'[2]ריכוז נתונים'!A:L,1,0)),P636="1     "),1,0)</f>
        <v>0</v>
      </c>
      <c r="AK63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6" s="1">
        <f>IF(AND(VALUE(HEVARIM[[#This Row],[קוד מעמד]])=1,HEVARIM[[#This Row],[ותק מחברה 40]]&lt;25),HEVARIM[[#This Row],[ותק מחברה 40]]/25*הנחות!$C$4,0)</f>
        <v>0</v>
      </c>
      <c r="AM636" s="9" t="str">
        <f ca="1">IF(HEVARIM[[#This Row],[דמי עזיבה 25 שנות ותק]]&gt;0,YEAR(TODAY())+25-ROUNDDOWN(HEVARIM[[#This Row],[ותק מחברה 40]],0),"")</f>
        <v/>
      </c>
      <c r="AN63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6" s="9" t="str">
        <f ca="1">IF(HEVARIM[[#This Row],[דמי עזיבה לגיל 65]]&gt;0,YEAR(TODAY())+64-ROUNDDOWN(HEVARIM[[#This Row],[גיל]],0),"")</f>
        <v/>
      </c>
      <c r="AP636" s="1">
        <f>SUMIF(HEVARIM[קוד תקציב],HEVARIM[[#This Row],[קוד תקציב משפחה מקורי]],HEVARIM[ותק מחברה 40])</f>
        <v>0</v>
      </c>
      <c r="AQ63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6" s="9">
        <f>IF(HEVARIM[[#This Row],[קוד מעמד]]="1     ",IFERROR(VLOOKUP(HEVARIM[[#This Row],[קוד תקציב]],'תקציב צביעה - לקראת השינוי'!A:F,4,0),0),0)</f>
        <v>0</v>
      </c>
      <c r="AT636" s="1"/>
    </row>
    <row r="637" spans="1:46">
      <c r="A637" t="s">
        <v>3079</v>
      </c>
      <c r="B637" t="s">
        <v>3080</v>
      </c>
      <c r="C637" t="s">
        <v>3081</v>
      </c>
      <c r="D637" t="s">
        <v>3082</v>
      </c>
      <c r="E637" t="s">
        <v>67</v>
      </c>
      <c r="F637" s="4">
        <v>33121</v>
      </c>
      <c r="G637">
        <v>35</v>
      </c>
      <c r="H637" t="s">
        <v>3083</v>
      </c>
      <c r="I637" t="s">
        <v>3084</v>
      </c>
      <c r="J637" s="4" t="s">
        <v>70</v>
      </c>
      <c r="K637" s="4" t="s">
        <v>454</v>
      </c>
      <c r="L637" t="s">
        <v>3085</v>
      </c>
      <c r="M637" t="s">
        <v>3079</v>
      </c>
      <c r="N637" t="s">
        <v>3080</v>
      </c>
      <c r="O637">
        <f>IFERROR(VLOOKUP(HEVARIM[[#This Row],[קוד תקציב]],[2]תקציבים!A:L,6,0),0)</f>
        <v>2</v>
      </c>
      <c r="P637" s="5" t="s">
        <v>104</v>
      </c>
      <c r="Q637" t="s">
        <v>11</v>
      </c>
      <c r="R637" s="4">
        <v>44440</v>
      </c>
      <c r="S637" s="4" t="s">
        <v>74</v>
      </c>
      <c r="T637" s="96" t="s">
        <v>3083</v>
      </c>
      <c r="U637" t="str">
        <f>VLOOKUP(HEVARIM[[#This Row],[גיל]],GIL,2,1)</f>
        <v>--</v>
      </c>
      <c r="V637" t="str">
        <f>IF(HEVARIM[[#This Row],[קוד מעמד]]="4     ",IF(HEVARIM[[#This Row],[גיל]]=1,1,IF(HEVARIM[[#This Row],[גיל]]&lt;=5,5,18)),"")</f>
        <v/>
      </c>
      <c r="W637">
        <f t="shared" si="36"/>
        <v>0</v>
      </c>
      <c r="X63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7">
        <f>IF(HEVARIM[[#This Row],[מצב משפחתי2]]="אלמן",'[2]ריכוז נתונים'!$AC$2,0)</f>
        <v>0</v>
      </c>
      <c r="Z637" s="3">
        <f>VLOOKUP(VALUE(HEVARIM[[#This Row],[קוד מעמד]]),הנחות!$I$2:$K$21,3,0)</f>
        <v>0</v>
      </c>
      <c r="AA637" t="b">
        <f>ISERROR(VLOOKUP(HEVARIM[[#This Row],[קוד תקציב]],'[2]ריכוז נתונים'!A:A,1,0))</f>
        <v>0</v>
      </c>
      <c r="AB637" s="1">
        <f t="shared" si="37"/>
        <v>0</v>
      </c>
      <c r="AC637" s="2">
        <f ca="1">IF(HEVARIM[[#This Row],[בר מצוה]]&gt;0,YEAR(TODAY())+'תקציבים מיוחדים'!$F$5-HEVARIM[[#This Row],[גיל]],0)</f>
        <v>0</v>
      </c>
      <c r="AD637" s="1">
        <f t="shared" si="38"/>
        <v>0</v>
      </c>
      <c r="AE637" s="2">
        <f ca="1">IF(HEVARIM[[#This Row],[בת מצוה]]&gt;0,YEAR(TODAY())+'תקציבים מיוחדים'!$F$5-HEVARIM[[#This Row],[גיל]],0)</f>
        <v>0</v>
      </c>
      <c r="AF637" s="1">
        <f>IF(AND($S637&gt;="רווק",$Z637=1),AF$4*IF(HEVARIM[[#This Row],[גיל]]&gt;$AF$3,1,(($G637-AF$2)/(AF$3-AF$2))),0)</f>
        <v>0</v>
      </c>
      <c r="AG63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37" s="1">
        <f t="shared" si="39"/>
        <v>0</v>
      </c>
      <c r="AI637" s="2">
        <f ca="1">IF(AH637&gt;0,YEAR(TODAY())+'תקציבים מיוחדים'!$F$7-HEVARIM[[#This Row],[גיל]],0)</f>
        <v>0</v>
      </c>
      <c r="AJ637" s="9">
        <f>IF(AND(ISERROR(VLOOKUP(H637,'[2]ריכוז נתונים'!A:L,1,0)),P637="1     "),1,0)</f>
        <v>0</v>
      </c>
      <c r="AK637" s="1">
        <f>IF(VALUE(HEVARIM[[#This Row],[קוד מעמד]])=1,VLOOKUP((IF(LEFT(HEVARIM[[#This Row],[קוד חבר]],1)="0",HEVARIM[[#This Row],[קוד חבר]],VALUE(HEVARIM[[#This Row],[קוד חבר]]))),'ותק חברה 40'!AQ:AW,7,0),"")</f>
        <v>6</v>
      </c>
      <c r="AL637" s="1">
        <f>IF(AND(VALUE(HEVARIM[[#This Row],[קוד מעמד]])=1,HEVARIM[[#This Row],[ותק מחברה 40]]&lt;25),HEVARIM[[#This Row],[ותק מחברה 40]]/25*הנחות!$C$4,0)</f>
        <v>9008.3069999999989</v>
      </c>
      <c r="AM637" s="9">
        <f ca="1">IF(HEVARIM[[#This Row],[דמי עזיבה 25 שנות ותק]]&gt;0,YEAR(TODAY())+25-ROUNDDOWN(HEVARIM[[#This Row],[ותק מחברה 40]],0),"")</f>
        <v>2045</v>
      </c>
      <c r="AN63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7" s="9" t="str">
        <f ca="1">IF(HEVARIM[[#This Row],[דמי עזיבה לגיל 65]]&gt;0,YEAR(TODAY())+64-ROUNDDOWN(HEVARIM[[#This Row],[גיל]],0),"")</f>
        <v/>
      </c>
      <c r="AP637" s="1">
        <f>SUMIF(HEVARIM[קוד תקציב],HEVARIM[[#This Row],[קוד תקציב משפחה מקורי]],HEVARIM[ותק מחברה 40])</f>
        <v>12</v>
      </c>
      <c r="AQ63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7" s="9">
        <f>IF(HEVARIM[[#This Row],[קוד מעמד]]="1     ",IFERROR(VLOOKUP(HEVARIM[[#This Row],[קוד תקציב]],'תקציב צביעה - לקראת השינוי'!A:F,4,0),0),0)</f>
        <v>0</v>
      </c>
      <c r="AT637" s="1"/>
    </row>
    <row r="638" spans="1:46">
      <c r="A638" t="s">
        <v>3089</v>
      </c>
      <c r="B638" t="s">
        <v>3090</v>
      </c>
      <c r="C638" t="s">
        <v>3081</v>
      </c>
      <c r="D638" t="s">
        <v>3091</v>
      </c>
      <c r="E638" t="s">
        <v>79</v>
      </c>
      <c r="F638" s="4">
        <v>43244</v>
      </c>
      <c r="G638">
        <v>7</v>
      </c>
      <c r="H638" t="s">
        <v>3083</v>
      </c>
      <c r="I638" t="s">
        <v>3084</v>
      </c>
      <c r="J638" s="4" t="s">
        <v>70</v>
      </c>
      <c r="K638" s="4" t="s">
        <v>454</v>
      </c>
      <c r="L638" t="s">
        <v>3092</v>
      </c>
      <c r="M638" t="s">
        <v>3079</v>
      </c>
      <c r="N638" t="s">
        <v>3080</v>
      </c>
      <c r="O638">
        <f>IFERROR(VLOOKUP(HEVARIM[[#This Row],[קוד תקציב]],[2]תקציבים!A:L,6,0),0)</f>
        <v>2</v>
      </c>
      <c r="P638" s="5" t="s">
        <v>227</v>
      </c>
      <c r="Q638" t="s">
        <v>14</v>
      </c>
      <c r="R638" s="4">
        <v>43709</v>
      </c>
      <c r="S638" s="4" t="s">
        <v>90</v>
      </c>
      <c r="T638" s="96" t="s">
        <v>3083</v>
      </c>
      <c r="U638" t="str">
        <f>VLOOKUP(HEVARIM[[#This Row],[גיל]],GIL,2,1)</f>
        <v>יסודי</v>
      </c>
      <c r="V638">
        <f>IF(HEVARIM[[#This Row],[קוד מעמד]]="4     ",IF(HEVARIM[[#This Row],[גיל]]=1,1,IF(HEVARIM[[#This Row],[גיל]]&lt;=5,5,18)),"")</f>
        <v>18</v>
      </c>
      <c r="W638">
        <f t="shared" si="36"/>
        <v>0</v>
      </c>
      <c r="X63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8">
        <f>IF(HEVARIM[[#This Row],[מצב משפחתי2]]="אלמן",'[2]ריכוז נתונים'!$AC$2,0)</f>
        <v>0</v>
      </c>
      <c r="Z638" s="3">
        <f>VLOOKUP(VALUE(HEVARIM[[#This Row],[קוד מעמד]]),הנחות!$I$2:$K$21,3,0)</f>
        <v>1</v>
      </c>
      <c r="AA638" t="b">
        <f>ISERROR(VLOOKUP(HEVARIM[[#This Row],[קוד תקציב]],'[2]ריכוז נתונים'!A:A,1,0))</f>
        <v>0</v>
      </c>
      <c r="AB638" s="1">
        <f t="shared" si="37"/>
        <v>0</v>
      </c>
      <c r="AC638" s="2">
        <f ca="1">IF(HEVARIM[[#This Row],[בר מצוה]]&gt;0,YEAR(TODAY())+'תקציבים מיוחדים'!$F$5-HEVARIM[[#This Row],[גיל]],0)</f>
        <v>0</v>
      </c>
      <c r="AD638" s="1">
        <f t="shared" si="38"/>
        <v>3858.0769230769229</v>
      </c>
      <c r="AE638" s="2">
        <f ca="1">IF(HEVARIM[[#This Row],[בת מצוה]]&gt;0,YEAR(TODAY())+'תקציבים מיוחדים'!$F$5-HEVARIM[[#This Row],[גיל]],0)</f>
        <v>2032</v>
      </c>
      <c r="AF638" s="1">
        <f>IF(AND($S638&gt;="רווק",$Z638=1),AF$4*IF(HEVARIM[[#This Row],[גיל]]&gt;$AF$3,1,(($G638-AF$2)/(AF$3-AF$2))),0)</f>
        <v>20170.833333333332</v>
      </c>
      <c r="AG638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638" s="1">
        <f t="shared" si="39"/>
        <v>35196.166666666664</v>
      </c>
      <c r="AI638" s="2">
        <f ca="1">IF(AH638&gt;0,YEAR(TODAY())+'תקציבים מיוחדים'!$F$7-HEVARIM[[#This Row],[גיל]],0)</f>
        <v>2040</v>
      </c>
      <c r="AJ638" s="9">
        <f>IF(AND(ISERROR(VLOOKUP(H638,'[2]ריכוז נתונים'!A:L,1,0)),P638="1     "),1,0)</f>
        <v>0</v>
      </c>
      <c r="AK63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8" s="1">
        <f>IF(AND(VALUE(HEVARIM[[#This Row],[קוד מעמד]])=1,HEVARIM[[#This Row],[ותק מחברה 40]]&lt;25),HEVARIM[[#This Row],[ותק מחברה 40]]/25*הנחות!$C$4,0)</f>
        <v>0</v>
      </c>
      <c r="AM638" s="9" t="str">
        <f ca="1">IF(HEVARIM[[#This Row],[דמי עזיבה 25 שנות ותק]]&gt;0,YEAR(TODAY())+25-ROUNDDOWN(HEVARIM[[#This Row],[ותק מחברה 40]],0),"")</f>
        <v/>
      </c>
      <c r="AN63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8" s="9" t="str">
        <f ca="1">IF(HEVARIM[[#This Row],[דמי עזיבה לגיל 65]]&gt;0,YEAR(TODAY())+64-ROUNDDOWN(HEVARIM[[#This Row],[גיל]],0),"")</f>
        <v/>
      </c>
      <c r="AP638" s="1">
        <f>SUMIF(HEVARIM[קוד תקציב],HEVARIM[[#This Row],[קוד תקציב משפחה מקורי]],HEVARIM[ותק מחברה 40])</f>
        <v>12</v>
      </c>
      <c r="AQ63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8" s="9">
        <f>IF(HEVARIM[[#This Row],[קוד מעמד]]="1     ",IFERROR(VLOOKUP(HEVARIM[[#This Row],[קוד תקציב]],'תקציב צביעה - לקראת השינוי'!A:F,4,0),0),0)</f>
        <v>0</v>
      </c>
      <c r="AT638" s="1"/>
    </row>
    <row r="639" spans="1:46">
      <c r="A639" t="s">
        <v>3093</v>
      </c>
      <c r="B639" t="s">
        <v>3094</v>
      </c>
      <c r="C639" t="s">
        <v>3081</v>
      </c>
      <c r="D639" t="s">
        <v>286</v>
      </c>
      <c r="E639" t="s">
        <v>67</v>
      </c>
      <c r="F639" s="4">
        <v>44139</v>
      </c>
      <c r="G639">
        <v>5</v>
      </c>
      <c r="H639" t="s">
        <v>3083</v>
      </c>
      <c r="I639" t="s">
        <v>3084</v>
      </c>
      <c r="J639" s="4" t="s">
        <v>70</v>
      </c>
      <c r="K639" s="4" t="s">
        <v>454</v>
      </c>
      <c r="L639" t="s">
        <v>3095</v>
      </c>
      <c r="M639" t="s">
        <v>3079</v>
      </c>
      <c r="N639" t="s">
        <v>3080</v>
      </c>
      <c r="O639">
        <f>IFERROR(VLOOKUP(HEVARIM[[#This Row],[קוד תקציב]],[2]תקציבים!A:L,6,0),0)</f>
        <v>2</v>
      </c>
      <c r="P639" s="5" t="s">
        <v>227</v>
      </c>
      <c r="Q639" t="s">
        <v>14</v>
      </c>
      <c r="R639" s="4">
        <v>44139</v>
      </c>
      <c r="S639" s="4" t="s">
        <v>90</v>
      </c>
      <c r="T639" s="96" t="s">
        <v>3083</v>
      </c>
      <c r="U639" t="str">
        <f>VLOOKUP(HEVARIM[[#This Row],[גיל]],GIL,2,1)</f>
        <v>גנים</v>
      </c>
      <c r="V639">
        <f>IF(HEVARIM[[#This Row],[קוד מעמד]]="4     ",IF(HEVARIM[[#This Row],[גיל]]=1,1,IF(HEVARIM[[#This Row],[גיל]]&lt;=5,5,18)),"")</f>
        <v>5</v>
      </c>
      <c r="W639">
        <f t="shared" si="36"/>
        <v>0</v>
      </c>
      <c r="X63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39">
        <f>IF(HEVARIM[[#This Row],[מצב משפחתי2]]="אלמן",'[2]ריכוז נתונים'!$AC$2,0)</f>
        <v>0</v>
      </c>
      <c r="Z639" s="3">
        <f>VLOOKUP(VALUE(HEVARIM[[#This Row],[קוד מעמד]]),הנחות!$I$2:$K$21,3,0)</f>
        <v>1</v>
      </c>
      <c r="AA639" t="b">
        <f>ISERROR(VLOOKUP(HEVARIM[[#This Row],[קוד תקציב]],'[2]ריכוז נתונים'!A:A,1,0))</f>
        <v>0</v>
      </c>
      <c r="AB639" s="1">
        <f t="shared" si="37"/>
        <v>2755.7692307692309</v>
      </c>
      <c r="AC639" s="2">
        <f ca="1">IF(HEVARIM[[#This Row],[בר מצוה]]&gt;0,YEAR(TODAY())+'תקציבים מיוחדים'!$F$5-HEVARIM[[#This Row],[גיל]],0)</f>
        <v>2034</v>
      </c>
      <c r="AD639" s="1">
        <f t="shared" si="38"/>
        <v>0</v>
      </c>
      <c r="AE639" s="2">
        <f ca="1">IF(HEVARIM[[#This Row],[בת מצוה]]&gt;0,YEAR(TODAY())+'תקציבים מיוחדים'!$F$5-HEVARIM[[#This Row],[גיל]],0)</f>
        <v>0</v>
      </c>
      <c r="AF639" s="1">
        <f>IF(AND($S639&gt;="רווק",$Z639=1),AF$4*IF(HEVARIM[[#This Row],[גיל]]&gt;$AF$3,1,(($G639-AF$2)/(AF$3-AF$2))),0)</f>
        <v>14407.738095238094</v>
      </c>
      <c r="AG639" s="2">
        <f ca="1">IF(HEVARIM[[#This Row],[מענק חתונה]]&gt;0,IF(HEVARIM[[#This Row],[גיל]]&gt;'תקציבים מיוחדים'!$F$6,2025,YEAR(TODAY())+'תקציבים מיוחדים'!$F$6-HEVARIM[[#This Row],[גיל]]),0)</f>
        <v>2042</v>
      </c>
      <c r="AH639" s="1">
        <f t="shared" si="39"/>
        <v>25140.119047619046</v>
      </c>
      <c r="AI639" s="2">
        <f ca="1">IF(AH639&gt;0,YEAR(TODAY())+'תקציבים מיוחדים'!$F$7-HEVARIM[[#This Row],[גיל]],0)</f>
        <v>2042</v>
      </c>
      <c r="AJ639" s="9">
        <f>IF(AND(ISERROR(VLOOKUP(H639,'[2]ריכוז נתונים'!A:L,1,0)),P639="1     "),1,0)</f>
        <v>0</v>
      </c>
      <c r="AK63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39" s="1">
        <f>IF(AND(VALUE(HEVARIM[[#This Row],[קוד מעמד]])=1,HEVARIM[[#This Row],[ותק מחברה 40]]&lt;25),HEVARIM[[#This Row],[ותק מחברה 40]]/25*הנחות!$C$4,0)</f>
        <v>0</v>
      </c>
      <c r="AM639" s="9" t="str">
        <f ca="1">IF(HEVARIM[[#This Row],[דמי עזיבה 25 שנות ותק]]&gt;0,YEAR(TODAY())+25-ROUNDDOWN(HEVARIM[[#This Row],[ותק מחברה 40]],0),"")</f>
        <v/>
      </c>
      <c r="AN63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39" s="9" t="str">
        <f ca="1">IF(HEVARIM[[#This Row],[דמי עזיבה לגיל 65]]&gt;0,YEAR(TODAY())+64-ROUNDDOWN(HEVARIM[[#This Row],[גיל]],0),"")</f>
        <v/>
      </c>
      <c r="AP639" s="1">
        <f>SUMIF(HEVARIM[קוד תקציב],HEVARIM[[#This Row],[קוד תקציב משפחה מקורי]],HEVARIM[ותק מחברה 40])</f>
        <v>12</v>
      </c>
      <c r="AQ63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3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39" s="9">
        <f>IF(HEVARIM[[#This Row],[קוד מעמד]]="1     ",IFERROR(VLOOKUP(HEVARIM[[#This Row],[קוד תקציב]],'תקציב צביעה - לקראת השינוי'!A:F,4,0),0),0)</f>
        <v>0</v>
      </c>
      <c r="AT639" s="1"/>
    </row>
    <row r="640" spans="1:46">
      <c r="A640" t="s">
        <v>3096</v>
      </c>
      <c r="B640" t="s">
        <v>3097</v>
      </c>
      <c r="C640" t="s">
        <v>3081</v>
      </c>
      <c r="D640" t="s">
        <v>387</v>
      </c>
      <c r="E640" t="s">
        <v>79</v>
      </c>
      <c r="F640" s="4">
        <v>45312</v>
      </c>
      <c r="G640">
        <v>1</v>
      </c>
      <c r="H640" t="s">
        <v>3083</v>
      </c>
      <c r="I640" t="s">
        <v>3084</v>
      </c>
      <c r="J640" s="4" t="s">
        <v>70</v>
      </c>
      <c r="K640" s="4" t="s">
        <v>454</v>
      </c>
      <c r="L640" t="s">
        <v>3098</v>
      </c>
      <c r="M640" t="s">
        <v>3079</v>
      </c>
      <c r="N640" t="s">
        <v>3080</v>
      </c>
      <c r="O640">
        <f>IFERROR(VLOOKUP(HEVARIM[[#This Row],[קוד תקציב]],[2]תקציבים!A:L,6,0),0)</f>
        <v>2</v>
      </c>
      <c r="P640" s="5" t="s">
        <v>227</v>
      </c>
      <c r="Q640" t="s">
        <v>14</v>
      </c>
      <c r="R640" s="4">
        <v>45312</v>
      </c>
      <c r="S640" s="4" t="s">
        <v>90</v>
      </c>
      <c r="T640" s="96" t="s">
        <v>3083</v>
      </c>
      <c r="U640" t="str">
        <f>VLOOKUP(HEVARIM[[#This Row],[גיל]],GIL,2,1)</f>
        <v>פעוט</v>
      </c>
      <c r="V640">
        <f>IF(HEVARIM[[#This Row],[קוד מעמד]]="4     ",IF(HEVARIM[[#This Row],[גיל]]=1,1,IF(HEVARIM[[#This Row],[גיל]]&lt;=5,5,18)),"")</f>
        <v>1</v>
      </c>
      <c r="W640">
        <f t="shared" si="36"/>
        <v>0</v>
      </c>
      <c r="X64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0">
        <f>IF(HEVARIM[[#This Row],[מצב משפחתי2]]="אלמן",'[2]ריכוז נתונים'!$AC$2,0)</f>
        <v>0</v>
      </c>
      <c r="Z640" s="3">
        <f>VLOOKUP(VALUE(HEVARIM[[#This Row],[קוד מעמד]]),הנחות!$I$2:$K$21,3,0)</f>
        <v>1</v>
      </c>
      <c r="AA640" t="b">
        <f>ISERROR(VLOOKUP(HEVARIM[[#This Row],[קוד תקציב]],'[2]ריכוז נתונים'!A:A,1,0))</f>
        <v>0</v>
      </c>
      <c r="AB640" s="1">
        <f t="shared" si="37"/>
        <v>0</v>
      </c>
      <c r="AC640" s="2">
        <f ca="1">IF(HEVARIM[[#This Row],[בר מצוה]]&gt;0,YEAR(TODAY())+'תקציבים מיוחדים'!$F$5-HEVARIM[[#This Row],[גיל]],0)</f>
        <v>0</v>
      </c>
      <c r="AD640" s="1">
        <f t="shared" si="38"/>
        <v>551.15384615384619</v>
      </c>
      <c r="AE640" s="2">
        <f ca="1">IF(HEVARIM[[#This Row],[בת מצוה]]&gt;0,YEAR(TODAY())+'תקציבים מיוחדים'!$F$5-HEVARIM[[#This Row],[גיל]],0)</f>
        <v>2038</v>
      </c>
      <c r="AF640" s="1">
        <f>IF(AND($S640&gt;="רווק",$Z640=1),AF$4*IF(HEVARIM[[#This Row],[גיל]]&gt;$AF$3,1,(($G640-AF$2)/(AF$3-AF$2))),0)</f>
        <v>2881.5476190476188</v>
      </c>
      <c r="AG640" s="2">
        <f ca="1">IF(HEVARIM[[#This Row],[מענק חתונה]]&gt;0,IF(HEVARIM[[#This Row],[גיל]]&gt;'תקציבים מיוחדים'!$F$6,2025,YEAR(TODAY())+'תקציבים מיוחדים'!$F$6-HEVARIM[[#This Row],[גיל]]),0)</f>
        <v>2046</v>
      </c>
      <c r="AH640" s="1">
        <f t="shared" si="39"/>
        <v>5028.0238095238092</v>
      </c>
      <c r="AI640" s="2">
        <f ca="1">IF(AH640&gt;0,YEAR(TODAY())+'תקציבים מיוחדים'!$F$7-HEVARIM[[#This Row],[גיל]],0)</f>
        <v>2046</v>
      </c>
      <c r="AJ640" s="9">
        <f>IF(AND(ISERROR(VLOOKUP(H640,'[2]ריכוז נתונים'!A:L,1,0)),P640="1     "),1,0)</f>
        <v>0</v>
      </c>
      <c r="AK64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0" s="1">
        <f>IF(AND(VALUE(HEVARIM[[#This Row],[קוד מעמד]])=1,HEVARIM[[#This Row],[ותק מחברה 40]]&lt;25),HEVARIM[[#This Row],[ותק מחברה 40]]/25*הנחות!$C$4,0)</f>
        <v>0</v>
      </c>
      <c r="AM640" s="9" t="str">
        <f ca="1">IF(HEVARIM[[#This Row],[דמי עזיבה 25 שנות ותק]]&gt;0,YEAR(TODAY())+25-ROUNDDOWN(HEVARIM[[#This Row],[ותק מחברה 40]],0),"")</f>
        <v/>
      </c>
      <c r="AN64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0" s="9" t="str">
        <f ca="1">IF(HEVARIM[[#This Row],[דמי עזיבה לגיל 65]]&gt;0,YEAR(TODAY())+64-ROUNDDOWN(HEVARIM[[#This Row],[גיל]],0),"")</f>
        <v/>
      </c>
      <c r="AP640" s="1">
        <f>SUMIF(HEVARIM[קוד תקציב],HEVARIM[[#This Row],[קוד תקציב משפחה מקורי]],HEVARIM[ותק מחברה 40])</f>
        <v>12</v>
      </c>
      <c r="AQ64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0" s="9">
        <f>IF(HEVARIM[[#This Row],[קוד מעמד]]="1     ",IFERROR(VLOOKUP(HEVARIM[[#This Row],[קוד תקציב]],'תקציב צביעה - לקראת השינוי'!A:F,4,0),0),0)</f>
        <v>0</v>
      </c>
      <c r="AT640" s="1"/>
    </row>
    <row r="641" spans="1:46">
      <c r="A641" t="s">
        <v>3099</v>
      </c>
      <c r="B641" t="s">
        <v>3100</v>
      </c>
      <c r="C641" t="s">
        <v>3101</v>
      </c>
      <c r="D641" t="s">
        <v>3102</v>
      </c>
      <c r="E641" t="s">
        <v>67</v>
      </c>
      <c r="F641" s="4">
        <v>29710</v>
      </c>
      <c r="G641">
        <v>44</v>
      </c>
      <c r="H641" t="s">
        <v>3103</v>
      </c>
      <c r="I641" t="s">
        <v>3104</v>
      </c>
      <c r="J641" s="4" t="s">
        <v>70</v>
      </c>
      <c r="K641" s="4" t="s">
        <v>71</v>
      </c>
      <c r="L641" t="s">
        <v>3105</v>
      </c>
      <c r="M641" t="s">
        <v>3099</v>
      </c>
      <c r="N641" t="s">
        <v>3100</v>
      </c>
      <c r="O641">
        <f>IFERROR(VLOOKUP(HEVARIM[[#This Row],[קוד תקציב]],[2]תקציבים!A:L,6,0),0)</f>
        <v>2</v>
      </c>
      <c r="P641" s="5" t="s">
        <v>104</v>
      </c>
      <c r="Q641" t="s">
        <v>11</v>
      </c>
      <c r="R641" s="4">
        <v>41852</v>
      </c>
      <c r="S641" s="4" t="s">
        <v>74</v>
      </c>
      <c r="T641" s="96" t="s">
        <v>3103</v>
      </c>
      <c r="U641" t="str">
        <f>VLOOKUP(HEVARIM[[#This Row],[גיל]],GIL,2,1)</f>
        <v>--</v>
      </c>
      <c r="V641" t="str">
        <f>IF(HEVARIM[[#This Row],[קוד מעמד]]="4     ",IF(HEVARIM[[#This Row],[גיל]]=1,1,IF(HEVARIM[[#This Row],[גיל]]&lt;=5,5,18)),"")</f>
        <v/>
      </c>
      <c r="W641">
        <f t="shared" si="36"/>
        <v>0</v>
      </c>
      <c r="X64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1">
        <f>IF(HEVARIM[[#This Row],[מצב משפחתי2]]="אלמן",'[2]ריכוז נתונים'!$AC$2,0)</f>
        <v>0</v>
      </c>
      <c r="Z641" s="3">
        <f>VLOOKUP(VALUE(HEVARIM[[#This Row],[קוד מעמד]]),הנחות!$I$2:$K$21,3,0)</f>
        <v>0</v>
      </c>
      <c r="AA641" t="b">
        <f>ISERROR(VLOOKUP(HEVARIM[[#This Row],[קוד תקציב]],'[2]ריכוז נתונים'!A:A,1,0))</f>
        <v>0</v>
      </c>
      <c r="AB641" s="1">
        <f t="shared" si="37"/>
        <v>0</v>
      </c>
      <c r="AC641" s="2">
        <f ca="1">IF(HEVARIM[[#This Row],[בר מצוה]]&gt;0,YEAR(TODAY())+'תקציבים מיוחדים'!$F$5-HEVARIM[[#This Row],[גיל]],0)</f>
        <v>0</v>
      </c>
      <c r="AD641" s="1">
        <f t="shared" si="38"/>
        <v>0</v>
      </c>
      <c r="AE641" s="2">
        <f ca="1">IF(HEVARIM[[#This Row],[בת מצוה]]&gt;0,YEAR(TODAY())+'תקציבים מיוחדים'!$F$5-HEVARIM[[#This Row],[גיל]],0)</f>
        <v>0</v>
      </c>
      <c r="AF641" s="1">
        <f>IF(AND($S641&gt;="רווק",$Z641=1),AF$4*IF(HEVARIM[[#This Row],[גיל]]&gt;$AF$3,1,(($G641-AF$2)/(AF$3-AF$2))),0)</f>
        <v>0</v>
      </c>
      <c r="AG64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41" s="1">
        <f t="shared" si="39"/>
        <v>0</v>
      </c>
      <c r="AI641" s="2">
        <f ca="1">IF(AH641&gt;0,YEAR(TODAY())+'תקציבים מיוחדים'!$F$7-HEVARIM[[#This Row],[גיל]],0)</f>
        <v>0</v>
      </c>
      <c r="AJ641" s="9">
        <f>IF(AND(ISERROR(VLOOKUP(H641,'[2]ריכוז נתונים'!A:L,1,0)),P641="1     "),1,0)</f>
        <v>0</v>
      </c>
      <c r="AK641" s="1">
        <f>IF(VALUE(HEVARIM[[#This Row],[קוד מעמד]])=1,VLOOKUP((IF(LEFT(HEVARIM[[#This Row],[קוד חבר]],1)="0",HEVARIM[[#This Row],[קוד חבר]],VALUE(HEVARIM[[#This Row],[קוד חבר]]))),'ותק חברה 40'!AQ:AW,7,0),"")</f>
        <v>13.13</v>
      </c>
      <c r="AL641" s="1">
        <f>IF(AND(VALUE(HEVARIM[[#This Row],[קוד מעמד]])=1,HEVARIM[[#This Row],[ותק מחברה 40]]&lt;25),HEVARIM[[#This Row],[ותק מחברה 40]]/25*הנחות!$C$4,0)</f>
        <v>19713.178484999997</v>
      </c>
      <c r="AM641" s="9">
        <f ca="1">IF(HEVARIM[[#This Row],[דמי עזיבה 25 שנות ותק]]&gt;0,YEAR(TODAY())+25-ROUNDDOWN(HEVARIM[[#This Row],[ותק מחברה 40]],0),"")</f>
        <v>2038</v>
      </c>
      <c r="AN64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1" s="9" t="str">
        <f ca="1">IF(HEVARIM[[#This Row],[דמי עזיבה לגיל 65]]&gt;0,YEAR(TODAY())+64-ROUNDDOWN(HEVARIM[[#This Row],[גיל]],0),"")</f>
        <v/>
      </c>
      <c r="AP641" s="1">
        <f>SUMIF(HEVARIM[קוד תקציב],HEVARIM[[#This Row],[קוד תקציב משפחה מקורי]],HEVARIM[ותק מחברה 40])</f>
        <v>26.26</v>
      </c>
      <c r="AQ64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641" s="9">
        <f>IF(HEVARIM[[#This Row],[קוד מעמד]]="1     ",IFERROR(VLOOKUP(HEVARIM[[#This Row],[קוד תקציב]],'תקציב צביעה - לקראת השינוי'!A:F,4,0),0),0)</f>
        <v>2032</v>
      </c>
      <c r="AT641" s="1"/>
    </row>
    <row r="642" spans="1:46">
      <c r="A642" t="s">
        <v>3106</v>
      </c>
      <c r="B642" t="s">
        <v>3107</v>
      </c>
      <c r="C642" t="s">
        <v>3101</v>
      </c>
      <c r="D642" t="s">
        <v>2230</v>
      </c>
      <c r="E642" t="s">
        <v>79</v>
      </c>
      <c r="F642" s="4">
        <v>29798</v>
      </c>
      <c r="G642">
        <v>44</v>
      </c>
      <c r="H642" t="s">
        <v>3103</v>
      </c>
      <c r="I642" t="s">
        <v>3104</v>
      </c>
      <c r="J642" s="4" t="s">
        <v>70</v>
      </c>
      <c r="K642" s="4" t="s">
        <v>71</v>
      </c>
      <c r="L642" t="s">
        <v>3108</v>
      </c>
      <c r="M642" t="s">
        <v>3099</v>
      </c>
      <c r="N642" t="s">
        <v>3100</v>
      </c>
      <c r="O642">
        <f>IFERROR(VLOOKUP(HEVARIM[[#This Row],[קוד תקציב]],[2]תקציבים!A:L,6,0),0)</f>
        <v>2</v>
      </c>
      <c r="P642" s="5" t="s">
        <v>104</v>
      </c>
      <c r="Q642" t="s">
        <v>11</v>
      </c>
      <c r="R642" s="4">
        <v>41852</v>
      </c>
      <c r="S642" s="4" t="s">
        <v>74</v>
      </c>
      <c r="T642" s="96" t="s">
        <v>3103</v>
      </c>
      <c r="U642" t="str">
        <f>VLOOKUP(HEVARIM[[#This Row],[גיל]],GIL,2,1)</f>
        <v>--</v>
      </c>
      <c r="V642" t="str">
        <f>IF(HEVARIM[[#This Row],[קוד מעמד]]="4     ",IF(HEVARIM[[#This Row],[גיל]]=1,1,IF(HEVARIM[[#This Row],[גיל]]&lt;=5,5,18)),"")</f>
        <v/>
      </c>
      <c r="W642">
        <f t="shared" si="36"/>
        <v>0</v>
      </c>
      <c r="X64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2">
        <f>IF(HEVARIM[[#This Row],[מצב משפחתי2]]="אלמן",'[2]ריכוז נתונים'!$AC$2,0)</f>
        <v>0</v>
      </c>
      <c r="Z642" s="3">
        <f>VLOOKUP(VALUE(HEVARIM[[#This Row],[קוד מעמד]]),הנחות!$I$2:$K$21,3,0)</f>
        <v>0</v>
      </c>
      <c r="AA642" t="b">
        <f>ISERROR(VLOOKUP(HEVARIM[[#This Row],[קוד תקציב]],'[2]ריכוז נתונים'!A:A,1,0))</f>
        <v>0</v>
      </c>
      <c r="AB642" s="1">
        <f t="shared" si="37"/>
        <v>0</v>
      </c>
      <c r="AC642" s="2">
        <f ca="1">IF(HEVARIM[[#This Row],[בר מצוה]]&gt;0,YEAR(TODAY())+'תקציבים מיוחדים'!$F$5-HEVARIM[[#This Row],[גיל]],0)</f>
        <v>0</v>
      </c>
      <c r="AD642" s="1">
        <f t="shared" si="38"/>
        <v>0</v>
      </c>
      <c r="AE642" s="2">
        <f ca="1">IF(HEVARIM[[#This Row],[בת מצוה]]&gt;0,YEAR(TODAY())+'תקציבים מיוחדים'!$F$5-HEVARIM[[#This Row],[גיל]],0)</f>
        <v>0</v>
      </c>
      <c r="AF642" s="1">
        <f>IF(AND($S642&gt;="רווק",$Z642=1),AF$4*IF(HEVARIM[[#This Row],[גיל]]&gt;$AF$3,1,(($G642-AF$2)/(AF$3-AF$2))),0)</f>
        <v>0</v>
      </c>
      <c r="AG64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42" s="1">
        <f t="shared" si="39"/>
        <v>0</v>
      </c>
      <c r="AI642" s="2">
        <f ca="1">IF(AH642&gt;0,YEAR(TODAY())+'תקציבים מיוחדים'!$F$7-HEVARIM[[#This Row],[גיל]],0)</f>
        <v>0</v>
      </c>
      <c r="AJ642" s="9">
        <f>IF(AND(ISERROR(VLOOKUP(H642,'[2]ריכוז נתונים'!A:L,1,0)),P642="1     "),1,0)</f>
        <v>0</v>
      </c>
      <c r="AK642" s="1">
        <f>IF(VALUE(HEVARIM[[#This Row],[קוד מעמד]])=1,VLOOKUP((IF(LEFT(HEVARIM[[#This Row],[קוד חבר]],1)="0",HEVARIM[[#This Row],[קוד חבר]],VALUE(HEVARIM[[#This Row],[קוד חבר]]))),'ותק חברה 40'!AQ:AW,7,0),"")</f>
        <v>13.13</v>
      </c>
      <c r="AL642" s="1">
        <f>IF(AND(VALUE(HEVARIM[[#This Row],[קוד מעמד]])=1,HEVARIM[[#This Row],[ותק מחברה 40]]&lt;25),HEVARIM[[#This Row],[ותק מחברה 40]]/25*הנחות!$C$4,0)</f>
        <v>19713.178484999997</v>
      </c>
      <c r="AM642" s="9">
        <f ca="1">IF(HEVARIM[[#This Row],[דמי עזיבה 25 שנות ותק]]&gt;0,YEAR(TODAY())+25-ROUNDDOWN(HEVARIM[[#This Row],[ותק מחברה 40]],0),"")</f>
        <v>2038</v>
      </c>
      <c r="AN64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2" s="9" t="str">
        <f ca="1">IF(HEVARIM[[#This Row],[דמי עזיבה לגיל 65]]&gt;0,YEAR(TODAY())+64-ROUNDDOWN(HEVARIM[[#This Row],[גיל]],0),"")</f>
        <v/>
      </c>
      <c r="AP642" s="1">
        <f>SUMIF(HEVARIM[קוד תקציב],HEVARIM[[#This Row],[קוד תקציב משפחה מקורי]],HEVARIM[ותק מחברה 40])</f>
        <v>26.26</v>
      </c>
      <c r="AQ64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642" s="9">
        <f>IF(HEVARIM[[#This Row],[קוד מעמד]]="1     ",IFERROR(VLOOKUP(HEVARIM[[#This Row],[קוד תקציב]],'תקציב צביעה - לקראת השינוי'!A:F,4,0),0),0)</f>
        <v>2032</v>
      </c>
      <c r="AT642" s="1"/>
    </row>
    <row r="643" spans="1:46">
      <c r="A643" t="s">
        <v>3109</v>
      </c>
      <c r="B643" t="s">
        <v>3110</v>
      </c>
      <c r="C643" t="s">
        <v>3101</v>
      </c>
      <c r="D643" t="s">
        <v>3111</v>
      </c>
      <c r="E643" t="s">
        <v>67</v>
      </c>
      <c r="F643" s="4">
        <v>39899</v>
      </c>
      <c r="G643">
        <v>16</v>
      </c>
      <c r="H643" t="s">
        <v>3103</v>
      </c>
      <c r="I643" t="s">
        <v>3104</v>
      </c>
      <c r="J643" s="4" t="s">
        <v>70</v>
      </c>
      <c r="K643" s="4" t="s">
        <v>71</v>
      </c>
      <c r="L643" t="s">
        <v>3112</v>
      </c>
      <c r="M643" t="s">
        <v>3099</v>
      </c>
      <c r="N643" t="s">
        <v>3100</v>
      </c>
      <c r="O643">
        <f>IFERROR(VLOOKUP(HEVARIM[[#This Row],[קוד תקציב]],[2]תקציבים!A:L,6,0),0)</f>
        <v>2</v>
      </c>
      <c r="P643" s="5" t="s">
        <v>227</v>
      </c>
      <c r="Q643" t="s">
        <v>14</v>
      </c>
      <c r="R643" s="4">
        <v>41108</v>
      </c>
      <c r="S643" s="4" t="s">
        <v>90</v>
      </c>
      <c r="T643" s="96" t="s">
        <v>3103</v>
      </c>
      <c r="U643" t="str">
        <f>VLOOKUP(HEVARIM[[#This Row],[גיל]],GIL,2,1)</f>
        <v>תיכון</v>
      </c>
      <c r="V643">
        <f>IF(HEVARIM[[#This Row],[קוד מעמד]]="4     ",IF(HEVARIM[[#This Row],[גיל]]=1,1,IF(HEVARIM[[#This Row],[גיל]]&lt;=5,5,18)),"")</f>
        <v>18</v>
      </c>
      <c r="W643">
        <f t="shared" si="36"/>
        <v>0</v>
      </c>
      <c r="X64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3">
        <f>IF(HEVARIM[[#This Row],[מצב משפחתי2]]="אלמן",'[2]ריכוז נתונים'!$AC$2,0)</f>
        <v>0</v>
      </c>
      <c r="Z643" s="3">
        <f>VLOOKUP(VALUE(HEVARIM[[#This Row],[קוד מעמד]]),הנחות!$I$2:$K$21,3,0)</f>
        <v>1</v>
      </c>
      <c r="AA643" t="b">
        <f>ISERROR(VLOOKUP(HEVARIM[[#This Row],[קוד תקציב]],'[2]ריכוז נתונים'!A:A,1,0))</f>
        <v>0</v>
      </c>
      <c r="AB643" s="1">
        <f t="shared" si="37"/>
        <v>0</v>
      </c>
      <c r="AC643" s="2">
        <f ca="1">IF(HEVARIM[[#This Row],[בר מצוה]]&gt;0,YEAR(TODAY())+'תקציבים מיוחדים'!$F$5-HEVARIM[[#This Row],[גיל]],0)</f>
        <v>0</v>
      </c>
      <c r="AD643" s="1">
        <f t="shared" si="38"/>
        <v>0</v>
      </c>
      <c r="AE643" s="2">
        <f ca="1">IF(HEVARIM[[#This Row],[בת מצוה]]&gt;0,YEAR(TODAY())+'תקציבים מיוחדים'!$F$5-HEVARIM[[#This Row],[גיל]],0)</f>
        <v>0</v>
      </c>
      <c r="AF643" s="1">
        <f>IF(AND($S643&gt;="רווק",$Z643=1),AF$4*IF(HEVARIM[[#This Row],[גיל]]&gt;$AF$3,1,(($G643-AF$2)/(AF$3-AF$2))),0)</f>
        <v>46104.761904761901</v>
      </c>
      <c r="AG643" s="2">
        <f ca="1">IF(HEVARIM[[#This Row],[מענק חתונה]]&gt;0,IF(HEVARIM[[#This Row],[גיל]]&gt;'תקציבים מיוחדים'!$F$6,2025,YEAR(TODAY())+'תקציבים מיוחדים'!$F$6-HEVARIM[[#This Row],[גיל]]),0)</f>
        <v>2031</v>
      </c>
      <c r="AH643" s="1">
        <f t="shared" si="39"/>
        <v>80448.380952380947</v>
      </c>
      <c r="AI643" s="2">
        <f ca="1">IF(AH643&gt;0,YEAR(TODAY())+'תקציבים מיוחדים'!$F$7-HEVARIM[[#This Row],[גיל]],0)</f>
        <v>2031</v>
      </c>
      <c r="AJ643" s="9">
        <f>IF(AND(ISERROR(VLOOKUP(H643,'[2]ריכוז נתונים'!A:L,1,0)),P643="1     "),1,0)</f>
        <v>0</v>
      </c>
      <c r="AK64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3" s="1">
        <f>IF(AND(VALUE(HEVARIM[[#This Row],[קוד מעמד]])=1,HEVARIM[[#This Row],[ותק מחברה 40]]&lt;25),HEVARIM[[#This Row],[ותק מחברה 40]]/25*הנחות!$C$4,0)</f>
        <v>0</v>
      </c>
      <c r="AM643" s="9" t="str">
        <f ca="1">IF(HEVARIM[[#This Row],[דמי עזיבה 25 שנות ותק]]&gt;0,YEAR(TODAY())+25-ROUNDDOWN(HEVARIM[[#This Row],[ותק מחברה 40]],0),"")</f>
        <v/>
      </c>
      <c r="AN64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3" s="9" t="str">
        <f ca="1">IF(HEVARIM[[#This Row],[דמי עזיבה לגיל 65]]&gt;0,YEAR(TODAY())+64-ROUNDDOWN(HEVARIM[[#This Row],[גיל]],0),"")</f>
        <v/>
      </c>
      <c r="AP643" s="1">
        <f>SUMIF(HEVARIM[קוד תקציב],HEVARIM[[#This Row],[קוד תקציב משפחה מקורי]],HEVARIM[ותק מחברה 40])</f>
        <v>26.26</v>
      </c>
      <c r="AQ64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3" s="9">
        <f>IF(HEVARIM[[#This Row],[קוד מעמד]]="1     ",IFERROR(VLOOKUP(HEVARIM[[#This Row],[קוד תקציב]],'תקציב צביעה - לקראת השינוי'!A:F,4,0),0),0)</f>
        <v>0</v>
      </c>
      <c r="AT643" s="1"/>
    </row>
    <row r="644" spans="1:46">
      <c r="A644" t="s">
        <v>3113</v>
      </c>
      <c r="B644" t="s">
        <v>3114</v>
      </c>
      <c r="C644" t="s">
        <v>3101</v>
      </c>
      <c r="D644" t="s">
        <v>3115</v>
      </c>
      <c r="E644" t="s">
        <v>79</v>
      </c>
      <c r="F644" s="4">
        <v>40660</v>
      </c>
      <c r="G644">
        <v>14</v>
      </c>
      <c r="H644" t="s">
        <v>3103</v>
      </c>
      <c r="I644" t="s">
        <v>3104</v>
      </c>
      <c r="J644" s="4" t="s">
        <v>70</v>
      </c>
      <c r="K644" s="4" t="s">
        <v>71</v>
      </c>
      <c r="L644" t="s">
        <v>3116</v>
      </c>
      <c r="M644" t="s">
        <v>3099</v>
      </c>
      <c r="N644" t="s">
        <v>3100</v>
      </c>
      <c r="O644">
        <f>IFERROR(VLOOKUP(HEVARIM[[#This Row],[קוד תקציב]],[2]תקציבים!A:L,6,0),0)</f>
        <v>2</v>
      </c>
      <c r="P644" s="5" t="s">
        <v>227</v>
      </c>
      <c r="Q644" t="s">
        <v>14</v>
      </c>
      <c r="R644" s="4">
        <v>41108</v>
      </c>
      <c r="S644" s="4" t="s">
        <v>90</v>
      </c>
      <c r="T644" s="96" t="s">
        <v>3103</v>
      </c>
      <c r="U644" t="str">
        <f>VLOOKUP(HEVARIM[[#This Row],[גיל]],GIL,2,1)</f>
        <v>חטיבה</v>
      </c>
      <c r="V644">
        <f>IF(HEVARIM[[#This Row],[קוד מעמד]]="4     ",IF(HEVARIM[[#This Row],[גיל]]=1,1,IF(HEVARIM[[#This Row],[גיל]]&lt;=5,5,18)),"")</f>
        <v>18</v>
      </c>
      <c r="W644">
        <f t="shared" si="36"/>
        <v>0</v>
      </c>
      <c r="X64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4">
        <f>IF(HEVARIM[[#This Row],[מצב משפחתי2]]="אלמן",'[2]ריכוז נתונים'!$AC$2,0)</f>
        <v>0</v>
      </c>
      <c r="Z644" s="3">
        <f>VLOOKUP(VALUE(HEVARIM[[#This Row],[קוד מעמד]]),הנחות!$I$2:$K$21,3,0)</f>
        <v>1</v>
      </c>
      <c r="AA644" t="b">
        <f>ISERROR(VLOOKUP(HEVARIM[[#This Row],[קוד תקציב]],'[2]ריכוז נתונים'!A:A,1,0))</f>
        <v>0</v>
      </c>
      <c r="AB644" s="1">
        <f t="shared" si="37"/>
        <v>0</v>
      </c>
      <c r="AC644" s="2">
        <f ca="1">IF(HEVARIM[[#This Row],[בר מצוה]]&gt;0,YEAR(TODAY())+'תקציבים מיוחדים'!$F$5-HEVARIM[[#This Row],[גיל]],0)</f>
        <v>0</v>
      </c>
      <c r="AD644" s="1">
        <f t="shared" si="38"/>
        <v>0</v>
      </c>
      <c r="AE644" s="2">
        <f ca="1">IF(HEVARIM[[#This Row],[בת מצוה]]&gt;0,YEAR(TODAY())+'תקציבים מיוחדים'!$F$5-HEVARIM[[#This Row],[גיל]],0)</f>
        <v>0</v>
      </c>
      <c r="AF644" s="1">
        <f>IF(AND($S644&gt;="רווק",$Z644=1),AF$4*IF(HEVARIM[[#This Row],[גיל]]&gt;$AF$3,1,(($G644-AF$2)/(AF$3-AF$2))),0)</f>
        <v>40341.666666666664</v>
      </c>
      <c r="AG644" s="2">
        <f ca="1">IF(HEVARIM[[#This Row],[מענק חתונה]]&gt;0,IF(HEVARIM[[#This Row],[גיל]]&gt;'תקציבים מיוחדים'!$F$6,2025,YEAR(TODAY())+'תקציבים מיוחדים'!$F$6-HEVARIM[[#This Row],[גיל]]),0)</f>
        <v>2033</v>
      </c>
      <c r="AH644" s="1">
        <f t="shared" si="39"/>
        <v>70392.333333333328</v>
      </c>
      <c r="AI644" s="2">
        <f ca="1">IF(AH644&gt;0,YEAR(TODAY())+'תקציבים מיוחדים'!$F$7-HEVARIM[[#This Row],[גיל]],0)</f>
        <v>2033</v>
      </c>
      <c r="AJ644" s="9">
        <f>IF(AND(ISERROR(VLOOKUP(H644,'[2]ריכוז נתונים'!A:L,1,0)),P644="1     "),1,0)</f>
        <v>0</v>
      </c>
      <c r="AK64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4" s="1">
        <f>IF(AND(VALUE(HEVARIM[[#This Row],[קוד מעמד]])=1,HEVARIM[[#This Row],[ותק מחברה 40]]&lt;25),HEVARIM[[#This Row],[ותק מחברה 40]]/25*הנחות!$C$4,0)</f>
        <v>0</v>
      </c>
      <c r="AM644" s="9" t="str">
        <f ca="1">IF(HEVARIM[[#This Row],[דמי עזיבה 25 שנות ותק]]&gt;0,YEAR(TODAY())+25-ROUNDDOWN(HEVARIM[[#This Row],[ותק מחברה 40]],0),"")</f>
        <v/>
      </c>
      <c r="AN64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4" s="9" t="str">
        <f ca="1">IF(HEVARIM[[#This Row],[דמי עזיבה לגיל 65]]&gt;0,YEAR(TODAY())+64-ROUNDDOWN(HEVARIM[[#This Row],[גיל]],0),"")</f>
        <v/>
      </c>
      <c r="AP644" s="1">
        <f>SUMIF(HEVARIM[קוד תקציב],HEVARIM[[#This Row],[קוד תקציב משפחה מקורי]],HEVARIM[ותק מחברה 40])</f>
        <v>26.26</v>
      </c>
      <c r="AQ64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4" s="9">
        <f>IF(HEVARIM[[#This Row],[קוד מעמד]]="1     ",IFERROR(VLOOKUP(HEVARIM[[#This Row],[קוד תקציב]],'תקציב צביעה - לקראת השינוי'!A:F,4,0),0),0)</f>
        <v>0</v>
      </c>
      <c r="AT644" s="1"/>
    </row>
    <row r="645" spans="1:46">
      <c r="A645" t="s">
        <v>3117</v>
      </c>
      <c r="B645" t="s">
        <v>3118</v>
      </c>
      <c r="C645" t="s">
        <v>3101</v>
      </c>
      <c r="D645" t="s">
        <v>3119</v>
      </c>
      <c r="E645" t="s">
        <v>67</v>
      </c>
      <c r="F645" s="4">
        <v>41312</v>
      </c>
      <c r="G645">
        <v>12</v>
      </c>
      <c r="H645" t="s">
        <v>3103</v>
      </c>
      <c r="I645" t="s">
        <v>3104</v>
      </c>
      <c r="J645" s="4" t="s">
        <v>70</v>
      </c>
      <c r="K645" s="4" t="s">
        <v>71</v>
      </c>
      <c r="L645" t="s">
        <v>3120</v>
      </c>
      <c r="M645" t="s">
        <v>3099</v>
      </c>
      <c r="N645" t="s">
        <v>3100</v>
      </c>
      <c r="O645">
        <f>IFERROR(VLOOKUP(HEVARIM[[#This Row],[קוד תקציב]],[2]תקציבים!A:L,6,0),0)</f>
        <v>2</v>
      </c>
      <c r="P645" s="5" t="s">
        <v>227</v>
      </c>
      <c r="Q645" t="s">
        <v>14</v>
      </c>
      <c r="R645" s="4">
        <v>41312</v>
      </c>
      <c r="S645" s="4" t="s">
        <v>90</v>
      </c>
      <c r="T645" s="96" t="s">
        <v>3103</v>
      </c>
      <c r="U645" t="str">
        <f>VLOOKUP(HEVARIM[[#This Row],[גיל]],GIL,2,1)</f>
        <v>יסודי</v>
      </c>
      <c r="V645">
        <f>IF(HEVARIM[[#This Row],[קוד מעמד]]="4     ",IF(HEVARIM[[#This Row],[גיל]]=1,1,IF(HEVARIM[[#This Row],[גיל]]&lt;=5,5,18)),"")</f>
        <v>18</v>
      </c>
      <c r="W645">
        <f t="shared" si="36"/>
        <v>0</v>
      </c>
      <c r="X64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5">
        <f>IF(HEVARIM[[#This Row],[מצב משפחתי2]]="אלמן",'[2]ריכוז נתונים'!$AC$2,0)</f>
        <v>0</v>
      </c>
      <c r="Z645" s="3">
        <f>VLOOKUP(VALUE(HEVARIM[[#This Row],[קוד מעמד]]),הנחות!$I$2:$K$21,3,0)</f>
        <v>1</v>
      </c>
      <c r="AA645" t="b">
        <f>ISERROR(VLOOKUP(HEVARIM[[#This Row],[קוד תקציב]],'[2]ריכוז נתונים'!A:A,1,0))</f>
        <v>0</v>
      </c>
      <c r="AB645" s="1">
        <f t="shared" si="37"/>
        <v>6613.8461538461543</v>
      </c>
      <c r="AC645" s="2">
        <f ca="1">IF(HEVARIM[[#This Row],[בר מצוה]]&gt;0,YEAR(TODAY())+'תקציבים מיוחדים'!$F$5-HEVARIM[[#This Row],[גיל]],0)</f>
        <v>2027</v>
      </c>
      <c r="AD645" s="1">
        <f t="shared" si="38"/>
        <v>0</v>
      </c>
      <c r="AE645" s="2">
        <f ca="1">IF(HEVARIM[[#This Row],[בת מצוה]]&gt;0,YEAR(TODAY())+'תקציבים מיוחדים'!$F$5-HEVARIM[[#This Row],[גיל]],0)</f>
        <v>0</v>
      </c>
      <c r="AF645" s="1">
        <f>IF(AND($S645&gt;="רווק",$Z645=1),AF$4*IF(HEVARIM[[#This Row],[גיל]]&gt;$AF$3,1,(($G645-AF$2)/(AF$3-AF$2))),0)</f>
        <v>34578.571428571428</v>
      </c>
      <c r="AG645" s="2">
        <f ca="1">IF(HEVARIM[[#This Row],[מענק חתונה]]&gt;0,IF(HEVARIM[[#This Row],[גיל]]&gt;'תקציבים מיוחדים'!$F$6,2025,YEAR(TODAY())+'תקציבים מיוחדים'!$F$6-HEVARIM[[#This Row],[גיל]]),0)</f>
        <v>2035</v>
      </c>
      <c r="AH645" s="1">
        <f t="shared" si="39"/>
        <v>60336.28571428571</v>
      </c>
      <c r="AI645" s="2">
        <f ca="1">IF(AH645&gt;0,YEAR(TODAY())+'תקציבים מיוחדים'!$F$7-HEVARIM[[#This Row],[גיל]],0)</f>
        <v>2035</v>
      </c>
      <c r="AJ645" s="9">
        <f>IF(AND(ISERROR(VLOOKUP(H645,'[2]ריכוז נתונים'!A:L,1,0)),P645="1     "),1,0)</f>
        <v>0</v>
      </c>
      <c r="AK64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5" s="1">
        <f>IF(AND(VALUE(HEVARIM[[#This Row],[קוד מעמד]])=1,HEVARIM[[#This Row],[ותק מחברה 40]]&lt;25),HEVARIM[[#This Row],[ותק מחברה 40]]/25*הנחות!$C$4,0)</f>
        <v>0</v>
      </c>
      <c r="AM645" s="9" t="str">
        <f ca="1">IF(HEVARIM[[#This Row],[דמי עזיבה 25 שנות ותק]]&gt;0,YEAR(TODAY())+25-ROUNDDOWN(HEVARIM[[#This Row],[ותק מחברה 40]],0),"")</f>
        <v/>
      </c>
      <c r="AN64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5" s="9" t="str">
        <f ca="1">IF(HEVARIM[[#This Row],[דמי עזיבה לגיל 65]]&gt;0,YEAR(TODAY())+64-ROUNDDOWN(HEVARIM[[#This Row],[גיל]],0),"")</f>
        <v/>
      </c>
      <c r="AP645" s="1">
        <f>SUMIF(HEVARIM[קוד תקציב],HEVARIM[[#This Row],[קוד תקציב משפחה מקורי]],HEVARIM[ותק מחברה 40])</f>
        <v>26.26</v>
      </c>
      <c r="AQ64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5" s="9">
        <f>IF(HEVARIM[[#This Row],[קוד מעמד]]="1     ",IFERROR(VLOOKUP(HEVARIM[[#This Row],[קוד תקציב]],'תקציב צביעה - לקראת השינוי'!A:F,4,0),0),0)</f>
        <v>0</v>
      </c>
      <c r="AT645" s="1"/>
    </row>
    <row r="646" spans="1:46">
      <c r="A646" t="s">
        <v>3121</v>
      </c>
      <c r="B646" t="s">
        <v>3122</v>
      </c>
      <c r="C646" t="s">
        <v>3101</v>
      </c>
      <c r="D646" t="s">
        <v>3123</v>
      </c>
      <c r="E646" t="s">
        <v>67</v>
      </c>
      <c r="F646" s="4">
        <v>42265</v>
      </c>
      <c r="G646">
        <v>10</v>
      </c>
      <c r="H646" t="s">
        <v>3103</v>
      </c>
      <c r="I646" t="s">
        <v>3104</v>
      </c>
      <c r="J646" s="4" t="s">
        <v>70</v>
      </c>
      <c r="K646" s="4" t="s">
        <v>71</v>
      </c>
      <c r="L646" t="s">
        <v>3124</v>
      </c>
      <c r="M646" t="s">
        <v>3099</v>
      </c>
      <c r="N646" t="s">
        <v>3100</v>
      </c>
      <c r="O646">
        <f>IFERROR(VLOOKUP(HEVARIM[[#This Row],[קוד תקציב]],[2]תקציבים!A:L,6,0),0)</f>
        <v>2</v>
      </c>
      <c r="P646" s="5" t="s">
        <v>227</v>
      </c>
      <c r="Q646" t="s">
        <v>14</v>
      </c>
      <c r="R646" s="4">
        <v>42265</v>
      </c>
      <c r="S646" s="4" t="s">
        <v>90</v>
      </c>
      <c r="T646" s="96" t="s">
        <v>3103</v>
      </c>
      <c r="U646" t="str">
        <f>VLOOKUP(HEVARIM[[#This Row],[גיל]],GIL,2,1)</f>
        <v>יסודי</v>
      </c>
      <c r="V646">
        <f>IF(HEVARIM[[#This Row],[קוד מעמד]]="4     ",IF(HEVARIM[[#This Row],[גיל]]=1,1,IF(HEVARIM[[#This Row],[גיל]]&lt;=5,5,18)),"")</f>
        <v>18</v>
      </c>
      <c r="W646">
        <f t="shared" ref="W646:W710" si="40">IF(G646&lt;67,0,
 IF(O646=1,
   IF(G646&gt;=80,1896-231,1795-231),
 IF(O646=2,
   IF(G646&gt;=80,2899-332,2697-332),
 0))
)</f>
        <v>0</v>
      </c>
      <c r="X64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6">
        <f>IF(HEVARIM[[#This Row],[מצב משפחתי2]]="אלמן",'[2]ריכוז נתונים'!$AC$2,0)</f>
        <v>0</v>
      </c>
      <c r="Z646" s="3">
        <f>VLOOKUP(VALUE(HEVARIM[[#This Row],[קוד מעמד]]),הנחות!$I$2:$K$21,3,0)</f>
        <v>1</v>
      </c>
      <c r="AA646" t="b">
        <f>ISERROR(VLOOKUP(HEVARIM[[#This Row],[קוד תקציב]],'[2]ריכוז נתונים'!A:A,1,0))</f>
        <v>0</v>
      </c>
      <c r="AB646" s="1">
        <f t="shared" ref="AB646:AB709" si="41">IF(AND($G646&gt;=AC$2,$G646&lt;=AC$3,$E646="ז ",$Z646=1),AC$4*(($G646-AC$2)/(AC$3-AC$2)),0)</f>
        <v>5511.5384615384619</v>
      </c>
      <c r="AC646" s="2">
        <f ca="1">IF(HEVARIM[[#This Row],[בר מצוה]]&gt;0,YEAR(TODAY())+'תקציבים מיוחדים'!$F$5-HEVARIM[[#This Row],[גיל]],0)</f>
        <v>2029</v>
      </c>
      <c r="AD646" s="1">
        <f t="shared" ref="AD646:AD709" si="42">IF(AND($G646&gt;=AE$2,$G646&lt;=AE$3,$E646="נ ",$Z646=1),AE$4*(($G646-AE$2)/(AE$3-AE$2)),0)</f>
        <v>0</v>
      </c>
      <c r="AE646" s="2">
        <f ca="1">IF(HEVARIM[[#This Row],[בת מצוה]]&gt;0,YEAR(TODAY())+'תקציבים מיוחדים'!$F$5-HEVARIM[[#This Row],[גיל]],0)</f>
        <v>0</v>
      </c>
      <c r="AF646" s="1">
        <f>IF(AND($S646&gt;="רווק",$Z646=1),AF$4*IF(HEVARIM[[#This Row],[גיל]]&gt;$AF$3,1,(($G646-AF$2)/(AF$3-AF$2))),0)</f>
        <v>28815.476190476187</v>
      </c>
      <c r="AG646" s="2">
        <f ca="1">IF(HEVARIM[[#This Row],[מענק חתונה]]&gt;0,IF(HEVARIM[[#This Row],[גיל]]&gt;'תקציבים מיוחדים'!$F$6,2025,YEAR(TODAY())+'תקציבים מיוחדים'!$F$6-HEVARIM[[#This Row],[גיל]]),0)</f>
        <v>2037</v>
      </c>
      <c r="AH646" s="1">
        <f t="shared" ref="AH646:AH709" si="43">IF(AND($G646&gt;=AI$2,$G646&lt;=AI$3,$Z646=1),AI$4*(($G646-AI$2)/(AI$3-AI$2)),0)</f>
        <v>50280.238095238092</v>
      </c>
      <c r="AI646" s="2">
        <f ca="1">IF(AH646&gt;0,YEAR(TODAY())+'תקציבים מיוחדים'!$F$7-HEVARIM[[#This Row],[גיל]],0)</f>
        <v>2037</v>
      </c>
      <c r="AJ646" s="9">
        <f>IF(AND(ISERROR(VLOOKUP(H646,'[2]ריכוז נתונים'!A:L,1,0)),P646="1     "),1,0)</f>
        <v>0</v>
      </c>
      <c r="AK64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6" s="1">
        <f>IF(AND(VALUE(HEVARIM[[#This Row],[קוד מעמד]])=1,HEVARIM[[#This Row],[ותק מחברה 40]]&lt;25),HEVARIM[[#This Row],[ותק מחברה 40]]/25*הנחות!$C$4,0)</f>
        <v>0</v>
      </c>
      <c r="AM646" s="9" t="str">
        <f ca="1">IF(HEVARIM[[#This Row],[דמי עזיבה 25 שנות ותק]]&gt;0,YEAR(TODAY())+25-ROUNDDOWN(HEVARIM[[#This Row],[ותק מחברה 40]],0),"")</f>
        <v/>
      </c>
      <c r="AN64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6" s="9" t="str">
        <f ca="1">IF(HEVARIM[[#This Row],[דמי עזיבה לגיל 65]]&gt;0,YEAR(TODAY())+64-ROUNDDOWN(HEVARIM[[#This Row],[גיל]],0),"")</f>
        <v/>
      </c>
      <c r="AP646" s="1">
        <f>SUMIF(HEVARIM[קוד תקציב],HEVARIM[[#This Row],[קוד תקציב משפחה מקורי]],HEVARIM[ותק מחברה 40])</f>
        <v>26.26</v>
      </c>
      <c r="AQ64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6" s="9">
        <f>IF(HEVARIM[[#This Row],[קוד מעמד]]="1     ",IFERROR(VLOOKUP(HEVARIM[[#This Row],[קוד תקציב]],'תקציב צביעה - לקראת השינוי'!A:F,4,0),0),0)</f>
        <v>0</v>
      </c>
      <c r="AT646" s="1"/>
    </row>
    <row r="647" spans="1:46">
      <c r="A647" t="s">
        <v>3125</v>
      </c>
      <c r="B647" t="s">
        <v>3126</v>
      </c>
      <c r="C647" t="s">
        <v>3101</v>
      </c>
      <c r="D647" t="s">
        <v>3127</v>
      </c>
      <c r="E647" t="s">
        <v>67</v>
      </c>
      <c r="F647" s="4">
        <v>43465</v>
      </c>
      <c r="G647">
        <v>7</v>
      </c>
      <c r="H647" t="s">
        <v>3103</v>
      </c>
      <c r="I647" t="s">
        <v>3104</v>
      </c>
      <c r="J647" s="4" t="s">
        <v>70</v>
      </c>
      <c r="K647" s="4" t="s">
        <v>71</v>
      </c>
      <c r="L647" t="s">
        <v>3128</v>
      </c>
      <c r="M647" t="s">
        <v>3099</v>
      </c>
      <c r="N647" t="s">
        <v>3100</v>
      </c>
      <c r="O647">
        <f>IFERROR(VLOOKUP(HEVARIM[[#This Row],[קוד תקציב]],[2]תקציבים!A:L,6,0),0)</f>
        <v>2</v>
      </c>
      <c r="P647" s="5" t="s">
        <v>227</v>
      </c>
      <c r="Q647" t="s">
        <v>14</v>
      </c>
      <c r="R647" s="4">
        <v>43465</v>
      </c>
      <c r="S647" s="4" t="s">
        <v>90</v>
      </c>
      <c r="T647" s="96" t="s">
        <v>3103</v>
      </c>
      <c r="U647" t="str">
        <f>VLOOKUP(HEVARIM[[#This Row],[גיל]],GIL,2,1)</f>
        <v>יסודי</v>
      </c>
      <c r="V647">
        <f>IF(HEVARIM[[#This Row],[קוד מעמד]]="4     ",IF(HEVARIM[[#This Row],[גיל]]=1,1,IF(HEVARIM[[#This Row],[גיל]]&lt;=5,5,18)),"")</f>
        <v>18</v>
      </c>
      <c r="W647">
        <f t="shared" si="40"/>
        <v>0</v>
      </c>
      <c r="X64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7">
        <f>IF(HEVARIM[[#This Row],[מצב משפחתי2]]="אלמן",'[2]ריכוז נתונים'!$AC$2,0)</f>
        <v>0</v>
      </c>
      <c r="Z647" s="3">
        <f>VLOOKUP(VALUE(HEVARIM[[#This Row],[קוד מעמד]]),הנחות!$I$2:$K$21,3,0)</f>
        <v>1</v>
      </c>
      <c r="AA647" t="b">
        <f>ISERROR(VLOOKUP(HEVARIM[[#This Row],[קוד תקציב]],'[2]ריכוז נתונים'!A:A,1,0))</f>
        <v>0</v>
      </c>
      <c r="AB647" s="1">
        <f t="shared" si="41"/>
        <v>3858.0769230769229</v>
      </c>
      <c r="AC647" s="2">
        <f ca="1">IF(HEVARIM[[#This Row],[בר מצוה]]&gt;0,YEAR(TODAY())+'תקציבים מיוחדים'!$F$5-HEVARIM[[#This Row],[גיל]],0)</f>
        <v>2032</v>
      </c>
      <c r="AD647" s="1">
        <f t="shared" si="42"/>
        <v>0</v>
      </c>
      <c r="AE647" s="2">
        <f ca="1">IF(HEVARIM[[#This Row],[בת מצוה]]&gt;0,YEAR(TODAY())+'תקציבים מיוחדים'!$F$5-HEVARIM[[#This Row],[גיל]],0)</f>
        <v>0</v>
      </c>
      <c r="AF647" s="1">
        <f>IF(AND($S647&gt;="רווק",$Z647=1),AF$4*IF(HEVARIM[[#This Row],[גיל]]&gt;$AF$3,1,(($G647-AF$2)/(AF$3-AF$2))),0)</f>
        <v>20170.833333333332</v>
      </c>
      <c r="AG647" s="2">
        <f ca="1">IF(HEVARIM[[#This Row],[מענק חתונה]]&gt;0,IF(HEVARIM[[#This Row],[גיל]]&gt;'תקציבים מיוחדים'!$F$6,2025,YEAR(TODAY())+'תקציבים מיוחדים'!$F$6-HEVARIM[[#This Row],[גיל]]),0)</f>
        <v>2040</v>
      </c>
      <c r="AH647" s="1">
        <f t="shared" si="43"/>
        <v>35196.166666666664</v>
      </c>
      <c r="AI647" s="2">
        <f ca="1">IF(AH647&gt;0,YEAR(TODAY())+'תקציבים מיוחדים'!$F$7-HEVARIM[[#This Row],[גיל]],0)</f>
        <v>2040</v>
      </c>
      <c r="AJ647" s="9">
        <f>IF(AND(ISERROR(VLOOKUP(H647,'[2]ריכוז נתונים'!A:L,1,0)),P647="1     "),1,0)</f>
        <v>0</v>
      </c>
      <c r="AK64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7" s="1">
        <f>IF(AND(VALUE(HEVARIM[[#This Row],[קוד מעמד]])=1,HEVARIM[[#This Row],[ותק מחברה 40]]&lt;25),HEVARIM[[#This Row],[ותק מחברה 40]]/25*הנחות!$C$4,0)</f>
        <v>0</v>
      </c>
      <c r="AM647" s="9" t="str">
        <f ca="1">IF(HEVARIM[[#This Row],[דמי עזיבה 25 שנות ותק]]&gt;0,YEAR(TODAY())+25-ROUNDDOWN(HEVARIM[[#This Row],[ותק מחברה 40]],0),"")</f>
        <v/>
      </c>
      <c r="AN64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7" s="9" t="str">
        <f ca="1">IF(HEVARIM[[#This Row],[דמי עזיבה לגיל 65]]&gt;0,YEAR(TODAY())+64-ROUNDDOWN(HEVARIM[[#This Row],[גיל]],0),"")</f>
        <v/>
      </c>
      <c r="AP647" s="1">
        <f>SUMIF(HEVARIM[קוד תקציב],HEVARIM[[#This Row],[קוד תקציב משפחה מקורי]],HEVARIM[ותק מחברה 40])</f>
        <v>26.26</v>
      </c>
      <c r="AQ64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7" s="9">
        <f>IF(HEVARIM[[#This Row],[קוד מעמד]]="1     ",IFERROR(VLOOKUP(HEVARIM[[#This Row],[קוד תקציב]],'תקציב צביעה - לקראת השינוי'!A:F,4,0),0),0)</f>
        <v>0</v>
      </c>
      <c r="AT647" s="1"/>
    </row>
    <row r="648" spans="1:46">
      <c r="A648" t="s">
        <v>3129</v>
      </c>
      <c r="B648" t="s">
        <v>3130</v>
      </c>
      <c r="C648" t="s">
        <v>3131</v>
      </c>
      <c r="D648" t="s">
        <v>3132</v>
      </c>
      <c r="E648" t="s">
        <v>67</v>
      </c>
      <c r="F648" s="4">
        <v>25117</v>
      </c>
      <c r="G648">
        <v>57</v>
      </c>
      <c r="H648" t="s">
        <v>3133</v>
      </c>
      <c r="I648" t="s">
        <v>3134</v>
      </c>
      <c r="J648" s="4" t="s">
        <v>70</v>
      </c>
      <c r="K648" s="4" t="s">
        <v>71</v>
      </c>
      <c r="L648" t="s">
        <v>3135</v>
      </c>
      <c r="M648" t="s">
        <v>3129</v>
      </c>
      <c r="N648" t="s">
        <v>3130</v>
      </c>
      <c r="O648">
        <f>IFERROR(VLOOKUP(HEVARIM[[#This Row],[קוד תקציב]],[2]תקציבים!A:L,6,0),0)</f>
        <v>1</v>
      </c>
      <c r="P648" s="5" t="s">
        <v>83</v>
      </c>
      <c r="Q648" t="s">
        <v>15</v>
      </c>
      <c r="R648" s="4">
        <v>41396</v>
      </c>
      <c r="S648" s="4" t="s">
        <v>74</v>
      </c>
      <c r="T648" s="96" t="s">
        <v>3133</v>
      </c>
      <c r="U648" t="str">
        <f>VLOOKUP(HEVARIM[[#This Row],[גיל]],GIL,2,1)</f>
        <v>--</v>
      </c>
      <c r="V648" t="str">
        <f>IF(HEVARIM[[#This Row],[קוד מעמד]]="4     ",IF(HEVARIM[[#This Row],[גיל]]=1,1,IF(HEVARIM[[#This Row],[גיל]]&lt;=5,5,18)),"")</f>
        <v/>
      </c>
      <c r="W648">
        <f t="shared" si="40"/>
        <v>0</v>
      </c>
      <c r="X64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8">
        <f>IF(HEVARIM[[#This Row],[מצב משפחתי2]]="אלמן",'[2]ריכוז נתונים'!$AC$2,0)</f>
        <v>0</v>
      </c>
      <c r="Z648" s="3">
        <f>VLOOKUP(VALUE(HEVARIM[[#This Row],[קוד מעמד]]),הנחות!$I$2:$K$21,3,0)</f>
        <v>0</v>
      </c>
      <c r="AA648" t="b">
        <f>ISERROR(VLOOKUP(HEVARIM[[#This Row],[קוד תקציב]],'[2]ריכוז נתונים'!A:A,1,0))</f>
        <v>0</v>
      </c>
      <c r="AB648" s="1">
        <f t="shared" si="41"/>
        <v>0</v>
      </c>
      <c r="AC648" s="2">
        <f ca="1">IF(HEVARIM[[#This Row],[בר מצוה]]&gt;0,YEAR(TODAY())+'תקציבים מיוחדים'!$F$5-HEVARIM[[#This Row],[גיל]],0)</f>
        <v>0</v>
      </c>
      <c r="AD648" s="1">
        <f t="shared" si="42"/>
        <v>0</v>
      </c>
      <c r="AE648" s="2">
        <f ca="1">IF(HEVARIM[[#This Row],[בת מצוה]]&gt;0,YEAR(TODAY())+'תקציבים מיוחדים'!$F$5-HEVARIM[[#This Row],[גיל]],0)</f>
        <v>0</v>
      </c>
      <c r="AF648" s="1">
        <f>IF(AND($S648&gt;="רווק",$Z648=1),AF$4*IF(HEVARIM[[#This Row],[גיל]]&gt;$AF$3,1,(($G648-AF$2)/(AF$3-AF$2))),0)</f>
        <v>0</v>
      </c>
      <c r="AG64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48" s="1">
        <f t="shared" si="43"/>
        <v>0</v>
      </c>
      <c r="AI648" s="2">
        <f ca="1">IF(AH648&gt;0,YEAR(TODAY())+'תקציבים מיוחדים'!$F$7-HEVARIM[[#This Row],[גיל]],0)</f>
        <v>0</v>
      </c>
      <c r="AJ648" s="9">
        <f>IF(AND(ISERROR(VLOOKUP(H648,'[2]ריכוז נתונים'!A:L,1,0)),P648="1     "),1,0)</f>
        <v>0</v>
      </c>
      <c r="AK64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8" s="1">
        <f>IF(AND(VALUE(HEVARIM[[#This Row],[קוד מעמד]])=1,HEVARIM[[#This Row],[ותק מחברה 40]]&lt;25),HEVARIM[[#This Row],[ותק מחברה 40]]/25*הנחות!$C$4,0)</f>
        <v>0</v>
      </c>
      <c r="AM648" s="9" t="str">
        <f ca="1">IF(HEVARIM[[#This Row],[דמי עזיבה 25 שנות ותק]]&gt;0,YEAR(TODAY())+25-ROUNDDOWN(HEVARIM[[#This Row],[ותק מחברה 40]],0),"")</f>
        <v/>
      </c>
      <c r="AN64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8" s="9" t="str">
        <f ca="1">IF(HEVARIM[[#This Row],[דמי עזיבה לגיל 65]]&gt;0,YEAR(TODAY())+64-ROUNDDOWN(HEVARIM[[#This Row],[גיל]],0),"")</f>
        <v/>
      </c>
      <c r="AP648" s="1">
        <f>SUMIF(HEVARIM[קוד תקציב],HEVARIM[[#This Row],[קוד תקציב משפחה מקורי]],HEVARIM[ותק מחברה 40])</f>
        <v>31.94</v>
      </c>
      <c r="AQ64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8" s="9">
        <f>IF(HEVARIM[[#This Row],[קוד מעמד]]="1     ",IFERROR(VLOOKUP(HEVARIM[[#This Row],[קוד תקציב]],'תקציב צביעה - לקראת השינוי'!A:F,4,0),0),0)</f>
        <v>0</v>
      </c>
      <c r="AT648" s="1"/>
    </row>
    <row r="649" spans="1:46">
      <c r="A649" t="s">
        <v>3139</v>
      </c>
      <c r="B649" t="s">
        <v>3140</v>
      </c>
      <c r="C649" t="s">
        <v>3141</v>
      </c>
      <c r="D649" t="s">
        <v>3142</v>
      </c>
      <c r="E649" t="s">
        <v>67</v>
      </c>
      <c r="F649" s="4">
        <v>35635</v>
      </c>
      <c r="G649">
        <v>28</v>
      </c>
      <c r="H649" t="s">
        <v>3143</v>
      </c>
      <c r="I649" t="s">
        <v>3144</v>
      </c>
      <c r="J649" s="4" t="s">
        <v>70</v>
      </c>
      <c r="K649" s="4" t="s">
        <v>81</v>
      </c>
      <c r="L649" t="s">
        <v>3145</v>
      </c>
      <c r="M649" t="s">
        <v>3139</v>
      </c>
      <c r="N649" t="s">
        <v>3140</v>
      </c>
      <c r="O649">
        <f>IFERROR(VLOOKUP(HEVARIM[[#This Row],[קוד תקציב]],[2]תקציבים!A:L,6,0),0)</f>
        <v>0</v>
      </c>
      <c r="P649" s="5" t="s">
        <v>83</v>
      </c>
      <c r="Q649" t="s">
        <v>15</v>
      </c>
      <c r="R649" s="4">
        <v>43381</v>
      </c>
      <c r="S649" s="4" t="s">
        <v>74</v>
      </c>
      <c r="T649" s="96" t="s">
        <v>3143</v>
      </c>
      <c r="U649" t="str">
        <f>VLOOKUP(HEVARIM[[#This Row],[גיל]],GIL,2,1)</f>
        <v>--</v>
      </c>
      <c r="V649" t="str">
        <f>IF(HEVARIM[[#This Row],[קוד מעמד]]="4     ",IF(HEVARIM[[#This Row],[גיל]]=1,1,IF(HEVARIM[[#This Row],[גיל]]&lt;=5,5,18)),"")</f>
        <v/>
      </c>
      <c r="W649">
        <f t="shared" si="40"/>
        <v>0</v>
      </c>
      <c r="X64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49">
        <f>IF(HEVARIM[[#This Row],[מצב משפחתי2]]="אלמן",'[2]ריכוז נתונים'!$AC$2,0)</f>
        <v>0</v>
      </c>
      <c r="Z649" s="3">
        <f>VLOOKUP(VALUE(HEVARIM[[#This Row],[קוד מעמד]]),הנחות!$I$2:$K$21,3,0)</f>
        <v>0</v>
      </c>
      <c r="AA649" t="b">
        <f>ISERROR(VLOOKUP(HEVARIM[[#This Row],[קוד תקציב]],'[2]ריכוז נתונים'!A:A,1,0))</f>
        <v>1</v>
      </c>
      <c r="AB649" s="1">
        <f t="shared" si="41"/>
        <v>0</v>
      </c>
      <c r="AC649" s="2">
        <f ca="1">IF(HEVARIM[[#This Row],[בר מצוה]]&gt;0,YEAR(TODAY())+'תקציבים מיוחדים'!$F$5-HEVARIM[[#This Row],[גיל]],0)</f>
        <v>0</v>
      </c>
      <c r="AD649" s="1">
        <f t="shared" si="42"/>
        <v>0</v>
      </c>
      <c r="AE649" s="2">
        <f ca="1">IF(HEVARIM[[#This Row],[בת מצוה]]&gt;0,YEAR(TODAY())+'תקציבים מיוחדים'!$F$5-HEVARIM[[#This Row],[גיל]],0)</f>
        <v>0</v>
      </c>
      <c r="AF649" s="1">
        <f>IF(AND($S649&gt;="רווק",$Z649=1),AF$4*IF(HEVARIM[[#This Row],[גיל]]&gt;$AF$3,1,(($G649-AF$2)/(AF$3-AF$2))),0)</f>
        <v>0</v>
      </c>
      <c r="AG64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49" s="1">
        <f t="shared" si="43"/>
        <v>0</v>
      </c>
      <c r="AI649" s="2">
        <f ca="1">IF(AH649&gt;0,YEAR(TODAY())+'תקציבים מיוחדים'!$F$7-HEVARIM[[#This Row],[גיל]],0)</f>
        <v>0</v>
      </c>
      <c r="AJ649" s="9">
        <f>IF(AND(ISERROR(VLOOKUP(H649,'[2]ריכוז נתונים'!A:L,1,0)),P649="1     "),1,0)</f>
        <v>0</v>
      </c>
      <c r="AK64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49" s="1">
        <f>IF(AND(VALUE(HEVARIM[[#This Row],[קוד מעמד]])=1,HEVARIM[[#This Row],[ותק מחברה 40]]&lt;25),HEVARIM[[#This Row],[ותק מחברה 40]]/25*הנחות!$C$4,0)</f>
        <v>0</v>
      </c>
      <c r="AM649" s="9" t="str">
        <f ca="1">IF(HEVARIM[[#This Row],[דמי עזיבה 25 שנות ותק]]&gt;0,YEAR(TODAY())+25-ROUNDDOWN(HEVARIM[[#This Row],[ותק מחברה 40]],0),"")</f>
        <v/>
      </c>
      <c r="AN64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49" s="9" t="str">
        <f ca="1">IF(HEVARIM[[#This Row],[דמי עזיבה לגיל 65]]&gt;0,YEAR(TODAY())+64-ROUNDDOWN(HEVARIM[[#This Row],[גיל]],0),"")</f>
        <v/>
      </c>
      <c r="AP649" s="1">
        <f>SUMIF(HEVARIM[קוד תקציב],HEVARIM[[#This Row],[קוד תקציב משפחה מקורי]],HEVARIM[ותק מחברה 40])</f>
        <v>0</v>
      </c>
      <c r="AQ64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4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49" s="9">
        <f>IF(HEVARIM[[#This Row],[קוד מעמד]]="1     ",IFERROR(VLOOKUP(HEVARIM[[#This Row],[קוד תקציב]],'תקציב צביעה - לקראת השינוי'!A:F,4,0),0),0)</f>
        <v>0</v>
      </c>
      <c r="AT649" s="1"/>
    </row>
    <row r="650" spans="1:46">
      <c r="A650" t="s">
        <v>3150</v>
      </c>
      <c r="B650" t="s">
        <v>3151</v>
      </c>
      <c r="C650" t="s">
        <v>3141</v>
      </c>
      <c r="D650" t="s">
        <v>3152</v>
      </c>
      <c r="E650" t="s">
        <v>79</v>
      </c>
      <c r="F650" s="4">
        <v>43769</v>
      </c>
      <c r="G650">
        <v>6</v>
      </c>
      <c r="H650" t="s">
        <v>3143</v>
      </c>
      <c r="I650" t="s">
        <v>3144</v>
      </c>
      <c r="J650" s="4" t="s">
        <v>70</v>
      </c>
      <c r="K650" s="4" t="s">
        <v>81</v>
      </c>
      <c r="L650" t="s">
        <v>3153</v>
      </c>
      <c r="M650" t="s">
        <v>3139</v>
      </c>
      <c r="N650" t="s">
        <v>3140</v>
      </c>
      <c r="O650">
        <f>IFERROR(VLOOKUP(HEVARIM[[#This Row],[קוד תקציב]],[2]תקציבים!A:L,6,0),0)</f>
        <v>0</v>
      </c>
      <c r="P650" s="5" t="s">
        <v>89</v>
      </c>
      <c r="Q650" t="s">
        <v>19</v>
      </c>
      <c r="R650" s="4">
        <v>43769</v>
      </c>
      <c r="S650" s="4" t="s">
        <v>90</v>
      </c>
      <c r="T650" s="96" t="s">
        <v>3143</v>
      </c>
      <c r="U650" t="str">
        <f>VLOOKUP(HEVARIM[[#This Row],[גיל]],GIL,2,1)</f>
        <v>יסודי</v>
      </c>
      <c r="V650" t="str">
        <f>IF(HEVARIM[[#This Row],[קוד מעמד]]="4     ",IF(HEVARIM[[#This Row],[גיל]]=1,1,IF(HEVARIM[[#This Row],[גיל]]&lt;=5,5,18)),"")</f>
        <v/>
      </c>
      <c r="W650">
        <f t="shared" si="40"/>
        <v>0</v>
      </c>
      <c r="X65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0">
        <f>IF(HEVARIM[[#This Row],[מצב משפחתי2]]="אלמן",'[2]ריכוז נתונים'!$AC$2,0)</f>
        <v>0</v>
      </c>
      <c r="Z650" s="3">
        <f>VLOOKUP(VALUE(HEVARIM[[#This Row],[קוד מעמד]]),הנחות!$I$2:$K$21,3,0)</f>
        <v>0</v>
      </c>
      <c r="AA650" t="b">
        <f>ISERROR(VLOOKUP(HEVARIM[[#This Row],[קוד תקציב]],'[2]ריכוז נתונים'!A:A,1,0))</f>
        <v>1</v>
      </c>
      <c r="AB650" s="1">
        <f t="shared" si="41"/>
        <v>0</v>
      </c>
      <c r="AC650" s="2">
        <f ca="1">IF(HEVARIM[[#This Row],[בר מצוה]]&gt;0,YEAR(TODAY())+'תקציבים מיוחדים'!$F$5-HEVARIM[[#This Row],[גיל]],0)</f>
        <v>0</v>
      </c>
      <c r="AD650" s="1">
        <f t="shared" si="42"/>
        <v>0</v>
      </c>
      <c r="AE650" s="2">
        <f ca="1">IF(HEVARIM[[#This Row],[בת מצוה]]&gt;0,YEAR(TODAY())+'תקציבים מיוחדים'!$F$5-HEVARIM[[#This Row],[גיל]],0)</f>
        <v>0</v>
      </c>
      <c r="AF650" s="1">
        <f>IF(AND($S650&gt;="רווק",$Z650=1),AF$4*IF(HEVARIM[[#This Row],[גיל]]&gt;$AF$3,1,(($G650-AF$2)/(AF$3-AF$2))),0)</f>
        <v>0</v>
      </c>
      <c r="AG65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0" s="1">
        <f t="shared" si="43"/>
        <v>0</v>
      </c>
      <c r="AI650" s="2">
        <f ca="1">IF(AH650&gt;0,YEAR(TODAY())+'תקציבים מיוחדים'!$F$7-HEVARIM[[#This Row],[גיל]],0)</f>
        <v>0</v>
      </c>
      <c r="AJ650" s="9">
        <f>IF(AND(ISERROR(VLOOKUP(H650,'[2]ריכוז נתונים'!A:L,1,0)),P650="1     "),1,0)</f>
        <v>0</v>
      </c>
      <c r="AK65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0" s="1">
        <f>IF(AND(VALUE(HEVARIM[[#This Row],[קוד מעמד]])=1,HEVARIM[[#This Row],[ותק מחברה 40]]&lt;25),HEVARIM[[#This Row],[ותק מחברה 40]]/25*הנחות!$C$4,0)</f>
        <v>0</v>
      </c>
      <c r="AM650" s="9" t="str">
        <f ca="1">IF(HEVARIM[[#This Row],[דמי עזיבה 25 שנות ותק]]&gt;0,YEAR(TODAY())+25-ROUNDDOWN(HEVARIM[[#This Row],[ותק מחברה 40]],0),"")</f>
        <v/>
      </c>
      <c r="AN65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0" s="9" t="str">
        <f ca="1">IF(HEVARIM[[#This Row],[דמי עזיבה לגיל 65]]&gt;0,YEAR(TODAY())+64-ROUNDDOWN(HEVARIM[[#This Row],[גיל]],0),"")</f>
        <v/>
      </c>
      <c r="AP650" s="1">
        <f>SUMIF(HEVARIM[קוד תקציב],HEVARIM[[#This Row],[קוד תקציב משפחה מקורי]],HEVARIM[ותק מחברה 40])</f>
        <v>0</v>
      </c>
      <c r="AQ65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0" s="9">
        <f>IF(HEVARIM[[#This Row],[קוד מעמד]]="1     ",IFERROR(VLOOKUP(HEVARIM[[#This Row],[קוד תקציב]],'תקציב צביעה - לקראת השינוי'!A:F,4,0),0),0)</f>
        <v>0</v>
      </c>
      <c r="AT650" s="1"/>
    </row>
    <row r="651" spans="1:46">
      <c r="A651" t="s">
        <v>3154</v>
      </c>
      <c r="B651" t="s">
        <v>3155</v>
      </c>
      <c r="C651" t="s">
        <v>3141</v>
      </c>
      <c r="D651" t="s">
        <v>3156</v>
      </c>
      <c r="E651" t="s">
        <v>79</v>
      </c>
      <c r="F651" s="4">
        <v>44211</v>
      </c>
      <c r="G651">
        <v>4</v>
      </c>
      <c r="H651" t="s">
        <v>3143</v>
      </c>
      <c r="I651" t="s">
        <v>3144</v>
      </c>
      <c r="J651" s="4" t="s">
        <v>70</v>
      </c>
      <c r="K651" s="4" t="s">
        <v>81</v>
      </c>
      <c r="L651" t="s">
        <v>3157</v>
      </c>
      <c r="M651" t="s">
        <v>3139</v>
      </c>
      <c r="N651" t="s">
        <v>3140</v>
      </c>
      <c r="O651">
        <f>IFERROR(VLOOKUP(HEVARIM[[#This Row],[קוד תקציב]],[2]תקציבים!A:L,6,0),0)</f>
        <v>0</v>
      </c>
      <c r="P651" s="5" t="s">
        <v>89</v>
      </c>
      <c r="Q651" t="s">
        <v>19</v>
      </c>
      <c r="R651" s="4">
        <v>44211</v>
      </c>
      <c r="S651" s="4" t="s">
        <v>90</v>
      </c>
      <c r="T651" s="96" t="s">
        <v>3143</v>
      </c>
      <c r="U651" t="str">
        <f>VLOOKUP(HEVARIM[[#This Row],[גיל]],GIL,2,1)</f>
        <v>גנים</v>
      </c>
      <c r="V651" t="str">
        <f>IF(HEVARIM[[#This Row],[קוד מעמד]]="4     ",IF(HEVARIM[[#This Row],[גיל]]=1,1,IF(HEVARIM[[#This Row],[גיל]]&lt;=5,5,18)),"")</f>
        <v/>
      </c>
      <c r="W651">
        <f t="shared" si="40"/>
        <v>0</v>
      </c>
      <c r="X65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1">
        <f>IF(HEVARIM[[#This Row],[מצב משפחתי2]]="אלמן",'[2]ריכוז נתונים'!$AC$2,0)</f>
        <v>0</v>
      </c>
      <c r="Z651" s="3">
        <f>VLOOKUP(VALUE(HEVARIM[[#This Row],[קוד מעמד]]),הנחות!$I$2:$K$21,3,0)</f>
        <v>0</v>
      </c>
      <c r="AA651" t="b">
        <f>ISERROR(VLOOKUP(HEVARIM[[#This Row],[קוד תקציב]],'[2]ריכוז נתונים'!A:A,1,0))</f>
        <v>1</v>
      </c>
      <c r="AB651" s="1">
        <f t="shared" si="41"/>
        <v>0</v>
      </c>
      <c r="AC651" s="2">
        <f ca="1">IF(HEVARIM[[#This Row],[בר מצוה]]&gt;0,YEAR(TODAY())+'תקציבים מיוחדים'!$F$5-HEVARIM[[#This Row],[גיל]],0)</f>
        <v>0</v>
      </c>
      <c r="AD651" s="1">
        <f t="shared" si="42"/>
        <v>0</v>
      </c>
      <c r="AE651" s="2">
        <f ca="1">IF(HEVARIM[[#This Row],[בת מצוה]]&gt;0,YEAR(TODAY())+'תקציבים מיוחדים'!$F$5-HEVARIM[[#This Row],[גיל]],0)</f>
        <v>0</v>
      </c>
      <c r="AF651" s="1">
        <f>IF(AND($S651&gt;="רווק",$Z651=1),AF$4*IF(HEVARIM[[#This Row],[גיל]]&gt;$AF$3,1,(($G651-AF$2)/(AF$3-AF$2))),0)</f>
        <v>0</v>
      </c>
      <c r="AG65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1" s="1">
        <f t="shared" si="43"/>
        <v>0</v>
      </c>
      <c r="AI651" s="2">
        <f ca="1">IF(AH651&gt;0,YEAR(TODAY())+'תקציבים מיוחדים'!$F$7-HEVARIM[[#This Row],[גיל]],0)</f>
        <v>0</v>
      </c>
      <c r="AJ651" s="9">
        <f>IF(AND(ISERROR(VLOOKUP(H651,'[2]ריכוז נתונים'!A:L,1,0)),P651="1     "),1,0)</f>
        <v>0</v>
      </c>
      <c r="AK65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1" s="1">
        <f>IF(AND(VALUE(HEVARIM[[#This Row],[קוד מעמד]])=1,HEVARIM[[#This Row],[ותק מחברה 40]]&lt;25),HEVARIM[[#This Row],[ותק מחברה 40]]/25*הנחות!$C$4,0)</f>
        <v>0</v>
      </c>
      <c r="AM651" s="9" t="str">
        <f ca="1">IF(HEVARIM[[#This Row],[דמי עזיבה 25 שנות ותק]]&gt;0,YEAR(TODAY())+25-ROUNDDOWN(HEVARIM[[#This Row],[ותק מחברה 40]],0),"")</f>
        <v/>
      </c>
      <c r="AN65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1" s="9" t="str">
        <f ca="1">IF(HEVARIM[[#This Row],[דמי עזיבה לגיל 65]]&gt;0,YEAR(TODAY())+64-ROUNDDOWN(HEVARIM[[#This Row],[גיל]],0),"")</f>
        <v/>
      </c>
      <c r="AP651" s="1">
        <f>SUMIF(HEVARIM[קוד תקציב],HEVARIM[[#This Row],[קוד תקציב משפחה מקורי]],HEVARIM[ותק מחברה 40])</f>
        <v>0</v>
      </c>
      <c r="AQ65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1" s="9">
        <f>IF(HEVARIM[[#This Row],[קוד מעמד]]="1     ",IFERROR(VLOOKUP(HEVARIM[[#This Row],[קוד תקציב]],'תקציב צביעה - לקראת השינוי'!A:F,4,0),0),0)</f>
        <v>0</v>
      </c>
      <c r="AT651" s="1"/>
    </row>
    <row r="652" spans="1:46">
      <c r="A652" t="s">
        <v>3158</v>
      </c>
      <c r="B652" t="s">
        <v>3159</v>
      </c>
      <c r="C652" t="s">
        <v>3141</v>
      </c>
      <c r="D652" t="s">
        <v>3160</v>
      </c>
      <c r="E652" t="s">
        <v>79</v>
      </c>
      <c r="F652" s="4">
        <v>45108</v>
      </c>
      <c r="G652">
        <v>2</v>
      </c>
      <c r="H652" t="s">
        <v>3143</v>
      </c>
      <c r="I652" t="s">
        <v>3144</v>
      </c>
      <c r="J652" s="4" t="s">
        <v>70</v>
      </c>
      <c r="K652" s="4" t="s">
        <v>81</v>
      </c>
      <c r="L652" t="s">
        <v>3161</v>
      </c>
      <c r="M652" t="s">
        <v>3139</v>
      </c>
      <c r="N652" t="s">
        <v>3140</v>
      </c>
      <c r="O652">
        <f>IFERROR(VLOOKUP(HEVARIM[[#This Row],[קוד תקציב]],[2]תקציבים!A:L,6,0),0)</f>
        <v>0</v>
      </c>
      <c r="P652" s="5" t="s">
        <v>89</v>
      </c>
      <c r="Q652" t="s">
        <v>19</v>
      </c>
      <c r="R652" s="4">
        <v>45108</v>
      </c>
      <c r="S652" s="4" t="s">
        <v>90</v>
      </c>
      <c r="T652" s="96" t="s">
        <v>3143</v>
      </c>
      <c r="U652" t="str">
        <f>VLOOKUP(HEVARIM[[#This Row],[גיל]],GIL,2,1)</f>
        <v>פעוט</v>
      </c>
      <c r="V652" t="str">
        <f>IF(HEVARIM[[#This Row],[קוד מעמד]]="4     ",IF(HEVARIM[[#This Row],[גיל]]=1,1,IF(HEVARIM[[#This Row],[גיל]]&lt;=5,5,18)),"")</f>
        <v/>
      </c>
      <c r="W652">
        <f t="shared" si="40"/>
        <v>0</v>
      </c>
      <c r="X65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2">
        <f>IF(HEVARIM[[#This Row],[מצב משפחתי2]]="אלמן",'[2]ריכוז נתונים'!$AC$2,0)</f>
        <v>0</v>
      </c>
      <c r="Z652" s="3">
        <f>VLOOKUP(VALUE(HEVARIM[[#This Row],[קוד מעמד]]),הנחות!$I$2:$K$21,3,0)</f>
        <v>0</v>
      </c>
      <c r="AA652" t="b">
        <f>ISERROR(VLOOKUP(HEVARIM[[#This Row],[קוד תקציב]],'[2]ריכוז נתונים'!A:A,1,0))</f>
        <v>1</v>
      </c>
      <c r="AB652" s="1">
        <f t="shared" si="41"/>
        <v>0</v>
      </c>
      <c r="AC652" s="2">
        <f ca="1">IF(HEVARIM[[#This Row],[בר מצוה]]&gt;0,YEAR(TODAY())+'תקציבים מיוחדים'!$F$5-HEVARIM[[#This Row],[גיל]],0)</f>
        <v>0</v>
      </c>
      <c r="AD652" s="1">
        <f t="shared" si="42"/>
        <v>0</v>
      </c>
      <c r="AE652" s="2">
        <f ca="1">IF(HEVARIM[[#This Row],[בת מצוה]]&gt;0,YEAR(TODAY())+'תקציבים מיוחדים'!$F$5-HEVARIM[[#This Row],[גיל]],0)</f>
        <v>0</v>
      </c>
      <c r="AF652" s="1">
        <f>IF(AND($S652&gt;="רווק",$Z652=1),AF$4*IF(HEVARIM[[#This Row],[גיל]]&gt;$AF$3,1,(($G652-AF$2)/(AF$3-AF$2))),0)</f>
        <v>0</v>
      </c>
      <c r="AG65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2" s="1">
        <f t="shared" si="43"/>
        <v>0</v>
      </c>
      <c r="AI652" s="2">
        <f ca="1">IF(AH652&gt;0,YEAR(TODAY())+'תקציבים מיוחדים'!$F$7-HEVARIM[[#This Row],[גיל]],0)</f>
        <v>0</v>
      </c>
      <c r="AJ652" s="9">
        <f>IF(AND(ISERROR(VLOOKUP(H652,'[2]ריכוז נתונים'!A:L,1,0)),P652="1     "),1,0)</f>
        <v>0</v>
      </c>
      <c r="AK65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2" s="1">
        <f>IF(AND(VALUE(HEVARIM[[#This Row],[קוד מעמד]])=1,HEVARIM[[#This Row],[ותק מחברה 40]]&lt;25),HEVARIM[[#This Row],[ותק מחברה 40]]/25*הנחות!$C$4,0)</f>
        <v>0</v>
      </c>
      <c r="AM652" s="9" t="str">
        <f ca="1">IF(HEVARIM[[#This Row],[דמי עזיבה 25 שנות ותק]]&gt;0,YEAR(TODAY())+25-ROUNDDOWN(HEVARIM[[#This Row],[ותק מחברה 40]],0),"")</f>
        <v/>
      </c>
      <c r="AN65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2" s="9" t="str">
        <f ca="1">IF(HEVARIM[[#This Row],[דמי עזיבה לגיל 65]]&gt;0,YEAR(TODAY())+64-ROUNDDOWN(HEVARIM[[#This Row],[גיל]],0),"")</f>
        <v/>
      </c>
      <c r="AP652" s="1">
        <f>SUMIF(HEVARIM[קוד תקציב],HEVARIM[[#This Row],[קוד תקציב משפחה מקורי]],HEVARIM[ותק מחברה 40])</f>
        <v>0</v>
      </c>
      <c r="AQ65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2" s="9">
        <f>IF(HEVARIM[[#This Row],[קוד מעמד]]="1     ",IFERROR(VLOOKUP(HEVARIM[[#This Row],[קוד תקציב]],'תקציב צביעה - לקראת השינוי'!A:F,4,0),0),0)</f>
        <v>0</v>
      </c>
      <c r="AT652" s="1"/>
    </row>
    <row r="653" spans="1:46">
      <c r="A653" t="s">
        <v>3166</v>
      </c>
      <c r="B653" t="s">
        <v>3167</v>
      </c>
      <c r="C653" t="s">
        <v>3168</v>
      </c>
      <c r="D653" t="s">
        <v>1404</v>
      </c>
      <c r="E653" t="s">
        <v>67</v>
      </c>
      <c r="F653" s="4">
        <v>23963</v>
      </c>
      <c r="G653">
        <v>60</v>
      </c>
      <c r="H653" t="s">
        <v>3169</v>
      </c>
      <c r="I653" t="s">
        <v>3170</v>
      </c>
      <c r="J653" s="4" t="s">
        <v>70</v>
      </c>
      <c r="K653" s="4" t="s">
        <v>71</v>
      </c>
      <c r="L653" t="s">
        <v>3171</v>
      </c>
      <c r="M653" t="s">
        <v>3166</v>
      </c>
      <c r="N653" t="s">
        <v>3167</v>
      </c>
      <c r="O653">
        <f>IFERROR(VLOOKUP(HEVARIM[[#This Row],[קוד תקציב]],[2]תקציבים!A:L,6,0),0)</f>
        <v>2</v>
      </c>
      <c r="P653" s="5" t="s">
        <v>104</v>
      </c>
      <c r="Q653" t="s">
        <v>11</v>
      </c>
      <c r="R653" s="4">
        <v>38523</v>
      </c>
      <c r="S653" s="4" t="s">
        <v>74</v>
      </c>
      <c r="T653" s="96" t="s">
        <v>3169</v>
      </c>
      <c r="U653" t="str">
        <f>VLOOKUP(HEVARIM[[#This Row],[גיל]],GIL,2,1)</f>
        <v>--</v>
      </c>
      <c r="V653" t="str">
        <f>IF(HEVARIM[[#This Row],[קוד מעמד]]="4     ",IF(HEVARIM[[#This Row],[גיל]]=1,1,IF(HEVARIM[[#This Row],[גיל]]&lt;=5,5,18)),"")</f>
        <v/>
      </c>
      <c r="W653">
        <f t="shared" si="40"/>
        <v>0</v>
      </c>
      <c r="X65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3">
        <f>IF(HEVARIM[[#This Row],[מצב משפחתי2]]="אלמן",'[2]ריכוז נתונים'!$AC$2,0)</f>
        <v>0</v>
      </c>
      <c r="Z653" s="3">
        <f>VLOOKUP(VALUE(HEVARIM[[#This Row],[קוד מעמד]]),הנחות!$I$2:$K$21,3,0)</f>
        <v>0</v>
      </c>
      <c r="AA653" t="b">
        <f>ISERROR(VLOOKUP(HEVARIM[[#This Row],[קוד תקציב]],'[2]ריכוז נתונים'!A:A,1,0))</f>
        <v>0</v>
      </c>
      <c r="AB653" s="1">
        <f t="shared" si="41"/>
        <v>0</v>
      </c>
      <c r="AC653" s="2">
        <f ca="1">IF(HEVARIM[[#This Row],[בר מצוה]]&gt;0,YEAR(TODAY())+'תקציבים מיוחדים'!$F$5-HEVARIM[[#This Row],[גיל]],0)</f>
        <v>0</v>
      </c>
      <c r="AD653" s="1">
        <f t="shared" si="42"/>
        <v>0</v>
      </c>
      <c r="AE653" s="2">
        <f ca="1">IF(HEVARIM[[#This Row],[בת מצוה]]&gt;0,YEAR(TODAY())+'תקציבים מיוחדים'!$F$5-HEVARIM[[#This Row],[גיל]],0)</f>
        <v>0</v>
      </c>
      <c r="AF653" s="1">
        <f>IF(AND($S653&gt;="רווק",$Z653=1),AF$4*IF(HEVARIM[[#This Row],[גיל]]&gt;$AF$3,1,(($G653-AF$2)/(AF$3-AF$2))),0)</f>
        <v>0</v>
      </c>
      <c r="AG65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3" s="1">
        <f t="shared" si="43"/>
        <v>0</v>
      </c>
      <c r="AI653" s="2">
        <f ca="1">IF(AH653&gt;0,YEAR(TODAY())+'תקציבים מיוחדים'!$F$7-HEVARIM[[#This Row],[גיל]],0)</f>
        <v>0</v>
      </c>
      <c r="AJ653" s="9">
        <f>IF(AND(ISERROR(VLOOKUP(H653,'[2]ריכוז נתונים'!A:L,1,0)),P653="1     "),1,0)</f>
        <v>0</v>
      </c>
      <c r="AK653" s="1">
        <f>IF(VALUE(HEVARIM[[#This Row],[קוד מעמד]])=1,VLOOKUP((IF(LEFT(HEVARIM[[#This Row],[קוד חבר]],1)="0",HEVARIM[[#This Row],[קוד חבר]],VALUE(HEVARIM[[#This Row],[קוד חבר]]))),'ותק חברה 40'!AQ:AW,7,0),"")</f>
        <v>21.77</v>
      </c>
      <c r="AL653" s="1">
        <f>IF(AND(VALUE(HEVARIM[[#This Row],[קוד מעמד]])=1,HEVARIM[[#This Row],[ותק מחברה 40]]&lt;25),HEVARIM[[#This Row],[ותק מחברה 40]]/25*הנחות!$C$4,0)</f>
        <v>32685.140564999998</v>
      </c>
      <c r="AM653" s="9">
        <f ca="1">IF(HEVARIM[[#This Row],[דמי עזיבה 25 שנות ותק]]&gt;0,YEAR(TODAY())+25-ROUNDDOWN(HEVARIM[[#This Row],[ותק מחברה 40]],0),"")</f>
        <v>2030</v>
      </c>
      <c r="AN65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3" s="9" t="str">
        <f ca="1">IF(HEVARIM[[#This Row],[דמי עזיבה לגיל 65]]&gt;0,YEAR(TODAY())+64-ROUNDDOWN(HEVARIM[[#This Row],[גיל]],0),"")</f>
        <v/>
      </c>
      <c r="AP653" s="1">
        <f>SUMIF(HEVARIM[קוד תקציב],HEVARIM[[#This Row],[קוד תקציב משפחה מקורי]],HEVARIM[ותק מחברה 40])</f>
        <v>43.54</v>
      </c>
      <c r="AQ65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653" s="9">
        <f>IF(HEVARIM[[#This Row],[קוד מעמד]]="1     ",IFERROR(VLOOKUP(HEVARIM[[#This Row],[קוד תקציב]],'תקציב צביעה - לקראת השינוי'!A:F,4,0),0),0)</f>
        <v>2033</v>
      </c>
      <c r="AT653" s="1"/>
    </row>
    <row r="654" spans="1:46">
      <c r="A654" t="s">
        <v>3172</v>
      </c>
      <c r="B654" t="s">
        <v>3173</v>
      </c>
      <c r="C654" t="s">
        <v>3168</v>
      </c>
      <c r="D654" t="s">
        <v>3174</v>
      </c>
      <c r="E654" t="s">
        <v>79</v>
      </c>
      <c r="F654" s="4">
        <v>24249</v>
      </c>
      <c r="G654">
        <v>59</v>
      </c>
      <c r="H654" t="s">
        <v>3169</v>
      </c>
      <c r="I654" t="s">
        <v>3170</v>
      </c>
      <c r="J654" s="4" t="s">
        <v>70</v>
      </c>
      <c r="K654" s="4" t="s">
        <v>71</v>
      </c>
      <c r="L654" t="s">
        <v>3175</v>
      </c>
      <c r="M654" t="s">
        <v>3166</v>
      </c>
      <c r="N654" t="s">
        <v>3167</v>
      </c>
      <c r="O654">
        <f>IFERROR(VLOOKUP(HEVARIM[[#This Row],[קוד תקציב]],[2]תקציבים!A:L,6,0),0)</f>
        <v>2</v>
      </c>
      <c r="P654" s="5" t="s">
        <v>104</v>
      </c>
      <c r="Q654" t="s">
        <v>11</v>
      </c>
      <c r="R654" s="4">
        <v>38523</v>
      </c>
      <c r="S654" s="4" t="s">
        <v>74</v>
      </c>
      <c r="T654" s="96" t="s">
        <v>3169</v>
      </c>
      <c r="U654" t="str">
        <f>VLOOKUP(HEVARIM[[#This Row],[גיל]],GIL,2,1)</f>
        <v>--</v>
      </c>
      <c r="V654" t="str">
        <f>IF(HEVARIM[[#This Row],[קוד מעמד]]="4     ",IF(HEVARIM[[#This Row],[גיל]]=1,1,IF(HEVARIM[[#This Row],[גיל]]&lt;=5,5,18)),"")</f>
        <v/>
      </c>
      <c r="W654">
        <f t="shared" si="40"/>
        <v>0</v>
      </c>
      <c r="X65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4">
        <f>IF(HEVARIM[[#This Row],[מצב משפחתי2]]="אלמן",'[2]ריכוז נתונים'!$AC$2,0)</f>
        <v>0</v>
      </c>
      <c r="Z654" s="3">
        <f>VLOOKUP(VALUE(HEVARIM[[#This Row],[קוד מעמד]]),הנחות!$I$2:$K$21,3,0)</f>
        <v>0</v>
      </c>
      <c r="AA654" t="b">
        <f>ISERROR(VLOOKUP(HEVARIM[[#This Row],[קוד תקציב]],'[2]ריכוז נתונים'!A:A,1,0))</f>
        <v>0</v>
      </c>
      <c r="AB654" s="1">
        <f t="shared" si="41"/>
        <v>0</v>
      </c>
      <c r="AC654" s="2">
        <f ca="1">IF(HEVARIM[[#This Row],[בר מצוה]]&gt;0,YEAR(TODAY())+'תקציבים מיוחדים'!$F$5-HEVARIM[[#This Row],[גיל]],0)</f>
        <v>0</v>
      </c>
      <c r="AD654" s="1">
        <f t="shared" si="42"/>
        <v>0</v>
      </c>
      <c r="AE654" s="2">
        <f ca="1">IF(HEVARIM[[#This Row],[בת מצוה]]&gt;0,YEAR(TODAY())+'תקציבים מיוחדים'!$F$5-HEVARIM[[#This Row],[גיל]],0)</f>
        <v>0</v>
      </c>
      <c r="AF654" s="1">
        <f>IF(AND($S654&gt;="רווק",$Z654=1),AF$4*IF(HEVARIM[[#This Row],[גיל]]&gt;$AF$3,1,(($G654-AF$2)/(AF$3-AF$2))),0)</f>
        <v>0</v>
      </c>
      <c r="AG65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4" s="1">
        <f t="shared" si="43"/>
        <v>0</v>
      </c>
      <c r="AI654" s="2">
        <f ca="1">IF(AH654&gt;0,YEAR(TODAY())+'תקציבים מיוחדים'!$F$7-HEVARIM[[#This Row],[גיל]],0)</f>
        <v>0</v>
      </c>
      <c r="AJ654" s="9">
        <f>IF(AND(ISERROR(VLOOKUP(H654,'[2]ריכוז נתונים'!A:L,1,0)),P654="1     "),1,0)</f>
        <v>0</v>
      </c>
      <c r="AK654" s="1">
        <f>IF(VALUE(HEVARIM[[#This Row],[קוד מעמד]])=1,VLOOKUP((IF(LEFT(HEVARIM[[#This Row],[קוד חבר]],1)="0",HEVARIM[[#This Row],[קוד חבר]],VALUE(HEVARIM[[#This Row],[קוד חבר]]))),'ותק חברה 40'!AQ:AW,7,0),"")</f>
        <v>21.77</v>
      </c>
      <c r="AL654" s="1">
        <f>IF(AND(VALUE(HEVARIM[[#This Row],[קוד מעמד]])=1,HEVARIM[[#This Row],[ותק מחברה 40]]&lt;25),HEVARIM[[#This Row],[ותק מחברה 40]]/25*הנחות!$C$4,0)</f>
        <v>32685.140564999998</v>
      </c>
      <c r="AM654" s="9">
        <f ca="1">IF(HEVARIM[[#This Row],[דמי עזיבה 25 שנות ותק]]&gt;0,YEAR(TODAY())+25-ROUNDDOWN(HEVARIM[[#This Row],[ותק מחברה 40]],0),"")</f>
        <v>2030</v>
      </c>
      <c r="AN65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4" s="9" t="str">
        <f ca="1">IF(HEVARIM[[#This Row],[דמי עזיבה לגיל 65]]&gt;0,YEAR(TODAY())+64-ROUNDDOWN(HEVARIM[[#This Row],[גיל]],0),"")</f>
        <v/>
      </c>
      <c r="AP654" s="1">
        <f>SUMIF(HEVARIM[קוד תקציב],HEVARIM[[#This Row],[קוד תקציב משפחה מקורי]],HEVARIM[ותק מחברה 40])</f>
        <v>43.54</v>
      </c>
      <c r="AQ65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654" s="9">
        <f>IF(HEVARIM[[#This Row],[קוד מעמד]]="1     ",IFERROR(VLOOKUP(HEVARIM[[#This Row],[קוד תקציב]],'תקציב צביעה - לקראת השינוי'!A:F,4,0),0),0)</f>
        <v>2033</v>
      </c>
      <c r="AT654" s="1"/>
    </row>
    <row r="655" spans="1:46">
      <c r="A655" t="s">
        <v>3176</v>
      </c>
      <c r="B655" t="s">
        <v>3177</v>
      </c>
      <c r="C655" t="s">
        <v>3168</v>
      </c>
      <c r="D655" t="s">
        <v>3178</v>
      </c>
      <c r="E655" t="s">
        <v>79</v>
      </c>
      <c r="F655" s="4">
        <v>39010</v>
      </c>
      <c r="G655">
        <v>19</v>
      </c>
      <c r="H655" t="s">
        <v>3169</v>
      </c>
      <c r="I655" t="s">
        <v>3170</v>
      </c>
      <c r="J655" s="4" t="s">
        <v>70</v>
      </c>
      <c r="K655" s="4" t="s">
        <v>71</v>
      </c>
      <c r="L655" t="s">
        <v>3179</v>
      </c>
      <c r="M655" t="s">
        <v>3166</v>
      </c>
      <c r="N655" t="s">
        <v>3167</v>
      </c>
      <c r="O655">
        <f>IFERROR(VLOOKUP(HEVARIM[[#This Row],[קוד תקציב]],[2]תקציבים!A:L,6,0),0)</f>
        <v>2</v>
      </c>
      <c r="P655" s="5" t="s">
        <v>1400</v>
      </c>
      <c r="Q655" t="s">
        <v>16</v>
      </c>
      <c r="R655" s="4">
        <v>45536</v>
      </c>
      <c r="S655" s="4" t="s">
        <v>90</v>
      </c>
      <c r="T655" s="96" t="s">
        <v>3169</v>
      </c>
      <c r="U655" t="str">
        <f>VLOOKUP(HEVARIM[[#This Row],[גיל]],GIL,2,1)</f>
        <v>--</v>
      </c>
      <c r="V655" t="str">
        <f>IF(HEVARIM[[#This Row],[קוד מעמד]]="4     ",IF(HEVARIM[[#This Row],[גיל]]=1,1,IF(HEVARIM[[#This Row],[גיל]]&lt;=5,5,18)),"")</f>
        <v/>
      </c>
      <c r="W655">
        <f t="shared" si="40"/>
        <v>0</v>
      </c>
      <c r="X65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5">
        <f>IF(HEVARIM[[#This Row],[מצב משפחתי2]]="אלמן",'[2]ריכוז נתונים'!$AC$2,0)</f>
        <v>0</v>
      </c>
      <c r="Z655" s="3">
        <f>VLOOKUP(VALUE(HEVARIM[[#This Row],[קוד מעמד]]),הנחות!$I$2:$K$21,3,0)</f>
        <v>1</v>
      </c>
      <c r="AA655" t="b">
        <f>ISERROR(VLOOKUP(HEVARIM[[#This Row],[קוד תקציב]],'[2]ריכוז נתונים'!A:A,1,0))</f>
        <v>0</v>
      </c>
      <c r="AB655" s="1">
        <f t="shared" si="41"/>
        <v>0</v>
      </c>
      <c r="AC655" s="2">
        <f ca="1">IF(HEVARIM[[#This Row],[בר מצוה]]&gt;0,YEAR(TODAY())+'תקציבים מיוחדים'!$F$5-HEVARIM[[#This Row],[גיל]],0)</f>
        <v>0</v>
      </c>
      <c r="AD655" s="1">
        <f t="shared" si="42"/>
        <v>0</v>
      </c>
      <c r="AE655" s="2">
        <f ca="1">IF(HEVARIM[[#This Row],[בת מצוה]]&gt;0,YEAR(TODAY())+'תקציבים מיוחדים'!$F$5-HEVARIM[[#This Row],[גיל]],0)</f>
        <v>0</v>
      </c>
      <c r="AF655" s="1">
        <f>IF(AND($S655&gt;="רווק",$Z655=1),AF$4*IF(HEVARIM[[#This Row],[גיל]]&gt;$AF$3,1,(($G655-AF$2)/(AF$3-AF$2))),0)</f>
        <v>54749.404761904763</v>
      </c>
      <c r="AG655" s="2">
        <f ca="1">IF(HEVARIM[[#This Row],[מענק חתונה]]&gt;0,IF(HEVARIM[[#This Row],[גיל]]&gt;'תקציבים מיוחדים'!$F$6,2025,YEAR(TODAY())+'תקציבים מיוחדים'!$F$6-HEVARIM[[#This Row],[גיל]]),0)</f>
        <v>2028</v>
      </c>
      <c r="AH655" s="1">
        <f t="shared" si="43"/>
        <v>95532.452380952382</v>
      </c>
      <c r="AI655" s="2">
        <f ca="1">IF(AH655&gt;0,YEAR(TODAY())+'תקציבים מיוחדים'!$F$7-HEVARIM[[#This Row],[גיל]],0)</f>
        <v>2028</v>
      </c>
      <c r="AJ655" s="9">
        <f>IF(AND(ISERROR(VLOOKUP(H655,'[2]ריכוז נתונים'!A:L,1,0)),P655="1     "),1,0)</f>
        <v>0</v>
      </c>
      <c r="AK65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5" s="1">
        <f>IF(AND(VALUE(HEVARIM[[#This Row],[קוד מעמד]])=1,HEVARIM[[#This Row],[ותק מחברה 40]]&lt;25),HEVARIM[[#This Row],[ותק מחברה 40]]/25*הנחות!$C$4,0)</f>
        <v>0</v>
      </c>
      <c r="AM655" s="9" t="str">
        <f ca="1">IF(HEVARIM[[#This Row],[דמי עזיבה 25 שנות ותק]]&gt;0,YEAR(TODAY())+25-ROUNDDOWN(HEVARIM[[#This Row],[ותק מחברה 40]],0),"")</f>
        <v/>
      </c>
      <c r="AN65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5" s="9" t="str">
        <f ca="1">IF(HEVARIM[[#This Row],[דמי עזיבה לגיל 65]]&gt;0,YEAR(TODAY())+64-ROUNDDOWN(HEVARIM[[#This Row],[גיל]],0),"")</f>
        <v/>
      </c>
      <c r="AP655" s="1">
        <f>SUMIF(HEVARIM[קוד תקציב],HEVARIM[[#This Row],[קוד תקציב משפחה מקורי]],HEVARIM[ותק מחברה 40])</f>
        <v>43.54</v>
      </c>
      <c r="AQ65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5" s="9">
        <f>IF(HEVARIM[[#This Row],[קוד מעמד]]="1     ",IFERROR(VLOOKUP(HEVARIM[[#This Row],[קוד תקציב]],'תקציב צביעה - לקראת השינוי'!A:F,4,0),0),0)</f>
        <v>0</v>
      </c>
      <c r="AT655" s="1"/>
    </row>
    <row r="656" spans="1:46">
      <c r="A656" t="s">
        <v>3180</v>
      </c>
      <c r="B656" t="s">
        <v>3181</v>
      </c>
      <c r="C656" t="s">
        <v>3168</v>
      </c>
      <c r="D656" t="s">
        <v>902</v>
      </c>
      <c r="E656" t="s">
        <v>67</v>
      </c>
      <c r="F656" s="4">
        <v>33482</v>
      </c>
      <c r="G656">
        <v>34</v>
      </c>
      <c r="H656" t="s">
        <v>3182</v>
      </c>
      <c r="I656" t="s">
        <v>3183</v>
      </c>
      <c r="J656" s="4" t="s">
        <v>70</v>
      </c>
      <c r="K656" s="4" t="s">
        <v>71</v>
      </c>
      <c r="L656" t="s">
        <v>3184</v>
      </c>
      <c r="M656" t="s">
        <v>3180</v>
      </c>
      <c r="N656" t="s">
        <v>3181</v>
      </c>
      <c r="O656">
        <f>IFERROR(VLOOKUP(HEVARIM[[#This Row],[קוד תקציב]],[2]תקציבים!A:L,6,0),0)</f>
        <v>2</v>
      </c>
      <c r="P656" s="5" t="s">
        <v>3054</v>
      </c>
      <c r="Q656" t="s">
        <v>21</v>
      </c>
      <c r="R656" s="4">
        <v>45901</v>
      </c>
      <c r="S656" s="4" t="s">
        <v>74</v>
      </c>
      <c r="T656" s="96" t="s">
        <v>3169</v>
      </c>
      <c r="U656" t="str">
        <f>VLOOKUP(HEVARIM[[#This Row],[גיל]],GIL,2,1)</f>
        <v>--</v>
      </c>
      <c r="V656" t="str">
        <f>IF(HEVARIM[[#This Row],[קוד מעמד]]="4     ",IF(HEVARIM[[#This Row],[גיל]]=1,1,IF(HEVARIM[[#This Row],[גיל]]&lt;=5,5,18)),"")</f>
        <v/>
      </c>
      <c r="W656">
        <f t="shared" si="40"/>
        <v>0</v>
      </c>
      <c r="X65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6">
        <f>IF(HEVARIM[[#This Row],[מצב משפחתי2]]="אלמן",'[2]ריכוז נתונים'!$AC$2,0)</f>
        <v>0</v>
      </c>
      <c r="Z656" s="3">
        <f>VLOOKUP(VALUE(HEVARIM[[#This Row],[קוד מעמד]]),הנחות!$I$2:$K$21,3,0)</f>
        <v>0</v>
      </c>
      <c r="AA656" t="b">
        <f>ISERROR(VLOOKUP(HEVARIM[[#This Row],[קוד תקציב]],'[2]ריכוז נתונים'!A:A,1,0))</f>
        <v>1</v>
      </c>
      <c r="AB656" s="1">
        <f t="shared" si="41"/>
        <v>0</v>
      </c>
      <c r="AC656" s="2">
        <f ca="1">IF(HEVARIM[[#This Row],[בר מצוה]]&gt;0,YEAR(TODAY())+'תקציבים מיוחדים'!$F$5-HEVARIM[[#This Row],[גיל]],0)</f>
        <v>0</v>
      </c>
      <c r="AD656" s="1">
        <f t="shared" si="42"/>
        <v>0</v>
      </c>
      <c r="AE656" s="2">
        <f ca="1">IF(HEVARIM[[#This Row],[בת מצוה]]&gt;0,YEAR(TODAY())+'תקציבים מיוחדים'!$F$5-HEVARIM[[#This Row],[גיל]],0)</f>
        <v>0</v>
      </c>
      <c r="AF656" s="1">
        <f>IF(AND($S656&gt;="רווק",$Z656=1),AF$4*IF(HEVARIM[[#This Row],[גיל]]&gt;$AF$3,1,(($G656-AF$2)/(AF$3-AF$2))),0)</f>
        <v>0</v>
      </c>
      <c r="AG65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6" s="1">
        <f t="shared" si="43"/>
        <v>0</v>
      </c>
      <c r="AI656" s="2">
        <f ca="1">IF(AH656&gt;0,YEAR(TODAY())+'תקציבים מיוחדים'!$F$7-HEVARIM[[#This Row],[גיל]],0)</f>
        <v>0</v>
      </c>
      <c r="AJ656" s="9">
        <f>IF(AND(ISERROR(VLOOKUP(H656,'[2]ריכוז נתונים'!A:L,1,0)),P656="1     "),1,0)</f>
        <v>0</v>
      </c>
      <c r="AK65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6" s="1">
        <f>IF(AND(VALUE(HEVARIM[[#This Row],[קוד מעמד]])=1,HEVARIM[[#This Row],[ותק מחברה 40]]&lt;25),HEVARIM[[#This Row],[ותק מחברה 40]]/25*הנחות!$C$4,0)</f>
        <v>0</v>
      </c>
      <c r="AM656" s="9" t="str">
        <f ca="1">IF(HEVARIM[[#This Row],[דמי עזיבה 25 שנות ותק]]&gt;0,YEAR(TODAY())+25-ROUNDDOWN(HEVARIM[[#This Row],[ותק מחברה 40]],0),"")</f>
        <v/>
      </c>
      <c r="AN65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6" s="9" t="str">
        <f ca="1">IF(HEVARIM[[#This Row],[דמי עזיבה לגיל 65]]&gt;0,YEAR(TODAY())+64-ROUNDDOWN(HEVARIM[[#This Row],[גיל]],0),"")</f>
        <v/>
      </c>
      <c r="AP656" s="1">
        <f>SUMIF(HEVARIM[קוד תקציב],HEVARIM[[#This Row],[קוד תקציב משפחה מקורי]],HEVARIM[ותק מחברה 40])</f>
        <v>43.54</v>
      </c>
      <c r="AQ65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6" s="9">
        <f>IF(HEVARIM[[#This Row],[קוד מעמד]]="1     ",IFERROR(VLOOKUP(HEVARIM[[#This Row],[קוד תקציב]],'תקציב צביעה - לקראת השינוי'!A:F,4,0),0),0)</f>
        <v>0</v>
      </c>
      <c r="AT656" s="1"/>
    </row>
    <row r="657" spans="1:46">
      <c r="A657" t="s">
        <v>3196</v>
      </c>
      <c r="B657" t="s">
        <v>3197</v>
      </c>
      <c r="C657" t="s">
        <v>3198</v>
      </c>
      <c r="D657" t="s">
        <v>3199</v>
      </c>
      <c r="E657" t="s">
        <v>79</v>
      </c>
      <c r="F657" s="4">
        <v>36148</v>
      </c>
      <c r="G657">
        <v>27</v>
      </c>
      <c r="H657" t="s">
        <v>3200</v>
      </c>
      <c r="I657" t="s">
        <v>3201</v>
      </c>
      <c r="J657" s="4" t="s">
        <v>70</v>
      </c>
      <c r="K657" s="4" t="s">
        <v>81</v>
      </c>
      <c r="L657" t="s">
        <v>3202</v>
      </c>
      <c r="M657" t="s">
        <v>3203</v>
      </c>
      <c r="N657" t="s">
        <v>3204</v>
      </c>
      <c r="O657">
        <f>IFERROR(VLOOKUP(HEVARIM[[#This Row],[קוד תקציב]],[2]תקציבים!A:L,6,0),0)</f>
        <v>0</v>
      </c>
      <c r="P657" s="5" t="s">
        <v>129</v>
      </c>
      <c r="Q657" t="s">
        <v>26</v>
      </c>
      <c r="R657" s="4">
        <v>45170</v>
      </c>
      <c r="S657" s="4" t="s">
        <v>74</v>
      </c>
      <c r="T657" s="96" t="s">
        <v>3169</v>
      </c>
      <c r="U657" t="str">
        <f>VLOOKUP(HEVARIM[[#This Row],[גיל]],GIL,2,1)</f>
        <v>--</v>
      </c>
      <c r="V657" t="str">
        <f>IF(HEVARIM[[#This Row],[קוד מעמד]]="4     ",IF(HEVARIM[[#This Row],[גיל]]=1,1,IF(HEVARIM[[#This Row],[גיל]]&lt;=5,5,18)),"")</f>
        <v/>
      </c>
      <c r="W657">
        <f t="shared" si="40"/>
        <v>0</v>
      </c>
      <c r="X65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7">
        <f>IF(HEVARIM[[#This Row],[מצב משפחתי2]]="אלמן",'[2]ריכוז נתונים'!$AC$2,0)</f>
        <v>0</v>
      </c>
      <c r="Z657" s="3">
        <f>VLOOKUP(VALUE(HEVARIM[[#This Row],[קוד מעמד]]),הנחות!$I$2:$K$21,3,0)</f>
        <v>1</v>
      </c>
      <c r="AA657" t="b">
        <f>ISERROR(VLOOKUP(HEVARIM[[#This Row],[קוד תקציב]],'[2]ריכוז נתונים'!A:A,1,0))</f>
        <v>1</v>
      </c>
      <c r="AB657" s="1">
        <f t="shared" si="41"/>
        <v>0</v>
      </c>
      <c r="AC657" s="2">
        <f ca="1">IF(HEVARIM[[#This Row],[בר מצוה]]&gt;0,YEAR(TODAY())+'תקציבים מיוחדים'!$F$5-HEVARIM[[#This Row],[גיל]],0)</f>
        <v>0</v>
      </c>
      <c r="AD657" s="1">
        <f t="shared" si="42"/>
        <v>0</v>
      </c>
      <c r="AE657" s="2">
        <f ca="1">IF(HEVARIM[[#This Row],[בת מצוה]]&gt;0,YEAR(TODAY())+'תקציבים מיוחדים'!$F$5-HEVARIM[[#This Row],[גיל]],0)</f>
        <v>0</v>
      </c>
      <c r="AF657" s="1">
        <f>IF(AND($S657&gt;="רווק",$Z657=1),AF$4*IF(HEVARIM[[#This Row],[גיל]]&gt;$AF$3,1,(($G657-AF$2)/(AF$3-AF$2))),0)</f>
        <v>0</v>
      </c>
      <c r="AG65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7" s="1">
        <f t="shared" si="43"/>
        <v>0</v>
      </c>
      <c r="AI657" s="2">
        <f ca="1">IF(AH657&gt;0,YEAR(TODAY())+'תקציבים מיוחדים'!$F$7-HEVARIM[[#This Row],[גיל]],0)</f>
        <v>0</v>
      </c>
      <c r="AJ657" s="9">
        <f>IF(AND(ISERROR(VLOOKUP(H657,'[2]ריכוז נתונים'!A:L,1,0)),P657="1     "),1,0)</f>
        <v>0</v>
      </c>
      <c r="AK65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7" s="1">
        <f>IF(AND(VALUE(HEVARIM[[#This Row],[קוד מעמד]])=1,HEVARIM[[#This Row],[ותק מחברה 40]]&lt;25),HEVARIM[[#This Row],[ותק מחברה 40]]/25*הנחות!$C$4,0)</f>
        <v>0</v>
      </c>
      <c r="AM657" s="9" t="str">
        <f ca="1">IF(HEVARIM[[#This Row],[דמי עזיבה 25 שנות ותק]]&gt;0,YEAR(TODAY())+25-ROUNDDOWN(HEVARIM[[#This Row],[ותק מחברה 40]],0),"")</f>
        <v/>
      </c>
      <c r="AN65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7" s="9" t="str">
        <f ca="1">IF(HEVARIM[[#This Row],[דמי עזיבה לגיל 65]]&gt;0,YEAR(TODAY())+64-ROUNDDOWN(HEVARIM[[#This Row],[גיל]],0),"")</f>
        <v/>
      </c>
      <c r="AP657" s="1">
        <f>SUMIF(HEVARIM[קוד תקציב],HEVARIM[[#This Row],[קוד תקציב משפחה מקורי]],HEVARIM[ותק מחברה 40])</f>
        <v>43.54</v>
      </c>
      <c r="AQ65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7" s="9">
        <f>IF(HEVARIM[[#This Row],[קוד מעמד]]="1     ",IFERROR(VLOOKUP(HEVARIM[[#This Row],[קוד תקציב]],'תקציב צביעה - לקראת השינוי'!A:F,4,0),0),0)</f>
        <v>0</v>
      </c>
      <c r="AT657" s="1"/>
    </row>
    <row r="658" spans="1:46">
      <c r="A658" t="s">
        <v>3205</v>
      </c>
      <c r="B658" t="s">
        <v>3206</v>
      </c>
      <c r="C658" t="s">
        <v>3168</v>
      </c>
      <c r="D658" t="s">
        <v>3207</v>
      </c>
      <c r="E658" t="s">
        <v>67</v>
      </c>
      <c r="F658" s="4">
        <v>37331</v>
      </c>
      <c r="G658">
        <v>23</v>
      </c>
      <c r="H658" t="s">
        <v>3208</v>
      </c>
      <c r="I658" t="s">
        <v>3206</v>
      </c>
      <c r="J658" s="4" t="s">
        <v>70</v>
      </c>
      <c r="K658" s="4" t="s">
        <v>81</v>
      </c>
      <c r="L658" t="s">
        <v>3209</v>
      </c>
      <c r="M658" t="s">
        <v>3205</v>
      </c>
      <c r="N658" t="s">
        <v>3206</v>
      </c>
      <c r="O658">
        <f>IFERROR(VLOOKUP(HEVARIM[[#This Row],[קוד תקציב]],[2]תקציבים!A:L,6,0),0)</f>
        <v>0</v>
      </c>
      <c r="P658" s="5" t="s">
        <v>73</v>
      </c>
      <c r="Q658" t="s">
        <v>27</v>
      </c>
      <c r="R658" s="4">
        <v>45386</v>
      </c>
      <c r="S658" s="4" t="s">
        <v>90</v>
      </c>
      <c r="T658" s="96" t="s">
        <v>3169</v>
      </c>
      <c r="U658" t="str">
        <f>VLOOKUP(HEVARIM[[#This Row],[גיל]],GIL,2,1)</f>
        <v>--</v>
      </c>
      <c r="V658" t="str">
        <f>IF(HEVARIM[[#This Row],[קוד מעמד]]="4     ",IF(HEVARIM[[#This Row],[גיל]]=1,1,IF(HEVARIM[[#This Row],[גיל]]&lt;=5,5,18)),"")</f>
        <v/>
      </c>
      <c r="W658">
        <f t="shared" si="40"/>
        <v>0</v>
      </c>
      <c r="X65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8">
        <f>IF(HEVARIM[[#This Row],[מצב משפחתי2]]="אלמן",'[2]ריכוז נתונים'!$AC$2,0)</f>
        <v>0</v>
      </c>
      <c r="Z658" s="3">
        <f>VLOOKUP(VALUE(HEVARIM[[#This Row],[קוד מעמד]]),הנחות!$I$2:$K$21,3,0)</f>
        <v>1</v>
      </c>
      <c r="AA658" t="b">
        <f>ISERROR(VLOOKUP(HEVARIM[[#This Row],[קוד תקציב]],'[2]ריכוז נתונים'!A:A,1,0))</f>
        <v>1</v>
      </c>
      <c r="AB658" s="1">
        <f t="shared" si="41"/>
        <v>0</v>
      </c>
      <c r="AC658" s="2">
        <f ca="1">IF(HEVARIM[[#This Row],[בר מצוה]]&gt;0,YEAR(TODAY())+'תקציבים מיוחדים'!$F$5-HEVARIM[[#This Row],[גיל]],0)</f>
        <v>0</v>
      </c>
      <c r="AD658" s="1">
        <f t="shared" si="42"/>
        <v>0</v>
      </c>
      <c r="AE658" s="2">
        <f ca="1">IF(HEVARIM[[#This Row],[בת מצוה]]&gt;0,YEAR(TODAY())+'תקציבים מיוחדים'!$F$5-HEVARIM[[#This Row],[גיל]],0)</f>
        <v>0</v>
      </c>
      <c r="AF658" s="1">
        <f>IF(AND($S658&gt;="רווק",$Z658=1),AF$4*IF(HEVARIM[[#This Row],[גיל]]&gt;$AF$3,1,(($G658-AF$2)/(AF$3-AF$2))),0)</f>
        <v>60512.5</v>
      </c>
      <c r="AG658" s="2">
        <f ca="1">IF(HEVARIM[[#This Row],[מענק חתונה]]&gt;0,IF(HEVARIM[[#This Row],[גיל]]&gt;'תקציבים מיוחדים'!$F$6,2025,YEAR(TODAY())+'תקציבים מיוחדים'!$F$6-HEVARIM[[#This Row],[גיל]]),0)</f>
        <v>2025</v>
      </c>
      <c r="AH658" s="1">
        <f t="shared" si="43"/>
        <v>0</v>
      </c>
      <c r="AI658" s="2">
        <f ca="1">IF(AH658&gt;0,YEAR(TODAY())+'תקציבים מיוחדים'!$F$7-HEVARIM[[#This Row],[גיל]],0)</f>
        <v>0</v>
      </c>
      <c r="AJ658" s="9">
        <f>IF(AND(ISERROR(VLOOKUP(H658,'[2]ריכוז נתונים'!A:L,1,0)),P658="1     "),1,0)</f>
        <v>0</v>
      </c>
      <c r="AK65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8" s="1">
        <f>IF(AND(VALUE(HEVARIM[[#This Row],[קוד מעמד]])=1,HEVARIM[[#This Row],[ותק מחברה 40]]&lt;25),HEVARIM[[#This Row],[ותק מחברה 40]]/25*הנחות!$C$4,0)</f>
        <v>0</v>
      </c>
      <c r="AM658" s="9" t="str">
        <f ca="1">IF(HEVARIM[[#This Row],[דמי עזיבה 25 שנות ותק]]&gt;0,YEAR(TODAY())+25-ROUNDDOWN(HEVARIM[[#This Row],[ותק מחברה 40]],0),"")</f>
        <v/>
      </c>
      <c r="AN65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8" s="9" t="str">
        <f ca="1">IF(HEVARIM[[#This Row],[דמי עזיבה לגיל 65]]&gt;0,YEAR(TODAY())+64-ROUNDDOWN(HEVARIM[[#This Row],[גיל]],0),"")</f>
        <v/>
      </c>
      <c r="AP658" s="1">
        <f>SUMIF(HEVARIM[קוד תקציב],HEVARIM[[#This Row],[קוד תקציב משפחה מקורי]],HEVARIM[ותק מחברה 40])</f>
        <v>43.54</v>
      </c>
      <c r="AQ65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8" s="9">
        <f>IF(HEVARIM[[#This Row],[קוד מעמד]]="1     ",IFERROR(VLOOKUP(HEVARIM[[#This Row],[קוד תקציב]],'תקציב צביעה - לקראת השינוי'!A:F,4,0),0),0)</f>
        <v>0</v>
      </c>
      <c r="AT658" s="1"/>
    </row>
    <row r="659" spans="1:46">
      <c r="A659" t="s">
        <v>3188</v>
      </c>
      <c r="B659" t="s">
        <v>3189</v>
      </c>
      <c r="C659" t="s">
        <v>3168</v>
      </c>
      <c r="D659" t="s">
        <v>3190</v>
      </c>
      <c r="E659" t="s">
        <v>79</v>
      </c>
      <c r="F659" s="4">
        <v>43226</v>
      </c>
      <c r="G659">
        <v>7</v>
      </c>
      <c r="H659" t="s">
        <v>3182</v>
      </c>
      <c r="I659" t="s">
        <v>3183</v>
      </c>
      <c r="J659" s="4" t="s">
        <v>70</v>
      </c>
      <c r="K659" s="4" t="s">
        <v>71</v>
      </c>
      <c r="L659" t="s">
        <v>3191</v>
      </c>
      <c r="M659" t="s">
        <v>3180</v>
      </c>
      <c r="N659" t="s">
        <v>3181</v>
      </c>
      <c r="O659">
        <f>IFERROR(VLOOKUP(HEVARIM[[#This Row],[קוד תקציב]],[2]תקציבים!A:L,6,0),0)</f>
        <v>2</v>
      </c>
      <c r="P659" s="5" t="s">
        <v>3063</v>
      </c>
      <c r="Q659" t="s">
        <v>17</v>
      </c>
      <c r="R659" s="4">
        <v>45901</v>
      </c>
      <c r="S659" s="4" t="s">
        <v>90</v>
      </c>
      <c r="T659" s="96" t="s">
        <v>3182</v>
      </c>
      <c r="U659" t="str">
        <f>VLOOKUP(HEVARIM[[#This Row],[גיל]],GIL,2,1)</f>
        <v>יסודי</v>
      </c>
      <c r="V659" t="str">
        <f>IF(HEVARIM[[#This Row],[קוד מעמד]]="4     ",IF(HEVARIM[[#This Row],[גיל]]=1,1,IF(HEVARIM[[#This Row],[גיל]]&lt;=5,5,18)),"")</f>
        <v/>
      </c>
      <c r="W659">
        <f t="shared" si="40"/>
        <v>0</v>
      </c>
      <c r="X65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59">
        <f>IF(HEVARIM[[#This Row],[מצב משפחתי2]]="אלמן",'[2]ריכוז נתונים'!$AC$2,0)</f>
        <v>0</v>
      </c>
      <c r="Z659" s="3">
        <f>VLOOKUP(VALUE(HEVARIM[[#This Row],[קוד מעמד]]),הנחות!$I$2:$K$21,3,0)</f>
        <v>0</v>
      </c>
      <c r="AA659" t="b">
        <f>ISERROR(VLOOKUP(HEVARIM[[#This Row],[קוד תקציב]],'[2]ריכוז נתונים'!A:A,1,0))</f>
        <v>1</v>
      </c>
      <c r="AB659" s="1">
        <f t="shared" si="41"/>
        <v>0</v>
      </c>
      <c r="AC659" s="2">
        <f ca="1">IF(HEVARIM[[#This Row],[בר מצוה]]&gt;0,YEAR(TODAY())+'תקציבים מיוחדים'!$F$5-HEVARIM[[#This Row],[גיל]],0)</f>
        <v>0</v>
      </c>
      <c r="AD659" s="1">
        <f t="shared" si="42"/>
        <v>0</v>
      </c>
      <c r="AE659" s="2">
        <f ca="1">IF(HEVARIM[[#This Row],[בת מצוה]]&gt;0,YEAR(TODAY())+'תקציבים מיוחדים'!$F$5-HEVARIM[[#This Row],[גיל]],0)</f>
        <v>0</v>
      </c>
      <c r="AF659" s="1">
        <f>IF(AND($S659&gt;="רווק",$Z659=1),AF$4*IF(HEVARIM[[#This Row],[גיל]]&gt;$AF$3,1,(($G659-AF$2)/(AF$3-AF$2))),0)</f>
        <v>0</v>
      </c>
      <c r="AG65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59" s="1">
        <f t="shared" si="43"/>
        <v>0</v>
      </c>
      <c r="AI659" s="2">
        <f ca="1">IF(AH659&gt;0,YEAR(TODAY())+'תקציבים מיוחדים'!$F$7-HEVARIM[[#This Row],[גיל]],0)</f>
        <v>0</v>
      </c>
      <c r="AJ659" s="9">
        <f>IF(AND(ISERROR(VLOOKUP(H659,'[2]ריכוז נתונים'!A:L,1,0)),P659="1     "),1,0)</f>
        <v>0</v>
      </c>
      <c r="AK65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59" s="1">
        <f>IF(AND(VALUE(HEVARIM[[#This Row],[קוד מעמד]])=1,HEVARIM[[#This Row],[ותק מחברה 40]]&lt;25),HEVARIM[[#This Row],[ותק מחברה 40]]/25*הנחות!$C$4,0)</f>
        <v>0</v>
      </c>
      <c r="AM659" s="9" t="str">
        <f ca="1">IF(HEVARIM[[#This Row],[דמי עזיבה 25 שנות ותק]]&gt;0,YEAR(TODAY())+25-ROUNDDOWN(HEVARIM[[#This Row],[ותק מחברה 40]],0),"")</f>
        <v/>
      </c>
      <c r="AN65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59" s="9" t="str">
        <f ca="1">IF(HEVARIM[[#This Row],[דמי עזיבה לגיל 65]]&gt;0,YEAR(TODAY())+64-ROUNDDOWN(HEVARIM[[#This Row],[גיל]],0),"")</f>
        <v/>
      </c>
      <c r="AP659" s="1">
        <f>SUMIF(HEVARIM[קוד תקציב],HEVARIM[[#This Row],[קוד תקציב משפחה מקורי]],HEVARIM[ותק מחברה 40])</f>
        <v>0</v>
      </c>
      <c r="AQ65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5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59" s="9">
        <f>IF(HEVARIM[[#This Row],[קוד מעמד]]="1     ",IFERROR(VLOOKUP(HEVARIM[[#This Row],[קוד תקציב]],'תקציב צביעה - לקראת השינוי'!A:F,4,0),0),0)</f>
        <v>0</v>
      </c>
      <c r="AT659" s="1"/>
    </row>
    <row r="660" spans="1:46">
      <c r="A660" t="s">
        <v>3192</v>
      </c>
      <c r="B660" t="s">
        <v>3193</v>
      </c>
      <c r="C660" t="s">
        <v>3168</v>
      </c>
      <c r="D660" t="s">
        <v>3194</v>
      </c>
      <c r="E660" t="s">
        <v>67</v>
      </c>
      <c r="F660" s="4">
        <v>44328</v>
      </c>
      <c r="G660">
        <v>4</v>
      </c>
      <c r="H660" t="s">
        <v>3182</v>
      </c>
      <c r="I660" t="s">
        <v>3183</v>
      </c>
      <c r="J660" s="4" t="s">
        <v>70</v>
      </c>
      <c r="K660" s="4" t="s">
        <v>71</v>
      </c>
      <c r="L660" t="s">
        <v>3195</v>
      </c>
      <c r="M660" t="s">
        <v>3180</v>
      </c>
      <c r="N660" t="s">
        <v>3181</v>
      </c>
      <c r="O660">
        <f>IFERROR(VLOOKUP(HEVARIM[[#This Row],[קוד תקציב]],[2]תקציבים!A:L,6,0),0)</f>
        <v>2</v>
      </c>
      <c r="P660" s="5" t="s">
        <v>3063</v>
      </c>
      <c r="Q660" t="s">
        <v>17</v>
      </c>
      <c r="R660" s="4">
        <v>45901</v>
      </c>
      <c r="S660" s="4" t="s">
        <v>90</v>
      </c>
      <c r="T660" s="96" t="s">
        <v>3182</v>
      </c>
      <c r="U660" t="str">
        <f>VLOOKUP(HEVARIM[[#This Row],[גיל]],GIL,2,1)</f>
        <v>גנים</v>
      </c>
      <c r="V660" t="str">
        <f>IF(HEVARIM[[#This Row],[קוד מעמד]]="4     ",IF(HEVARIM[[#This Row],[גיל]]=1,1,IF(HEVARIM[[#This Row],[גיל]]&lt;=5,5,18)),"")</f>
        <v/>
      </c>
      <c r="W660">
        <f t="shared" si="40"/>
        <v>0</v>
      </c>
      <c r="X66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0">
        <f>IF(HEVARIM[[#This Row],[מצב משפחתי2]]="אלמן",'[2]ריכוז נתונים'!$AC$2,0)</f>
        <v>0</v>
      </c>
      <c r="Z660" s="3">
        <f>VLOOKUP(VALUE(HEVARIM[[#This Row],[קוד מעמד]]),הנחות!$I$2:$K$21,3,0)</f>
        <v>0</v>
      </c>
      <c r="AA660" t="b">
        <f>ISERROR(VLOOKUP(HEVARIM[[#This Row],[קוד תקציב]],'[2]ריכוז נתונים'!A:A,1,0))</f>
        <v>1</v>
      </c>
      <c r="AB660" s="1">
        <f t="shared" si="41"/>
        <v>0</v>
      </c>
      <c r="AC660" s="2">
        <f ca="1">IF(HEVARIM[[#This Row],[בר מצוה]]&gt;0,YEAR(TODAY())+'תקציבים מיוחדים'!$F$5-HEVARIM[[#This Row],[גיל]],0)</f>
        <v>0</v>
      </c>
      <c r="AD660" s="1">
        <f t="shared" si="42"/>
        <v>0</v>
      </c>
      <c r="AE660" s="2">
        <f ca="1">IF(HEVARIM[[#This Row],[בת מצוה]]&gt;0,YEAR(TODAY())+'תקציבים מיוחדים'!$F$5-HEVARIM[[#This Row],[גיל]],0)</f>
        <v>0</v>
      </c>
      <c r="AF660" s="1">
        <f>IF(AND($S660&gt;="רווק",$Z660=1),AF$4*IF(HEVARIM[[#This Row],[גיל]]&gt;$AF$3,1,(($G660-AF$2)/(AF$3-AF$2))),0)</f>
        <v>0</v>
      </c>
      <c r="AG66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0" s="1">
        <f t="shared" si="43"/>
        <v>0</v>
      </c>
      <c r="AI660" s="2">
        <f ca="1">IF(AH660&gt;0,YEAR(TODAY())+'תקציבים מיוחדים'!$F$7-HEVARIM[[#This Row],[גיל]],0)</f>
        <v>0</v>
      </c>
      <c r="AJ660" s="9">
        <f>IF(AND(ISERROR(VLOOKUP(H660,'[2]ריכוז נתונים'!A:L,1,0)),P660="1     "),1,0)</f>
        <v>0</v>
      </c>
      <c r="AK66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0" s="1">
        <f>IF(AND(VALUE(HEVARIM[[#This Row],[קוד מעמד]])=1,HEVARIM[[#This Row],[ותק מחברה 40]]&lt;25),HEVARIM[[#This Row],[ותק מחברה 40]]/25*הנחות!$C$4,0)</f>
        <v>0</v>
      </c>
      <c r="AM660" s="9" t="str">
        <f ca="1">IF(HEVARIM[[#This Row],[דמי עזיבה 25 שנות ותק]]&gt;0,YEAR(TODAY())+25-ROUNDDOWN(HEVARIM[[#This Row],[ותק מחברה 40]],0),"")</f>
        <v/>
      </c>
      <c r="AN66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0" s="9" t="str">
        <f ca="1">IF(HEVARIM[[#This Row],[דמי עזיבה לגיל 65]]&gt;0,YEAR(TODAY())+64-ROUNDDOWN(HEVARIM[[#This Row],[גיל]],0),"")</f>
        <v/>
      </c>
      <c r="AP660" s="1">
        <f>SUMIF(HEVARIM[קוד תקציב],HEVARIM[[#This Row],[קוד תקציב משפחה מקורי]],HEVARIM[ותק מחברה 40])</f>
        <v>0</v>
      </c>
      <c r="AQ66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0" s="9">
        <f>IF(HEVARIM[[#This Row],[קוד מעמד]]="1     ",IFERROR(VLOOKUP(HEVARIM[[#This Row],[קוד תקציב]],'תקציב צביעה - לקראת השינוי'!A:F,4,0),0),0)</f>
        <v>0</v>
      </c>
      <c r="AT660" s="1"/>
    </row>
    <row r="661" spans="1:46">
      <c r="A661" t="s">
        <v>3212</v>
      </c>
      <c r="B661" t="s">
        <v>3213</v>
      </c>
      <c r="C661" t="s">
        <v>1686</v>
      </c>
      <c r="D661" t="s">
        <v>3214</v>
      </c>
      <c r="E661" t="s">
        <v>67</v>
      </c>
      <c r="F661" s="4">
        <v>23852</v>
      </c>
      <c r="G661">
        <v>60</v>
      </c>
      <c r="H661" t="s">
        <v>3215</v>
      </c>
      <c r="I661" t="s">
        <v>3216</v>
      </c>
      <c r="J661" s="4" t="s">
        <v>70</v>
      </c>
      <c r="K661" s="4" t="s">
        <v>3217</v>
      </c>
      <c r="L661" t="s">
        <v>3218</v>
      </c>
      <c r="M661" t="s">
        <v>3212</v>
      </c>
      <c r="N661" t="s">
        <v>3213</v>
      </c>
      <c r="O661">
        <f>IFERROR(VLOOKUP(HEVARIM[[#This Row],[קוד תקציב]],[2]תקציבים!A:L,6,0),0)</f>
        <v>0</v>
      </c>
      <c r="P661" s="5" t="s">
        <v>83</v>
      </c>
      <c r="Q661" t="s">
        <v>15</v>
      </c>
      <c r="R661" s="4">
        <v>36765</v>
      </c>
      <c r="S661" s="4" t="s">
        <v>90</v>
      </c>
      <c r="T661" s="96" t="s">
        <v>3215</v>
      </c>
      <c r="U661" t="str">
        <f>VLOOKUP(HEVARIM[[#This Row],[גיל]],GIL,2,1)</f>
        <v>--</v>
      </c>
      <c r="V661" t="str">
        <f>IF(HEVARIM[[#This Row],[קוד מעמד]]="4     ",IF(HEVARIM[[#This Row],[גיל]]=1,1,IF(HEVARIM[[#This Row],[גיל]]&lt;=5,5,18)),"")</f>
        <v/>
      </c>
      <c r="W661">
        <f t="shared" si="40"/>
        <v>0</v>
      </c>
      <c r="X66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1">
        <f>IF(HEVARIM[[#This Row],[מצב משפחתי2]]="אלמן",'[2]ריכוז נתונים'!$AC$2,0)</f>
        <v>0</v>
      </c>
      <c r="Z661" s="3">
        <f>VLOOKUP(VALUE(HEVARIM[[#This Row],[קוד מעמד]]),הנחות!$I$2:$K$21,3,0)</f>
        <v>0</v>
      </c>
      <c r="AA661" t="b">
        <f>ISERROR(VLOOKUP(HEVARIM[[#This Row],[קוד תקציב]],'[2]ריכוז נתונים'!A:A,1,0))</f>
        <v>1</v>
      </c>
      <c r="AB661" s="1">
        <f t="shared" si="41"/>
        <v>0</v>
      </c>
      <c r="AC661" s="2">
        <f ca="1">IF(HEVARIM[[#This Row],[בר מצוה]]&gt;0,YEAR(TODAY())+'תקציבים מיוחדים'!$F$5-HEVARIM[[#This Row],[גיל]],0)</f>
        <v>0</v>
      </c>
      <c r="AD661" s="1">
        <f t="shared" si="42"/>
        <v>0</v>
      </c>
      <c r="AE661" s="2">
        <f ca="1">IF(HEVARIM[[#This Row],[בת מצוה]]&gt;0,YEAR(TODAY())+'תקציבים מיוחדים'!$F$5-HEVARIM[[#This Row],[גיל]],0)</f>
        <v>0</v>
      </c>
      <c r="AF661" s="1">
        <f>IF(AND($S661&gt;="רווק",$Z661=1),AF$4*IF(HEVARIM[[#This Row],[גיל]]&gt;$AF$3,1,(($G661-AF$2)/(AF$3-AF$2))),0)</f>
        <v>0</v>
      </c>
      <c r="AG66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1" s="1">
        <f t="shared" si="43"/>
        <v>0</v>
      </c>
      <c r="AI661" s="2">
        <f ca="1">IF(AH661&gt;0,YEAR(TODAY())+'תקציבים מיוחדים'!$F$7-HEVARIM[[#This Row],[גיל]],0)</f>
        <v>0</v>
      </c>
      <c r="AJ661" s="9">
        <f>IF(AND(ISERROR(VLOOKUP(H661,'[2]ריכוז נתונים'!A:L,1,0)),P661="1     "),1,0)</f>
        <v>0</v>
      </c>
      <c r="AK66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1" s="1">
        <f>IF(AND(VALUE(HEVARIM[[#This Row],[קוד מעמד]])=1,HEVARIM[[#This Row],[ותק מחברה 40]]&lt;25),HEVARIM[[#This Row],[ותק מחברה 40]]/25*הנחות!$C$4,0)</f>
        <v>0</v>
      </c>
      <c r="AM661" s="9" t="str">
        <f ca="1">IF(HEVARIM[[#This Row],[דמי עזיבה 25 שנות ותק]]&gt;0,YEAR(TODAY())+25-ROUNDDOWN(HEVARIM[[#This Row],[ותק מחברה 40]],0),"")</f>
        <v/>
      </c>
      <c r="AN66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1" s="9" t="str">
        <f ca="1">IF(HEVARIM[[#This Row],[דמי עזיבה לגיל 65]]&gt;0,YEAR(TODAY())+64-ROUNDDOWN(HEVARIM[[#This Row],[גיל]],0),"")</f>
        <v/>
      </c>
      <c r="AP661" s="1">
        <f>SUMIF(HEVARIM[קוד תקציב],HEVARIM[[#This Row],[קוד תקציב משפחה מקורי]],HEVARIM[ותק מחברה 40])</f>
        <v>0</v>
      </c>
      <c r="AQ66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1" s="9">
        <f>IF(HEVARIM[[#This Row],[קוד מעמד]]="1     ",IFERROR(VLOOKUP(HEVARIM[[#This Row],[קוד תקציב]],'תקציב צביעה - לקראת השינוי'!A:F,4,0),0),0)</f>
        <v>0</v>
      </c>
      <c r="AT661" s="1"/>
    </row>
    <row r="662" spans="1:46">
      <c r="A662" t="s">
        <v>3219</v>
      </c>
      <c r="B662" t="s">
        <v>3220</v>
      </c>
      <c r="C662" t="s">
        <v>1686</v>
      </c>
      <c r="D662" t="s">
        <v>3221</v>
      </c>
      <c r="E662" t="s">
        <v>79</v>
      </c>
      <c r="F662" s="4">
        <v>24393</v>
      </c>
      <c r="G662">
        <v>59</v>
      </c>
      <c r="H662" t="s">
        <v>3215</v>
      </c>
      <c r="I662" t="s">
        <v>3216</v>
      </c>
      <c r="J662" s="4" t="s">
        <v>70</v>
      </c>
      <c r="K662" s="4" t="s">
        <v>3217</v>
      </c>
      <c r="L662" t="s">
        <v>3222</v>
      </c>
      <c r="M662" t="s">
        <v>3212</v>
      </c>
      <c r="N662" t="s">
        <v>3213</v>
      </c>
      <c r="O662">
        <f>IFERROR(VLOOKUP(HEVARIM[[#This Row],[קוד תקציב]],[2]תקציבים!A:L,6,0),0)</f>
        <v>0</v>
      </c>
      <c r="P662" s="5" t="s">
        <v>83</v>
      </c>
      <c r="Q662" t="s">
        <v>15</v>
      </c>
      <c r="R662" s="4">
        <v>36765</v>
      </c>
      <c r="S662" s="4" t="s">
        <v>90</v>
      </c>
      <c r="T662" s="96" t="s">
        <v>3215</v>
      </c>
      <c r="U662" t="str">
        <f>VLOOKUP(HEVARIM[[#This Row],[גיל]],GIL,2,1)</f>
        <v>--</v>
      </c>
      <c r="V662" t="str">
        <f>IF(HEVARIM[[#This Row],[קוד מעמד]]="4     ",IF(HEVARIM[[#This Row],[גיל]]=1,1,IF(HEVARIM[[#This Row],[גיל]]&lt;=5,5,18)),"")</f>
        <v/>
      </c>
      <c r="W662">
        <f t="shared" si="40"/>
        <v>0</v>
      </c>
      <c r="X66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2">
        <f>IF(HEVARIM[[#This Row],[מצב משפחתי2]]="אלמן",'[2]ריכוז נתונים'!$AC$2,0)</f>
        <v>0</v>
      </c>
      <c r="Z662" s="3">
        <f>VLOOKUP(VALUE(HEVARIM[[#This Row],[קוד מעמד]]),הנחות!$I$2:$K$21,3,0)</f>
        <v>0</v>
      </c>
      <c r="AA662" t="b">
        <f>ISERROR(VLOOKUP(HEVARIM[[#This Row],[קוד תקציב]],'[2]ריכוז נתונים'!A:A,1,0))</f>
        <v>1</v>
      </c>
      <c r="AB662" s="1">
        <f t="shared" si="41"/>
        <v>0</v>
      </c>
      <c r="AC662" s="2">
        <f ca="1">IF(HEVARIM[[#This Row],[בר מצוה]]&gt;0,YEAR(TODAY())+'תקציבים מיוחדים'!$F$5-HEVARIM[[#This Row],[גיל]],0)</f>
        <v>0</v>
      </c>
      <c r="AD662" s="1">
        <f t="shared" si="42"/>
        <v>0</v>
      </c>
      <c r="AE662" s="2">
        <f ca="1">IF(HEVARIM[[#This Row],[בת מצוה]]&gt;0,YEAR(TODAY())+'תקציבים מיוחדים'!$F$5-HEVARIM[[#This Row],[גיל]],0)</f>
        <v>0</v>
      </c>
      <c r="AF662" s="1">
        <f>IF(AND($S662&gt;="רווק",$Z662=1),AF$4*IF(HEVARIM[[#This Row],[גיל]]&gt;$AF$3,1,(($G662-AF$2)/(AF$3-AF$2))),0)</f>
        <v>0</v>
      </c>
      <c r="AG66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2" s="1">
        <f t="shared" si="43"/>
        <v>0</v>
      </c>
      <c r="AI662" s="2">
        <f ca="1">IF(AH662&gt;0,YEAR(TODAY())+'תקציבים מיוחדים'!$F$7-HEVARIM[[#This Row],[גיל]],0)</f>
        <v>0</v>
      </c>
      <c r="AJ662" s="9">
        <f>IF(AND(ISERROR(VLOOKUP(H662,'[2]ריכוז נתונים'!A:L,1,0)),P662="1     "),1,0)</f>
        <v>0</v>
      </c>
      <c r="AK66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2" s="1">
        <f>IF(AND(VALUE(HEVARIM[[#This Row],[קוד מעמד]])=1,HEVARIM[[#This Row],[ותק מחברה 40]]&lt;25),HEVARIM[[#This Row],[ותק מחברה 40]]/25*הנחות!$C$4,0)</f>
        <v>0</v>
      </c>
      <c r="AM662" s="9" t="str">
        <f ca="1">IF(HEVARIM[[#This Row],[דמי עזיבה 25 שנות ותק]]&gt;0,YEAR(TODAY())+25-ROUNDDOWN(HEVARIM[[#This Row],[ותק מחברה 40]],0),"")</f>
        <v/>
      </c>
      <c r="AN66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2" s="9" t="str">
        <f ca="1">IF(HEVARIM[[#This Row],[דמי עזיבה לגיל 65]]&gt;0,YEAR(TODAY())+64-ROUNDDOWN(HEVARIM[[#This Row],[גיל]],0),"")</f>
        <v/>
      </c>
      <c r="AP662" s="1">
        <f>SUMIF(HEVARIM[קוד תקציב],HEVARIM[[#This Row],[קוד תקציב משפחה מקורי]],HEVARIM[ותק מחברה 40])</f>
        <v>0</v>
      </c>
      <c r="AQ66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2" s="9">
        <f>IF(HEVARIM[[#This Row],[קוד מעמד]]="1     ",IFERROR(VLOOKUP(HEVARIM[[#This Row],[קוד תקציב]],'תקציב צביעה - לקראת השינוי'!A:F,4,0),0),0)</f>
        <v>0</v>
      </c>
      <c r="AT662" s="1"/>
    </row>
    <row r="663" spans="1:46">
      <c r="A663" t="s">
        <v>3223</v>
      </c>
      <c r="B663" t="s">
        <v>3224</v>
      </c>
      <c r="C663" t="s">
        <v>1686</v>
      </c>
      <c r="D663" t="s">
        <v>3225</v>
      </c>
      <c r="E663" t="s">
        <v>67</v>
      </c>
      <c r="F663" s="4">
        <v>39341</v>
      </c>
      <c r="G663">
        <v>18</v>
      </c>
      <c r="H663" t="s">
        <v>3215</v>
      </c>
      <c r="I663" t="s">
        <v>3216</v>
      </c>
      <c r="J663" s="4" t="s">
        <v>70</v>
      </c>
      <c r="K663" s="4" t="s">
        <v>3217</v>
      </c>
      <c r="L663" t="s">
        <v>3226</v>
      </c>
      <c r="M663" t="s">
        <v>3212</v>
      </c>
      <c r="N663" t="s">
        <v>3213</v>
      </c>
      <c r="O663">
        <f>IFERROR(VLOOKUP(HEVARIM[[#This Row],[קוד תקציב]],[2]תקציבים!A:L,6,0),0)</f>
        <v>0</v>
      </c>
      <c r="P663" s="5" t="s">
        <v>89</v>
      </c>
      <c r="Q663" t="s">
        <v>19</v>
      </c>
      <c r="R663" s="4">
        <v>39341</v>
      </c>
      <c r="S663" s="4" t="s">
        <v>90</v>
      </c>
      <c r="T663" s="96" t="s">
        <v>3215</v>
      </c>
      <c r="U663" t="str">
        <f>VLOOKUP(HEVARIM[[#This Row],[גיל]],GIL,2,1)</f>
        <v>--</v>
      </c>
      <c r="V663" t="str">
        <f>IF(HEVARIM[[#This Row],[קוד מעמד]]="4     ",IF(HEVARIM[[#This Row],[גיל]]=1,1,IF(HEVARIM[[#This Row],[גיל]]&lt;=5,5,18)),"")</f>
        <v/>
      </c>
      <c r="W663">
        <f t="shared" si="40"/>
        <v>0</v>
      </c>
      <c r="X66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3">
        <f>IF(HEVARIM[[#This Row],[מצב משפחתי2]]="אלמן",'[2]ריכוז נתונים'!$AC$2,0)</f>
        <v>0</v>
      </c>
      <c r="Z663" s="3">
        <f>VLOOKUP(VALUE(HEVARIM[[#This Row],[קוד מעמד]]),הנחות!$I$2:$K$21,3,0)</f>
        <v>0</v>
      </c>
      <c r="AA663" t="b">
        <f>ISERROR(VLOOKUP(HEVARIM[[#This Row],[קוד תקציב]],'[2]ריכוז נתונים'!A:A,1,0))</f>
        <v>1</v>
      </c>
      <c r="AB663" s="1">
        <f t="shared" si="41"/>
        <v>0</v>
      </c>
      <c r="AC663" s="2">
        <f ca="1">IF(HEVARIM[[#This Row],[בר מצוה]]&gt;0,YEAR(TODAY())+'תקציבים מיוחדים'!$F$5-HEVARIM[[#This Row],[גיל]],0)</f>
        <v>0</v>
      </c>
      <c r="AD663" s="1">
        <f t="shared" si="42"/>
        <v>0</v>
      </c>
      <c r="AE663" s="2">
        <f ca="1">IF(HEVARIM[[#This Row],[בת מצוה]]&gt;0,YEAR(TODAY())+'תקציבים מיוחדים'!$F$5-HEVARIM[[#This Row],[גיל]],0)</f>
        <v>0</v>
      </c>
      <c r="AF663" s="1">
        <f>IF(AND($S663&gt;="רווק",$Z663=1),AF$4*IF(HEVARIM[[#This Row],[גיל]]&gt;$AF$3,1,(($G663-AF$2)/(AF$3-AF$2))),0)</f>
        <v>0</v>
      </c>
      <c r="AG66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3" s="1">
        <f t="shared" si="43"/>
        <v>0</v>
      </c>
      <c r="AI663" s="2">
        <f ca="1">IF(AH663&gt;0,YEAR(TODAY())+'תקציבים מיוחדים'!$F$7-HEVARIM[[#This Row],[גיל]],0)</f>
        <v>0</v>
      </c>
      <c r="AJ663" s="9">
        <f>IF(AND(ISERROR(VLOOKUP(H663,'[2]ריכוז נתונים'!A:L,1,0)),P663="1     "),1,0)</f>
        <v>0</v>
      </c>
      <c r="AK663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3" s="1">
        <f>IF(AND(VALUE(HEVARIM[[#This Row],[קוד מעמד]])=1,HEVARIM[[#This Row],[ותק מחברה 40]]&lt;25),HEVARIM[[#This Row],[ותק מחברה 40]]/25*הנחות!$C$4,0)</f>
        <v>0</v>
      </c>
      <c r="AM663" s="9" t="str">
        <f ca="1">IF(HEVARIM[[#This Row],[דמי עזיבה 25 שנות ותק]]&gt;0,YEAR(TODAY())+25-ROUNDDOWN(HEVARIM[[#This Row],[ותק מחברה 40]],0),"")</f>
        <v/>
      </c>
      <c r="AN66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3" s="9" t="str">
        <f ca="1">IF(HEVARIM[[#This Row],[דמי עזיבה לגיל 65]]&gt;0,YEAR(TODAY())+64-ROUNDDOWN(HEVARIM[[#This Row],[גיל]],0),"")</f>
        <v/>
      </c>
      <c r="AP663" s="1">
        <f>SUMIF(HEVARIM[קוד תקציב],HEVARIM[[#This Row],[קוד תקציב משפחה מקורי]],HEVARIM[ותק מחברה 40])</f>
        <v>0</v>
      </c>
      <c r="AQ66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3" s="9">
        <f>IF(HEVARIM[[#This Row],[קוד מעמד]]="1     ",IFERROR(VLOOKUP(HEVARIM[[#This Row],[קוד תקציב]],'תקציב צביעה - לקראת השינוי'!A:F,4,0),0),0)</f>
        <v>0</v>
      </c>
      <c r="AT663" s="1"/>
    </row>
    <row r="664" spans="1:46">
      <c r="A664" t="s">
        <v>3234</v>
      </c>
      <c r="B664" t="s">
        <v>3235</v>
      </c>
      <c r="C664" t="s">
        <v>3229</v>
      </c>
      <c r="D664" t="s">
        <v>3236</v>
      </c>
      <c r="E664" t="s">
        <v>79</v>
      </c>
      <c r="F664" s="4">
        <v>36682</v>
      </c>
      <c r="G664">
        <v>25</v>
      </c>
      <c r="H664" t="s">
        <v>3231</v>
      </c>
      <c r="I664" t="s">
        <v>3232</v>
      </c>
      <c r="J664" s="4" t="s">
        <v>70</v>
      </c>
      <c r="K664" s="4" t="s">
        <v>81</v>
      </c>
      <c r="L664" t="s">
        <v>3237</v>
      </c>
      <c r="M664" t="s">
        <v>3227</v>
      </c>
      <c r="N664" t="s">
        <v>3228</v>
      </c>
      <c r="O664">
        <f>IFERROR(VLOOKUP(HEVARIM[[#This Row],[קוד תקציב]],[2]תקציבים!A:L,6,0),0)</f>
        <v>0</v>
      </c>
      <c r="P664" s="5" t="s">
        <v>1761</v>
      </c>
      <c r="Q664" t="s">
        <v>33</v>
      </c>
      <c r="R664" s="4">
        <v>45261</v>
      </c>
      <c r="S664" s="4" t="s">
        <v>74</v>
      </c>
      <c r="T664" s="96" t="s">
        <v>3215</v>
      </c>
      <c r="U664" t="str">
        <f>VLOOKUP(HEVARIM[[#This Row],[גיל]],GIL,2,1)</f>
        <v>--</v>
      </c>
      <c r="V664" t="str">
        <f>IF(HEVARIM[[#This Row],[קוד מעמד]]="4     ",IF(HEVARIM[[#This Row],[גיל]]=1,1,IF(HEVARIM[[#This Row],[גיל]]&lt;=5,5,18)),"")</f>
        <v/>
      </c>
      <c r="W664">
        <f t="shared" si="40"/>
        <v>0</v>
      </c>
      <c r="X66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4">
        <f>IF(HEVARIM[[#This Row],[מצב משפחתי2]]="אלמן",'[2]ריכוז נתונים'!$AC$2,0)</f>
        <v>0</v>
      </c>
      <c r="Z664" s="3">
        <f>VLOOKUP(VALUE(HEVARIM[[#This Row],[קוד מעמד]]),הנחות!$I$2:$K$21,3,0)</f>
        <v>1</v>
      </c>
      <c r="AA664" t="b">
        <f>ISERROR(VLOOKUP(HEVARIM[[#This Row],[קוד תקציב]],'[2]ריכוז נתונים'!A:A,1,0))</f>
        <v>1</v>
      </c>
      <c r="AB664" s="1">
        <f t="shared" si="41"/>
        <v>0</v>
      </c>
      <c r="AC664" s="2">
        <f ca="1">IF(HEVARIM[[#This Row],[בר מצוה]]&gt;0,YEAR(TODAY())+'תקציבים מיוחדים'!$F$5-HEVARIM[[#This Row],[גיל]],0)</f>
        <v>0</v>
      </c>
      <c r="AD664" s="1">
        <f t="shared" si="42"/>
        <v>0</v>
      </c>
      <c r="AE664" s="2">
        <f ca="1">IF(HEVARIM[[#This Row],[בת מצוה]]&gt;0,YEAR(TODAY())+'תקציבים מיוחדים'!$F$5-HEVARIM[[#This Row],[גיל]],0)</f>
        <v>0</v>
      </c>
      <c r="AF664" s="1">
        <f>IF(AND($S664&gt;="רווק",$Z664=1),AF$4*IF(HEVARIM[[#This Row],[גיל]]&gt;$AF$3,1,(($G664-AF$2)/(AF$3-AF$2))),0)</f>
        <v>0</v>
      </c>
      <c r="AG66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4" s="1">
        <f t="shared" si="43"/>
        <v>0</v>
      </c>
      <c r="AI664" s="2">
        <f ca="1">IF(AH664&gt;0,YEAR(TODAY())+'תקציבים מיוחדים'!$F$7-HEVARIM[[#This Row],[גיל]],0)</f>
        <v>0</v>
      </c>
      <c r="AJ664" s="9">
        <f>IF(AND(ISERROR(VLOOKUP(H664,'[2]ריכוז נתונים'!A:L,1,0)),P664="1     "),1,0)</f>
        <v>0</v>
      </c>
      <c r="AK664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4" s="1">
        <f>IF(AND(VALUE(HEVARIM[[#This Row],[קוד מעמד]])=1,HEVARIM[[#This Row],[ותק מחברה 40]]&lt;25),HEVARIM[[#This Row],[ותק מחברה 40]]/25*הנחות!$C$4,0)</f>
        <v>0</v>
      </c>
      <c r="AM664" s="9" t="str">
        <f ca="1">IF(HEVARIM[[#This Row],[דמי עזיבה 25 שנות ותק]]&gt;0,YEAR(TODAY())+25-ROUNDDOWN(HEVARIM[[#This Row],[ותק מחברה 40]],0),"")</f>
        <v/>
      </c>
      <c r="AN66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4" s="9" t="str">
        <f ca="1">IF(HEVARIM[[#This Row],[דמי עזיבה לגיל 65]]&gt;0,YEAR(TODAY())+64-ROUNDDOWN(HEVARIM[[#This Row],[גיל]],0),"")</f>
        <v/>
      </c>
      <c r="AP664" s="1">
        <f>SUMIF(HEVARIM[קוד תקציב],HEVARIM[[#This Row],[קוד תקציב משפחה מקורי]],HEVARIM[ותק מחברה 40])</f>
        <v>0</v>
      </c>
      <c r="AQ66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4" s="9">
        <f>IF(HEVARIM[[#This Row],[קוד מעמד]]="1     ",IFERROR(VLOOKUP(HEVARIM[[#This Row],[קוד תקציב]],'תקציב צביעה - לקראת השינוי'!A:F,4,0),0),0)</f>
        <v>0</v>
      </c>
      <c r="AT664" s="1"/>
    </row>
    <row r="665" spans="1:46">
      <c r="A665" t="s">
        <v>3238</v>
      </c>
      <c r="B665" t="s">
        <v>3239</v>
      </c>
      <c r="C665" t="s">
        <v>1686</v>
      </c>
      <c r="D665" t="s">
        <v>821</v>
      </c>
      <c r="E665" t="s">
        <v>67</v>
      </c>
      <c r="F665" s="4">
        <v>37602</v>
      </c>
      <c r="G665">
        <v>23</v>
      </c>
      <c r="H665" t="s">
        <v>3215</v>
      </c>
      <c r="I665" t="s">
        <v>3216</v>
      </c>
      <c r="J665" s="4" t="s">
        <v>70</v>
      </c>
      <c r="K665" s="4" t="s">
        <v>3217</v>
      </c>
      <c r="L665" t="s">
        <v>3240</v>
      </c>
      <c r="M665" t="s">
        <v>3212</v>
      </c>
      <c r="N665" t="s">
        <v>3213</v>
      </c>
      <c r="O665">
        <f>IFERROR(VLOOKUP(HEVARIM[[#This Row],[קוד תקציב]],[2]תקציבים!A:L,6,0),0)</f>
        <v>0</v>
      </c>
      <c r="P665" s="5" t="s">
        <v>83</v>
      </c>
      <c r="Q665" t="s">
        <v>15</v>
      </c>
      <c r="R665" s="4">
        <v>45931</v>
      </c>
      <c r="S665" s="4" t="s">
        <v>74</v>
      </c>
      <c r="T665" s="96" t="s">
        <v>3215</v>
      </c>
      <c r="U665" t="str">
        <f>VLOOKUP(HEVARIM[[#This Row],[גיל]],GIL,2,1)</f>
        <v>--</v>
      </c>
      <c r="V665" t="str">
        <f>IF(HEVARIM[[#This Row],[קוד מעמד]]="4     ",IF(HEVARIM[[#This Row],[גיל]]=1,1,IF(HEVARIM[[#This Row],[גיל]]&lt;=5,5,18)),"")</f>
        <v/>
      </c>
      <c r="W665">
        <f t="shared" si="40"/>
        <v>0</v>
      </c>
      <c r="X66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5">
        <f>IF(HEVARIM[[#This Row],[מצב משפחתי2]]="אלמן",'[2]ריכוז נתונים'!$AC$2,0)</f>
        <v>0</v>
      </c>
      <c r="Z665" s="3">
        <f>VLOOKUP(VALUE(HEVARIM[[#This Row],[קוד מעמד]]),הנחות!$I$2:$K$21,3,0)</f>
        <v>0</v>
      </c>
      <c r="AA665" t="b">
        <f>ISERROR(VLOOKUP(HEVARIM[[#This Row],[קוד תקציב]],'[2]ריכוז נתונים'!A:A,1,0))</f>
        <v>1</v>
      </c>
      <c r="AB665" s="1">
        <f t="shared" si="41"/>
        <v>0</v>
      </c>
      <c r="AC665" s="2">
        <f ca="1">IF(HEVARIM[[#This Row],[בר מצוה]]&gt;0,YEAR(TODAY())+'תקציבים מיוחדים'!$F$5-HEVARIM[[#This Row],[גיל]],0)</f>
        <v>0</v>
      </c>
      <c r="AD665" s="1">
        <f t="shared" si="42"/>
        <v>0</v>
      </c>
      <c r="AE665" s="2">
        <f ca="1">IF(HEVARIM[[#This Row],[בת מצוה]]&gt;0,YEAR(TODAY())+'תקציבים מיוחדים'!$F$5-HEVARIM[[#This Row],[גיל]],0)</f>
        <v>0</v>
      </c>
      <c r="AF665" s="1">
        <f>IF(AND($S665&gt;="רווק",$Z665=1),AF$4*IF(HEVARIM[[#This Row],[גיל]]&gt;$AF$3,1,(($G665-AF$2)/(AF$3-AF$2))),0)</f>
        <v>0</v>
      </c>
      <c r="AG66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5" s="1">
        <f t="shared" si="43"/>
        <v>0</v>
      </c>
      <c r="AI665" s="2">
        <f ca="1">IF(AH665&gt;0,YEAR(TODAY())+'תקציבים מיוחדים'!$F$7-HEVARIM[[#This Row],[גיל]],0)</f>
        <v>0</v>
      </c>
      <c r="AJ665" s="9">
        <f>IF(AND(ISERROR(VLOOKUP(H665,'[2]ריכוז נתונים'!A:L,1,0)),P665="1     "),1,0)</f>
        <v>0</v>
      </c>
      <c r="AK665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5" s="1">
        <f>IF(AND(VALUE(HEVARIM[[#This Row],[קוד מעמד]])=1,HEVARIM[[#This Row],[ותק מחברה 40]]&lt;25),HEVARIM[[#This Row],[ותק מחברה 40]]/25*הנחות!$C$4,0)</f>
        <v>0</v>
      </c>
      <c r="AM665" s="9" t="str">
        <f ca="1">IF(HEVARIM[[#This Row],[דמי עזיבה 25 שנות ותק]]&gt;0,YEAR(TODAY())+25-ROUNDDOWN(HEVARIM[[#This Row],[ותק מחברה 40]],0),"")</f>
        <v/>
      </c>
      <c r="AN66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5" s="9" t="str">
        <f ca="1">IF(HEVARIM[[#This Row],[דמי עזיבה לגיל 65]]&gt;0,YEAR(TODAY())+64-ROUNDDOWN(HEVARIM[[#This Row],[גיל]],0),"")</f>
        <v/>
      </c>
      <c r="AP665" s="1">
        <f>SUMIF(HEVARIM[קוד תקציב],HEVARIM[[#This Row],[קוד תקציב משפחה מקורי]],HEVARIM[ותק מחברה 40])</f>
        <v>0</v>
      </c>
      <c r="AQ66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5" s="9">
        <f>IF(HEVARIM[[#This Row],[קוד מעמד]]="1     ",IFERROR(VLOOKUP(HEVARIM[[#This Row],[קוד תקציב]],'תקציב צביעה - לקראת השינוי'!A:F,4,0),0),0)</f>
        <v>0</v>
      </c>
      <c r="AT665" s="1"/>
    </row>
    <row r="666" spans="1:46">
      <c r="A666" t="s">
        <v>3227</v>
      </c>
      <c r="B666" t="s">
        <v>3228</v>
      </c>
      <c r="C666" t="s">
        <v>3229</v>
      </c>
      <c r="D666" t="s">
        <v>3230</v>
      </c>
      <c r="E666" t="s">
        <v>67</v>
      </c>
      <c r="F666" s="4">
        <v>35794</v>
      </c>
      <c r="G666">
        <v>28</v>
      </c>
      <c r="H666" t="s">
        <v>3231</v>
      </c>
      <c r="I666" t="s">
        <v>3232</v>
      </c>
      <c r="J666" s="4" t="s">
        <v>70</v>
      </c>
      <c r="K666" s="4" t="s">
        <v>81</v>
      </c>
      <c r="L666" t="s">
        <v>3233</v>
      </c>
      <c r="M666" t="s">
        <v>3227</v>
      </c>
      <c r="N666" t="s">
        <v>3228</v>
      </c>
      <c r="O666">
        <f>IFERROR(VLOOKUP(HEVARIM[[#This Row],[קוד תקציב]],[2]תקציבים!A:L,6,0),0)</f>
        <v>0</v>
      </c>
      <c r="P666" s="5" t="s">
        <v>83</v>
      </c>
      <c r="Q666" t="s">
        <v>15</v>
      </c>
      <c r="R666" s="4">
        <v>45140</v>
      </c>
      <c r="S666" s="4" t="s">
        <v>74</v>
      </c>
      <c r="T666" s="96" t="s">
        <v>3231</v>
      </c>
      <c r="U666" t="str">
        <f>VLOOKUP(HEVARIM[[#This Row],[גיל]],GIL,2,1)</f>
        <v>--</v>
      </c>
      <c r="V666" t="str">
        <f>IF(HEVARIM[[#This Row],[קוד מעמד]]="4     ",IF(HEVARIM[[#This Row],[גיל]]=1,1,IF(HEVARIM[[#This Row],[גיל]]&lt;=5,5,18)),"")</f>
        <v/>
      </c>
      <c r="W666">
        <f t="shared" si="40"/>
        <v>0</v>
      </c>
      <c r="X666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6">
        <f>IF(HEVARIM[[#This Row],[מצב משפחתי2]]="אלמן",'[2]ריכוז נתונים'!$AC$2,0)</f>
        <v>0</v>
      </c>
      <c r="Z666" s="3">
        <f>VLOOKUP(VALUE(HEVARIM[[#This Row],[קוד מעמד]]),הנחות!$I$2:$K$21,3,0)</f>
        <v>0</v>
      </c>
      <c r="AA666" t="b">
        <f>ISERROR(VLOOKUP(HEVARIM[[#This Row],[קוד תקציב]],'[2]ריכוז נתונים'!A:A,1,0))</f>
        <v>1</v>
      </c>
      <c r="AB666" s="1">
        <f t="shared" si="41"/>
        <v>0</v>
      </c>
      <c r="AC666" s="2">
        <f ca="1">IF(HEVARIM[[#This Row],[בר מצוה]]&gt;0,YEAR(TODAY())+'תקציבים מיוחדים'!$F$5-HEVARIM[[#This Row],[גיל]],0)</f>
        <v>0</v>
      </c>
      <c r="AD666" s="1">
        <f t="shared" si="42"/>
        <v>0</v>
      </c>
      <c r="AE666" s="2">
        <f ca="1">IF(HEVARIM[[#This Row],[בת מצוה]]&gt;0,YEAR(TODAY())+'תקציבים מיוחדים'!$F$5-HEVARIM[[#This Row],[גיל]],0)</f>
        <v>0</v>
      </c>
      <c r="AF666" s="1">
        <f>IF(AND($S666&gt;="רווק",$Z666=1),AF$4*IF(HEVARIM[[#This Row],[גיל]]&gt;$AF$3,1,(($G666-AF$2)/(AF$3-AF$2))),0)</f>
        <v>0</v>
      </c>
      <c r="AG66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6" s="1">
        <f t="shared" si="43"/>
        <v>0</v>
      </c>
      <c r="AI666" s="2">
        <f ca="1">IF(AH666&gt;0,YEAR(TODAY())+'תקציבים מיוחדים'!$F$7-HEVARIM[[#This Row],[גיל]],0)</f>
        <v>0</v>
      </c>
      <c r="AJ666" s="9">
        <f>IF(AND(ISERROR(VLOOKUP(H666,'[2]ריכוז נתונים'!A:L,1,0)),P666="1     "),1,0)</f>
        <v>0</v>
      </c>
      <c r="AK666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6" s="1">
        <f>IF(AND(VALUE(HEVARIM[[#This Row],[קוד מעמד]])=1,HEVARIM[[#This Row],[ותק מחברה 40]]&lt;25),HEVARIM[[#This Row],[ותק מחברה 40]]/25*הנחות!$C$4,0)</f>
        <v>0</v>
      </c>
      <c r="AM666" s="9" t="str">
        <f ca="1">IF(HEVARIM[[#This Row],[דמי עזיבה 25 שנות ותק]]&gt;0,YEAR(TODAY())+25-ROUNDDOWN(HEVARIM[[#This Row],[ותק מחברה 40]],0),"")</f>
        <v/>
      </c>
      <c r="AN66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6" s="9" t="str">
        <f ca="1">IF(HEVARIM[[#This Row],[דמי עזיבה לגיל 65]]&gt;0,YEAR(TODAY())+64-ROUNDDOWN(HEVARIM[[#This Row],[גיל]],0),"")</f>
        <v/>
      </c>
      <c r="AP666" s="1">
        <f>SUMIF(HEVARIM[קוד תקציב],HEVARIM[[#This Row],[קוד תקציב משפחה מקורי]],HEVARIM[ותק מחברה 40])</f>
        <v>0</v>
      </c>
      <c r="AQ66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6" s="9">
        <f>IF(HEVARIM[[#This Row],[קוד מעמד]]="1     ",IFERROR(VLOOKUP(HEVARIM[[#This Row],[קוד תקציב]],'תקציב צביעה - לקראת השינוי'!A:F,4,0),0),0)</f>
        <v>0</v>
      </c>
      <c r="AT666" s="1"/>
    </row>
    <row r="667" spans="1:46">
      <c r="A667" t="s">
        <v>3241</v>
      </c>
      <c r="B667" t="s">
        <v>3242</v>
      </c>
      <c r="C667" t="s">
        <v>375</v>
      </c>
      <c r="D667" t="s">
        <v>399</v>
      </c>
      <c r="E667" t="s">
        <v>67</v>
      </c>
      <c r="F667" s="4">
        <v>35321</v>
      </c>
      <c r="G667">
        <v>29</v>
      </c>
      <c r="H667" t="s">
        <v>3243</v>
      </c>
      <c r="I667" t="s">
        <v>3244</v>
      </c>
      <c r="J667" s="4" t="s">
        <v>70</v>
      </c>
      <c r="K667" s="4" t="s">
        <v>81</v>
      </c>
      <c r="L667" t="s">
        <v>3245</v>
      </c>
      <c r="M667" t="s">
        <v>3241</v>
      </c>
      <c r="N667" t="s">
        <v>3242</v>
      </c>
      <c r="O667">
        <f>IFERROR(VLOOKUP(HEVARIM[[#This Row],[קוד תקציב]],[2]תקציבים!A:L,6,0),0)</f>
        <v>0</v>
      </c>
      <c r="P667" s="5" t="s">
        <v>1459</v>
      </c>
      <c r="Q667" t="s">
        <v>29</v>
      </c>
      <c r="R667" s="4">
        <v>45505</v>
      </c>
      <c r="S667" s="4" t="s">
        <v>74</v>
      </c>
      <c r="T667" s="96" t="s">
        <v>3243</v>
      </c>
      <c r="U667" t="str">
        <f>VLOOKUP(HEVARIM[[#This Row],[גיל]],GIL,2,1)</f>
        <v>--</v>
      </c>
      <c r="V667" t="str">
        <f>IF(HEVARIM[[#This Row],[קוד מעמד]]="4     ",IF(HEVARIM[[#This Row],[גיל]]=1,1,IF(HEVARIM[[#This Row],[גיל]]&lt;=5,5,18)),"")</f>
        <v/>
      </c>
      <c r="W667">
        <f t="shared" si="40"/>
        <v>0</v>
      </c>
      <c r="X667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7">
        <f>IF(HEVARIM[[#This Row],[מצב משפחתי2]]="אלמן",'[2]ריכוז נתונים'!$AC$2,0)</f>
        <v>0</v>
      </c>
      <c r="Z667" s="3">
        <f>VLOOKUP(VALUE(HEVARIM[[#This Row],[קוד מעמד]]),הנחות!$I$2:$K$21,3,0)</f>
        <v>0</v>
      </c>
      <c r="AA667" t="b">
        <f>ISERROR(VLOOKUP(HEVARIM[[#This Row],[קוד תקציב]],'[2]ריכוז נתונים'!A:A,1,0))</f>
        <v>1</v>
      </c>
      <c r="AB667" s="1">
        <f t="shared" si="41"/>
        <v>0</v>
      </c>
      <c r="AC667" s="2">
        <f ca="1">IF(HEVARIM[[#This Row],[בר מצוה]]&gt;0,YEAR(TODAY())+'תקציבים מיוחדים'!$F$5-HEVARIM[[#This Row],[גיל]],0)</f>
        <v>0</v>
      </c>
      <c r="AD667" s="1">
        <f t="shared" si="42"/>
        <v>0</v>
      </c>
      <c r="AE667" s="2">
        <f ca="1">IF(HEVARIM[[#This Row],[בת מצוה]]&gt;0,YEAR(TODAY())+'תקציבים מיוחדים'!$F$5-HEVARIM[[#This Row],[גיל]],0)</f>
        <v>0</v>
      </c>
      <c r="AF667" s="1">
        <f>IF(AND($S667&gt;="רווק",$Z667=1),AF$4*IF(HEVARIM[[#This Row],[גיל]]&gt;$AF$3,1,(($G667-AF$2)/(AF$3-AF$2))),0)</f>
        <v>0</v>
      </c>
      <c r="AG66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7" s="1">
        <f t="shared" si="43"/>
        <v>0</v>
      </c>
      <c r="AI667" s="2">
        <f ca="1">IF(AH667&gt;0,YEAR(TODAY())+'תקציבים מיוחדים'!$F$7-HEVARIM[[#This Row],[גיל]],0)</f>
        <v>0</v>
      </c>
      <c r="AJ667" s="9">
        <f>IF(AND(ISERROR(VLOOKUP(H667,'[2]ריכוז נתונים'!A:L,1,0)),P667="1     "),1,0)</f>
        <v>0</v>
      </c>
      <c r="AK667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7" s="1">
        <f>IF(AND(VALUE(HEVARIM[[#This Row],[קוד מעמד]])=1,HEVARIM[[#This Row],[ותק מחברה 40]]&lt;25),HEVARIM[[#This Row],[ותק מחברה 40]]/25*הנחות!$C$4,0)</f>
        <v>0</v>
      </c>
      <c r="AM667" s="9" t="str">
        <f ca="1">IF(HEVARIM[[#This Row],[דמי עזיבה 25 שנות ותק]]&gt;0,YEAR(TODAY())+25-ROUNDDOWN(HEVARIM[[#This Row],[ותק מחברה 40]],0),"")</f>
        <v/>
      </c>
      <c r="AN66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7" s="9" t="str">
        <f ca="1">IF(HEVARIM[[#This Row],[דמי עזיבה לגיל 65]]&gt;0,YEAR(TODAY())+64-ROUNDDOWN(HEVARIM[[#This Row],[גיל]],0),"")</f>
        <v/>
      </c>
      <c r="AP667" s="1">
        <f>SUMIF(HEVARIM[קוד תקציב],HEVARIM[[#This Row],[קוד תקציב משפחה מקורי]],HEVARIM[ותק מחברה 40])</f>
        <v>0</v>
      </c>
      <c r="AQ66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7" s="9">
        <f>IF(HEVARIM[[#This Row],[קוד מעמד]]="1     ",IFERROR(VLOOKUP(HEVARIM[[#This Row],[קוד תקציב]],'תקציב צביעה - לקראת השינוי'!A:F,4,0),0),0)</f>
        <v>0</v>
      </c>
      <c r="AT667" s="1"/>
    </row>
    <row r="668" spans="1:46">
      <c r="A668" t="s">
        <v>3246</v>
      </c>
      <c r="B668" t="s">
        <v>3247</v>
      </c>
      <c r="C668" t="s">
        <v>375</v>
      </c>
      <c r="D668" t="s">
        <v>503</v>
      </c>
      <c r="E668" t="s">
        <v>79</v>
      </c>
      <c r="F668" s="4">
        <v>36326</v>
      </c>
      <c r="G668">
        <v>26</v>
      </c>
      <c r="H668" t="s">
        <v>3243</v>
      </c>
      <c r="I668" t="s">
        <v>3244</v>
      </c>
      <c r="J668" s="4" t="s">
        <v>70</v>
      </c>
      <c r="K668" s="4" t="s">
        <v>81</v>
      </c>
      <c r="L668" t="s">
        <v>3248</v>
      </c>
      <c r="M668" t="s">
        <v>3241</v>
      </c>
      <c r="N668" t="s">
        <v>3242</v>
      </c>
      <c r="O668">
        <f>IFERROR(VLOOKUP(HEVARIM[[#This Row],[קוד תקציב]],[2]תקציבים!A:L,6,0),0)</f>
        <v>0</v>
      </c>
      <c r="P668" s="5" t="s">
        <v>1459</v>
      </c>
      <c r="Q668" t="s">
        <v>29</v>
      </c>
      <c r="R668" s="4">
        <v>45505</v>
      </c>
      <c r="S668" s="4" t="s">
        <v>74</v>
      </c>
      <c r="T668" s="96" t="s">
        <v>3243</v>
      </c>
      <c r="U668" t="str">
        <f>VLOOKUP(HEVARIM[[#This Row],[גיל]],GIL,2,1)</f>
        <v>--</v>
      </c>
      <c r="V668" t="str">
        <f>IF(HEVARIM[[#This Row],[קוד מעמד]]="4     ",IF(HEVARIM[[#This Row],[גיל]]=1,1,IF(HEVARIM[[#This Row],[גיל]]&lt;=5,5,18)),"")</f>
        <v/>
      </c>
      <c r="W668">
        <f t="shared" si="40"/>
        <v>0</v>
      </c>
      <c r="X66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8">
        <f>IF(HEVARIM[[#This Row],[מצב משפחתי2]]="אלמן",'[2]ריכוז נתונים'!$AC$2,0)</f>
        <v>0</v>
      </c>
      <c r="Z668" s="3">
        <f>VLOOKUP(VALUE(HEVARIM[[#This Row],[קוד מעמד]]),הנחות!$I$2:$K$21,3,0)</f>
        <v>0</v>
      </c>
      <c r="AA668" t="b">
        <f>ISERROR(VLOOKUP(HEVARIM[[#This Row],[קוד תקציב]],'[2]ריכוז נתונים'!A:A,1,0))</f>
        <v>1</v>
      </c>
      <c r="AB668" s="1">
        <f t="shared" si="41"/>
        <v>0</v>
      </c>
      <c r="AC668" s="2">
        <f ca="1">IF(HEVARIM[[#This Row],[בר מצוה]]&gt;0,YEAR(TODAY())+'תקציבים מיוחדים'!$F$5-HEVARIM[[#This Row],[גיל]],0)</f>
        <v>0</v>
      </c>
      <c r="AD668" s="1">
        <f t="shared" si="42"/>
        <v>0</v>
      </c>
      <c r="AE668" s="2">
        <f ca="1">IF(HEVARIM[[#This Row],[בת מצוה]]&gt;0,YEAR(TODAY())+'תקציבים מיוחדים'!$F$5-HEVARIM[[#This Row],[גיל]],0)</f>
        <v>0</v>
      </c>
      <c r="AF668" s="1">
        <f>IF(AND($S668&gt;="רווק",$Z668=1),AF$4*IF(HEVARIM[[#This Row],[גיל]]&gt;$AF$3,1,(($G668-AF$2)/(AF$3-AF$2))),0)</f>
        <v>0</v>
      </c>
      <c r="AG66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8" s="1">
        <f t="shared" si="43"/>
        <v>0</v>
      </c>
      <c r="AI668" s="2">
        <f ca="1">IF(AH668&gt;0,YEAR(TODAY())+'תקציבים מיוחדים'!$F$7-HEVARIM[[#This Row],[גיל]],0)</f>
        <v>0</v>
      </c>
      <c r="AJ668" s="9">
        <f>IF(AND(ISERROR(VLOOKUP(H668,'[2]ריכוז נתונים'!A:L,1,0)),P668="1     "),1,0)</f>
        <v>0</v>
      </c>
      <c r="AK668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8" s="1">
        <f>IF(AND(VALUE(HEVARIM[[#This Row],[קוד מעמד]])=1,HEVARIM[[#This Row],[ותק מחברה 40]]&lt;25),HEVARIM[[#This Row],[ותק מחברה 40]]/25*הנחות!$C$4,0)</f>
        <v>0</v>
      </c>
      <c r="AM668" s="9" t="str">
        <f ca="1">IF(HEVARIM[[#This Row],[דמי עזיבה 25 שנות ותק]]&gt;0,YEAR(TODAY())+25-ROUNDDOWN(HEVARIM[[#This Row],[ותק מחברה 40]],0),"")</f>
        <v/>
      </c>
      <c r="AN66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8" s="9" t="str">
        <f ca="1">IF(HEVARIM[[#This Row],[דמי עזיבה לגיל 65]]&gt;0,YEAR(TODAY())+64-ROUNDDOWN(HEVARIM[[#This Row],[גיל]],0),"")</f>
        <v/>
      </c>
      <c r="AP668" s="1">
        <f>SUMIF(HEVARIM[קוד תקציב],HEVARIM[[#This Row],[קוד תקציב משפחה מקורי]],HEVARIM[ותק מחברה 40])</f>
        <v>0</v>
      </c>
      <c r="AQ66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8" s="9">
        <f>IF(HEVARIM[[#This Row],[קוד מעמד]]="1     ",IFERROR(VLOOKUP(HEVARIM[[#This Row],[קוד תקציב]],'תקציב צביעה - לקראת השינוי'!A:F,4,0),0),0)</f>
        <v>0</v>
      </c>
      <c r="AT668" s="1"/>
    </row>
    <row r="669" spans="1:46">
      <c r="A669" t="s">
        <v>3249</v>
      </c>
      <c r="B669" t="s">
        <v>3250</v>
      </c>
      <c r="C669" t="s">
        <v>375</v>
      </c>
      <c r="D669" t="s">
        <v>2037</v>
      </c>
      <c r="E669" t="s">
        <v>67</v>
      </c>
      <c r="F669" s="4">
        <v>45778</v>
      </c>
      <c r="G669">
        <v>0</v>
      </c>
      <c r="H669" t="s">
        <v>3243</v>
      </c>
      <c r="I669" t="s">
        <v>3244</v>
      </c>
      <c r="J669" s="4" t="s">
        <v>70</v>
      </c>
      <c r="K669" s="4" t="s">
        <v>81</v>
      </c>
      <c r="L669" t="s">
        <v>3251</v>
      </c>
      <c r="M669" t="s">
        <v>3241</v>
      </c>
      <c r="N669" t="s">
        <v>3242</v>
      </c>
      <c r="O669">
        <f>IFERROR(VLOOKUP(HEVARIM[[#This Row],[קוד תקציב]],[2]תקציבים!A:L,6,0),0)</f>
        <v>0</v>
      </c>
      <c r="P669" s="5" t="s">
        <v>89</v>
      </c>
      <c r="Q669" t="s">
        <v>19</v>
      </c>
      <c r="R669" s="4">
        <v>45778</v>
      </c>
      <c r="S669" s="4" t="s">
        <v>90</v>
      </c>
      <c r="T669" s="96" t="s">
        <v>3243</v>
      </c>
      <c r="U669" t="str">
        <f>VLOOKUP(HEVARIM[[#This Row],[גיל]],GIL,2,1)</f>
        <v>פעוט</v>
      </c>
      <c r="V669" t="str">
        <f>IF(HEVARIM[[#This Row],[קוד מעמד]]="4     ",IF(HEVARIM[[#This Row],[גיל]]=1,1,IF(HEVARIM[[#This Row],[גיל]]&lt;=5,5,18)),"")</f>
        <v/>
      </c>
      <c r="W669">
        <f t="shared" si="40"/>
        <v>0</v>
      </c>
      <c r="X66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69">
        <f>IF(HEVARIM[[#This Row],[מצב משפחתי2]]="אלמן",'[2]ריכוז נתונים'!$AC$2,0)</f>
        <v>0</v>
      </c>
      <c r="Z669" s="3">
        <f>VLOOKUP(VALUE(HEVARIM[[#This Row],[קוד מעמד]]),הנחות!$I$2:$K$21,3,0)</f>
        <v>0</v>
      </c>
      <c r="AA669" t="b">
        <f>ISERROR(VLOOKUP(HEVARIM[[#This Row],[קוד תקציב]],'[2]ריכוז נתונים'!A:A,1,0))</f>
        <v>1</v>
      </c>
      <c r="AB669" s="1">
        <f t="shared" si="41"/>
        <v>0</v>
      </c>
      <c r="AC669" s="2">
        <f ca="1">IF(HEVARIM[[#This Row],[בר מצוה]]&gt;0,YEAR(TODAY())+'תקציבים מיוחדים'!$F$5-HEVARIM[[#This Row],[גיל]],0)</f>
        <v>0</v>
      </c>
      <c r="AD669" s="1">
        <f t="shared" si="42"/>
        <v>0</v>
      </c>
      <c r="AE669" s="2">
        <f ca="1">IF(HEVARIM[[#This Row],[בת מצוה]]&gt;0,YEAR(TODAY())+'תקציבים מיוחדים'!$F$5-HEVARIM[[#This Row],[גיל]],0)</f>
        <v>0</v>
      </c>
      <c r="AF669" s="1">
        <f>IF(AND($S669&gt;="רווק",$Z669=1),AF$4*IF(HEVARIM[[#This Row],[גיל]]&gt;$AF$3,1,(($G669-AF$2)/(AF$3-AF$2))),0)</f>
        <v>0</v>
      </c>
      <c r="AG66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69" s="1">
        <f t="shared" si="43"/>
        <v>0</v>
      </c>
      <c r="AI669" s="2">
        <f ca="1">IF(AH669&gt;0,YEAR(TODAY())+'תקציבים מיוחדים'!$F$7-HEVARIM[[#This Row],[גיל]],0)</f>
        <v>0</v>
      </c>
      <c r="AJ669" s="9">
        <f>IF(AND(ISERROR(VLOOKUP(H669,'[2]ריכוז נתונים'!A:L,1,0)),P669="1     "),1,0)</f>
        <v>0</v>
      </c>
      <c r="AK669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69" s="1">
        <f>IF(AND(VALUE(HEVARIM[[#This Row],[קוד מעמד]])=1,HEVARIM[[#This Row],[ותק מחברה 40]]&lt;25),HEVARIM[[#This Row],[ותק מחברה 40]]/25*הנחות!$C$4,0)</f>
        <v>0</v>
      </c>
      <c r="AM669" s="9" t="str">
        <f ca="1">IF(HEVARIM[[#This Row],[דמי עזיבה 25 שנות ותק]]&gt;0,YEAR(TODAY())+25-ROUNDDOWN(HEVARIM[[#This Row],[ותק מחברה 40]],0),"")</f>
        <v/>
      </c>
      <c r="AN66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69" s="9" t="str">
        <f ca="1">IF(HEVARIM[[#This Row],[דמי עזיבה לגיל 65]]&gt;0,YEAR(TODAY())+64-ROUNDDOWN(HEVARIM[[#This Row],[גיל]],0),"")</f>
        <v/>
      </c>
      <c r="AP669" s="1">
        <f>SUMIF(HEVARIM[קוד תקציב],HEVARIM[[#This Row],[קוד תקציב משפחה מקורי]],HEVARIM[ותק מחברה 40])</f>
        <v>0</v>
      </c>
      <c r="AQ66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6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69" s="9">
        <f>IF(HEVARIM[[#This Row],[קוד מעמד]]="1     ",IFERROR(VLOOKUP(HEVARIM[[#This Row],[קוד תקציב]],'תקציב צביעה - לקראת השינוי'!A:F,4,0),0),0)</f>
        <v>0</v>
      </c>
      <c r="AT669" s="1"/>
    </row>
    <row r="670" spans="1:46">
      <c r="A670" t="s">
        <v>3252</v>
      </c>
      <c r="B670" t="s">
        <v>3253</v>
      </c>
      <c r="C670" t="s">
        <v>3254</v>
      </c>
      <c r="D670" t="s">
        <v>902</v>
      </c>
      <c r="E670" t="s">
        <v>67</v>
      </c>
      <c r="F670" s="4">
        <v>36349</v>
      </c>
      <c r="G670">
        <v>26</v>
      </c>
      <c r="H670" t="s">
        <v>3784</v>
      </c>
      <c r="I670" t="s">
        <v>3255</v>
      </c>
      <c r="J670" s="4" t="s">
        <v>70</v>
      </c>
      <c r="K670" s="4" t="s">
        <v>81</v>
      </c>
      <c r="L670" t="s">
        <v>3256</v>
      </c>
      <c r="M670" t="s">
        <v>3252</v>
      </c>
      <c r="N670" t="s">
        <v>3253</v>
      </c>
      <c r="O670">
        <f>IFERROR(VLOOKUP(HEVARIM[[#This Row],[קוד תקציב]],[2]תקציבים!A:L,6,0),0)</f>
        <v>0</v>
      </c>
      <c r="P670" s="5" t="s">
        <v>1459</v>
      </c>
      <c r="Q670" t="s">
        <v>29</v>
      </c>
      <c r="R670" s="4">
        <v>45597</v>
      </c>
      <c r="S670" s="4" t="s">
        <v>74</v>
      </c>
      <c r="T670" s="96" t="s">
        <v>3784</v>
      </c>
      <c r="U670" t="str">
        <f>VLOOKUP(HEVARIM[[#This Row],[גיל]],GIL,2,1)</f>
        <v>--</v>
      </c>
      <c r="V670" t="str">
        <f>IF(HEVARIM[[#This Row],[קוד מעמד]]="4     ",IF(HEVARIM[[#This Row],[גיל]]=1,1,IF(HEVARIM[[#This Row],[גיל]]&lt;=5,5,18)),"")</f>
        <v/>
      </c>
      <c r="W670">
        <f t="shared" si="40"/>
        <v>0</v>
      </c>
      <c r="X67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70">
        <f>IF(HEVARIM[[#This Row],[מצב משפחתי2]]="אלמן",'[2]ריכוז נתונים'!$AC$2,0)</f>
        <v>0</v>
      </c>
      <c r="Z670" s="3">
        <f>VLOOKUP(VALUE(HEVARIM[[#This Row],[קוד מעמד]]),הנחות!$I$2:$K$21,3,0)</f>
        <v>0</v>
      </c>
      <c r="AA670" t="b">
        <f>ISERROR(VLOOKUP(HEVARIM[[#This Row],[קוד תקציב]],'[2]ריכוז נתונים'!A:A,1,0))</f>
        <v>1</v>
      </c>
      <c r="AB670" s="1">
        <f t="shared" si="41"/>
        <v>0</v>
      </c>
      <c r="AC670" s="2">
        <f ca="1">IF(HEVARIM[[#This Row],[בר מצוה]]&gt;0,YEAR(TODAY())+'תקציבים מיוחדים'!$F$5-HEVARIM[[#This Row],[גיל]],0)</f>
        <v>0</v>
      </c>
      <c r="AD670" s="1">
        <f t="shared" si="42"/>
        <v>0</v>
      </c>
      <c r="AE670" s="2">
        <f ca="1">IF(HEVARIM[[#This Row],[בת מצוה]]&gt;0,YEAR(TODAY())+'תקציבים מיוחדים'!$F$5-HEVARIM[[#This Row],[גיל]],0)</f>
        <v>0</v>
      </c>
      <c r="AF670" s="1">
        <f>IF(AND($S670&gt;="רווק",$Z670=1),AF$4*IF(HEVARIM[[#This Row],[גיל]]&gt;$AF$3,1,(($G670-AF$2)/(AF$3-AF$2))),0)</f>
        <v>0</v>
      </c>
      <c r="AG67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0" s="1">
        <f t="shared" si="43"/>
        <v>0</v>
      </c>
      <c r="AI670" s="2">
        <f ca="1">IF(AH670&gt;0,YEAR(TODAY())+'תקציבים מיוחדים'!$F$7-HEVARIM[[#This Row],[גיל]],0)</f>
        <v>0</v>
      </c>
      <c r="AJ670" s="9">
        <f>IF(AND(ISERROR(VLOOKUP(H670,'[2]ריכוז נתונים'!A:L,1,0)),P670="1     "),1,0)</f>
        <v>0</v>
      </c>
      <c r="AK670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70" s="1">
        <f>IF(AND(VALUE(HEVARIM[[#This Row],[קוד מעמד]])=1,HEVARIM[[#This Row],[ותק מחברה 40]]&lt;25),HEVARIM[[#This Row],[ותק מחברה 40]]/25*הנחות!$C$4,0)</f>
        <v>0</v>
      </c>
      <c r="AM670" s="9" t="str">
        <f ca="1">IF(HEVARIM[[#This Row],[דמי עזיבה 25 שנות ותק]]&gt;0,YEAR(TODAY())+25-ROUNDDOWN(HEVARIM[[#This Row],[ותק מחברה 40]],0),"")</f>
        <v/>
      </c>
      <c r="AN67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0" s="9" t="str">
        <f ca="1">IF(HEVARIM[[#This Row],[דמי עזיבה לגיל 65]]&gt;0,YEAR(TODAY())+64-ROUNDDOWN(HEVARIM[[#This Row],[גיל]],0),"")</f>
        <v/>
      </c>
      <c r="AP670" s="1">
        <f>SUMIF(HEVARIM[קוד תקציב],HEVARIM[[#This Row],[קוד תקציב משפחה מקורי]],HEVARIM[ותק מחברה 40])</f>
        <v>0</v>
      </c>
      <c r="AQ67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70" s="9">
        <f>IF(HEVARIM[[#This Row],[קוד מעמד]]="1     ",IFERROR(VLOOKUP(HEVARIM[[#This Row],[קוד תקציב]],'תקציב צביעה - לקראת השינוי'!A:F,4,0),0),0)</f>
        <v>0</v>
      </c>
      <c r="AT670" s="1"/>
    </row>
    <row r="671" spans="1:46">
      <c r="A671" t="s">
        <v>3257</v>
      </c>
      <c r="B671" t="s">
        <v>3258</v>
      </c>
      <c r="C671" t="s">
        <v>3254</v>
      </c>
      <c r="D671" t="s">
        <v>341</v>
      </c>
      <c r="E671" t="s">
        <v>79</v>
      </c>
      <c r="F671" s="4">
        <v>37357</v>
      </c>
      <c r="G671">
        <v>23</v>
      </c>
      <c r="H671" t="s">
        <v>3784</v>
      </c>
      <c r="I671" t="s">
        <v>3255</v>
      </c>
      <c r="J671" s="4" t="s">
        <v>70</v>
      </c>
      <c r="K671" s="4" t="s">
        <v>81</v>
      </c>
      <c r="L671" t="s">
        <v>3259</v>
      </c>
      <c r="M671" t="s">
        <v>3252</v>
      </c>
      <c r="N671" t="s">
        <v>3253</v>
      </c>
      <c r="O671">
        <f>IFERROR(VLOOKUP(HEVARIM[[#This Row],[קוד תקציב]],[2]תקציבים!A:L,6,0),0)</f>
        <v>0</v>
      </c>
      <c r="P671" s="5" t="s">
        <v>1459</v>
      </c>
      <c r="Q671" t="s">
        <v>29</v>
      </c>
      <c r="R671" s="4">
        <v>45597</v>
      </c>
      <c r="S671" s="4" t="s">
        <v>74</v>
      </c>
      <c r="T671" s="96" t="s">
        <v>3784</v>
      </c>
      <c r="U671" t="str">
        <f>VLOOKUP(HEVARIM[[#This Row],[גיל]],GIL,2,1)</f>
        <v>--</v>
      </c>
      <c r="V671" t="str">
        <f>IF(HEVARIM[[#This Row],[קוד מעמד]]="4     ",IF(HEVARIM[[#This Row],[גיל]]=1,1,IF(HEVARIM[[#This Row],[גיל]]&lt;=5,5,18)),"")</f>
        <v/>
      </c>
      <c r="W671">
        <f t="shared" si="40"/>
        <v>0</v>
      </c>
      <c r="X67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71">
        <f>IF(HEVARIM[[#This Row],[מצב משפחתי2]]="אלמן",'[2]ריכוז נתונים'!$AC$2,0)</f>
        <v>0</v>
      </c>
      <c r="Z671" s="3">
        <f>VLOOKUP(VALUE(HEVARIM[[#This Row],[קוד מעמד]]),הנחות!$I$2:$K$21,3,0)</f>
        <v>0</v>
      </c>
      <c r="AA671" t="b">
        <f>ISERROR(VLOOKUP(HEVARIM[[#This Row],[קוד תקציב]],'[2]ריכוז נתונים'!A:A,1,0))</f>
        <v>1</v>
      </c>
      <c r="AB671" s="1">
        <f t="shared" si="41"/>
        <v>0</v>
      </c>
      <c r="AC671" s="2">
        <f ca="1">IF(HEVARIM[[#This Row],[בר מצוה]]&gt;0,YEAR(TODAY())+'תקציבים מיוחדים'!$F$5-HEVARIM[[#This Row],[גיל]],0)</f>
        <v>0</v>
      </c>
      <c r="AD671" s="1">
        <f t="shared" si="42"/>
        <v>0</v>
      </c>
      <c r="AE671" s="2">
        <f ca="1">IF(HEVARIM[[#This Row],[בת מצוה]]&gt;0,YEAR(TODAY())+'תקציבים מיוחדים'!$F$5-HEVARIM[[#This Row],[גיל]],0)</f>
        <v>0</v>
      </c>
      <c r="AF671" s="1">
        <f>IF(AND($S671&gt;="רווק",$Z671=1),AF$4*IF(HEVARIM[[#This Row],[גיל]]&gt;$AF$3,1,(($G671-AF$2)/(AF$3-AF$2))),0)</f>
        <v>0</v>
      </c>
      <c r="AG67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1" s="1">
        <f t="shared" si="43"/>
        <v>0</v>
      </c>
      <c r="AI671" s="2">
        <f ca="1">IF(AH671&gt;0,YEAR(TODAY())+'תקציבים מיוחדים'!$F$7-HEVARIM[[#This Row],[גיל]],0)</f>
        <v>0</v>
      </c>
      <c r="AJ671" s="9">
        <f>IF(AND(ISERROR(VLOOKUP(H671,'[2]ריכוז נתונים'!A:L,1,0)),P671="1     "),1,0)</f>
        <v>0</v>
      </c>
      <c r="AK671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71" s="1">
        <f>IF(AND(VALUE(HEVARIM[[#This Row],[קוד מעמד]])=1,HEVARIM[[#This Row],[ותק מחברה 40]]&lt;25),HEVARIM[[#This Row],[ותק מחברה 40]]/25*הנחות!$C$4,0)</f>
        <v>0</v>
      </c>
      <c r="AM671" s="9" t="str">
        <f ca="1">IF(HEVARIM[[#This Row],[דמי עזיבה 25 שנות ותק]]&gt;0,YEAR(TODAY())+25-ROUNDDOWN(HEVARIM[[#This Row],[ותק מחברה 40]],0),"")</f>
        <v/>
      </c>
      <c r="AN67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1" s="9" t="str">
        <f ca="1">IF(HEVARIM[[#This Row],[דמי עזיבה לגיל 65]]&gt;0,YEAR(TODAY())+64-ROUNDDOWN(HEVARIM[[#This Row],[גיל]],0),"")</f>
        <v/>
      </c>
      <c r="AP671" s="1">
        <f>SUMIF(HEVARIM[קוד תקציב],HEVARIM[[#This Row],[קוד תקציב משפחה מקורי]],HEVARIM[ותק מחברה 40])</f>
        <v>0</v>
      </c>
      <c r="AQ67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71" s="9">
        <f>IF(HEVARIM[[#This Row],[קוד מעמד]]="1     ",IFERROR(VLOOKUP(HEVARIM[[#This Row],[קוד תקציב]],'תקציב צביעה - לקראת השינוי'!A:F,4,0),0),0)</f>
        <v>0</v>
      </c>
      <c r="AT671" s="1"/>
    </row>
    <row r="672" spans="1:46">
      <c r="A672" t="s">
        <v>3841</v>
      </c>
      <c r="B672" t="s">
        <v>3842</v>
      </c>
      <c r="C672" t="s">
        <v>1425</v>
      </c>
      <c r="D672" t="s">
        <v>3843</v>
      </c>
      <c r="E672" t="s">
        <v>79</v>
      </c>
      <c r="F672" s="4">
        <v>37879</v>
      </c>
      <c r="G672">
        <v>22</v>
      </c>
      <c r="H672" t="s">
        <v>3844</v>
      </c>
      <c r="I672" t="s">
        <v>3845</v>
      </c>
      <c r="J672" s="4" t="s">
        <v>70</v>
      </c>
      <c r="K672" s="4" t="s">
        <v>3210</v>
      </c>
      <c r="L672" t="s">
        <v>3846</v>
      </c>
      <c r="M672" t="s">
        <v>3841</v>
      </c>
      <c r="N672" t="s">
        <v>3842</v>
      </c>
      <c r="O672">
        <f>IFERROR(VLOOKUP(HEVARIM[[#This Row],[קוד תקציב]],[2]תקציבים!A:L,6,0),0)</f>
        <v>0</v>
      </c>
      <c r="P672" s="5" t="s">
        <v>3211</v>
      </c>
      <c r="Q672" t="s">
        <v>30</v>
      </c>
      <c r="R672" s="4">
        <v>45949</v>
      </c>
      <c r="S672" s="4" t="s">
        <v>90</v>
      </c>
      <c r="T672" s="96" t="s">
        <v>3844</v>
      </c>
      <c r="U672" t="str">
        <f>VLOOKUP(HEVARIM[[#This Row],[גיל]],GIL,2,1)</f>
        <v>--</v>
      </c>
      <c r="V672" t="str">
        <f>IF(HEVARIM[[#This Row],[קוד מעמד]]="4     ",IF(HEVARIM[[#This Row],[גיל]]=1,1,IF(HEVARIM[[#This Row],[גיל]]&lt;=5,5,18)),"")</f>
        <v/>
      </c>
      <c r="W672">
        <f t="shared" si="40"/>
        <v>0</v>
      </c>
      <c r="X672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72">
        <f>IF(HEVARIM[[#This Row],[מצב משפחתי2]]="אלמן",'[2]ריכוז נתונים'!$AC$2,0)</f>
        <v>0</v>
      </c>
      <c r="Z672" s="3">
        <f>VLOOKUP(VALUE(HEVARIM[[#This Row],[קוד מעמד]]),הנחות!$I$2:$K$21,3,0)</f>
        <v>0</v>
      </c>
      <c r="AA672" t="b">
        <f>ISERROR(VLOOKUP(HEVARIM[[#This Row],[קוד תקציב]],'[2]ריכוז נתונים'!A:A,1,0))</f>
        <v>1</v>
      </c>
      <c r="AB672" s="1">
        <f t="shared" si="41"/>
        <v>0</v>
      </c>
      <c r="AC672" s="2">
        <f ca="1">IF(HEVARIM[[#This Row],[בר מצוה]]&gt;0,YEAR(TODAY())+'תקציבים מיוחדים'!$F$5-HEVARIM[[#This Row],[גיל]],0)</f>
        <v>0</v>
      </c>
      <c r="AD672" s="1">
        <f t="shared" si="42"/>
        <v>0</v>
      </c>
      <c r="AE672" s="2">
        <f ca="1">IF(HEVARIM[[#This Row],[בת מצוה]]&gt;0,YEAR(TODAY())+'תקציבים מיוחדים'!$F$5-HEVARIM[[#This Row],[גיל]],0)</f>
        <v>0</v>
      </c>
      <c r="AF672" s="1">
        <f>IF(AND($S672&gt;="רווק",$Z672=1),AF$4*IF(HEVARIM[[#This Row],[גיל]]&gt;$AF$3,1,(($G672-AF$2)/(AF$3-AF$2))),0)</f>
        <v>0</v>
      </c>
      <c r="AG67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2" s="1">
        <f t="shared" si="43"/>
        <v>0</v>
      </c>
      <c r="AI672" s="2">
        <f ca="1">IF(AH672&gt;0,YEAR(TODAY())+'תקציבים מיוחדים'!$F$7-HEVARIM[[#This Row],[גיל]],0)</f>
        <v>0</v>
      </c>
      <c r="AJ672" s="9">
        <f>IF(AND(ISERROR(VLOOKUP(H672,'[2]ריכוז נתונים'!A:L,1,0)),P672="1     "),1,0)</f>
        <v>0</v>
      </c>
      <c r="AK672" s="1" t="str">
        <f>IF(VALUE(HEVARIM[[#This Row],[קוד מעמד]])=1,VLOOKUP((IF(LEFT(HEVARIM[[#This Row],[קוד חבר]],1)="0",HEVARIM[[#This Row],[קוד חבר]],VALUE(HEVARIM[[#This Row],[קוד חבר]]))),'ותק חברה 40'!AQ:AW,7,0),"")</f>
        <v/>
      </c>
      <c r="AL672" s="1">
        <f>IF(AND(VALUE(HEVARIM[[#This Row],[קוד מעמד]])=1,HEVARIM[[#This Row],[ותק מחברה 40]]&lt;25),HEVARIM[[#This Row],[ותק מחברה 40]]/25*הנחות!$C$4,0)</f>
        <v>0</v>
      </c>
      <c r="AM672" s="9" t="str">
        <f ca="1">IF(HEVARIM[[#This Row],[דמי עזיבה 25 שנות ותק]]&gt;0,YEAR(TODAY())+25-ROUNDDOWN(HEVARIM[[#This Row],[ותק מחברה 40]],0),"")</f>
        <v/>
      </c>
      <c r="AN67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2" s="9" t="str">
        <f ca="1">IF(HEVARIM[[#This Row],[דמי עזיבה לגיל 65]]&gt;0,YEAR(TODAY())+64-ROUNDDOWN(HEVARIM[[#This Row],[גיל]],0),"")</f>
        <v/>
      </c>
      <c r="AP672" s="1">
        <f>SUMIF(HEVARIM[קוד תקציב],HEVARIM[[#This Row],[קוד תקציב משפחה מקורי]],HEVARIM[ותק מחברה 40])</f>
        <v>0</v>
      </c>
      <c r="AQ67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0</v>
      </c>
      <c r="AS672" s="9">
        <f>IF(HEVARIM[[#This Row],[קוד מעמד]]="1     ",IFERROR(VLOOKUP(HEVARIM[[#This Row],[קוד תקציב]],'תקציב צביעה - לקראת השינוי'!A:F,4,0),0),0)</f>
        <v>0</v>
      </c>
      <c r="AT672" s="1"/>
    </row>
    <row r="673" spans="1:46">
      <c r="A673" t="s">
        <v>2594</v>
      </c>
      <c r="B673" t="s">
        <v>2595</v>
      </c>
      <c r="C673" t="s">
        <v>2546</v>
      </c>
      <c r="D673" t="s">
        <v>488</v>
      </c>
      <c r="E673" t="s">
        <v>67</v>
      </c>
      <c r="F673" s="4">
        <v>18366</v>
      </c>
      <c r="G673">
        <v>75</v>
      </c>
      <c r="H673" t="s">
        <v>2596</v>
      </c>
      <c r="I673" t="s">
        <v>2597</v>
      </c>
      <c r="J673" s="4" t="s">
        <v>70</v>
      </c>
      <c r="K673" s="4" t="s">
        <v>71</v>
      </c>
      <c r="L673" t="s">
        <v>2598</v>
      </c>
      <c r="M673" t="s">
        <v>2594</v>
      </c>
      <c r="N673" t="s">
        <v>2595</v>
      </c>
      <c r="O673">
        <f>IFERROR(VLOOKUP(HEVARIM[[#This Row],[קוד תקציב]],[2]תקציבים!A:L,6,0),0)</f>
        <v>2</v>
      </c>
      <c r="P673" s="5" t="s">
        <v>104</v>
      </c>
      <c r="Q673" t="s">
        <v>11</v>
      </c>
      <c r="R673" s="4">
        <v>26237</v>
      </c>
      <c r="S673" s="4" t="s">
        <v>74</v>
      </c>
      <c r="T673" s="96" t="s">
        <v>3847</v>
      </c>
      <c r="U673" t="str">
        <f>VLOOKUP(HEVARIM[[#This Row],[גיל]],GIL,2,1)</f>
        <v>--</v>
      </c>
      <c r="V673" t="str">
        <f>IF(HEVARIM[[#This Row],[קוד מעמד]]="4     ",IF(HEVARIM[[#This Row],[גיל]]=1,1,IF(HEVARIM[[#This Row],[גיל]]&lt;=5,5,18)),"")</f>
        <v/>
      </c>
      <c r="W673">
        <f t="shared" si="40"/>
        <v>2365</v>
      </c>
      <c r="X67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73">
        <f>IF(HEVARIM[[#This Row],[מצב משפחתי2]]="אלמן",'[2]ריכוז נתונים'!$AC$2,0)</f>
        <v>0</v>
      </c>
      <c r="Z673" s="3">
        <f>VLOOKUP(VALUE(HEVARIM[[#This Row],[קוד מעמד]]),הנחות!$I$2:$K$21,3,0)</f>
        <v>0</v>
      </c>
      <c r="AA673" t="b">
        <f>ISERROR(VLOOKUP(HEVARIM[[#This Row],[קוד תקציב]],'[2]ריכוז נתונים'!A:A,1,0))</f>
        <v>0</v>
      </c>
      <c r="AB673" s="1">
        <f t="shared" si="41"/>
        <v>0</v>
      </c>
      <c r="AC673" s="2">
        <f ca="1">IF(HEVARIM[[#This Row],[בר מצוה]]&gt;0,YEAR(TODAY())+'תקציבים מיוחדים'!$F$5-HEVARIM[[#This Row],[גיל]],0)</f>
        <v>0</v>
      </c>
      <c r="AD673" s="1">
        <f t="shared" si="42"/>
        <v>0</v>
      </c>
      <c r="AE673" s="2">
        <f ca="1">IF(HEVARIM[[#This Row],[בת מצוה]]&gt;0,YEAR(TODAY())+'תקציבים מיוחדים'!$F$5-HEVARIM[[#This Row],[גיל]],0)</f>
        <v>0</v>
      </c>
      <c r="AF673" s="1">
        <f>IF(AND($S673&gt;="רווק",$Z673=1),AF$4*IF(HEVARIM[[#This Row],[גיל]]&gt;$AF$3,1,(($G673-AF$2)/(AF$3-AF$2))),0)</f>
        <v>0</v>
      </c>
      <c r="AG67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3" s="1">
        <f t="shared" si="43"/>
        <v>0</v>
      </c>
      <c r="AI673" s="2">
        <f ca="1">IF(AH673&gt;0,YEAR(TODAY())+'תקציבים מיוחדים'!$F$7-HEVARIM[[#This Row],[גיל]],0)</f>
        <v>0</v>
      </c>
      <c r="AJ673" s="9">
        <f>IF(AND(ISERROR(VLOOKUP(H673,'[2]ריכוז נתונים'!A:L,1,0)),P673="1     "),1,0)</f>
        <v>0</v>
      </c>
      <c r="AK673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73" s="1">
        <f>IF(AND(VALUE(HEVARIM[[#This Row],[קוד מעמד]])=1,HEVARIM[[#This Row],[ותק מחברה 40]]&lt;25),HEVARIM[[#This Row],[ותק מחברה 40]]/25*הנחות!$C$4,0)</f>
        <v>0</v>
      </c>
      <c r="AM673" s="9" t="str">
        <f ca="1">IF(HEVARIM[[#This Row],[דמי עזיבה 25 שנות ותק]]&gt;0,YEAR(TODAY())+25-ROUNDDOWN(HEVARIM[[#This Row],[ותק מחברה 40]],0),"")</f>
        <v/>
      </c>
      <c r="AN67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3" s="9" t="str">
        <f ca="1">IF(HEVARIM[[#This Row],[דמי עזיבה לגיל 65]]&gt;0,YEAR(TODAY())+64-ROUNDDOWN(HEVARIM[[#This Row],[גיל]],0),"")</f>
        <v/>
      </c>
      <c r="AP673" s="1">
        <f>SUMIF(HEVARIM[קוד תקציב],HEVARIM[[#This Row],[קוד תקציב משפחה מקורי]],HEVARIM[ותק מחברה 40])</f>
        <v>0</v>
      </c>
      <c r="AQ67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673" s="9">
        <f>IF(HEVARIM[[#This Row],[קוד מעמד]]="1     ",IFERROR(VLOOKUP(HEVARIM[[#This Row],[קוד תקציב]],'תקציב צביעה - לקראת השינוי'!A:F,4,0),0),0)</f>
        <v>2028</v>
      </c>
      <c r="AT673" s="1"/>
    </row>
    <row r="674" spans="1:46">
      <c r="A674" t="s">
        <v>2625</v>
      </c>
      <c r="B674" t="s">
        <v>2626</v>
      </c>
      <c r="C674" t="s">
        <v>2621</v>
      </c>
      <c r="D674" t="s">
        <v>2627</v>
      </c>
      <c r="E674" t="s">
        <v>79</v>
      </c>
      <c r="F674" s="4">
        <v>25396</v>
      </c>
      <c r="G674">
        <v>56</v>
      </c>
      <c r="H674" t="s">
        <v>2622</v>
      </c>
      <c r="I674" t="s">
        <v>2623</v>
      </c>
      <c r="J674" s="4" t="s">
        <v>70</v>
      </c>
      <c r="K674" s="4" t="s">
        <v>71</v>
      </c>
      <c r="L674" t="s">
        <v>2628</v>
      </c>
      <c r="M674" t="s">
        <v>2619</v>
      </c>
      <c r="N674" t="s">
        <v>2620</v>
      </c>
      <c r="O674">
        <f>IFERROR(VLOOKUP(HEVARIM[[#This Row],[קוד תקציב]],[2]תקציבים!A:L,6,0),0)</f>
        <v>2</v>
      </c>
      <c r="P674" s="5" t="s">
        <v>104</v>
      </c>
      <c r="Q674" t="s">
        <v>11</v>
      </c>
      <c r="R674" s="4">
        <v>35278</v>
      </c>
      <c r="S674" s="4" t="s">
        <v>74</v>
      </c>
      <c r="T674" s="96" t="s">
        <v>444</v>
      </c>
      <c r="U674" t="str">
        <f>VLOOKUP(HEVARIM[[#This Row],[גיל]],GIL,2,1)</f>
        <v>--</v>
      </c>
      <c r="V674" t="str">
        <f>IF(HEVARIM[[#This Row],[קוד מעמד]]="4     ",IF(HEVARIM[[#This Row],[גיל]]=1,1,IF(HEVARIM[[#This Row],[גיל]]&lt;=5,5,18)),"")</f>
        <v/>
      </c>
      <c r="W674">
        <f t="shared" si="40"/>
        <v>0</v>
      </c>
      <c r="X67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74">
        <f>IF(HEVARIM[[#This Row],[מצב משפחתי2]]="אלמן",'[2]ריכוז נתונים'!$AC$2,0)</f>
        <v>0</v>
      </c>
      <c r="Z674" s="3">
        <f>VLOOKUP(VALUE(HEVARIM[[#This Row],[קוד מעמד]]),הנחות!$I$2:$K$21,3,0)</f>
        <v>0</v>
      </c>
      <c r="AA674" t="b">
        <f>ISERROR(VLOOKUP(HEVARIM[[#This Row],[קוד תקציב]],'[2]ריכוז נתונים'!A:A,1,0))</f>
        <v>0</v>
      </c>
      <c r="AB674" s="1">
        <f t="shared" si="41"/>
        <v>0</v>
      </c>
      <c r="AC674" s="2">
        <f ca="1">IF(HEVARIM[[#This Row],[בר מצוה]]&gt;0,YEAR(TODAY())+'תקציבים מיוחדים'!$F$5-HEVARIM[[#This Row],[גיל]],0)</f>
        <v>0</v>
      </c>
      <c r="AD674" s="1">
        <f t="shared" si="42"/>
        <v>0</v>
      </c>
      <c r="AE674" s="2">
        <f ca="1">IF(HEVARIM[[#This Row],[בת מצוה]]&gt;0,YEAR(TODAY())+'תקציבים מיוחדים'!$F$5-HEVARIM[[#This Row],[גיל]],0)</f>
        <v>0</v>
      </c>
      <c r="AF674" s="1">
        <f>IF(AND($S674&gt;="רווק",$Z674=1),AF$4*IF(HEVARIM[[#This Row],[גיל]]&gt;$AF$3,1,(($G674-AF$2)/(AF$3-AF$2))),0)</f>
        <v>0</v>
      </c>
      <c r="AG67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4" s="1">
        <f t="shared" si="43"/>
        <v>0</v>
      </c>
      <c r="AI674" s="2">
        <f ca="1">IF(AH674&gt;0,YEAR(TODAY())+'תקציבים מיוחדים'!$F$7-HEVARIM[[#This Row],[גיל]],0)</f>
        <v>0</v>
      </c>
      <c r="AJ674" s="9">
        <f>IF(AND(ISERROR(VLOOKUP(H674,'[2]ריכוז נתונים'!A:L,1,0)),P674="1     "),1,0)</f>
        <v>0</v>
      </c>
      <c r="AK674" s="1">
        <f>IF(VALUE(HEVARIM[[#This Row],[קוד מעמד]])=1,VLOOKUP((IF(LEFT(HEVARIM[[#This Row],[קוד חבר]],1)="0",HEVARIM[[#This Row],[קוד חבר]],VALUE(HEVARIM[[#This Row],[קוד חבר]]))),'ותק חברה 40'!AQ:AW,7,0),"")</f>
        <v>30.05</v>
      </c>
      <c r="AL674" s="1">
        <f>IF(AND(VALUE(HEVARIM[[#This Row],[קוד מעמד]])=1,HEVARIM[[#This Row],[ותק מחברה 40]]&lt;25),HEVARIM[[#This Row],[ותק מחברה 40]]/25*הנחות!$C$4,0)</f>
        <v>0</v>
      </c>
      <c r="AM674" s="9" t="str">
        <f ca="1">IF(HEVARIM[[#This Row],[דמי עזיבה 25 שנות ותק]]&gt;0,YEAR(TODAY())+25-ROUNDDOWN(HEVARIM[[#This Row],[ותק מחברה 40]],0),"")</f>
        <v/>
      </c>
      <c r="AN674" s="1">
        <f>IF(AND(VALUE(HEVARIM[[#This Row],[קוד מעמד]])=1,HEVARIM[[#This Row],[ותק מחברה 40]]&gt;25,HEVARIM[[#This Row],[גיל]]&lt;65),הנחות!$C$14+(HEVARIM[[#This Row],[ותק מחברה 40]]-25)*הנחות!$C$10*0.25,0)</f>
        <v>40349.708437499998</v>
      </c>
      <c r="AO674" s="9">
        <f ca="1">IF(HEVARIM[[#This Row],[דמי עזיבה לגיל 65]]&gt;0,YEAR(TODAY())+64-ROUNDDOWN(HEVARIM[[#This Row],[גיל]],0),"")</f>
        <v>2034</v>
      </c>
      <c r="AP674" s="1">
        <f>SUMIF(HEVARIM[קוד תקציב],HEVARIM[[#This Row],[קוד תקציב משפחה מקורי]],HEVARIM[ותק מחברה 40])</f>
        <v>44.69</v>
      </c>
      <c r="AQ67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674" s="9">
        <f>IF(HEVARIM[[#This Row],[קוד מעמד]]="1     ",IFERROR(VLOOKUP(HEVARIM[[#This Row],[קוד תקציב]],'תקציב צביעה - לקראת השינוי'!A:F,4,0),0),0)</f>
        <v>2031</v>
      </c>
      <c r="AT674" s="1"/>
    </row>
    <row r="675" spans="1:46">
      <c r="A675" t="s">
        <v>440</v>
      </c>
      <c r="B675" t="s">
        <v>441</v>
      </c>
      <c r="C675" t="s">
        <v>442</v>
      </c>
      <c r="D675" t="s">
        <v>443</v>
      </c>
      <c r="E675" t="s">
        <v>79</v>
      </c>
      <c r="F675" s="4">
        <v>14431</v>
      </c>
      <c r="G675">
        <v>86</v>
      </c>
      <c r="H675" t="s">
        <v>444</v>
      </c>
      <c r="I675" t="s">
        <v>445</v>
      </c>
      <c r="J675" s="4" t="s">
        <v>70</v>
      </c>
      <c r="K675" s="4" t="s">
        <v>71</v>
      </c>
      <c r="L675" t="s">
        <v>446</v>
      </c>
      <c r="M675" t="s">
        <v>447</v>
      </c>
      <c r="N675" t="s">
        <v>448</v>
      </c>
      <c r="O675">
        <f>IFERROR(VLOOKUP(HEVARIM[[#This Row],[קוד תקציב]],[2]תקציבים!A:L,6,0),0)</f>
        <v>1</v>
      </c>
      <c r="P675" s="5" t="s">
        <v>104</v>
      </c>
      <c r="Q675" t="s">
        <v>11</v>
      </c>
      <c r="R675" s="4">
        <v>23742</v>
      </c>
      <c r="S675" s="4" t="s">
        <v>449</v>
      </c>
      <c r="T675" s="96" t="s">
        <v>444</v>
      </c>
      <c r="U675" t="str">
        <f>VLOOKUP(HEVARIM[[#This Row],[גיל]],GIL,2,1)</f>
        <v>--</v>
      </c>
      <c r="V675" t="str">
        <f>IF(HEVARIM[[#This Row],[קוד מעמד]]="4     ",IF(HEVARIM[[#This Row],[גיל]]=1,1,IF(HEVARIM[[#This Row],[גיל]]&lt;=5,5,18)),"")</f>
        <v/>
      </c>
      <c r="W675">
        <f t="shared" si="40"/>
        <v>1665</v>
      </c>
      <c r="X67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75">
        <f>IF(HEVARIM[[#This Row],[מצב משפחתי2]]="אלמן",'[2]ריכוז נתונים'!$AC$2,0)</f>
        <v>4900</v>
      </c>
      <c r="Z675" s="3">
        <f>VLOOKUP(VALUE(HEVARIM[[#This Row],[קוד מעמד]]),הנחות!$I$2:$K$21,3,0)</f>
        <v>0</v>
      </c>
      <c r="AA675" t="b">
        <f>ISERROR(VLOOKUP(HEVARIM[[#This Row],[קוד תקציב]],'[2]ריכוז נתונים'!A:A,1,0))</f>
        <v>0</v>
      </c>
      <c r="AB675" s="1">
        <f t="shared" si="41"/>
        <v>0</v>
      </c>
      <c r="AC675" s="2">
        <f ca="1">IF(HEVARIM[[#This Row],[בר מצוה]]&gt;0,YEAR(TODAY())+'תקציבים מיוחדים'!$F$5-HEVARIM[[#This Row],[גיל]],0)</f>
        <v>0</v>
      </c>
      <c r="AD675" s="1">
        <f t="shared" si="42"/>
        <v>0</v>
      </c>
      <c r="AE675" s="2">
        <f ca="1">IF(HEVARIM[[#This Row],[בת מצוה]]&gt;0,YEAR(TODAY())+'תקציבים מיוחדים'!$F$5-HEVARIM[[#This Row],[גיל]],0)</f>
        <v>0</v>
      </c>
      <c r="AF675" s="1">
        <f>IF(AND($S675&gt;="רווק",$Z675=1),AF$4*IF(HEVARIM[[#This Row],[גיל]]&gt;$AF$3,1,(($G675-AF$2)/(AF$3-AF$2))),0)</f>
        <v>0</v>
      </c>
      <c r="AG67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5" s="1">
        <f t="shared" si="43"/>
        <v>0</v>
      </c>
      <c r="AI675" s="2">
        <f ca="1">IF(AH675&gt;0,YEAR(TODAY())+'תקציבים מיוחדים'!$F$7-HEVARIM[[#This Row],[גיל]],0)</f>
        <v>0</v>
      </c>
      <c r="AJ675" s="9">
        <f>IF(AND(ISERROR(VLOOKUP(H675,'[2]ריכוז נתונים'!A:L,1,0)),P675="1     "),1,0)</f>
        <v>0</v>
      </c>
      <c r="AK675" s="1">
        <f>IF(VALUE(HEVARIM[[#This Row],[קוד מעמד]])=1,VLOOKUP((IF(LEFT(HEVARIM[[#This Row],[קוד חבר]],1)="0",HEVARIM[[#This Row],[קוד חבר]],VALUE(HEVARIM[[#This Row],[קוד חבר]]))),'ותק חברה 40'!AQ:AW,7,0),"")</f>
        <v>44.69</v>
      </c>
      <c r="AL675" s="1">
        <f>IF(AND(VALUE(HEVARIM[[#This Row],[קוד מעמד]])=1,HEVARIM[[#This Row],[ותק מחברה 40]]&lt;25),HEVARIM[[#This Row],[ותק מחברה 40]]/25*הנחות!$C$4,0)</f>
        <v>0</v>
      </c>
      <c r="AM675" s="9" t="str">
        <f ca="1">IF(HEVARIM[[#This Row],[דמי עזיבה 25 שנות ותק]]&gt;0,YEAR(TODAY())+25-ROUNDDOWN(HEVARIM[[#This Row],[ותק מחברה 40]],0),"")</f>
        <v/>
      </c>
      <c r="AN67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5" s="9" t="str">
        <f ca="1">IF(HEVARIM[[#This Row],[דמי עזיבה לגיל 65]]&gt;0,YEAR(TODAY())+64-ROUNDDOWN(HEVARIM[[#This Row],[גיל]],0),"")</f>
        <v/>
      </c>
      <c r="AP675" s="1">
        <f>SUMIF(HEVARIM[קוד תקציב],HEVARIM[[#This Row],[קוד תקציב משפחה מקורי]],HEVARIM[ותק מחברה 40])</f>
        <v>44.69</v>
      </c>
      <c r="AQ67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75" s="9">
        <f>IF(HEVARIM[[#This Row],[קוד מעמד]]="1     ",IFERROR(VLOOKUP(HEVARIM[[#This Row],[קוד תקציב]],'תקציב צביעה - לקראת השינוי'!A:F,4,0),0),0)</f>
        <v>2032</v>
      </c>
      <c r="AT675" s="1"/>
    </row>
    <row r="676" spans="1:46">
      <c r="A676" t="s">
        <v>688</v>
      </c>
      <c r="B676" t="s">
        <v>689</v>
      </c>
      <c r="C676" t="s">
        <v>690</v>
      </c>
      <c r="D676" t="s">
        <v>221</v>
      </c>
      <c r="E676" t="s">
        <v>79</v>
      </c>
      <c r="F676" s="4">
        <v>9263</v>
      </c>
      <c r="G676">
        <v>100</v>
      </c>
      <c r="H676" t="s">
        <v>691</v>
      </c>
      <c r="I676" t="s">
        <v>692</v>
      </c>
      <c r="J676" s="4" t="s">
        <v>70</v>
      </c>
      <c r="K676" s="4" t="s">
        <v>71</v>
      </c>
      <c r="L676" t="s">
        <v>693</v>
      </c>
      <c r="M676" t="s">
        <v>694</v>
      </c>
      <c r="N676" t="s">
        <v>695</v>
      </c>
      <c r="O676">
        <f>IFERROR(VLOOKUP(HEVARIM[[#This Row],[קוד תקציב]],[2]תקציבים!A:L,6,0),0)</f>
        <v>1</v>
      </c>
      <c r="P676" s="5" t="s">
        <v>104</v>
      </c>
      <c r="Q676" t="s">
        <v>11</v>
      </c>
      <c r="R676" s="4">
        <v>20089</v>
      </c>
      <c r="S676" s="4" t="s">
        <v>449</v>
      </c>
      <c r="T676" s="96" t="s">
        <v>691</v>
      </c>
      <c r="U676" t="str">
        <f>VLOOKUP(HEVARIM[[#This Row],[גיל]],GIL,2,1)</f>
        <v>Z</v>
      </c>
      <c r="V676" t="str">
        <f>IF(HEVARIM[[#This Row],[קוד מעמד]]="4     ",IF(HEVARIM[[#This Row],[גיל]]=1,1,IF(HEVARIM[[#This Row],[גיל]]&lt;=5,5,18)),"")</f>
        <v/>
      </c>
      <c r="W676">
        <f t="shared" si="40"/>
        <v>1665</v>
      </c>
      <c r="X67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76">
        <f>IF(HEVARIM[[#This Row],[מצב משפחתי2]]="אלמן",'[2]ריכוז נתונים'!$AC$2,0)</f>
        <v>4900</v>
      </c>
      <c r="Z676" s="3">
        <f>VLOOKUP(VALUE(HEVARIM[[#This Row],[קוד מעמד]]),הנחות!$I$2:$K$21,3,0)</f>
        <v>0</v>
      </c>
      <c r="AA676" t="b">
        <f>ISERROR(VLOOKUP(HEVARIM[[#This Row],[קוד תקציב]],'[2]ריכוז נתונים'!A:A,1,0))</f>
        <v>0</v>
      </c>
      <c r="AB676" s="1">
        <f t="shared" si="41"/>
        <v>0</v>
      </c>
      <c r="AC676" s="2">
        <f ca="1">IF(HEVARIM[[#This Row],[בר מצוה]]&gt;0,YEAR(TODAY())+'תקציבים מיוחדים'!$F$5-HEVARIM[[#This Row],[גיל]],0)</f>
        <v>0</v>
      </c>
      <c r="AD676" s="1">
        <f t="shared" si="42"/>
        <v>0</v>
      </c>
      <c r="AE676" s="2">
        <f ca="1">IF(HEVARIM[[#This Row],[בת מצוה]]&gt;0,YEAR(TODAY())+'תקציבים מיוחדים'!$F$5-HEVARIM[[#This Row],[גיל]],0)</f>
        <v>0</v>
      </c>
      <c r="AF676" s="1">
        <f>IF(AND($S676&gt;="רווק",$Z676=1),AF$4*IF(HEVARIM[[#This Row],[גיל]]&gt;$AF$3,1,(($G676-AF$2)/(AF$3-AF$2))),0)</f>
        <v>0</v>
      </c>
      <c r="AG67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6" s="1">
        <f t="shared" si="43"/>
        <v>0</v>
      </c>
      <c r="AI676" s="2">
        <f ca="1">IF(AH676&gt;0,YEAR(TODAY())+'תקציבים מיוחדים'!$F$7-HEVARIM[[#This Row],[גיל]],0)</f>
        <v>0</v>
      </c>
      <c r="AJ676" s="9">
        <f>IF(AND(ISERROR(VLOOKUP(H676,'[2]ריכוז נתונים'!A:L,1,0)),P676="1     "),1,0)</f>
        <v>0</v>
      </c>
      <c r="AK676" s="1">
        <f>IF(VALUE(HEVARIM[[#This Row],[קוד מעמד]])=1,VLOOKUP((IF(LEFT(HEVARIM[[#This Row],[קוד חבר]],1)="0",HEVARIM[[#This Row],[קוד חבר]],VALUE(HEVARIM[[#This Row],[קוד חבר]]))),'ותק חברה 40'!AQ:AW,7,0),"")</f>
        <v>41.54</v>
      </c>
      <c r="AL676" s="1">
        <f>IF(AND(VALUE(HEVARIM[[#This Row],[קוד מעמד]])=1,HEVARIM[[#This Row],[ותק מחברה 40]]&lt;25),HEVARIM[[#This Row],[ותק מחברה 40]]/25*הנחות!$C$4,0)</f>
        <v>0</v>
      </c>
      <c r="AM676" s="9" t="str">
        <f ca="1">IF(HEVARIM[[#This Row],[דמי עזיבה 25 שנות ותק]]&gt;0,YEAR(TODAY())+25-ROUNDDOWN(HEVARIM[[#This Row],[ותק מחברה 40]],0),"")</f>
        <v/>
      </c>
      <c r="AN67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6" s="9" t="str">
        <f ca="1">IF(HEVARIM[[#This Row],[דמי עזיבה לגיל 65]]&gt;0,YEAR(TODAY())+64-ROUNDDOWN(HEVARIM[[#This Row],[גיל]],0),"")</f>
        <v/>
      </c>
      <c r="AP676" s="1">
        <f>SUMIF(HEVARIM[קוד תקציב],HEVARIM[[#This Row],[קוד תקציב משפחה מקורי]],HEVARIM[ותק מחברה 40])</f>
        <v>41.54</v>
      </c>
      <c r="AQ67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76" s="9">
        <f>IF(HEVARIM[[#This Row],[קוד מעמד]]="1     ",IFERROR(VLOOKUP(HEVARIM[[#This Row],[קוד תקציב]],'תקציב צביעה - לקראת השינוי'!A:F,4,0),0),0)</f>
        <v>2032</v>
      </c>
      <c r="AT676" s="1"/>
    </row>
    <row r="677" spans="1:46">
      <c r="A677" t="s">
        <v>900</v>
      </c>
      <c r="B677" t="s">
        <v>901</v>
      </c>
      <c r="C677" t="s">
        <v>902</v>
      </c>
      <c r="D677" t="s">
        <v>903</v>
      </c>
      <c r="E677" t="s">
        <v>67</v>
      </c>
      <c r="F677" s="4">
        <v>17259</v>
      </c>
      <c r="G677">
        <v>78</v>
      </c>
      <c r="H677" t="s">
        <v>904</v>
      </c>
      <c r="I677" t="s">
        <v>905</v>
      </c>
      <c r="J677" s="4" t="s">
        <v>70</v>
      </c>
      <c r="K677" s="4" t="s">
        <v>71</v>
      </c>
      <c r="L677" t="s">
        <v>906</v>
      </c>
      <c r="M677" t="s">
        <v>900</v>
      </c>
      <c r="N677" t="s">
        <v>901</v>
      </c>
      <c r="O677">
        <f>IFERROR(VLOOKUP(HEVARIM[[#This Row],[קוד תקציב]],[2]תקציבים!A:L,6,0),0)</f>
        <v>2</v>
      </c>
      <c r="P677" s="5" t="s">
        <v>104</v>
      </c>
      <c r="Q677" t="s">
        <v>11</v>
      </c>
      <c r="R677" s="4">
        <v>23742</v>
      </c>
      <c r="S677" s="4" t="s">
        <v>74</v>
      </c>
      <c r="T677" s="96" t="s">
        <v>3848</v>
      </c>
      <c r="U677" t="str">
        <f>VLOOKUP(HEVARIM[[#This Row],[גיל]],GIL,2,1)</f>
        <v>--</v>
      </c>
      <c r="V677" t="str">
        <f>IF(HEVARIM[[#This Row],[קוד מעמד]]="4     ",IF(HEVARIM[[#This Row],[גיל]]=1,1,IF(HEVARIM[[#This Row],[גיל]]&lt;=5,5,18)),"")</f>
        <v/>
      </c>
      <c r="W677">
        <f t="shared" si="40"/>
        <v>2365</v>
      </c>
      <c r="X67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77">
        <f>IF(HEVARIM[[#This Row],[מצב משפחתי2]]="אלמן",'[2]ריכוז נתונים'!$AC$2,0)</f>
        <v>0</v>
      </c>
      <c r="Z677" s="3">
        <f>VLOOKUP(VALUE(HEVARIM[[#This Row],[קוד מעמד]]),הנחות!$I$2:$K$21,3,0)</f>
        <v>0</v>
      </c>
      <c r="AA677" t="b">
        <f>ISERROR(VLOOKUP(HEVARIM[[#This Row],[קוד תקציב]],'[2]ריכוז נתונים'!A:A,1,0))</f>
        <v>0</v>
      </c>
      <c r="AB677" s="1">
        <f t="shared" si="41"/>
        <v>0</v>
      </c>
      <c r="AC677" s="2">
        <f ca="1">IF(HEVARIM[[#This Row],[בר מצוה]]&gt;0,YEAR(TODAY())+'תקציבים מיוחדים'!$F$5-HEVARIM[[#This Row],[גיל]],0)</f>
        <v>0</v>
      </c>
      <c r="AD677" s="1">
        <f t="shared" si="42"/>
        <v>0</v>
      </c>
      <c r="AE677" s="2">
        <f ca="1">IF(HEVARIM[[#This Row],[בת מצוה]]&gt;0,YEAR(TODAY())+'תקציבים מיוחדים'!$F$5-HEVARIM[[#This Row],[גיל]],0)</f>
        <v>0</v>
      </c>
      <c r="AF677" s="1">
        <f>IF(AND($S677&gt;="רווק",$Z677=1),AF$4*IF(HEVARIM[[#This Row],[גיל]]&gt;$AF$3,1,(($G677-AF$2)/(AF$3-AF$2))),0)</f>
        <v>0</v>
      </c>
      <c r="AG67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7" s="1">
        <f t="shared" si="43"/>
        <v>0</v>
      </c>
      <c r="AI677" s="2">
        <f ca="1">IF(AH677&gt;0,YEAR(TODAY())+'תקציבים מיוחדים'!$F$7-HEVARIM[[#This Row],[גיל]],0)</f>
        <v>0</v>
      </c>
      <c r="AJ677" s="9">
        <f>IF(AND(ISERROR(VLOOKUP(H677,'[2]ריכוז נתונים'!A:L,1,0)),P677="1     "),1,0)</f>
        <v>0</v>
      </c>
      <c r="AK67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77" s="1">
        <f>IF(AND(VALUE(HEVARIM[[#This Row],[קוד מעמד]])=1,HEVARIM[[#This Row],[ותק מחברה 40]]&lt;25),HEVARIM[[#This Row],[ותק מחברה 40]]/25*הנחות!$C$4,0)</f>
        <v>0</v>
      </c>
      <c r="AM677" s="9" t="str">
        <f ca="1">IF(HEVARIM[[#This Row],[דמי עזיבה 25 שנות ותק]]&gt;0,YEAR(TODAY())+25-ROUNDDOWN(HEVARIM[[#This Row],[ותק מחברה 40]],0),"")</f>
        <v/>
      </c>
      <c r="AN67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7" s="9" t="str">
        <f ca="1">IF(HEVARIM[[#This Row],[דמי עזיבה לגיל 65]]&gt;0,YEAR(TODAY())+64-ROUNDDOWN(HEVARIM[[#This Row],[גיל]],0),"")</f>
        <v/>
      </c>
      <c r="AP677" s="1">
        <f>SUMIF(HEVARIM[קוד תקציב],HEVARIM[[#This Row],[קוד תקציב משפחה מקורי]],HEVARIM[ותק מחברה 40])</f>
        <v>0</v>
      </c>
      <c r="AQ67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677" s="9">
        <f>IF(HEVARIM[[#This Row],[קוד מעמד]]="1     ",IFERROR(VLOOKUP(HEVARIM[[#This Row],[קוד תקציב]],'תקציב צביעה - לקראת השינוי'!A:F,4,0),0),0)</f>
        <v>2033</v>
      </c>
      <c r="AT677" s="1"/>
    </row>
    <row r="678" spans="1:46">
      <c r="A678" t="s">
        <v>937</v>
      </c>
      <c r="B678" t="s">
        <v>938</v>
      </c>
      <c r="C678" t="s">
        <v>902</v>
      </c>
      <c r="D678" t="s">
        <v>426</v>
      </c>
      <c r="E678" t="s">
        <v>67</v>
      </c>
      <c r="F678" s="4">
        <v>19872</v>
      </c>
      <c r="G678">
        <v>71</v>
      </c>
      <c r="H678" t="s">
        <v>939</v>
      </c>
      <c r="I678" t="s">
        <v>940</v>
      </c>
      <c r="J678" s="4" t="s">
        <v>70</v>
      </c>
      <c r="K678" s="4" t="s">
        <v>71</v>
      </c>
      <c r="L678" t="s">
        <v>941</v>
      </c>
      <c r="M678" t="s">
        <v>937</v>
      </c>
      <c r="N678" t="s">
        <v>938</v>
      </c>
      <c r="O678">
        <f>IFERROR(VLOOKUP(HEVARIM[[#This Row],[קוד תקציב]],[2]תקציבים!A:L,6,0),0)</f>
        <v>2</v>
      </c>
      <c r="P678" s="5" t="s">
        <v>104</v>
      </c>
      <c r="Q678" t="s">
        <v>11</v>
      </c>
      <c r="R678" s="4">
        <v>26664</v>
      </c>
      <c r="S678" s="4" t="s">
        <v>74</v>
      </c>
      <c r="T678" s="96" t="s">
        <v>3848</v>
      </c>
      <c r="U678" t="str">
        <f>VLOOKUP(HEVARIM[[#This Row],[גיל]],GIL,2,1)</f>
        <v>--</v>
      </c>
      <c r="V678" t="str">
        <f>IF(HEVARIM[[#This Row],[קוד מעמד]]="4     ",IF(HEVARIM[[#This Row],[גיל]]=1,1,IF(HEVARIM[[#This Row],[גיל]]&lt;=5,5,18)),"")</f>
        <v/>
      </c>
      <c r="W678">
        <f t="shared" si="40"/>
        <v>2365</v>
      </c>
      <c r="X67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78">
        <f>IF(HEVARIM[[#This Row],[מצב משפחתי2]]="אלמן",'[2]ריכוז נתונים'!$AC$2,0)</f>
        <v>0</v>
      </c>
      <c r="Z678" s="3">
        <f>VLOOKUP(VALUE(HEVARIM[[#This Row],[קוד מעמד]]),הנחות!$I$2:$K$21,3,0)</f>
        <v>0</v>
      </c>
      <c r="AA678" t="b">
        <f>ISERROR(VLOOKUP(HEVARIM[[#This Row],[קוד תקציב]],'[2]ריכוז נתונים'!A:A,1,0))</f>
        <v>0</v>
      </c>
      <c r="AB678" s="1">
        <f t="shared" si="41"/>
        <v>0</v>
      </c>
      <c r="AC678" s="2">
        <f ca="1">IF(HEVARIM[[#This Row],[בר מצוה]]&gt;0,YEAR(TODAY())+'תקציבים מיוחדים'!$F$5-HEVARIM[[#This Row],[גיל]],0)</f>
        <v>0</v>
      </c>
      <c r="AD678" s="1">
        <f t="shared" si="42"/>
        <v>0</v>
      </c>
      <c r="AE678" s="2">
        <f ca="1">IF(HEVARIM[[#This Row],[בת מצוה]]&gt;0,YEAR(TODAY())+'תקציבים מיוחדים'!$F$5-HEVARIM[[#This Row],[גיל]],0)</f>
        <v>0</v>
      </c>
      <c r="AF678" s="1">
        <f>IF(AND($S678&gt;="רווק",$Z678=1),AF$4*IF(HEVARIM[[#This Row],[גיל]]&gt;$AF$3,1,(($G678-AF$2)/(AF$3-AF$2))),0)</f>
        <v>0</v>
      </c>
      <c r="AG67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8" s="1">
        <f t="shared" si="43"/>
        <v>0</v>
      </c>
      <c r="AI678" s="2">
        <f ca="1">IF(AH678&gt;0,YEAR(TODAY())+'תקציבים מיוחדים'!$F$7-HEVARIM[[#This Row],[גיל]],0)</f>
        <v>0</v>
      </c>
      <c r="AJ678" s="9">
        <f>IF(AND(ISERROR(VLOOKUP(H678,'[2]ריכוז נתונים'!A:L,1,0)),P678="1     "),1,0)</f>
        <v>0</v>
      </c>
      <c r="AK678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78" s="1">
        <f>IF(AND(VALUE(HEVARIM[[#This Row],[קוד מעמד]])=1,HEVARIM[[#This Row],[ותק מחברה 40]]&lt;25),HEVARIM[[#This Row],[ותק מחברה 40]]/25*הנחות!$C$4,0)</f>
        <v>0</v>
      </c>
      <c r="AM678" s="9" t="str">
        <f ca="1">IF(HEVARIM[[#This Row],[דמי עזיבה 25 שנות ותק]]&gt;0,YEAR(TODAY())+25-ROUNDDOWN(HEVARIM[[#This Row],[ותק מחברה 40]],0),"")</f>
        <v/>
      </c>
      <c r="AN67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8" s="9" t="str">
        <f ca="1">IF(HEVARIM[[#This Row],[דמי עזיבה לגיל 65]]&gt;0,YEAR(TODAY())+64-ROUNDDOWN(HEVARIM[[#This Row],[גיל]],0),"")</f>
        <v/>
      </c>
      <c r="AP678" s="1">
        <f>SUMIF(HEVARIM[קוד תקציב],HEVARIM[[#This Row],[קוד תקציב משפחה מקורי]],HEVARIM[ותק מחברה 40])</f>
        <v>0</v>
      </c>
      <c r="AQ67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678" s="9">
        <f>IF(HEVARIM[[#This Row],[קוד מעמד]]="1     ",IFERROR(VLOOKUP(HEVARIM[[#This Row],[קוד תקציב]],'תקציב צביעה - לקראת השינוי'!A:F,4,0),0),0)</f>
        <v>2027</v>
      </c>
      <c r="AT678" s="1"/>
    </row>
    <row r="679" spans="1:46">
      <c r="A679" t="s">
        <v>992</v>
      </c>
      <c r="B679" t="s">
        <v>993</v>
      </c>
      <c r="C679" t="s">
        <v>994</v>
      </c>
      <c r="D679" t="s">
        <v>995</v>
      </c>
      <c r="E679" t="s">
        <v>67</v>
      </c>
      <c r="F679" s="4">
        <v>22080</v>
      </c>
      <c r="G679">
        <v>65</v>
      </c>
      <c r="H679" t="s">
        <v>996</v>
      </c>
      <c r="I679" t="s">
        <v>997</v>
      </c>
      <c r="J679" s="4" t="s">
        <v>70</v>
      </c>
      <c r="K679" s="4" t="s">
        <v>71</v>
      </c>
      <c r="L679" t="s">
        <v>998</v>
      </c>
      <c r="M679" t="s">
        <v>992</v>
      </c>
      <c r="N679" t="s">
        <v>993</v>
      </c>
      <c r="O679">
        <f>IFERROR(VLOOKUP(HEVARIM[[#This Row],[קוד תקציב]],[2]תקציבים!A:L,6,0),0)</f>
        <v>2</v>
      </c>
      <c r="P679" s="5" t="s">
        <v>104</v>
      </c>
      <c r="Q679" t="s">
        <v>11</v>
      </c>
      <c r="R679" s="4">
        <v>30498</v>
      </c>
      <c r="S679" s="4" t="s">
        <v>74</v>
      </c>
      <c r="T679" s="96" t="s">
        <v>3849</v>
      </c>
      <c r="U679" t="str">
        <f>VLOOKUP(HEVARIM[[#This Row],[גיל]],GIL,2,1)</f>
        <v>--</v>
      </c>
      <c r="V679" t="str">
        <f>IF(HEVARIM[[#This Row],[קוד מעמד]]="4     ",IF(HEVARIM[[#This Row],[גיל]]=1,1,IF(HEVARIM[[#This Row],[גיל]]&lt;=5,5,18)),"")</f>
        <v/>
      </c>
      <c r="W679">
        <f t="shared" si="40"/>
        <v>0</v>
      </c>
      <c r="X67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79">
        <f>IF(HEVARIM[[#This Row],[מצב משפחתי2]]="אלמן",'[2]ריכוז נתונים'!$AC$2,0)</f>
        <v>0</v>
      </c>
      <c r="Z679" s="3">
        <f>VLOOKUP(VALUE(HEVARIM[[#This Row],[קוד מעמד]]),הנחות!$I$2:$K$21,3,0)</f>
        <v>0</v>
      </c>
      <c r="AA679" t="b">
        <f>ISERROR(VLOOKUP(HEVARIM[[#This Row],[קוד תקציב]],'[2]ריכוז נתונים'!A:A,1,0))</f>
        <v>0</v>
      </c>
      <c r="AB679" s="1">
        <f t="shared" si="41"/>
        <v>0</v>
      </c>
      <c r="AC679" s="2">
        <f ca="1">IF(HEVARIM[[#This Row],[בר מצוה]]&gt;0,YEAR(TODAY())+'תקציבים מיוחדים'!$F$5-HEVARIM[[#This Row],[גיל]],0)</f>
        <v>0</v>
      </c>
      <c r="AD679" s="1">
        <f t="shared" si="42"/>
        <v>0</v>
      </c>
      <c r="AE679" s="2">
        <f ca="1">IF(HEVARIM[[#This Row],[בת מצוה]]&gt;0,YEAR(TODAY())+'תקציבים מיוחדים'!$F$5-HEVARIM[[#This Row],[גיל]],0)</f>
        <v>0</v>
      </c>
      <c r="AF679" s="1">
        <f>IF(AND($S679&gt;="רווק",$Z679=1),AF$4*IF(HEVARIM[[#This Row],[גיל]]&gt;$AF$3,1,(($G679-AF$2)/(AF$3-AF$2))),0)</f>
        <v>0</v>
      </c>
      <c r="AG67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79" s="1">
        <f t="shared" si="43"/>
        <v>0</v>
      </c>
      <c r="AI679" s="2">
        <f ca="1">IF(AH679&gt;0,YEAR(TODAY())+'תקציבים מיוחדים'!$F$7-HEVARIM[[#This Row],[גיל]],0)</f>
        <v>0</v>
      </c>
      <c r="AJ679" s="9">
        <f>IF(AND(ISERROR(VLOOKUP(H679,'[2]ריכוז נתונים'!A:L,1,0)),P679="1     "),1,0)</f>
        <v>0</v>
      </c>
      <c r="AK679" s="1">
        <f>IF(VALUE(HEVARIM[[#This Row],[קוד מעמד]])=1,VLOOKUP((IF(LEFT(HEVARIM[[#This Row],[קוד חבר]],1)="0",HEVARIM[[#This Row],[קוד חבר]],VALUE(HEVARIM[[#This Row],[קוד חבר]]))),'ותק חברה 40'!AQ:AW,7,0),"")</f>
        <v>46.95</v>
      </c>
      <c r="AL679" s="1">
        <f>IF(AND(VALUE(HEVARIM[[#This Row],[קוד מעמד]])=1,HEVARIM[[#This Row],[ותק מחברה 40]]&lt;25),HEVARIM[[#This Row],[ותק מחברה 40]]/25*הנחות!$C$4,0)</f>
        <v>0</v>
      </c>
      <c r="AM679" s="9" t="str">
        <f ca="1">IF(HEVARIM[[#This Row],[דמי עזיבה 25 שנות ותק]]&gt;0,YEAR(TODAY())+25-ROUNDDOWN(HEVARIM[[#This Row],[ותק מחברה 40]],0),"")</f>
        <v/>
      </c>
      <c r="AN679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79" s="9" t="str">
        <f ca="1">IF(HEVARIM[[#This Row],[דמי עזיבה לגיל 65]]&gt;0,YEAR(TODAY())+64-ROUNDDOWN(HEVARIM[[#This Row],[גיל]],0),"")</f>
        <v/>
      </c>
      <c r="AP679" s="1">
        <f>SUMIF(HEVARIM[קוד תקציב],HEVARIM[[#This Row],[קוד תקציב משפחה מקורי]],HEVARIM[ותק מחברה 40])</f>
        <v>0</v>
      </c>
      <c r="AQ67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7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679" s="9">
        <f>IF(HEVARIM[[#This Row],[קוד מעמד]]="1     ",IFERROR(VLOOKUP(HEVARIM[[#This Row],[קוד תקציב]],'תקציב צביעה - לקראת השינוי'!A:F,4,0),0),0)</f>
        <v>2028</v>
      </c>
      <c r="AT679" s="1"/>
    </row>
    <row r="680" spans="1:46">
      <c r="A680" t="s">
        <v>1016</v>
      </c>
      <c r="B680" t="s">
        <v>1017</v>
      </c>
      <c r="C680" t="s">
        <v>988</v>
      </c>
      <c r="D680" t="s">
        <v>1018</v>
      </c>
      <c r="E680" t="s">
        <v>67</v>
      </c>
      <c r="F680" s="4">
        <v>21456</v>
      </c>
      <c r="G680">
        <v>67</v>
      </c>
      <c r="H680" t="s">
        <v>1019</v>
      </c>
      <c r="I680" t="s">
        <v>1020</v>
      </c>
      <c r="J680" s="4" t="s">
        <v>70</v>
      </c>
      <c r="K680" s="4" t="s">
        <v>71</v>
      </c>
      <c r="L680" t="s">
        <v>1021</v>
      </c>
      <c r="M680" t="s">
        <v>1016</v>
      </c>
      <c r="N680" t="s">
        <v>1017</v>
      </c>
      <c r="O680">
        <f>IFERROR(VLOOKUP(HEVARIM[[#This Row],[קוד תקציב]],[2]תקציבים!A:L,6,0),0)</f>
        <v>2</v>
      </c>
      <c r="P680" s="5" t="s">
        <v>104</v>
      </c>
      <c r="Q680" t="s">
        <v>11</v>
      </c>
      <c r="R680" s="4">
        <v>28125</v>
      </c>
      <c r="S680" s="4" t="s">
        <v>74</v>
      </c>
      <c r="T680" s="96" t="s">
        <v>990</v>
      </c>
      <c r="U680" t="str">
        <f>VLOOKUP(HEVARIM[[#This Row],[גיל]],GIL,2,1)</f>
        <v>--</v>
      </c>
      <c r="V680" t="str">
        <f>IF(HEVARIM[[#This Row],[קוד מעמד]]="4     ",IF(HEVARIM[[#This Row],[גיל]]=1,1,IF(HEVARIM[[#This Row],[גיל]]&lt;=5,5,18)),"")</f>
        <v/>
      </c>
      <c r="W680">
        <f t="shared" si="40"/>
        <v>2365</v>
      </c>
      <c r="X68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80">
        <f>IF(HEVARIM[[#This Row],[מצב משפחתי2]]="אלמן",'[2]ריכוז נתונים'!$AC$2,0)</f>
        <v>0</v>
      </c>
      <c r="Z680" s="3">
        <f>VLOOKUP(VALUE(HEVARIM[[#This Row],[קוד מעמד]]),הנחות!$I$2:$K$21,3,0)</f>
        <v>0</v>
      </c>
      <c r="AA680" t="b">
        <f>ISERROR(VLOOKUP(HEVARIM[[#This Row],[קוד תקציב]],'[2]ריכוז נתונים'!A:A,1,0))</f>
        <v>0</v>
      </c>
      <c r="AB680" s="1">
        <f t="shared" si="41"/>
        <v>0</v>
      </c>
      <c r="AC680" s="2">
        <f ca="1">IF(HEVARIM[[#This Row],[בר מצוה]]&gt;0,YEAR(TODAY())+'תקציבים מיוחדים'!$F$5-HEVARIM[[#This Row],[גיל]],0)</f>
        <v>0</v>
      </c>
      <c r="AD680" s="1">
        <f t="shared" si="42"/>
        <v>0</v>
      </c>
      <c r="AE680" s="2">
        <f ca="1">IF(HEVARIM[[#This Row],[בת מצוה]]&gt;0,YEAR(TODAY())+'תקציבים מיוחדים'!$F$5-HEVARIM[[#This Row],[גיל]],0)</f>
        <v>0</v>
      </c>
      <c r="AF680" s="1">
        <f>IF(AND($S680&gt;="רווק",$Z680=1),AF$4*IF(HEVARIM[[#This Row],[גיל]]&gt;$AF$3,1,(($G680-AF$2)/(AF$3-AF$2))),0)</f>
        <v>0</v>
      </c>
      <c r="AG68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0" s="1">
        <f t="shared" si="43"/>
        <v>0</v>
      </c>
      <c r="AI680" s="2">
        <f ca="1">IF(AH680&gt;0,YEAR(TODAY())+'תקציבים מיוחדים'!$F$7-HEVARIM[[#This Row],[גיל]],0)</f>
        <v>0</v>
      </c>
      <c r="AJ680" s="9">
        <f>IF(AND(ISERROR(VLOOKUP(H680,'[2]ריכוז נתונים'!A:L,1,0)),P680="1     "),1,0)</f>
        <v>0</v>
      </c>
      <c r="AK68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0" s="1">
        <f>IF(AND(VALUE(HEVARIM[[#This Row],[קוד מעמד]])=1,HEVARIM[[#This Row],[ותק מחברה 40]]&lt;25),HEVARIM[[#This Row],[ותק מחברה 40]]/25*הנחות!$C$4,0)</f>
        <v>0</v>
      </c>
      <c r="AM680" s="9" t="str">
        <f ca="1">IF(HEVARIM[[#This Row],[דמי עזיבה 25 שנות ותק]]&gt;0,YEAR(TODAY())+25-ROUNDDOWN(HEVARIM[[#This Row],[ותק מחברה 40]],0),"")</f>
        <v/>
      </c>
      <c r="AN68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0" s="9" t="str">
        <f ca="1">IF(HEVARIM[[#This Row],[דמי עזיבה לגיל 65]]&gt;0,YEAR(TODAY())+64-ROUNDDOWN(HEVARIM[[#This Row],[גיל]],0),"")</f>
        <v/>
      </c>
      <c r="AP680" s="1">
        <f>SUMIF(HEVARIM[קוד תקציב],HEVARIM[[#This Row],[קוד תקציב משפחה מקורי]],HEVARIM[ותק מחברה 40])</f>
        <v>0</v>
      </c>
      <c r="AQ68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680" s="9">
        <f>IF(HEVARIM[[#This Row],[קוד מעמד]]="1     ",IFERROR(VLOOKUP(HEVARIM[[#This Row],[קוד תקציב]],'תקציב צביעה - לקראת השינוי'!A:F,4,0),0),0)</f>
        <v>2028</v>
      </c>
      <c r="AT680" s="1"/>
    </row>
    <row r="681" spans="1:46">
      <c r="A681" t="s">
        <v>1565</v>
      </c>
      <c r="B681" t="s">
        <v>1566</v>
      </c>
      <c r="C681" t="s">
        <v>1560</v>
      </c>
      <c r="D681" t="s">
        <v>1567</v>
      </c>
      <c r="E681" t="s">
        <v>79</v>
      </c>
      <c r="F681" s="4">
        <v>17965</v>
      </c>
      <c r="G681">
        <v>76</v>
      </c>
      <c r="H681" t="s">
        <v>1562</v>
      </c>
      <c r="I681" t="s">
        <v>1563</v>
      </c>
      <c r="J681" s="4" t="s">
        <v>70</v>
      </c>
      <c r="K681" s="4" t="s">
        <v>71</v>
      </c>
      <c r="L681" t="s">
        <v>1568</v>
      </c>
      <c r="M681" t="s">
        <v>1558</v>
      </c>
      <c r="N681" t="s">
        <v>1559</v>
      </c>
      <c r="O681">
        <f>IFERROR(VLOOKUP(HEVARIM[[#This Row],[קוד תקציב]],[2]תקציבים!A:L,6,0),0)</f>
        <v>2</v>
      </c>
      <c r="P681" s="5" t="s">
        <v>104</v>
      </c>
      <c r="Q681" t="s">
        <v>11</v>
      </c>
      <c r="R681" s="4">
        <v>26664</v>
      </c>
      <c r="S681" s="4" t="s">
        <v>74</v>
      </c>
      <c r="T681" s="96" t="s">
        <v>3850</v>
      </c>
      <c r="U681" t="str">
        <f>VLOOKUP(HEVARIM[[#This Row],[גיל]],GIL,2,1)</f>
        <v>--</v>
      </c>
      <c r="V681" t="str">
        <f>IF(HEVARIM[[#This Row],[קוד מעמד]]="4     ",IF(HEVARIM[[#This Row],[גיל]]=1,1,IF(HEVARIM[[#This Row],[גיל]]&lt;=5,5,18)),"")</f>
        <v/>
      </c>
      <c r="W681">
        <f t="shared" si="40"/>
        <v>2365</v>
      </c>
      <c r="X68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1">
        <f>IF(HEVARIM[[#This Row],[מצב משפחתי2]]="אלמן",'[2]ריכוז נתונים'!$AC$2,0)</f>
        <v>0</v>
      </c>
      <c r="Z681" s="3">
        <f>VLOOKUP(VALUE(HEVARIM[[#This Row],[קוד מעמד]]),הנחות!$I$2:$K$21,3,0)</f>
        <v>0</v>
      </c>
      <c r="AA681" t="b">
        <f>ISERROR(VLOOKUP(HEVARIM[[#This Row],[קוד תקציב]],'[2]ריכוז נתונים'!A:A,1,0))</f>
        <v>0</v>
      </c>
      <c r="AB681" s="1">
        <f t="shared" si="41"/>
        <v>0</v>
      </c>
      <c r="AC681" s="2">
        <f ca="1">IF(HEVARIM[[#This Row],[בר מצוה]]&gt;0,YEAR(TODAY())+'תקציבים מיוחדים'!$F$5-HEVARIM[[#This Row],[גיל]],0)</f>
        <v>0</v>
      </c>
      <c r="AD681" s="1">
        <f t="shared" si="42"/>
        <v>0</v>
      </c>
      <c r="AE681" s="2">
        <f ca="1">IF(HEVARIM[[#This Row],[בת מצוה]]&gt;0,YEAR(TODAY())+'תקציבים מיוחדים'!$F$5-HEVARIM[[#This Row],[גיל]],0)</f>
        <v>0</v>
      </c>
      <c r="AF681" s="1">
        <f>IF(AND($S681&gt;="רווק",$Z681=1),AF$4*IF(HEVARIM[[#This Row],[גיל]]&gt;$AF$3,1,(($G681-AF$2)/(AF$3-AF$2))),0)</f>
        <v>0</v>
      </c>
      <c r="AG68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1" s="1">
        <f t="shared" si="43"/>
        <v>0</v>
      </c>
      <c r="AI681" s="2">
        <f ca="1">IF(AH681&gt;0,YEAR(TODAY())+'תקציבים מיוחדים'!$F$7-HEVARIM[[#This Row],[גיל]],0)</f>
        <v>0</v>
      </c>
      <c r="AJ681" s="9">
        <f>IF(AND(ISERROR(VLOOKUP(H681,'[2]ריכוז נתונים'!A:L,1,0)),P681="1     "),1,0)</f>
        <v>0</v>
      </c>
      <c r="AK681" s="1">
        <f>IF(VALUE(HEVARIM[[#This Row],[קוד מעמד]])=1,VLOOKUP((IF(LEFT(HEVARIM[[#This Row],[קוד חבר]],1)="0",HEVARIM[[#This Row],[קוד חבר]],VALUE(HEVARIM[[#This Row],[קוד חבר]]))),'ותק חברה 40'!AQ:AW,7,0),"")</f>
        <v>44.25</v>
      </c>
      <c r="AL681" s="1">
        <f>IF(AND(VALUE(HEVARIM[[#This Row],[קוד מעמד]])=1,HEVARIM[[#This Row],[ותק מחברה 40]]&lt;25),HEVARIM[[#This Row],[ותק מחברה 40]]/25*הנחות!$C$4,0)</f>
        <v>0</v>
      </c>
      <c r="AM681" s="9" t="str">
        <f ca="1">IF(HEVARIM[[#This Row],[דמי עזיבה 25 שנות ותק]]&gt;0,YEAR(TODAY())+25-ROUNDDOWN(HEVARIM[[#This Row],[ותק מחברה 40]],0),"")</f>
        <v/>
      </c>
      <c r="AN68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1" s="9" t="str">
        <f ca="1">IF(HEVARIM[[#This Row],[דמי עזיבה לגיל 65]]&gt;0,YEAR(TODAY())+64-ROUNDDOWN(HEVARIM[[#This Row],[גיל]],0),"")</f>
        <v/>
      </c>
      <c r="AP681" s="1">
        <f>SUMIF(HEVARIM[קוד תקציב],HEVARIM[[#This Row],[קוד תקציב משפחה מקורי]],HEVARIM[ותק מחברה 40])</f>
        <v>0</v>
      </c>
      <c r="AQ68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681" s="9">
        <f>IF(HEVARIM[[#This Row],[קוד מעמד]]="1     ",IFERROR(VLOOKUP(HEVARIM[[#This Row],[קוד תקציב]],'תקציב צביעה - לקראת השינוי'!A:F,4,0),0),0)</f>
        <v>2032</v>
      </c>
      <c r="AT681" s="1"/>
    </row>
    <row r="682" spans="1:46">
      <c r="A682" t="s">
        <v>1354</v>
      </c>
      <c r="B682" t="s">
        <v>1355</v>
      </c>
      <c r="C682" t="s">
        <v>1345</v>
      </c>
      <c r="D682" t="s">
        <v>1356</v>
      </c>
      <c r="E682" t="s">
        <v>67</v>
      </c>
      <c r="F682" s="4">
        <v>20263</v>
      </c>
      <c r="G682">
        <v>70</v>
      </c>
      <c r="H682" t="s">
        <v>1357</v>
      </c>
      <c r="I682" t="s">
        <v>1358</v>
      </c>
      <c r="J682" s="4" t="s">
        <v>70</v>
      </c>
      <c r="K682" s="4" t="s">
        <v>71</v>
      </c>
      <c r="L682" t="s">
        <v>1359</v>
      </c>
      <c r="M682" t="s">
        <v>1354</v>
      </c>
      <c r="N682" t="s">
        <v>1355</v>
      </c>
      <c r="O682">
        <f>IFERROR(VLOOKUP(HEVARIM[[#This Row],[קוד תקציב]],[2]תקציבים!A:L,6,0),0)</f>
        <v>2</v>
      </c>
      <c r="P682" s="5" t="s">
        <v>104</v>
      </c>
      <c r="Q682" t="s">
        <v>11</v>
      </c>
      <c r="R682" s="4">
        <v>27029</v>
      </c>
      <c r="S682" s="4" t="s">
        <v>74</v>
      </c>
      <c r="T682" s="96" t="s">
        <v>3850</v>
      </c>
      <c r="U682" t="str">
        <f>VLOOKUP(HEVARIM[[#This Row],[גיל]],GIL,2,1)</f>
        <v>--</v>
      </c>
      <c r="V682" t="str">
        <f>IF(HEVARIM[[#This Row],[קוד מעמד]]="4     ",IF(HEVARIM[[#This Row],[גיל]]=1,1,IF(HEVARIM[[#This Row],[גיל]]&lt;=5,5,18)),"")</f>
        <v/>
      </c>
      <c r="W682">
        <f t="shared" si="40"/>
        <v>2365</v>
      </c>
      <c r="X68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2">
        <f>IF(HEVARIM[[#This Row],[מצב משפחתי2]]="אלמן",'[2]ריכוז נתונים'!$AC$2,0)</f>
        <v>0</v>
      </c>
      <c r="Z682" s="3">
        <f>VLOOKUP(VALUE(HEVARIM[[#This Row],[קוד מעמד]]),הנחות!$I$2:$K$21,3,0)</f>
        <v>0</v>
      </c>
      <c r="AA682" t="b">
        <f>ISERROR(VLOOKUP(HEVARIM[[#This Row],[קוד תקציב]],'[2]ריכוז נתונים'!A:A,1,0))</f>
        <v>0</v>
      </c>
      <c r="AB682" s="1">
        <f t="shared" si="41"/>
        <v>0</v>
      </c>
      <c r="AC682" s="2">
        <f ca="1">IF(HEVARIM[[#This Row],[בר מצוה]]&gt;0,YEAR(TODAY())+'תקציבים מיוחדים'!$F$5-HEVARIM[[#This Row],[גיל]],0)</f>
        <v>0</v>
      </c>
      <c r="AD682" s="1">
        <f t="shared" si="42"/>
        <v>0</v>
      </c>
      <c r="AE682" s="2">
        <f ca="1">IF(HEVARIM[[#This Row],[בת מצוה]]&gt;0,YEAR(TODAY())+'תקציבים מיוחדים'!$F$5-HEVARIM[[#This Row],[גיל]],0)</f>
        <v>0</v>
      </c>
      <c r="AF682" s="1">
        <f>IF(AND($S682&gt;="רווק",$Z682=1),AF$4*IF(HEVARIM[[#This Row],[גיל]]&gt;$AF$3,1,(($G682-AF$2)/(AF$3-AF$2))),0)</f>
        <v>0</v>
      </c>
      <c r="AG68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2" s="1">
        <f t="shared" si="43"/>
        <v>0</v>
      </c>
      <c r="AI682" s="2">
        <f ca="1">IF(AH682&gt;0,YEAR(TODAY())+'תקציבים מיוחדים'!$F$7-HEVARIM[[#This Row],[גיל]],0)</f>
        <v>0</v>
      </c>
      <c r="AJ682" s="9">
        <f>IF(AND(ISERROR(VLOOKUP(H682,'[2]ריכוז נתונים'!A:L,1,0)),P682="1     "),1,0)</f>
        <v>0</v>
      </c>
      <c r="AK682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2" s="1">
        <f>IF(AND(VALUE(HEVARIM[[#This Row],[קוד מעמד]])=1,HEVARIM[[#This Row],[ותק מחברה 40]]&lt;25),HEVARIM[[#This Row],[ותק מחברה 40]]/25*הנחות!$C$4,0)</f>
        <v>0</v>
      </c>
      <c r="AM682" s="9" t="str">
        <f ca="1">IF(HEVARIM[[#This Row],[דמי עזיבה 25 שנות ותק]]&gt;0,YEAR(TODAY())+25-ROUNDDOWN(HEVARIM[[#This Row],[ותק מחברה 40]],0),"")</f>
        <v/>
      </c>
      <c r="AN68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2" s="9" t="str">
        <f ca="1">IF(HEVARIM[[#This Row],[דמי עזיבה לגיל 65]]&gt;0,YEAR(TODAY())+64-ROUNDDOWN(HEVARIM[[#This Row],[גיל]],0),"")</f>
        <v/>
      </c>
      <c r="AP682" s="1">
        <f>SUMIF(HEVARIM[קוד תקציב],HEVARIM[[#This Row],[קוד תקציב משפחה מקורי]],HEVARIM[ותק מחברה 40])</f>
        <v>0</v>
      </c>
      <c r="AQ68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682" s="9">
        <f>IF(HEVARIM[[#This Row],[קוד מעמד]]="1     ",IFERROR(VLOOKUP(HEVARIM[[#This Row],[קוד תקציב]],'תקציב צביעה - לקראת השינוי'!A:F,4,0),0),0)</f>
        <v>2033</v>
      </c>
      <c r="AT682" s="1"/>
    </row>
    <row r="683" spans="1:46">
      <c r="A683" t="s">
        <v>1343</v>
      </c>
      <c r="B683" t="s">
        <v>1344</v>
      </c>
      <c r="C683" t="s">
        <v>1345</v>
      </c>
      <c r="D683" t="s">
        <v>1346</v>
      </c>
      <c r="E683" t="s">
        <v>67</v>
      </c>
      <c r="F683" s="4">
        <v>18744</v>
      </c>
      <c r="G683">
        <v>74</v>
      </c>
      <c r="H683" t="s">
        <v>1347</v>
      </c>
      <c r="I683" t="s">
        <v>1348</v>
      </c>
      <c r="J683" s="4" t="s">
        <v>70</v>
      </c>
      <c r="K683" s="4" t="s">
        <v>71</v>
      </c>
      <c r="L683" t="s">
        <v>1349</v>
      </c>
      <c r="M683" t="s">
        <v>1343</v>
      </c>
      <c r="N683" t="s">
        <v>1344</v>
      </c>
      <c r="O683">
        <f>IFERROR(VLOOKUP(HEVARIM[[#This Row],[קוד תקציב]],[2]תקציבים!A:L,6,0),0)</f>
        <v>2</v>
      </c>
      <c r="P683" s="5" t="s">
        <v>104</v>
      </c>
      <c r="Q683" t="s">
        <v>11</v>
      </c>
      <c r="R683" s="4">
        <v>25568</v>
      </c>
      <c r="S683" s="4" t="s">
        <v>74</v>
      </c>
      <c r="T683" s="96" t="s">
        <v>3850</v>
      </c>
      <c r="U683" t="str">
        <f>VLOOKUP(HEVARIM[[#This Row],[גיל]],GIL,2,1)</f>
        <v>--</v>
      </c>
      <c r="V683" t="str">
        <f>IF(HEVARIM[[#This Row],[קוד מעמד]]="4     ",IF(HEVARIM[[#This Row],[גיל]]=1,1,IF(HEVARIM[[#This Row],[גיל]]&lt;=5,5,18)),"")</f>
        <v/>
      </c>
      <c r="W683">
        <f t="shared" si="40"/>
        <v>2365</v>
      </c>
      <c r="X68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3">
        <f>IF(HEVARIM[[#This Row],[מצב משפחתי2]]="אלמן",'[2]ריכוז נתונים'!$AC$2,0)</f>
        <v>0</v>
      </c>
      <c r="Z683" s="3">
        <f>VLOOKUP(VALUE(HEVARIM[[#This Row],[קוד מעמד]]),הנחות!$I$2:$K$21,3,0)</f>
        <v>0</v>
      </c>
      <c r="AA683" t="b">
        <f>ISERROR(VLOOKUP(HEVARIM[[#This Row],[קוד תקציב]],'[2]ריכוז נתונים'!A:A,1,0))</f>
        <v>0</v>
      </c>
      <c r="AB683" s="1">
        <f t="shared" si="41"/>
        <v>0</v>
      </c>
      <c r="AC683" s="2">
        <f ca="1">IF(HEVARIM[[#This Row],[בר מצוה]]&gt;0,YEAR(TODAY())+'תקציבים מיוחדים'!$F$5-HEVARIM[[#This Row],[גיל]],0)</f>
        <v>0</v>
      </c>
      <c r="AD683" s="1">
        <f t="shared" si="42"/>
        <v>0</v>
      </c>
      <c r="AE683" s="2">
        <f ca="1">IF(HEVARIM[[#This Row],[בת מצוה]]&gt;0,YEAR(TODAY())+'תקציבים מיוחדים'!$F$5-HEVARIM[[#This Row],[גיל]],0)</f>
        <v>0</v>
      </c>
      <c r="AF683" s="1">
        <f>IF(AND($S683&gt;="רווק",$Z683=1),AF$4*IF(HEVARIM[[#This Row],[גיל]]&gt;$AF$3,1,(($G683-AF$2)/(AF$3-AF$2))),0)</f>
        <v>0</v>
      </c>
      <c r="AG68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3" s="1">
        <f t="shared" si="43"/>
        <v>0</v>
      </c>
      <c r="AI683" s="2">
        <f ca="1">IF(AH683&gt;0,YEAR(TODAY())+'תקציבים מיוחדים'!$F$7-HEVARIM[[#This Row],[גיל]],0)</f>
        <v>0</v>
      </c>
      <c r="AJ683" s="9">
        <f>IF(AND(ISERROR(VLOOKUP(H683,'[2]ריכוז נתונים'!A:L,1,0)),P683="1     "),1,0)</f>
        <v>0</v>
      </c>
      <c r="AK683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3" s="1">
        <f>IF(AND(VALUE(HEVARIM[[#This Row],[קוד מעמד]])=1,HEVARIM[[#This Row],[ותק מחברה 40]]&lt;25),HEVARIM[[#This Row],[ותק מחברה 40]]/25*הנחות!$C$4,0)</f>
        <v>0</v>
      </c>
      <c r="AM683" s="9" t="str">
        <f ca="1">IF(HEVARIM[[#This Row],[דמי עזיבה 25 שנות ותק]]&gt;0,YEAR(TODAY())+25-ROUNDDOWN(HEVARIM[[#This Row],[ותק מחברה 40]],0),"")</f>
        <v/>
      </c>
      <c r="AN68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3" s="9" t="str">
        <f ca="1">IF(HEVARIM[[#This Row],[דמי עזיבה לגיל 65]]&gt;0,YEAR(TODAY())+64-ROUNDDOWN(HEVARIM[[#This Row],[גיל]],0),"")</f>
        <v/>
      </c>
      <c r="AP683" s="1">
        <f>SUMIF(HEVARIM[קוד תקציב],HEVARIM[[#This Row],[קוד תקציב משפחה מקורי]],HEVARIM[ותק מחברה 40])</f>
        <v>0</v>
      </c>
      <c r="AQ68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683" s="9">
        <f>IF(HEVARIM[[#This Row],[קוד מעמד]]="1     ",IFERROR(VLOOKUP(HEVARIM[[#This Row],[קוד תקציב]],'תקציב צביעה - לקראת השינוי'!A:F,4,0),0),0)</f>
        <v>2028</v>
      </c>
      <c r="AT683" s="1"/>
    </row>
    <row r="684" spans="1:46">
      <c r="A684" t="s">
        <v>2336</v>
      </c>
      <c r="B684" t="s">
        <v>2337</v>
      </c>
      <c r="C684" t="s">
        <v>2338</v>
      </c>
      <c r="D684" t="s">
        <v>699</v>
      </c>
      <c r="E684" t="s">
        <v>67</v>
      </c>
      <c r="F684" s="4">
        <v>18605</v>
      </c>
      <c r="G684">
        <v>75</v>
      </c>
      <c r="H684" t="s">
        <v>2339</v>
      </c>
      <c r="I684" t="s">
        <v>2340</v>
      </c>
      <c r="J684" s="4" t="s">
        <v>70</v>
      </c>
      <c r="K684" s="4" t="s">
        <v>71</v>
      </c>
      <c r="L684" t="s">
        <v>2341</v>
      </c>
      <c r="M684" t="s">
        <v>2336</v>
      </c>
      <c r="N684" t="s">
        <v>2337</v>
      </c>
      <c r="O684">
        <f>IFERROR(VLOOKUP(HEVARIM[[#This Row],[קוד תקציב]],[2]תקציבים!A:L,6,0),0)</f>
        <v>2</v>
      </c>
      <c r="P684" s="5" t="s">
        <v>104</v>
      </c>
      <c r="Q684" t="s">
        <v>11</v>
      </c>
      <c r="R684" s="4">
        <v>35217</v>
      </c>
      <c r="S684" s="4" t="s">
        <v>74</v>
      </c>
      <c r="T684" s="96" t="s">
        <v>3851</v>
      </c>
      <c r="U684" t="str">
        <f>VLOOKUP(HEVARIM[[#This Row],[גיל]],GIL,2,1)</f>
        <v>--</v>
      </c>
      <c r="V684" t="str">
        <f>IF(HEVARIM[[#This Row],[קוד מעמד]]="4     ",IF(HEVARIM[[#This Row],[גיל]]=1,1,IF(HEVARIM[[#This Row],[גיל]]&lt;=5,5,18)),"")</f>
        <v/>
      </c>
      <c r="W684">
        <f t="shared" si="40"/>
        <v>2365</v>
      </c>
      <c r="X68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4">
        <f>IF(HEVARIM[[#This Row],[מצב משפחתי2]]="אלמן",'[2]ריכוז נתונים'!$AC$2,0)</f>
        <v>0</v>
      </c>
      <c r="Z684" s="3">
        <f>VLOOKUP(VALUE(HEVARIM[[#This Row],[קוד מעמד]]),הנחות!$I$2:$K$21,3,0)</f>
        <v>0</v>
      </c>
      <c r="AA684" t="b">
        <f>ISERROR(VLOOKUP(HEVARIM[[#This Row],[קוד תקציב]],'[2]ריכוז נתונים'!A:A,1,0))</f>
        <v>0</v>
      </c>
      <c r="AB684" s="1">
        <f t="shared" si="41"/>
        <v>0</v>
      </c>
      <c r="AC684" s="2">
        <f ca="1">IF(HEVARIM[[#This Row],[בר מצוה]]&gt;0,YEAR(TODAY())+'תקציבים מיוחדים'!$F$5-HEVARIM[[#This Row],[גיל]],0)</f>
        <v>0</v>
      </c>
      <c r="AD684" s="1">
        <f t="shared" si="42"/>
        <v>0</v>
      </c>
      <c r="AE684" s="2">
        <f ca="1">IF(HEVARIM[[#This Row],[בת מצוה]]&gt;0,YEAR(TODAY())+'תקציבים מיוחדים'!$F$5-HEVARIM[[#This Row],[גיל]],0)</f>
        <v>0</v>
      </c>
      <c r="AF684" s="1">
        <f>IF(AND($S684&gt;="רווק",$Z684=1),AF$4*IF(HEVARIM[[#This Row],[גיל]]&gt;$AF$3,1,(($G684-AF$2)/(AF$3-AF$2))),0)</f>
        <v>0</v>
      </c>
      <c r="AG68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4" s="1">
        <f t="shared" si="43"/>
        <v>0</v>
      </c>
      <c r="AI684" s="2">
        <f ca="1">IF(AH684&gt;0,YEAR(TODAY())+'תקציבים מיוחדים'!$F$7-HEVARIM[[#This Row],[גיל]],0)</f>
        <v>0</v>
      </c>
      <c r="AJ684" s="9">
        <f>IF(AND(ISERROR(VLOOKUP(H684,'[2]ריכוז נתונים'!A:L,1,0)),P684="1     "),1,0)</f>
        <v>0</v>
      </c>
      <c r="AK684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4" s="1">
        <f>IF(AND(VALUE(HEVARIM[[#This Row],[קוד מעמד]])=1,HEVARIM[[#This Row],[ותק מחברה 40]]&lt;25),HEVARIM[[#This Row],[ותק מחברה 40]]/25*הנחות!$C$4,0)</f>
        <v>0</v>
      </c>
      <c r="AM684" s="9" t="str">
        <f ca="1">IF(HEVARIM[[#This Row],[דמי עזיבה 25 שנות ותק]]&gt;0,YEAR(TODAY())+25-ROUNDDOWN(HEVARIM[[#This Row],[ותק מחברה 40]],0),"")</f>
        <v/>
      </c>
      <c r="AN68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4" s="9" t="str">
        <f ca="1">IF(HEVARIM[[#This Row],[דמי עזיבה לגיל 65]]&gt;0,YEAR(TODAY())+64-ROUNDDOWN(HEVARIM[[#This Row],[גיל]],0),"")</f>
        <v/>
      </c>
      <c r="AP684" s="1">
        <f>SUMIF(HEVARIM[קוד תקציב],HEVARIM[[#This Row],[קוד תקציב משפחה מקורי]],HEVARIM[ותק מחברה 40])</f>
        <v>0</v>
      </c>
      <c r="AQ68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684" s="9">
        <f>IF(HEVARIM[[#This Row],[קוד מעמד]]="1     ",IFERROR(VLOOKUP(HEVARIM[[#This Row],[קוד תקציב]],'תקציב צביעה - לקראת השינוי'!A:F,4,0),0),0)</f>
        <v>2033</v>
      </c>
      <c r="AT684" s="1"/>
    </row>
    <row r="685" spans="1:46">
      <c r="A685" t="s">
        <v>1576</v>
      </c>
      <c r="B685" t="s">
        <v>1577</v>
      </c>
      <c r="C685" t="s">
        <v>1435</v>
      </c>
      <c r="D685" t="s">
        <v>1171</v>
      </c>
      <c r="E685" t="s">
        <v>67</v>
      </c>
      <c r="F685" s="4">
        <v>20636</v>
      </c>
      <c r="G685">
        <v>69</v>
      </c>
      <c r="H685" t="s">
        <v>1578</v>
      </c>
      <c r="I685" t="s">
        <v>1579</v>
      </c>
      <c r="J685" s="4" t="s">
        <v>70</v>
      </c>
      <c r="K685" s="4" t="s">
        <v>71</v>
      </c>
      <c r="L685" t="s">
        <v>1580</v>
      </c>
      <c r="M685" t="s">
        <v>1576</v>
      </c>
      <c r="N685" t="s">
        <v>1577</v>
      </c>
      <c r="O685">
        <f>IFERROR(VLOOKUP(HEVARIM[[#This Row],[קוד תקציב]],[2]תקציבים!A:L,6,0),0)</f>
        <v>2</v>
      </c>
      <c r="P685" s="5" t="s">
        <v>104</v>
      </c>
      <c r="Q685" t="s">
        <v>11</v>
      </c>
      <c r="R685" s="4">
        <v>27394</v>
      </c>
      <c r="S685" s="4" t="s">
        <v>74</v>
      </c>
      <c r="T685" s="96" t="s">
        <v>3852</v>
      </c>
      <c r="U685" t="str">
        <f>VLOOKUP(HEVARIM[[#This Row],[גיל]],GIL,2,1)</f>
        <v>--</v>
      </c>
      <c r="V685" t="str">
        <f>IF(HEVARIM[[#This Row],[קוד מעמד]]="4     ",IF(HEVARIM[[#This Row],[גיל]]=1,1,IF(HEVARIM[[#This Row],[גיל]]&lt;=5,5,18)),"")</f>
        <v/>
      </c>
      <c r="W685">
        <f t="shared" si="40"/>
        <v>2365</v>
      </c>
      <c r="X68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5">
        <f>IF(HEVARIM[[#This Row],[מצב משפחתי2]]="אלמן",'[2]ריכוז נתונים'!$AC$2,0)</f>
        <v>0</v>
      </c>
      <c r="Z685" s="3">
        <f>VLOOKUP(VALUE(HEVARIM[[#This Row],[קוד מעמד]]),הנחות!$I$2:$K$21,3,0)</f>
        <v>0</v>
      </c>
      <c r="AA685" t="b">
        <f>ISERROR(VLOOKUP(HEVARIM[[#This Row],[קוד תקציב]],'[2]ריכוז נתונים'!A:A,1,0))</f>
        <v>0</v>
      </c>
      <c r="AB685" s="1">
        <f t="shared" si="41"/>
        <v>0</v>
      </c>
      <c r="AC685" s="2">
        <f ca="1">IF(HEVARIM[[#This Row],[בר מצוה]]&gt;0,YEAR(TODAY())+'תקציבים מיוחדים'!$F$5-HEVARIM[[#This Row],[גיל]],0)</f>
        <v>0</v>
      </c>
      <c r="AD685" s="1">
        <f t="shared" si="42"/>
        <v>0</v>
      </c>
      <c r="AE685" s="2">
        <f ca="1">IF(HEVARIM[[#This Row],[בת מצוה]]&gt;0,YEAR(TODAY())+'תקציבים מיוחדים'!$F$5-HEVARIM[[#This Row],[גיל]],0)</f>
        <v>0</v>
      </c>
      <c r="AF685" s="1">
        <f>IF(AND($S685&gt;="רווק",$Z685=1),AF$4*IF(HEVARIM[[#This Row],[גיל]]&gt;$AF$3,1,(($G685-AF$2)/(AF$3-AF$2))),0)</f>
        <v>0</v>
      </c>
      <c r="AG68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5" s="1">
        <f t="shared" si="43"/>
        <v>0</v>
      </c>
      <c r="AI685" s="2">
        <f ca="1">IF(AH685&gt;0,YEAR(TODAY())+'תקציבים מיוחדים'!$F$7-HEVARIM[[#This Row],[גיל]],0)</f>
        <v>0</v>
      </c>
      <c r="AJ685" s="9">
        <f>IF(AND(ISERROR(VLOOKUP(H685,'[2]ריכוז נתונים'!A:L,1,0)),P685="1     "),1,0)</f>
        <v>0</v>
      </c>
      <c r="AK685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5" s="1">
        <f>IF(AND(VALUE(HEVARIM[[#This Row],[קוד מעמד]])=1,HEVARIM[[#This Row],[ותק מחברה 40]]&lt;25),HEVARIM[[#This Row],[ותק מחברה 40]]/25*הנחות!$C$4,0)</f>
        <v>0</v>
      </c>
      <c r="AM685" s="9" t="str">
        <f ca="1">IF(HEVARIM[[#This Row],[דמי עזיבה 25 שנות ותק]]&gt;0,YEAR(TODAY())+25-ROUNDDOWN(HEVARIM[[#This Row],[ותק מחברה 40]],0),"")</f>
        <v/>
      </c>
      <c r="AN68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5" s="9" t="str">
        <f ca="1">IF(HEVARIM[[#This Row],[דמי עזיבה לגיל 65]]&gt;0,YEAR(TODAY())+64-ROUNDDOWN(HEVARIM[[#This Row],[גיל]],0),"")</f>
        <v/>
      </c>
      <c r="AP685" s="1">
        <f>SUMIF(HEVARIM[קוד תקציב],HEVARIM[[#This Row],[קוד תקציב משפחה מקורי]],HEVARIM[ותק מחברה 40])</f>
        <v>0</v>
      </c>
      <c r="AQ68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685" s="9">
        <f>IF(HEVARIM[[#This Row],[קוד מעמד]]="1     ",IFERROR(VLOOKUP(HEVARIM[[#This Row],[קוד תקציב]],'תקציב צביעה - לקראת השינוי'!A:F,4,0),0),0)</f>
        <v>2028</v>
      </c>
      <c r="AT685" s="1"/>
    </row>
    <row r="686" spans="1:46">
      <c r="A686" t="s">
        <v>1569</v>
      </c>
      <c r="B686" t="s">
        <v>1570</v>
      </c>
      <c r="C686" t="s">
        <v>1571</v>
      </c>
      <c r="D686" t="s">
        <v>705</v>
      </c>
      <c r="E686" t="s">
        <v>79</v>
      </c>
      <c r="F686" s="4">
        <v>16788</v>
      </c>
      <c r="G686">
        <v>80</v>
      </c>
      <c r="H686" t="s">
        <v>1572</v>
      </c>
      <c r="I686" t="s">
        <v>1570</v>
      </c>
      <c r="J686" s="4" t="s">
        <v>70</v>
      </c>
      <c r="K686" s="4" t="s">
        <v>71</v>
      </c>
      <c r="L686" t="s">
        <v>1573</v>
      </c>
      <c r="M686" t="s">
        <v>1574</v>
      </c>
      <c r="N686" t="s">
        <v>1575</v>
      </c>
      <c r="O686">
        <f>IFERROR(VLOOKUP(HEVARIM[[#This Row],[קוד תקציב]],[2]תקציבים!A:L,6,0),0)</f>
        <v>1</v>
      </c>
      <c r="P686" s="5" t="s">
        <v>104</v>
      </c>
      <c r="Q686" t="s">
        <v>11</v>
      </c>
      <c r="R686" s="4">
        <v>28490</v>
      </c>
      <c r="S686" s="4" t="s">
        <v>449</v>
      </c>
      <c r="T686" s="96" t="s">
        <v>1572</v>
      </c>
      <c r="U686" t="str">
        <f>VLOOKUP(HEVARIM[[#This Row],[גיל]],GIL,2,1)</f>
        <v>--</v>
      </c>
      <c r="V686" t="str">
        <f>IF(HEVARIM[[#This Row],[קוד מעמד]]="4     ",IF(HEVARIM[[#This Row],[גיל]]=1,1,IF(HEVARIM[[#This Row],[גיל]]&lt;=5,5,18)),"")</f>
        <v/>
      </c>
      <c r="W686">
        <f t="shared" si="40"/>
        <v>1665</v>
      </c>
      <c r="X68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6">
        <f>IF(HEVARIM[[#This Row],[מצב משפחתי2]]="אלמן",'[2]ריכוז נתונים'!$AC$2,0)</f>
        <v>4900</v>
      </c>
      <c r="Z686" s="3">
        <f>VLOOKUP(VALUE(HEVARIM[[#This Row],[קוד מעמד]]),הנחות!$I$2:$K$21,3,0)</f>
        <v>0</v>
      </c>
      <c r="AA686" t="b">
        <f>ISERROR(VLOOKUP(HEVARIM[[#This Row],[קוד תקציב]],'[2]ריכוז נתונים'!A:A,1,0))</f>
        <v>0</v>
      </c>
      <c r="AB686" s="1">
        <f t="shared" si="41"/>
        <v>0</v>
      </c>
      <c r="AC686" s="2">
        <f ca="1">IF(HEVARIM[[#This Row],[בר מצוה]]&gt;0,YEAR(TODAY())+'תקציבים מיוחדים'!$F$5-HEVARIM[[#This Row],[גיל]],0)</f>
        <v>0</v>
      </c>
      <c r="AD686" s="1">
        <f t="shared" si="42"/>
        <v>0</v>
      </c>
      <c r="AE686" s="2">
        <f ca="1">IF(HEVARIM[[#This Row],[בת מצוה]]&gt;0,YEAR(TODAY())+'תקציבים מיוחדים'!$F$5-HEVARIM[[#This Row],[גיל]],0)</f>
        <v>0</v>
      </c>
      <c r="AF686" s="1">
        <f>IF(AND($S686&gt;="רווק",$Z686=1),AF$4*IF(HEVARIM[[#This Row],[גיל]]&gt;$AF$3,1,(($G686-AF$2)/(AF$3-AF$2))),0)</f>
        <v>0</v>
      </c>
      <c r="AG68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6" s="1">
        <f t="shared" si="43"/>
        <v>0</v>
      </c>
      <c r="AI686" s="2">
        <f ca="1">IF(AH686&gt;0,YEAR(TODAY())+'תקציבים מיוחדים'!$F$7-HEVARIM[[#This Row],[גיל]],0)</f>
        <v>0</v>
      </c>
      <c r="AJ686" s="9">
        <f>IF(AND(ISERROR(VLOOKUP(H686,'[2]ריכוז נתונים'!A:L,1,0)),P686="1     "),1,0)</f>
        <v>0</v>
      </c>
      <c r="AK686" s="1">
        <f>IF(VALUE(HEVARIM[[#This Row],[קוד מעמד]])=1,VLOOKUP((IF(LEFT(HEVARIM[[#This Row],[קוד חבר]],1)="0",HEVARIM[[#This Row],[קוד חבר]],VALUE(HEVARIM[[#This Row],[קוד חבר]]))),'ותק חברה 40'!AQ:AW,7,0),"")</f>
        <v>38.229999999999997</v>
      </c>
      <c r="AL686" s="1">
        <f>IF(AND(VALUE(HEVARIM[[#This Row],[קוד מעמד]])=1,HEVARIM[[#This Row],[ותק מחברה 40]]&lt;25),HEVARIM[[#This Row],[ותק מחברה 40]]/25*הנחות!$C$4,0)</f>
        <v>0</v>
      </c>
      <c r="AM686" s="9" t="str">
        <f ca="1">IF(HEVARIM[[#This Row],[דמי עזיבה 25 שנות ותק]]&gt;0,YEAR(TODAY())+25-ROUNDDOWN(HEVARIM[[#This Row],[ותק מחברה 40]],0),"")</f>
        <v/>
      </c>
      <c r="AN68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6" s="9" t="str">
        <f ca="1">IF(HEVARIM[[#This Row],[דמי עזיבה לגיל 65]]&gt;0,YEAR(TODAY())+64-ROUNDDOWN(HEVARIM[[#This Row],[גיל]],0),"")</f>
        <v/>
      </c>
      <c r="AP686" s="1">
        <f>SUMIF(HEVARIM[קוד תקציב],HEVARIM[[#This Row],[קוד תקציב משפחה מקורי]],HEVARIM[ותק מחברה 40])</f>
        <v>38.229999999999997</v>
      </c>
      <c r="AQ68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6562.5</v>
      </c>
      <c r="AS686" s="9">
        <f>IF(HEVARIM[[#This Row],[קוד מעמד]]="1     ",IFERROR(VLOOKUP(HEVARIM[[#This Row],[קוד תקציב]],'תקציב צביעה - לקראת השינוי'!A:F,4,0),0),0)</f>
        <v>2028</v>
      </c>
      <c r="AT686" s="1"/>
    </row>
    <row r="687" spans="1:46">
      <c r="A687" t="s">
        <v>1704</v>
      </c>
      <c r="B687" t="s">
        <v>1705</v>
      </c>
      <c r="C687" t="s">
        <v>1691</v>
      </c>
      <c r="D687" t="s">
        <v>1706</v>
      </c>
      <c r="E687" t="s">
        <v>67</v>
      </c>
      <c r="F687" s="4">
        <v>18285</v>
      </c>
      <c r="G687">
        <v>75</v>
      </c>
      <c r="H687" t="s">
        <v>1707</v>
      </c>
      <c r="I687" t="s">
        <v>1708</v>
      </c>
      <c r="J687" s="4" t="s">
        <v>70</v>
      </c>
      <c r="K687" s="4" t="s">
        <v>71</v>
      </c>
      <c r="L687" t="s">
        <v>1709</v>
      </c>
      <c r="M687" t="s">
        <v>1704</v>
      </c>
      <c r="N687" t="s">
        <v>1705</v>
      </c>
      <c r="O687">
        <f>IFERROR(VLOOKUP(HEVARIM[[#This Row],[קוד תקציב]],[2]תקציבים!A:L,6,0),0)</f>
        <v>2</v>
      </c>
      <c r="P687" s="5" t="s">
        <v>104</v>
      </c>
      <c r="Q687" t="s">
        <v>11</v>
      </c>
      <c r="R687" s="4">
        <v>25203</v>
      </c>
      <c r="S687" s="4" t="s">
        <v>74</v>
      </c>
      <c r="T687" s="96" t="s">
        <v>3853</v>
      </c>
      <c r="U687" t="str">
        <f>VLOOKUP(HEVARIM[[#This Row],[גיל]],GIL,2,1)</f>
        <v>--</v>
      </c>
      <c r="V687" t="str">
        <f>IF(HEVARIM[[#This Row],[קוד מעמד]]="4     ",IF(HEVARIM[[#This Row],[גיל]]=1,1,IF(HEVARIM[[#This Row],[גיל]]&lt;=5,5,18)),"")</f>
        <v/>
      </c>
      <c r="W687">
        <f t="shared" si="40"/>
        <v>2365</v>
      </c>
      <c r="X68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7">
        <f>IF(HEVARIM[[#This Row],[מצב משפחתי2]]="אלמן",'[2]ריכוז נתונים'!$AC$2,0)</f>
        <v>0</v>
      </c>
      <c r="Z687" s="3">
        <f>VLOOKUP(VALUE(HEVARIM[[#This Row],[קוד מעמד]]),הנחות!$I$2:$K$21,3,0)</f>
        <v>0</v>
      </c>
      <c r="AA687" t="b">
        <f>ISERROR(VLOOKUP(HEVARIM[[#This Row],[קוד תקציב]],'[2]ריכוז נתונים'!A:A,1,0))</f>
        <v>0</v>
      </c>
      <c r="AB687" s="1">
        <f t="shared" si="41"/>
        <v>0</v>
      </c>
      <c r="AC687" s="2">
        <f ca="1">IF(HEVARIM[[#This Row],[בר מצוה]]&gt;0,YEAR(TODAY())+'תקציבים מיוחדים'!$F$5-HEVARIM[[#This Row],[גיל]],0)</f>
        <v>0</v>
      </c>
      <c r="AD687" s="1">
        <f t="shared" si="42"/>
        <v>0</v>
      </c>
      <c r="AE687" s="2">
        <f ca="1">IF(HEVARIM[[#This Row],[בת מצוה]]&gt;0,YEAR(TODAY())+'תקציבים מיוחדים'!$F$5-HEVARIM[[#This Row],[גיל]],0)</f>
        <v>0</v>
      </c>
      <c r="AF687" s="1">
        <f>IF(AND($S687&gt;="רווק",$Z687=1),AF$4*IF(HEVARIM[[#This Row],[גיל]]&gt;$AF$3,1,(($G687-AF$2)/(AF$3-AF$2))),0)</f>
        <v>0</v>
      </c>
      <c r="AG68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7" s="1">
        <f t="shared" si="43"/>
        <v>0</v>
      </c>
      <c r="AI687" s="2">
        <f ca="1">IF(AH687&gt;0,YEAR(TODAY())+'תקציבים מיוחדים'!$F$7-HEVARIM[[#This Row],[גיל]],0)</f>
        <v>0</v>
      </c>
      <c r="AJ687" s="9">
        <f>IF(AND(ISERROR(VLOOKUP(H687,'[2]ריכוז נתונים'!A:L,1,0)),P687="1     "),1,0)</f>
        <v>0</v>
      </c>
      <c r="AK68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7" s="1">
        <f>IF(AND(VALUE(HEVARIM[[#This Row],[קוד מעמד]])=1,HEVARIM[[#This Row],[ותק מחברה 40]]&lt;25),HEVARIM[[#This Row],[ותק מחברה 40]]/25*הנחות!$C$4,0)</f>
        <v>0</v>
      </c>
      <c r="AM687" s="9" t="str">
        <f ca="1">IF(HEVARIM[[#This Row],[דמי עזיבה 25 שנות ותק]]&gt;0,YEAR(TODAY())+25-ROUNDDOWN(HEVARIM[[#This Row],[ותק מחברה 40]],0),"")</f>
        <v/>
      </c>
      <c r="AN68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7" s="9" t="str">
        <f ca="1">IF(HEVARIM[[#This Row],[דמי עזיבה לגיל 65]]&gt;0,YEAR(TODAY())+64-ROUNDDOWN(HEVARIM[[#This Row],[גיל]],0),"")</f>
        <v/>
      </c>
      <c r="AP687" s="1">
        <f>SUMIF(HEVARIM[קוד תקציב],HEVARIM[[#This Row],[קוד תקציב משפחה מקורי]],HEVARIM[ותק מחברה 40])</f>
        <v>0</v>
      </c>
      <c r="AQ68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687" s="9">
        <f>IF(HEVARIM[[#This Row],[קוד מעמד]]="1     ",IFERROR(VLOOKUP(HEVARIM[[#This Row],[קוד תקציב]],'תקציב צביעה - לקראת השינוי'!A:F,4,0),0),0)</f>
        <v>2031</v>
      </c>
      <c r="AT687" s="1"/>
    </row>
    <row r="688" spans="1:46">
      <c r="A688" t="s">
        <v>1713</v>
      </c>
      <c r="B688" t="s">
        <v>1714</v>
      </c>
      <c r="C688" t="s">
        <v>1691</v>
      </c>
      <c r="D688" t="s">
        <v>467</v>
      </c>
      <c r="E688" t="s">
        <v>67</v>
      </c>
      <c r="F688" s="4">
        <v>18767</v>
      </c>
      <c r="G688">
        <v>74</v>
      </c>
      <c r="H688" t="s">
        <v>1715</v>
      </c>
      <c r="I688" t="s">
        <v>1716</v>
      </c>
      <c r="J688" s="4" t="s">
        <v>70</v>
      </c>
      <c r="K688" s="4" t="s">
        <v>71</v>
      </c>
      <c r="L688" t="s">
        <v>1717</v>
      </c>
      <c r="M688" t="s">
        <v>1713</v>
      </c>
      <c r="N688" t="s">
        <v>1714</v>
      </c>
      <c r="O688">
        <f>IFERROR(VLOOKUP(HEVARIM[[#This Row],[קוד תקציב]],[2]תקציבים!A:L,6,0),0)</f>
        <v>2</v>
      </c>
      <c r="P688" s="5" t="s">
        <v>104</v>
      </c>
      <c r="Q688" t="s">
        <v>11</v>
      </c>
      <c r="R688" s="4">
        <v>25568</v>
      </c>
      <c r="S688" s="4" t="s">
        <v>74</v>
      </c>
      <c r="T688" s="96" t="s">
        <v>3853</v>
      </c>
      <c r="U688" t="str">
        <f>VLOOKUP(HEVARIM[[#This Row],[גיל]],GIL,2,1)</f>
        <v>--</v>
      </c>
      <c r="V688" t="str">
        <f>IF(HEVARIM[[#This Row],[קוד מעמד]]="4     ",IF(HEVARIM[[#This Row],[גיל]]=1,1,IF(HEVARIM[[#This Row],[גיל]]&lt;=5,5,18)),"")</f>
        <v/>
      </c>
      <c r="W688">
        <f t="shared" si="40"/>
        <v>2365</v>
      </c>
      <c r="X688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8">
        <f>IF(HEVARIM[[#This Row],[מצב משפחתי2]]="אלמן",'[2]ריכוז נתונים'!$AC$2,0)</f>
        <v>0</v>
      </c>
      <c r="Z688" s="3">
        <f>VLOOKUP(VALUE(HEVARIM[[#This Row],[קוד מעמד]]),הנחות!$I$2:$K$21,3,0)</f>
        <v>0</v>
      </c>
      <c r="AA688" t="b">
        <f>ISERROR(VLOOKUP(HEVARIM[[#This Row],[קוד תקציב]],'[2]ריכוז נתונים'!A:A,1,0))</f>
        <v>0</v>
      </c>
      <c r="AB688" s="1">
        <f t="shared" si="41"/>
        <v>0</v>
      </c>
      <c r="AC688" s="2">
        <f ca="1">IF(HEVARIM[[#This Row],[בר מצוה]]&gt;0,YEAR(TODAY())+'תקציבים מיוחדים'!$F$5-HEVARIM[[#This Row],[גיל]],0)</f>
        <v>0</v>
      </c>
      <c r="AD688" s="1">
        <f t="shared" si="42"/>
        <v>0</v>
      </c>
      <c r="AE688" s="2">
        <f ca="1">IF(HEVARIM[[#This Row],[בת מצוה]]&gt;0,YEAR(TODAY())+'תקציבים מיוחדים'!$F$5-HEVARIM[[#This Row],[גיל]],0)</f>
        <v>0</v>
      </c>
      <c r="AF688" s="1">
        <f>IF(AND($S688&gt;="רווק",$Z688=1),AF$4*IF(HEVARIM[[#This Row],[גיל]]&gt;$AF$3,1,(($G688-AF$2)/(AF$3-AF$2))),0)</f>
        <v>0</v>
      </c>
      <c r="AG68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8" s="1">
        <f t="shared" si="43"/>
        <v>0</v>
      </c>
      <c r="AI688" s="2">
        <f ca="1">IF(AH688&gt;0,YEAR(TODAY())+'תקציבים מיוחדים'!$F$7-HEVARIM[[#This Row],[גיל]],0)</f>
        <v>0</v>
      </c>
      <c r="AJ688" s="9">
        <f>IF(AND(ISERROR(VLOOKUP(H688,'[2]ריכוז נתונים'!A:L,1,0)),P688="1     "),1,0)</f>
        <v>0</v>
      </c>
      <c r="AK688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88" s="1">
        <f>IF(AND(VALUE(HEVARIM[[#This Row],[קוד מעמד]])=1,HEVARIM[[#This Row],[ותק מחברה 40]]&lt;25),HEVARIM[[#This Row],[ותק מחברה 40]]/25*הנחות!$C$4,0)</f>
        <v>0</v>
      </c>
      <c r="AM688" s="9" t="str">
        <f ca="1">IF(HEVARIM[[#This Row],[דמי עזיבה 25 שנות ותק]]&gt;0,YEAR(TODAY())+25-ROUNDDOWN(HEVARIM[[#This Row],[ותק מחברה 40]],0),"")</f>
        <v/>
      </c>
      <c r="AN688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88" s="9" t="str">
        <f ca="1">IF(HEVARIM[[#This Row],[דמי עזיבה לגיל 65]]&gt;0,YEAR(TODAY())+64-ROUNDDOWN(HEVARIM[[#This Row],[גיל]],0),"")</f>
        <v/>
      </c>
      <c r="AP688" s="1">
        <f>SUMIF(HEVARIM[קוד תקציב],HEVARIM[[#This Row],[קוד תקציב משפחה מקורי]],HEVARIM[ותק מחברה 40])</f>
        <v>0</v>
      </c>
      <c r="AQ68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688" s="9">
        <f>IF(HEVARIM[[#This Row],[קוד מעמד]]="1     ",IFERROR(VLOOKUP(HEVARIM[[#This Row],[קוד תקציב]],'תקציב צביעה - לקראת השינוי'!A:F,4,0),0),0)</f>
        <v>2032</v>
      </c>
      <c r="AT688" s="1"/>
    </row>
    <row r="689" spans="1:46">
      <c r="A689" t="s">
        <v>2953</v>
      </c>
      <c r="B689" t="s">
        <v>2954</v>
      </c>
      <c r="C689" t="s">
        <v>399</v>
      </c>
      <c r="D689" t="s">
        <v>503</v>
      </c>
      <c r="E689" t="s">
        <v>79</v>
      </c>
      <c r="F689" s="4">
        <v>22352</v>
      </c>
      <c r="G689">
        <v>64</v>
      </c>
      <c r="H689" t="s">
        <v>2950</v>
      </c>
      <c r="I689" t="s">
        <v>2951</v>
      </c>
      <c r="J689" s="4" t="s">
        <v>70</v>
      </c>
      <c r="K689" s="4" t="s">
        <v>71</v>
      </c>
      <c r="L689" t="s">
        <v>2955</v>
      </c>
      <c r="M689" t="s">
        <v>2948</v>
      </c>
      <c r="N689" t="s">
        <v>2949</v>
      </c>
      <c r="O689">
        <f>IFERROR(VLOOKUP(HEVARIM[[#This Row],[קוד תקציב]],[2]תקציבים!A:L,6,0),0)</f>
        <v>2</v>
      </c>
      <c r="P689" s="5" t="s">
        <v>104</v>
      </c>
      <c r="Q689" t="s">
        <v>11</v>
      </c>
      <c r="R689" s="4">
        <v>33512</v>
      </c>
      <c r="S689" s="4" t="s">
        <v>74</v>
      </c>
      <c r="T689" s="96" t="s">
        <v>3853</v>
      </c>
      <c r="U689" t="str">
        <f>VLOOKUP(HEVARIM[[#This Row],[גיל]],GIL,2,1)</f>
        <v>--</v>
      </c>
      <c r="V689" t="str">
        <f>IF(HEVARIM[[#This Row],[קוד מעמד]]="4     ",IF(HEVARIM[[#This Row],[גיל]]=1,1,IF(HEVARIM[[#This Row],[גיל]]&lt;=5,5,18)),"")</f>
        <v/>
      </c>
      <c r="W689">
        <f t="shared" si="40"/>
        <v>0</v>
      </c>
      <c r="X68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89">
        <f>IF(HEVARIM[[#This Row],[מצב משפחתי2]]="אלמן",'[2]ריכוז נתונים'!$AC$2,0)</f>
        <v>0</v>
      </c>
      <c r="Z689" s="3">
        <f>VLOOKUP(VALUE(HEVARIM[[#This Row],[קוד מעמד]]),הנחות!$I$2:$K$21,3,0)</f>
        <v>0</v>
      </c>
      <c r="AA689" t="b">
        <f>ISERROR(VLOOKUP(HEVARIM[[#This Row],[קוד תקציב]],'[2]ריכוז נתונים'!A:A,1,0))</f>
        <v>0</v>
      </c>
      <c r="AB689" s="1">
        <f t="shared" si="41"/>
        <v>0</v>
      </c>
      <c r="AC689" s="2">
        <f ca="1">IF(HEVARIM[[#This Row],[בר מצוה]]&gt;0,YEAR(TODAY())+'תקציבים מיוחדים'!$F$5-HEVARIM[[#This Row],[גיל]],0)</f>
        <v>0</v>
      </c>
      <c r="AD689" s="1">
        <f t="shared" si="42"/>
        <v>0</v>
      </c>
      <c r="AE689" s="2">
        <f ca="1">IF(HEVARIM[[#This Row],[בת מצוה]]&gt;0,YEAR(TODAY())+'תקציבים מיוחדים'!$F$5-HEVARIM[[#This Row],[גיל]],0)</f>
        <v>0</v>
      </c>
      <c r="AF689" s="1">
        <f>IF(AND($S689&gt;="רווק",$Z689=1),AF$4*IF(HEVARIM[[#This Row],[גיל]]&gt;$AF$3,1,(($G689-AF$2)/(AF$3-AF$2))),0)</f>
        <v>0</v>
      </c>
      <c r="AG68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89" s="1">
        <f t="shared" si="43"/>
        <v>0</v>
      </c>
      <c r="AI689" s="2">
        <f ca="1">IF(AH689&gt;0,YEAR(TODAY())+'תקציבים מיוחדים'!$F$7-HEVARIM[[#This Row],[גיל]],0)</f>
        <v>0</v>
      </c>
      <c r="AJ689" s="9">
        <f>IF(AND(ISERROR(VLOOKUP(H689,'[2]ריכוז נתונים'!A:L,1,0)),P689="1     "),1,0)</f>
        <v>0</v>
      </c>
      <c r="AK689" s="1">
        <f>IF(VALUE(HEVARIM[[#This Row],[קוד מעמד]])=1,VLOOKUP((IF(LEFT(HEVARIM[[#This Row],[קוד חבר]],1)="0",HEVARIM[[#This Row],[קוד חבר]],VALUE(HEVARIM[[#This Row],[קוד חבר]]))),'ותק חברה 40'!AQ:AW,7,0),"")</f>
        <v>40.11</v>
      </c>
      <c r="AL689" s="1">
        <f>IF(AND(VALUE(HEVARIM[[#This Row],[קוד מעמד]])=1,HEVARIM[[#This Row],[ותק מחברה 40]]&lt;25),HEVARIM[[#This Row],[ותק מחברה 40]]/25*הנחות!$C$4,0)</f>
        <v>0</v>
      </c>
      <c r="AM689" s="9" t="str">
        <f ca="1">IF(HEVARIM[[#This Row],[דמי עזיבה 25 שנות ותק]]&gt;0,YEAR(TODAY())+25-ROUNDDOWN(HEVARIM[[#This Row],[ותק מחברה 40]],0),"")</f>
        <v/>
      </c>
      <c r="AN689" s="1">
        <f>IF(AND(VALUE(HEVARIM[[#This Row],[קוד מעמד]])=1,HEVARIM[[#This Row],[ותק מחברה 40]]&gt;25,HEVARIM[[#This Row],[גיל]]&lt;65),הנחות!$C$14+(HEVARIM[[#This Row],[ותק מחברה 40]]-25)*הנחות!$C$10*0.25,0)</f>
        <v>67321.008562500007</v>
      </c>
      <c r="AO689" s="9">
        <f ca="1">IF(HEVARIM[[#This Row],[דמי עזיבה לגיל 65]]&gt;0,YEAR(TODAY())+64-ROUNDDOWN(HEVARIM[[#This Row],[גיל]],0),"")</f>
        <v>2026</v>
      </c>
      <c r="AP689" s="1">
        <f>SUMIF(HEVARIM[קוד תקציב],HEVARIM[[#This Row],[קוד תקציב משפחה מקורי]],HEVARIM[ותק מחברה 40])</f>
        <v>0</v>
      </c>
      <c r="AQ68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8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89" s="9">
        <f>IF(HEVARIM[[#This Row],[קוד מעמד]]="1     ",IFERROR(VLOOKUP(HEVARIM[[#This Row],[קוד תקציב]],'תקציב צביעה - לקראת השינוי'!A:F,4,0),0),0)</f>
        <v>2029</v>
      </c>
      <c r="AT689" s="1"/>
    </row>
    <row r="690" spans="1:46">
      <c r="A690" t="s">
        <v>1710</v>
      </c>
      <c r="B690" t="s">
        <v>1711</v>
      </c>
      <c r="C690" t="s">
        <v>1691</v>
      </c>
      <c r="D690" t="s">
        <v>686</v>
      </c>
      <c r="E690" t="s">
        <v>79</v>
      </c>
      <c r="F690" s="4">
        <v>19063</v>
      </c>
      <c r="G690">
        <v>73</v>
      </c>
      <c r="H690" t="s">
        <v>1707</v>
      </c>
      <c r="I690" t="s">
        <v>1708</v>
      </c>
      <c r="J690" s="4" t="s">
        <v>70</v>
      </c>
      <c r="K690" s="4" t="s">
        <v>71</v>
      </c>
      <c r="L690" t="s">
        <v>1712</v>
      </c>
      <c r="M690" t="s">
        <v>1704</v>
      </c>
      <c r="N690" t="s">
        <v>1705</v>
      </c>
      <c r="O690">
        <f>IFERROR(VLOOKUP(HEVARIM[[#This Row],[קוד תקציב]],[2]תקציבים!A:L,6,0),0)</f>
        <v>2</v>
      </c>
      <c r="P690" s="5" t="s">
        <v>104</v>
      </c>
      <c r="Q690" t="s">
        <v>11</v>
      </c>
      <c r="R690" s="4">
        <v>25933</v>
      </c>
      <c r="S690" s="4" t="s">
        <v>74</v>
      </c>
      <c r="T690" s="96" t="s">
        <v>1697</v>
      </c>
      <c r="U690" t="str">
        <f>VLOOKUP(HEVARIM[[#This Row],[גיל]],GIL,2,1)</f>
        <v>--</v>
      </c>
      <c r="V690" t="str">
        <f>IF(HEVARIM[[#This Row],[קוד מעמד]]="4     ",IF(HEVARIM[[#This Row],[גיל]]=1,1,IF(HEVARIM[[#This Row],[גיל]]&lt;=5,5,18)),"")</f>
        <v/>
      </c>
      <c r="W690">
        <f t="shared" si="40"/>
        <v>2365</v>
      </c>
      <c r="X69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0">
        <f>IF(HEVARIM[[#This Row],[מצב משפחתי2]]="אלמן",'[2]ריכוז נתונים'!$AC$2,0)</f>
        <v>0</v>
      </c>
      <c r="Z690" s="3">
        <f>VLOOKUP(VALUE(HEVARIM[[#This Row],[קוד מעמד]]),הנחות!$I$2:$K$21,3,0)</f>
        <v>0</v>
      </c>
      <c r="AA690" t="b">
        <f>ISERROR(VLOOKUP(HEVARIM[[#This Row],[קוד תקציב]],'[2]ריכוז נתונים'!A:A,1,0))</f>
        <v>0</v>
      </c>
      <c r="AB690" s="1">
        <f t="shared" si="41"/>
        <v>0</v>
      </c>
      <c r="AC690" s="2">
        <f ca="1">IF(HEVARIM[[#This Row],[בר מצוה]]&gt;0,YEAR(TODAY())+'תקציבים מיוחדים'!$F$5-HEVARIM[[#This Row],[גיל]],0)</f>
        <v>0</v>
      </c>
      <c r="AD690" s="1">
        <f t="shared" si="42"/>
        <v>0</v>
      </c>
      <c r="AE690" s="2">
        <f ca="1">IF(HEVARIM[[#This Row],[בת מצוה]]&gt;0,YEAR(TODAY())+'תקציבים מיוחדים'!$F$5-HEVARIM[[#This Row],[גיל]],0)</f>
        <v>0</v>
      </c>
      <c r="AF690" s="1">
        <f>IF(AND($S690&gt;="רווק",$Z690=1),AF$4*IF(HEVARIM[[#This Row],[גיל]]&gt;$AF$3,1,(($G690-AF$2)/(AF$3-AF$2))),0)</f>
        <v>0</v>
      </c>
      <c r="AG69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0" s="1">
        <f t="shared" si="43"/>
        <v>0</v>
      </c>
      <c r="AI690" s="2">
        <f ca="1">IF(AH690&gt;0,YEAR(TODAY())+'תקציבים מיוחדים'!$F$7-HEVARIM[[#This Row],[גיל]],0)</f>
        <v>0</v>
      </c>
      <c r="AJ690" s="9">
        <f>IF(AND(ISERROR(VLOOKUP(H690,'[2]ריכוז נתונים'!A:L,1,0)),P690="1     "),1,0)</f>
        <v>0</v>
      </c>
      <c r="AK69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90" s="1">
        <f>IF(AND(VALUE(HEVARIM[[#This Row],[קוד מעמד]])=1,HEVARIM[[#This Row],[ותק מחברה 40]]&lt;25),HEVARIM[[#This Row],[ותק מחברה 40]]/25*הנחות!$C$4,0)</f>
        <v>0</v>
      </c>
      <c r="AM690" s="9" t="str">
        <f ca="1">IF(HEVARIM[[#This Row],[דמי עזיבה 25 שנות ותק]]&gt;0,YEAR(TODAY())+25-ROUNDDOWN(HEVARIM[[#This Row],[ותק מחברה 40]],0),"")</f>
        <v/>
      </c>
      <c r="AN69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0" s="9" t="str">
        <f ca="1">IF(HEVARIM[[#This Row],[דמי עזיבה לגיל 65]]&gt;0,YEAR(TODAY())+64-ROUNDDOWN(HEVARIM[[#This Row],[גיל]],0),"")</f>
        <v/>
      </c>
      <c r="AP690" s="1">
        <f>SUMIF(HEVARIM[קוד תקציב],HEVARIM[[#This Row],[קוד תקציב משפחה מקורי]],HEVARIM[ותק מחברה 40])</f>
        <v>48</v>
      </c>
      <c r="AQ69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1875</v>
      </c>
      <c r="AS690" s="9">
        <f>IF(HEVARIM[[#This Row],[קוד מעמד]]="1     ",IFERROR(VLOOKUP(HEVARIM[[#This Row],[קוד תקציב]],'תקציב צביעה - לקראת השינוי'!A:F,4,0),0),0)</f>
        <v>2031</v>
      </c>
      <c r="AT690" s="1"/>
    </row>
    <row r="691" spans="1:46">
      <c r="A691" t="s">
        <v>1694</v>
      </c>
      <c r="B691" t="s">
        <v>1695</v>
      </c>
      <c r="C691" t="s">
        <v>1696</v>
      </c>
      <c r="D691" t="s">
        <v>1156</v>
      </c>
      <c r="E691" t="s">
        <v>79</v>
      </c>
      <c r="F691" s="4">
        <v>10255</v>
      </c>
      <c r="G691">
        <v>97</v>
      </c>
      <c r="H691" t="s">
        <v>1697</v>
      </c>
      <c r="I691" t="s">
        <v>1695</v>
      </c>
      <c r="J691" s="4" t="s">
        <v>70</v>
      </c>
      <c r="K691" s="4" t="s">
        <v>71</v>
      </c>
      <c r="L691" t="s">
        <v>1698</v>
      </c>
      <c r="M691" t="s">
        <v>1694</v>
      </c>
      <c r="N691" t="s">
        <v>1695</v>
      </c>
      <c r="O691">
        <f>IFERROR(VLOOKUP(HEVARIM[[#This Row],[קוד תקציב]],[2]תקציבים!A:L,6,0),0)</f>
        <v>1</v>
      </c>
      <c r="P691" s="5" t="s">
        <v>104</v>
      </c>
      <c r="Q691" t="s">
        <v>11</v>
      </c>
      <c r="R691" s="4">
        <v>10255</v>
      </c>
      <c r="S691" s="4" t="s">
        <v>449</v>
      </c>
      <c r="T691" s="96" t="s">
        <v>1697</v>
      </c>
      <c r="U691" t="str">
        <f>VLOOKUP(HEVARIM[[#This Row],[גיל]],GIL,2,1)</f>
        <v>--</v>
      </c>
      <c r="V691" t="str">
        <f>IF(HEVARIM[[#This Row],[קוד מעמד]]="4     ",IF(HEVARIM[[#This Row],[גיל]]=1,1,IF(HEVARIM[[#This Row],[גיל]]&lt;=5,5,18)),"")</f>
        <v/>
      </c>
      <c r="W691">
        <f t="shared" si="40"/>
        <v>1665</v>
      </c>
      <c r="X691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1">
        <f>IF(HEVARIM[[#This Row],[מצב משפחתי2]]="אלמן",'[2]ריכוז נתונים'!$AC$2,0)</f>
        <v>4900</v>
      </c>
      <c r="Z691" s="3">
        <f>VLOOKUP(VALUE(HEVARIM[[#This Row],[קוד מעמד]]),הנחות!$I$2:$K$21,3,0)</f>
        <v>0</v>
      </c>
      <c r="AA691" t="b">
        <f>ISERROR(VLOOKUP(HEVARIM[[#This Row],[קוד תקציב]],'[2]ריכוז נתונים'!A:A,1,0))</f>
        <v>0</v>
      </c>
      <c r="AB691" s="1">
        <f t="shared" si="41"/>
        <v>0</v>
      </c>
      <c r="AC691" s="2">
        <f ca="1">IF(HEVARIM[[#This Row],[בר מצוה]]&gt;0,YEAR(TODAY())+'תקציבים מיוחדים'!$F$5-HEVARIM[[#This Row],[גיל]],0)</f>
        <v>0</v>
      </c>
      <c r="AD691" s="1">
        <f t="shared" si="42"/>
        <v>0</v>
      </c>
      <c r="AE691" s="2">
        <f ca="1">IF(HEVARIM[[#This Row],[בת מצוה]]&gt;0,YEAR(TODAY())+'תקציבים מיוחדים'!$F$5-HEVARIM[[#This Row],[גיל]],0)</f>
        <v>0</v>
      </c>
      <c r="AF691" s="1">
        <f>IF(AND($S691&gt;="רווק",$Z691=1),AF$4*IF(HEVARIM[[#This Row],[גיל]]&gt;$AF$3,1,(($G691-AF$2)/(AF$3-AF$2))),0)</f>
        <v>0</v>
      </c>
      <c r="AG69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1" s="1">
        <f t="shared" si="43"/>
        <v>0</v>
      </c>
      <c r="AI691" s="2">
        <f ca="1">IF(AH691&gt;0,YEAR(TODAY())+'תקציבים מיוחדים'!$F$7-HEVARIM[[#This Row],[גיל]],0)</f>
        <v>0</v>
      </c>
      <c r="AJ691" s="9">
        <f>IF(AND(ISERROR(VLOOKUP(H691,'[2]ריכוז נתונים'!A:L,1,0)),P691="1     "),1,0)</f>
        <v>0</v>
      </c>
      <c r="AK691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91" s="1">
        <f>IF(AND(VALUE(HEVARIM[[#This Row],[קוד מעמד]])=1,HEVARIM[[#This Row],[ותק מחברה 40]]&lt;25),HEVARIM[[#This Row],[ותק מחברה 40]]/25*הנחות!$C$4,0)</f>
        <v>0</v>
      </c>
      <c r="AM691" s="9" t="str">
        <f ca="1">IF(HEVARIM[[#This Row],[דמי עזיבה 25 שנות ותק]]&gt;0,YEAR(TODAY())+25-ROUNDDOWN(HEVARIM[[#This Row],[ותק מחברה 40]],0),"")</f>
        <v/>
      </c>
      <c r="AN69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1" s="9" t="str">
        <f ca="1">IF(HEVARIM[[#This Row],[דמי עזיבה לגיל 65]]&gt;0,YEAR(TODAY())+64-ROUNDDOWN(HEVARIM[[#This Row],[גיל]],0),"")</f>
        <v/>
      </c>
      <c r="AP691" s="1">
        <f>SUMIF(HEVARIM[קוד תקציב],HEVARIM[[#This Row],[קוד תקציב משפחה מקורי]],HEVARIM[ותק מחברה 40])</f>
        <v>48</v>
      </c>
      <c r="AQ69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691" s="9">
        <f>IF(HEVARIM[[#This Row],[קוד מעמד]]="1     ",IFERROR(VLOOKUP(HEVARIM[[#This Row],[קוד תקציב]],'תקציב צביעה - לקראת השינוי'!A:F,4,0),0),0)</f>
        <v>2027</v>
      </c>
      <c r="AT691" s="1"/>
    </row>
    <row r="692" spans="1:46">
      <c r="A692" t="s">
        <v>2210</v>
      </c>
      <c r="B692" t="s">
        <v>2211</v>
      </c>
      <c r="C692" t="s">
        <v>2212</v>
      </c>
      <c r="D692" t="s">
        <v>1301</v>
      </c>
      <c r="E692" t="s">
        <v>79</v>
      </c>
      <c r="F692" s="4">
        <v>12002</v>
      </c>
      <c r="G692">
        <v>93</v>
      </c>
      <c r="H692" t="s">
        <v>2213</v>
      </c>
      <c r="I692" t="s">
        <v>2211</v>
      </c>
      <c r="J692" s="4" t="s">
        <v>70</v>
      </c>
      <c r="K692" s="4" t="s">
        <v>71</v>
      </c>
      <c r="L692" t="s">
        <v>2214</v>
      </c>
      <c r="M692" t="s">
        <v>2210</v>
      </c>
      <c r="N692" t="s">
        <v>2211</v>
      </c>
      <c r="O692">
        <f>IFERROR(VLOOKUP(HEVARIM[[#This Row],[קוד תקציב]],[2]תקציבים!A:L,6,0),0)</f>
        <v>1</v>
      </c>
      <c r="P692" s="5" t="s">
        <v>104</v>
      </c>
      <c r="Q692" t="s">
        <v>11</v>
      </c>
      <c r="R692" s="4">
        <v>24472</v>
      </c>
      <c r="S692" s="4" t="s">
        <v>449</v>
      </c>
      <c r="T692" s="96" t="s">
        <v>2213</v>
      </c>
      <c r="U692" t="str">
        <f>VLOOKUP(HEVARIM[[#This Row],[גיל]],GIL,2,1)</f>
        <v>--</v>
      </c>
      <c r="V692" t="str">
        <f>IF(HEVARIM[[#This Row],[קוד מעמד]]="4     ",IF(HEVARIM[[#This Row],[גיל]]=1,1,IF(HEVARIM[[#This Row],[גיל]]&lt;=5,5,18)),"")</f>
        <v/>
      </c>
      <c r="W692">
        <f t="shared" si="40"/>
        <v>1665</v>
      </c>
      <c r="X69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2">
        <f>IF(HEVARIM[[#This Row],[מצב משפחתי2]]="אלמן",'[2]ריכוז נתונים'!$AC$2,0)</f>
        <v>4900</v>
      </c>
      <c r="Z692" s="3">
        <f>VLOOKUP(VALUE(HEVARIM[[#This Row],[קוד מעמד]]),הנחות!$I$2:$K$21,3,0)</f>
        <v>0</v>
      </c>
      <c r="AA692" t="b">
        <f>ISERROR(VLOOKUP(HEVARIM[[#This Row],[קוד תקציב]],'[2]ריכוז נתונים'!A:A,1,0))</f>
        <v>0</v>
      </c>
      <c r="AB692" s="1">
        <f t="shared" si="41"/>
        <v>0</v>
      </c>
      <c r="AC692" s="2">
        <f ca="1">IF(HEVARIM[[#This Row],[בר מצוה]]&gt;0,YEAR(TODAY())+'תקציבים מיוחדים'!$F$5-HEVARIM[[#This Row],[גיל]],0)</f>
        <v>0</v>
      </c>
      <c r="AD692" s="1">
        <f t="shared" si="42"/>
        <v>0</v>
      </c>
      <c r="AE692" s="2">
        <f ca="1">IF(HEVARIM[[#This Row],[בת מצוה]]&gt;0,YEAR(TODAY())+'תקציבים מיוחדים'!$F$5-HEVARIM[[#This Row],[גיל]],0)</f>
        <v>0</v>
      </c>
      <c r="AF692" s="1">
        <f>IF(AND($S692&gt;="רווק",$Z692=1),AF$4*IF(HEVARIM[[#This Row],[גיל]]&gt;$AF$3,1,(($G692-AF$2)/(AF$3-AF$2))),0)</f>
        <v>0</v>
      </c>
      <c r="AG69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2" s="1">
        <f t="shared" si="43"/>
        <v>0</v>
      </c>
      <c r="AI692" s="2">
        <f ca="1">IF(AH692&gt;0,YEAR(TODAY())+'תקציבים מיוחדים'!$F$7-HEVARIM[[#This Row],[גיל]],0)</f>
        <v>0</v>
      </c>
      <c r="AJ692" s="9">
        <f>IF(AND(ISERROR(VLOOKUP(H692,'[2]ריכוז נתונים'!A:L,1,0)),P692="1     "),1,0)</f>
        <v>0</v>
      </c>
      <c r="AK692" s="1">
        <f>IF(VALUE(HEVARIM[[#This Row],[קוד מעמד]])=1,VLOOKUP((IF(LEFT(HEVARIM[[#This Row],[קוד חבר]],1)="0",HEVARIM[[#This Row],[קוד חבר]],VALUE(HEVARIM[[#This Row],[קוד חבר]]))),'ותק חברה 40'!AQ:AW,7,0),"")</f>
        <v>36.25</v>
      </c>
      <c r="AL692" s="1">
        <f>IF(AND(VALUE(HEVARIM[[#This Row],[קוד מעמד]])=1,HEVARIM[[#This Row],[ותק מחברה 40]]&lt;25),HEVARIM[[#This Row],[ותק מחברה 40]]/25*הנחות!$C$4,0)</f>
        <v>0</v>
      </c>
      <c r="AM692" s="9" t="str">
        <f ca="1">IF(HEVARIM[[#This Row],[דמי עזיבה 25 שנות ותק]]&gt;0,YEAR(TODAY())+25-ROUNDDOWN(HEVARIM[[#This Row],[ותק מחברה 40]],0),"")</f>
        <v/>
      </c>
      <c r="AN69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2" s="9" t="str">
        <f ca="1">IF(HEVARIM[[#This Row],[דמי עזיבה לגיל 65]]&gt;0,YEAR(TODAY())+64-ROUNDDOWN(HEVARIM[[#This Row],[גיל]],0),"")</f>
        <v/>
      </c>
      <c r="AP692" s="1">
        <f>SUMIF(HEVARIM[קוד תקציב],HEVARIM[[#This Row],[קוד תקציב משפחה מקורי]],HEVARIM[ותק מחברה 40])</f>
        <v>36.25</v>
      </c>
      <c r="AQ69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92" s="9">
        <f>IF(HEVARIM[[#This Row],[קוד מעמד]]="1     ",IFERROR(VLOOKUP(HEVARIM[[#This Row],[קוד תקציב]],'תקציב צביעה - לקראת השינוי'!A:F,4,0),0),0)</f>
        <v>2032</v>
      </c>
      <c r="AT692" s="1"/>
    </row>
    <row r="693" spans="1:46">
      <c r="A693" t="s">
        <v>1267</v>
      </c>
      <c r="B693" t="s">
        <v>1268</v>
      </c>
      <c r="C693" t="s">
        <v>1259</v>
      </c>
      <c r="D693" t="s">
        <v>1269</v>
      </c>
      <c r="E693" t="s">
        <v>79</v>
      </c>
      <c r="F693" s="4">
        <v>25601</v>
      </c>
      <c r="G693">
        <v>55</v>
      </c>
      <c r="H693" t="s">
        <v>1261</v>
      </c>
      <c r="I693" t="s">
        <v>1262</v>
      </c>
      <c r="J693" s="4" t="s">
        <v>70</v>
      </c>
      <c r="K693" s="4" t="s">
        <v>71</v>
      </c>
      <c r="L693" t="s">
        <v>1270</v>
      </c>
      <c r="M693" t="s">
        <v>1257</v>
      </c>
      <c r="N693" t="s">
        <v>1258</v>
      </c>
      <c r="O693">
        <f>IFERROR(VLOOKUP(HEVARIM[[#This Row],[קוד תקציב]],[2]תקציבים!A:L,6,0),0)</f>
        <v>2</v>
      </c>
      <c r="P693" s="5" t="s">
        <v>104</v>
      </c>
      <c r="Q693" t="s">
        <v>11</v>
      </c>
      <c r="R693" s="4">
        <v>33878</v>
      </c>
      <c r="S693" s="4" t="s">
        <v>74</v>
      </c>
      <c r="T693" s="96" t="s">
        <v>2213</v>
      </c>
      <c r="U693" t="str">
        <f>VLOOKUP(HEVARIM[[#This Row],[גיל]],GIL,2,1)</f>
        <v>--</v>
      </c>
      <c r="V693" t="str">
        <f>IF(HEVARIM[[#This Row],[קוד מעמד]]="4     ",IF(HEVARIM[[#This Row],[גיל]]=1,1,IF(HEVARIM[[#This Row],[גיל]]&lt;=5,5,18)),"")</f>
        <v/>
      </c>
      <c r="W693">
        <f t="shared" si="40"/>
        <v>0</v>
      </c>
      <c r="X693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93">
        <f>IF(HEVARIM[[#This Row],[מצב משפחתי2]]="אלמן",'[2]ריכוז נתונים'!$AC$2,0)</f>
        <v>0</v>
      </c>
      <c r="Z693" s="3">
        <f>VLOOKUP(VALUE(HEVARIM[[#This Row],[קוד מעמד]]),הנחות!$I$2:$K$21,3,0)</f>
        <v>0</v>
      </c>
      <c r="AA693" t="b">
        <f>ISERROR(VLOOKUP(HEVARIM[[#This Row],[קוד תקציב]],'[2]ריכוז נתונים'!A:A,1,0))</f>
        <v>0</v>
      </c>
      <c r="AB693" s="1">
        <f t="shared" si="41"/>
        <v>0</v>
      </c>
      <c r="AC693" s="2">
        <f ca="1">IF(HEVARIM[[#This Row],[בר מצוה]]&gt;0,YEAR(TODAY())+'תקציבים מיוחדים'!$F$5-HEVARIM[[#This Row],[גיל]],0)</f>
        <v>0</v>
      </c>
      <c r="AD693" s="1">
        <f t="shared" si="42"/>
        <v>0</v>
      </c>
      <c r="AE693" s="2">
        <f ca="1">IF(HEVARIM[[#This Row],[בת מצוה]]&gt;0,YEAR(TODAY())+'תקציבים מיוחדים'!$F$5-HEVARIM[[#This Row],[גיל]],0)</f>
        <v>0</v>
      </c>
      <c r="AF693" s="1">
        <f>IF(AND($S693&gt;="רווק",$Z693=1),AF$4*IF(HEVARIM[[#This Row],[גיל]]&gt;$AF$3,1,(($G693-AF$2)/(AF$3-AF$2))),0)</f>
        <v>0</v>
      </c>
      <c r="AG69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3" s="1">
        <f t="shared" si="43"/>
        <v>0</v>
      </c>
      <c r="AI693" s="2">
        <f ca="1">IF(AH693&gt;0,YEAR(TODAY())+'תקציבים מיוחדים'!$F$7-HEVARIM[[#This Row],[גיל]],0)</f>
        <v>0</v>
      </c>
      <c r="AJ693" s="9">
        <f>IF(AND(ISERROR(VLOOKUP(H693,'[2]ריכוז נתונים'!A:L,1,0)),P693="1     "),1,0)</f>
        <v>0</v>
      </c>
      <c r="AK693" s="1">
        <f>IF(VALUE(HEVARIM[[#This Row],[קוד מעמד]])=1,VLOOKUP((IF(LEFT(HEVARIM[[#This Row],[קוד חבר]],1)="0",HEVARIM[[#This Row],[קוד חבר]],VALUE(HEVARIM[[#This Row],[קוד חבר]]))),'ותק חברה 40'!AQ:AW,7,0),"")</f>
        <v>36.94</v>
      </c>
      <c r="AL693" s="1">
        <f>IF(AND(VALUE(HEVARIM[[#This Row],[קוד מעמד]])=1,HEVARIM[[#This Row],[ותק מחברה 40]]&lt;25),HEVARIM[[#This Row],[ותק מחברה 40]]/25*הנחות!$C$4,0)</f>
        <v>0</v>
      </c>
      <c r="AM693" s="9" t="str">
        <f ca="1">IF(HEVARIM[[#This Row],[דמי עזיבה 25 שנות ותק]]&gt;0,YEAR(TODAY())+25-ROUNDDOWN(HEVARIM[[#This Row],[ותק מחברה 40]],0),"")</f>
        <v/>
      </c>
      <c r="AN693" s="1">
        <f>IF(AND(VALUE(HEVARIM[[#This Row],[קוד מעמד]])=1,HEVARIM[[#This Row],[ותק מחברה 40]]&gt;25,HEVARIM[[#This Row],[גיל]]&lt;65),הנחות!$C$14+(HEVARIM[[#This Row],[ותק מחברה 40]]-25)*הנחות!$C$10*0.25,0)</f>
        <v>58822.099874999993</v>
      </c>
      <c r="AO693" s="9">
        <f ca="1">IF(HEVARIM[[#This Row],[דמי עזיבה לגיל 65]]&gt;0,YEAR(TODAY())+64-ROUNDDOWN(HEVARIM[[#This Row],[גיל]],0),"")</f>
        <v>2035</v>
      </c>
      <c r="AP693" s="1">
        <f>SUMIF(HEVARIM[קוד תקציב],HEVARIM[[#This Row],[קוד תקציב משפחה מקורי]],HEVARIM[ותק מחברה 40])</f>
        <v>36.25</v>
      </c>
      <c r="AQ69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693" s="9">
        <f>IF(HEVARIM[[#This Row],[קוד מעמד]]="1     ",IFERROR(VLOOKUP(HEVARIM[[#This Row],[קוד תקציב]],'תקציב צביעה - לקראת השינוי'!A:F,4,0),0),0)</f>
        <v>2030</v>
      </c>
      <c r="AT693" s="1"/>
    </row>
    <row r="694" spans="1:46">
      <c r="A694" t="s">
        <v>2232</v>
      </c>
      <c r="B694" t="s">
        <v>2233</v>
      </c>
      <c r="C694" t="s">
        <v>2234</v>
      </c>
      <c r="D694" t="s">
        <v>155</v>
      </c>
      <c r="E694" t="s">
        <v>79</v>
      </c>
      <c r="F694" s="4">
        <v>23483</v>
      </c>
      <c r="G694">
        <v>61</v>
      </c>
      <c r="H694" t="s">
        <v>2235</v>
      </c>
      <c r="I694" t="s">
        <v>2236</v>
      </c>
      <c r="J694" s="4" t="s">
        <v>70</v>
      </c>
      <c r="K694" s="4" t="s">
        <v>71</v>
      </c>
      <c r="L694" t="s">
        <v>2237</v>
      </c>
      <c r="M694" t="s">
        <v>2232</v>
      </c>
      <c r="N694" t="s">
        <v>2233</v>
      </c>
      <c r="O694">
        <f>IFERROR(VLOOKUP(HEVARIM[[#This Row],[קוד תקציב]],[2]תקציבים!A:L,6,0),0)</f>
        <v>1</v>
      </c>
      <c r="P694" s="5" t="s">
        <v>104</v>
      </c>
      <c r="Q694" t="s">
        <v>11</v>
      </c>
      <c r="R694" s="4">
        <v>35674</v>
      </c>
      <c r="S694" s="4" t="s">
        <v>449</v>
      </c>
      <c r="T694" s="96" t="s">
        <v>2235</v>
      </c>
      <c r="U694" t="str">
        <f>VLOOKUP(HEVARIM[[#This Row],[גיל]],GIL,2,1)</f>
        <v>--</v>
      </c>
      <c r="V694" t="str">
        <f>IF(HEVARIM[[#This Row],[קוד מעמד]]="4     ",IF(HEVARIM[[#This Row],[גיל]]=1,1,IF(HEVARIM[[#This Row],[גיל]]&lt;=5,5,18)),"")</f>
        <v/>
      </c>
      <c r="W694">
        <f t="shared" si="40"/>
        <v>0</v>
      </c>
      <c r="X694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94">
        <f>IF(HEVARIM[[#This Row],[מצב משפחתי2]]="אלמן",'[2]ריכוז נתונים'!$AC$2,0)</f>
        <v>4900</v>
      </c>
      <c r="Z694" s="3">
        <f>VLOOKUP(VALUE(HEVARIM[[#This Row],[קוד מעמד]]),הנחות!$I$2:$K$21,3,0)</f>
        <v>0</v>
      </c>
      <c r="AA694" t="b">
        <f>ISERROR(VLOOKUP(HEVARIM[[#This Row],[קוד תקציב]],'[2]ריכוז נתונים'!A:A,1,0))</f>
        <v>0</v>
      </c>
      <c r="AB694" s="1">
        <f t="shared" si="41"/>
        <v>0</v>
      </c>
      <c r="AC694" s="2">
        <f ca="1">IF(HEVARIM[[#This Row],[בר מצוה]]&gt;0,YEAR(TODAY())+'תקציבים מיוחדים'!$F$5-HEVARIM[[#This Row],[גיל]],0)</f>
        <v>0</v>
      </c>
      <c r="AD694" s="1">
        <f t="shared" si="42"/>
        <v>0</v>
      </c>
      <c r="AE694" s="2">
        <f ca="1">IF(HEVARIM[[#This Row],[בת מצוה]]&gt;0,YEAR(TODAY())+'תקציבים מיוחדים'!$F$5-HEVARIM[[#This Row],[גיל]],0)</f>
        <v>0</v>
      </c>
      <c r="AF694" s="1">
        <f>IF(AND($S694&gt;="רווק",$Z694=1),AF$4*IF(HEVARIM[[#This Row],[גיל]]&gt;$AF$3,1,(($G694-AF$2)/(AF$3-AF$2))),0)</f>
        <v>0</v>
      </c>
      <c r="AG69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4" s="1">
        <f t="shared" si="43"/>
        <v>0</v>
      </c>
      <c r="AI694" s="2">
        <f ca="1">IF(AH694&gt;0,YEAR(TODAY())+'תקציבים מיוחדים'!$F$7-HEVARIM[[#This Row],[גיל]],0)</f>
        <v>0</v>
      </c>
      <c r="AJ694" s="9">
        <f>IF(AND(ISERROR(VLOOKUP(H694,'[2]ריכוז נתונים'!A:L,1,0)),P694="1     "),1,0)</f>
        <v>0</v>
      </c>
      <c r="AK694" s="1">
        <f>IF(VALUE(HEVARIM[[#This Row],[קוד מעמד]])=1,VLOOKUP((IF(LEFT(HEVARIM[[#This Row],[קוד חבר]],1)="0",HEVARIM[[#This Row],[קוד חבר]],VALUE(HEVARIM[[#This Row],[קוד חבר]]))),'ותק חברה 40'!AQ:AW,7,0),"")</f>
        <v>30.02</v>
      </c>
      <c r="AL694" s="1">
        <f>IF(AND(VALUE(HEVARIM[[#This Row],[קוד מעמד]])=1,HEVARIM[[#This Row],[ותק מחברה 40]]&lt;25),HEVARIM[[#This Row],[ותק מחברה 40]]/25*הנחות!$C$4,0)</f>
        <v>0</v>
      </c>
      <c r="AM694" s="9" t="str">
        <f ca="1">IF(HEVARIM[[#This Row],[דמי עזיבה 25 שנות ותק]]&gt;0,YEAR(TODAY())+25-ROUNDDOWN(HEVARIM[[#This Row],[ותק מחברה 40]],0),"")</f>
        <v/>
      </c>
      <c r="AN694" s="1">
        <f>IF(AND(VALUE(HEVARIM[[#This Row],[קוד מעמד]])=1,HEVARIM[[#This Row],[ותק מחברה 40]]&gt;25,HEVARIM[[#This Row],[גיל]]&lt;65),הנחות!$C$14+(HEVARIM[[#This Row],[ותק מחברה 40]]-25)*הנחות!$C$10*0.25,0)</f>
        <v>40269.277125000001</v>
      </c>
      <c r="AO694" s="9">
        <f ca="1">IF(HEVARIM[[#This Row],[דמי עזיבה לגיל 65]]&gt;0,YEAR(TODAY())+64-ROUNDDOWN(HEVARIM[[#This Row],[גיל]],0),"")</f>
        <v>2029</v>
      </c>
      <c r="AP694" s="1">
        <f>SUMIF(HEVARIM[קוד תקציב],HEVARIM[[#This Row],[קוד תקציב משפחה מקורי]],HEVARIM[ותק מחברה 40])</f>
        <v>30.02</v>
      </c>
      <c r="AQ69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7500</v>
      </c>
      <c r="AS694" s="9">
        <f>IF(HEVARIM[[#This Row],[קוד מעמד]]="1     ",IFERROR(VLOOKUP(HEVARIM[[#This Row],[קוד תקציב]],'תקציב צביעה - לקראת השינוי'!A:F,4,0),0),0)</f>
        <v>2027</v>
      </c>
      <c r="AT694" s="1"/>
    </row>
    <row r="695" spans="1:46">
      <c r="A695" t="s">
        <v>2228</v>
      </c>
      <c r="B695" t="s">
        <v>2229</v>
      </c>
      <c r="C695" t="s">
        <v>2223</v>
      </c>
      <c r="D695" t="s">
        <v>2230</v>
      </c>
      <c r="E695" t="s">
        <v>79</v>
      </c>
      <c r="F695" s="4">
        <v>21262</v>
      </c>
      <c r="G695">
        <v>67</v>
      </c>
      <c r="H695" t="s">
        <v>2225</v>
      </c>
      <c r="I695" t="s">
        <v>2226</v>
      </c>
      <c r="J695" s="4" t="s">
        <v>70</v>
      </c>
      <c r="K695" s="4" t="s">
        <v>71</v>
      </c>
      <c r="L695" t="s">
        <v>2231</v>
      </c>
      <c r="M695" t="s">
        <v>2221</v>
      </c>
      <c r="N695" t="s">
        <v>2222</v>
      </c>
      <c r="O695">
        <f>IFERROR(VLOOKUP(HEVARIM[[#This Row],[קוד תקציב]],[2]תקציבים!A:L,6,0),0)</f>
        <v>2</v>
      </c>
      <c r="P695" s="5" t="s">
        <v>104</v>
      </c>
      <c r="Q695" t="s">
        <v>11</v>
      </c>
      <c r="R695" s="4">
        <v>28125</v>
      </c>
      <c r="S695" s="4" t="s">
        <v>74</v>
      </c>
      <c r="T695" s="96"/>
      <c r="U695" t="str">
        <f>VLOOKUP(HEVARIM[[#This Row],[גיל]],GIL,2,1)</f>
        <v>--</v>
      </c>
      <c r="V695" t="str">
        <f>IF(HEVARIM[[#This Row],[קוד מעמד]]="4     ",IF(HEVARIM[[#This Row],[גיל]]=1,1,IF(HEVARIM[[#This Row],[גיל]]&lt;=5,5,18)),"")</f>
        <v/>
      </c>
      <c r="W695">
        <f t="shared" si="40"/>
        <v>2365</v>
      </c>
      <c r="X695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5">
        <f>IF(HEVARIM[[#This Row],[מצב משפחתי2]]="אלמן",'[2]ריכוז נתונים'!$AC$2,0)</f>
        <v>0</v>
      </c>
      <c r="Z695" s="3">
        <f>VLOOKUP(VALUE(HEVARIM[[#This Row],[קוד מעמד]]),הנחות!$I$2:$K$21,3,0)</f>
        <v>0</v>
      </c>
      <c r="AA695" t="b">
        <f>ISERROR(VLOOKUP(HEVARIM[[#This Row],[קוד תקציב]],'[2]ריכוז נתונים'!A:A,1,0))</f>
        <v>0</v>
      </c>
      <c r="AB695" s="1">
        <f t="shared" si="41"/>
        <v>0</v>
      </c>
      <c r="AC695" s="2">
        <f ca="1">IF(HEVARIM[[#This Row],[בר מצוה]]&gt;0,YEAR(TODAY())+'תקציבים מיוחדים'!$F$5-HEVARIM[[#This Row],[גיל]],0)</f>
        <v>0</v>
      </c>
      <c r="AD695" s="1">
        <f t="shared" si="42"/>
        <v>0</v>
      </c>
      <c r="AE695" s="2">
        <f ca="1">IF(HEVARIM[[#This Row],[בת מצוה]]&gt;0,YEAR(TODAY())+'תקציבים מיוחדים'!$F$5-HEVARIM[[#This Row],[גיל]],0)</f>
        <v>0</v>
      </c>
      <c r="AF695" s="1">
        <f>IF(AND($S695&gt;="רווק",$Z695=1),AF$4*IF(HEVARIM[[#This Row],[גיל]]&gt;$AF$3,1,(($G695-AF$2)/(AF$3-AF$2))),0)</f>
        <v>0</v>
      </c>
      <c r="AG69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5" s="1">
        <f t="shared" si="43"/>
        <v>0</v>
      </c>
      <c r="AI695" s="2">
        <f ca="1">IF(AH695&gt;0,YEAR(TODAY())+'תקציבים מיוחדים'!$F$7-HEVARIM[[#This Row],[גיל]],0)</f>
        <v>0</v>
      </c>
      <c r="AJ695" s="9">
        <f>IF(AND(ISERROR(VLOOKUP(H695,'[2]ריכוז נתונים'!A:L,1,0)),P695="1     "),1,0)</f>
        <v>0</v>
      </c>
      <c r="AK695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95" s="1">
        <f>IF(AND(VALUE(HEVARIM[[#This Row],[קוד מעמד]])=1,HEVARIM[[#This Row],[ותק מחברה 40]]&lt;25),HEVARIM[[#This Row],[ותק מחברה 40]]/25*הנחות!$C$4,0)</f>
        <v>0</v>
      </c>
      <c r="AM695" s="9" t="str">
        <f ca="1">IF(HEVARIM[[#This Row],[דמי עזיבה 25 שנות ותק]]&gt;0,YEAR(TODAY())+25-ROUNDDOWN(HEVARIM[[#This Row],[ותק מחברה 40]],0),"")</f>
        <v/>
      </c>
      <c r="AN695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5" s="9" t="str">
        <f ca="1">IF(HEVARIM[[#This Row],[דמי עזיבה לגיל 65]]&gt;0,YEAR(TODAY())+64-ROUNDDOWN(HEVARIM[[#This Row],[גיל]],0),"")</f>
        <v/>
      </c>
      <c r="AP695" s="1">
        <f>SUMIF(HEVARIM[קוד תקציב],HEVARIM[[#This Row],[קוד תקציב משפחה מקורי]],HEVARIM[ותק מחברה 40])</f>
        <v>0</v>
      </c>
      <c r="AQ69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95" s="9">
        <f>IF(HEVARIM[[#This Row],[קוד מעמד]]="1     ",IFERROR(VLOOKUP(HEVARIM[[#This Row],[קוד תקציב]],'תקציב צביעה - לקראת השינוי'!A:F,4,0),0),0)</f>
        <v>2029</v>
      </c>
      <c r="AT695" s="1"/>
    </row>
    <row r="696" spans="1:46">
      <c r="A696" t="s">
        <v>2346</v>
      </c>
      <c r="B696" t="s">
        <v>2347</v>
      </c>
      <c r="C696" t="s">
        <v>2348</v>
      </c>
      <c r="D696" t="s">
        <v>2349</v>
      </c>
      <c r="E696" t="s">
        <v>67</v>
      </c>
      <c r="F696" s="4">
        <v>18957</v>
      </c>
      <c r="G696">
        <v>74</v>
      </c>
      <c r="H696" t="s">
        <v>2350</v>
      </c>
      <c r="I696" t="s">
        <v>2351</v>
      </c>
      <c r="J696" s="4" t="s">
        <v>70</v>
      </c>
      <c r="K696" s="4" t="s">
        <v>71</v>
      </c>
      <c r="L696" t="s">
        <v>2352</v>
      </c>
      <c r="M696" t="s">
        <v>2346</v>
      </c>
      <c r="N696" t="s">
        <v>2347</v>
      </c>
      <c r="O696">
        <f>IFERROR(VLOOKUP(HEVARIM[[#This Row],[קוד תקציב]],[2]תקציבים!A:L,6,0),0)</f>
        <v>2</v>
      </c>
      <c r="P696" s="5" t="s">
        <v>104</v>
      </c>
      <c r="Q696" t="s">
        <v>11</v>
      </c>
      <c r="R696" s="4">
        <v>25507</v>
      </c>
      <c r="S696" s="4" t="s">
        <v>74</v>
      </c>
      <c r="T696" s="96"/>
      <c r="U696" t="str">
        <f>VLOOKUP(HEVARIM[[#This Row],[גיל]],GIL,2,1)</f>
        <v>--</v>
      </c>
      <c r="V696" t="str">
        <f>IF(HEVARIM[[#This Row],[קוד מעמד]]="4     ",IF(HEVARIM[[#This Row],[גיל]]=1,1,IF(HEVARIM[[#This Row],[גיל]]&lt;=5,5,18)),"")</f>
        <v/>
      </c>
      <c r="W696">
        <f t="shared" si="40"/>
        <v>2365</v>
      </c>
      <c r="X69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6">
        <f>IF(HEVARIM[[#This Row],[מצב משפחתי2]]="אלמן",'[2]ריכוז נתונים'!$AC$2,0)</f>
        <v>0</v>
      </c>
      <c r="Z696" s="3">
        <f>VLOOKUP(VALUE(HEVARIM[[#This Row],[קוד מעמד]]),הנחות!$I$2:$K$21,3,0)</f>
        <v>0</v>
      </c>
      <c r="AA696" t="b">
        <f>ISERROR(VLOOKUP(HEVARIM[[#This Row],[קוד תקציב]],'[2]ריכוז נתונים'!A:A,1,0))</f>
        <v>0</v>
      </c>
      <c r="AB696" s="1">
        <f t="shared" si="41"/>
        <v>0</v>
      </c>
      <c r="AC696" s="2">
        <f ca="1">IF(HEVARIM[[#This Row],[בר מצוה]]&gt;0,YEAR(TODAY())+'תקציבים מיוחדים'!$F$5-HEVARIM[[#This Row],[גיל]],0)</f>
        <v>0</v>
      </c>
      <c r="AD696" s="1">
        <f t="shared" si="42"/>
        <v>0</v>
      </c>
      <c r="AE696" s="2">
        <f ca="1">IF(HEVARIM[[#This Row],[בת מצוה]]&gt;0,YEAR(TODAY())+'תקציבים מיוחדים'!$F$5-HEVARIM[[#This Row],[גיל]],0)</f>
        <v>0</v>
      </c>
      <c r="AF696" s="1">
        <f>IF(AND($S696&gt;="רווק",$Z696=1),AF$4*IF(HEVARIM[[#This Row],[גיל]]&gt;$AF$3,1,(($G696-AF$2)/(AF$3-AF$2))),0)</f>
        <v>0</v>
      </c>
      <c r="AG69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6" s="1">
        <f t="shared" si="43"/>
        <v>0</v>
      </c>
      <c r="AI696" s="2">
        <f ca="1">IF(AH696&gt;0,YEAR(TODAY())+'תקציבים מיוחדים'!$F$7-HEVARIM[[#This Row],[גיל]],0)</f>
        <v>0</v>
      </c>
      <c r="AJ696" s="9">
        <f>IF(AND(ISERROR(VLOOKUP(H696,'[2]ריכוז נתונים'!A:L,1,0)),P696="1     "),1,0)</f>
        <v>0</v>
      </c>
      <c r="AK696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96" s="1">
        <f>IF(AND(VALUE(HEVARIM[[#This Row],[קוד מעמד]])=1,HEVARIM[[#This Row],[ותק מחברה 40]]&lt;25),HEVARIM[[#This Row],[ותק מחברה 40]]/25*הנחות!$C$4,0)</f>
        <v>0</v>
      </c>
      <c r="AM696" s="9" t="str">
        <f ca="1">IF(HEVARIM[[#This Row],[דמי עזיבה 25 שנות ותק]]&gt;0,YEAR(TODAY())+25-ROUNDDOWN(HEVARIM[[#This Row],[ותק מחברה 40]],0),"")</f>
        <v/>
      </c>
      <c r="AN69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6" s="9" t="str">
        <f ca="1">IF(HEVARIM[[#This Row],[דמי עזיבה לגיל 65]]&gt;0,YEAR(TODAY())+64-ROUNDDOWN(HEVARIM[[#This Row],[גיל]],0),"")</f>
        <v/>
      </c>
      <c r="AP696" s="1">
        <f>SUMIF(HEVARIM[קוד תקציב],HEVARIM[[#This Row],[קוד תקציב משפחה מקורי]],HEVARIM[ותק מחברה 40])</f>
        <v>0</v>
      </c>
      <c r="AQ69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2343.75</v>
      </c>
      <c r="AS696" s="9">
        <f>IF(HEVARIM[[#This Row],[קוד מעמד]]="1     ",IFERROR(VLOOKUP(HEVARIM[[#This Row],[קוד תקציב]],'תקציב צביעה - לקראת השינוי'!A:F,4,0),0),0)</f>
        <v>2030</v>
      </c>
      <c r="AT696" s="1"/>
    </row>
    <row r="697" spans="1:46">
      <c r="A697" t="s">
        <v>2590</v>
      </c>
      <c r="B697" t="s">
        <v>2591</v>
      </c>
      <c r="C697" t="s">
        <v>2586</v>
      </c>
      <c r="D697" t="s">
        <v>2592</v>
      </c>
      <c r="E697" t="s">
        <v>79</v>
      </c>
      <c r="F697" s="4">
        <v>18527</v>
      </c>
      <c r="G697">
        <v>75</v>
      </c>
      <c r="H697" t="s">
        <v>2587</v>
      </c>
      <c r="I697" t="s">
        <v>2588</v>
      </c>
      <c r="J697" s="4" t="s">
        <v>70</v>
      </c>
      <c r="K697" s="4" t="s">
        <v>71</v>
      </c>
      <c r="L697" t="s">
        <v>2593</v>
      </c>
      <c r="M697" t="s">
        <v>2584</v>
      </c>
      <c r="N697" t="s">
        <v>2585</v>
      </c>
      <c r="O697">
        <f>IFERROR(VLOOKUP(HEVARIM[[#This Row],[קוד תקציב]],[2]תקציבים!A:L,6,0),0)</f>
        <v>2</v>
      </c>
      <c r="P697" s="5" t="s">
        <v>104</v>
      </c>
      <c r="Q697" t="s">
        <v>11</v>
      </c>
      <c r="R697" s="4">
        <v>25142</v>
      </c>
      <c r="S697" s="4" t="s">
        <v>74</v>
      </c>
      <c r="T697" s="96" t="s">
        <v>3854</v>
      </c>
      <c r="U697" t="str">
        <f>VLOOKUP(HEVARIM[[#This Row],[גיל]],GIL,2,1)</f>
        <v>--</v>
      </c>
      <c r="V697" t="str">
        <f>IF(HEVARIM[[#This Row],[קוד מעמד]]="4     ",IF(HEVARIM[[#This Row],[גיל]]=1,1,IF(HEVARIM[[#This Row],[גיל]]&lt;=5,5,18)),"")</f>
        <v/>
      </c>
      <c r="W697">
        <f t="shared" si="40"/>
        <v>2365</v>
      </c>
      <c r="X69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7">
        <f>IF(HEVARIM[[#This Row],[מצב משפחתי2]]="אלמן",'[2]ריכוז נתונים'!$AC$2,0)</f>
        <v>0</v>
      </c>
      <c r="Z697" s="3">
        <f>VLOOKUP(VALUE(HEVARIM[[#This Row],[קוד מעמד]]),הנחות!$I$2:$K$21,3,0)</f>
        <v>0</v>
      </c>
      <c r="AA697" t="b">
        <f>ISERROR(VLOOKUP(HEVARIM[[#This Row],[קוד תקציב]],'[2]ריכוז נתונים'!A:A,1,0))</f>
        <v>0</v>
      </c>
      <c r="AB697" s="1">
        <f t="shared" si="41"/>
        <v>0</v>
      </c>
      <c r="AC697" s="2">
        <f ca="1">IF(HEVARIM[[#This Row],[בר מצוה]]&gt;0,YEAR(TODAY())+'תקציבים מיוחדים'!$F$5-HEVARIM[[#This Row],[גיל]],0)</f>
        <v>0</v>
      </c>
      <c r="AD697" s="1">
        <f t="shared" si="42"/>
        <v>0</v>
      </c>
      <c r="AE697" s="2">
        <f ca="1">IF(HEVARIM[[#This Row],[בת מצוה]]&gt;0,YEAR(TODAY())+'תקציבים מיוחדים'!$F$5-HEVARIM[[#This Row],[גיל]],0)</f>
        <v>0</v>
      </c>
      <c r="AF697" s="1">
        <f>IF(AND($S697&gt;="רווק",$Z697=1),AF$4*IF(HEVARIM[[#This Row],[גיל]]&gt;$AF$3,1,(($G697-AF$2)/(AF$3-AF$2))),0)</f>
        <v>0</v>
      </c>
      <c r="AG69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7" s="1">
        <f t="shared" si="43"/>
        <v>0</v>
      </c>
      <c r="AI697" s="2">
        <f ca="1">IF(AH697&gt;0,YEAR(TODAY())+'תקציבים מיוחדים'!$F$7-HEVARIM[[#This Row],[גיל]],0)</f>
        <v>0</v>
      </c>
      <c r="AJ697" s="9">
        <f>IF(AND(ISERROR(VLOOKUP(H697,'[2]ריכוז נתונים'!A:L,1,0)),P697="1     "),1,0)</f>
        <v>0</v>
      </c>
      <c r="AK697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697" s="1">
        <f>IF(AND(VALUE(HEVARIM[[#This Row],[קוד מעמד]])=1,HEVARIM[[#This Row],[ותק מחברה 40]]&lt;25),HEVARIM[[#This Row],[ותק מחברה 40]]/25*הנחות!$C$4,0)</f>
        <v>0</v>
      </c>
      <c r="AM697" s="9" t="str">
        <f ca="1">IF(HEVARIM[[#This Row],[דמי עזיבה 25 שנות ותק]]&gt;0,YEAR(TODAY())+25-ROUNDDOWN(HEVARIM[[#This Row],[ותק מחברה 40]],0),"")</f>
        <v/>
      </c>
      <c r="AN69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697" s="9" t="str">
        <f ca="1">IF(HEVARIM[[#This Row],[דמי עזיבה לגיל 65]]&gt;0,YEAR(TODAY())+64-ROUNDDOWN(HEVARIM[[#This Row],[גיל]],0),"")</f>
        <v/>
      </c>
      <c r="AP697" s="1">
        <f>SUMIF(HEVARIM[קוד תקציב],HEVARIM[[#This Row],[קוד תקציב משפחה מקורי]],HEVARIM[ותק מחברה 40])</f>
        <v>0</v>
      </c>
      <c r="AQ69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697" s="9">
        <f>IF(HEVARIM[[#This Row],[קוד מעמד]]="1     ",IFERROR(VLOOKUP(HEVARIM[[#This Row],[קוד תקציב]],'תקציב צביעה - לקראת השינוי'!A:F,4,0),0),0)</f>
        <v>2027</v>
      </c>
      <c r="AT697" s="1"/>
    </row>
    <row r="698" spans="1:46">
      <c r="A698" t="s">
        <v>2244</v>
      </c>
      <c r="B698" t="s">
        <v>2245</v>
      </c>
      <c r="C698" t="s">
        <v>2240</v>
      </c>
      <c r="D698" t="s">
        <v>1522</v>
      </c>
      <c r="E698" t="s">
        <v>79</v>
      </c>
      <c r="F698" s="4">
        <v>23934</v>
      </c>
      <c r="G698">
        <v>60</v>
      </c>
      <c r="H698" t="s">
        <v>2241</v>
      </c>
      <c r="I698" t="s">
        <v>2242</v>
      </c>
      <c r="J698" s="4" t="s">
        <v>70</v>
      </c>
      <c r="K698" s="4" t="s">
        <v>71</v>
      </c>
      <c r="L698" t="s">
        <v>2246</v>
      </c>
      <c r="M698" t="s">
        <v>2238</v>
      </c>
      <c r="N698" t="s">
        <v>2239</v>
      </c>
      <c r="O698">
        <f>IFERROR(VLOOKUP(HEVARIM[[#This Row],[קוד תקציב]],[2]תקציבים!A:L,6,0),0)</f>
        <v>2</v>
      </c>
      <c r="P698" s="5" t="s">
        <v>104</v>
      </c>
      <c r="Q698" t="s">
        <v>11</v>
      </c>
      <c r="R698" s="4">
        <v>32714</v>
      </c>
      <c r="S698" s="4" t="s">
        <v>74</v>
      </c>
      <c r="T698" s="96" t="s">
        <v>3854</v>
      </c>
      <c r="U698" t="str">
        <f>VLOOKUP(HEVARIM[[#This Row],[גיל]],GIL,2,1)</f>
        <v>--</v>
      </c>
      <c r="V698" t="str">
        <f>IF(HEVARIM[[#This Row],[קוד מעמד]]="4     ",IF(HEVARIM[[#This Row],[גיל]]=1,1,IF(HEVARIM[[#This Row],[גיל]]&lt;=5,5,18)),"")</f>
        <v/>
      </c>
      <c r="W698">
        <f t="shared" si="40"/>
        <v>0</v>
      </c>
      <c r="X69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698">
        <f>IF(HEVARIM[[#This Row],[מצב משפחתי2]]="אלמן",'[2]ריכוז נתונים'!$AC$2,0)</f>
        <v>0</v>
      </c>
      <c r="Z698" s="3">
        <f>VLOOKUP(VALUE(HEVARIM[[#This Row],[קוד מעמד]]),הנחות!$I$2:$K$21,3,0)</f>
        <v>0</v>
      </c>
      <c r="AA698" t="b">
        <f>ISERROR(VLOOKUP(HEVARIM[[#This Row],[קוד תקציב]],'[2]ריכוז נתונים'!A:A,1,0))</f>
        <v>0</v>
      </c>
      <c r="AB698" s="1">
        <f t="shared" si="41"/>
        <v>0</v>
      </c>
      <c r="AC698" s="2">
        <f ca="1">IF(HEVARIM[[#This Row],[בר מצוה]]&gt;0,YEAR(TODAY())+'תקציבים מיוחדים'!$F$5-HEVARIM[[#This Row],[גיל]],0)</f>
        <v>0</v>
      </c>
      <c r="AD698" s="1">
        <f t="shared" si="42"/>
        <v>0</v>
      </c>
      <c r="AE698" s="2">
        <f ca="1">IF(HEVARIM[[#This Row],[בת מצוה]]&gt;0,YEAR(TODAY())+'תקציבים מיוחדים'!$F$5-HEVARIM[[#This Row],[גיל]],0)</f>
        <v>0</v>
      </c>
      <c r="AF698" s="1">
        <f>IF(AND($S698&gt;="רווק",$Z698=1),AF$4*IF(HEVARIM[[#This Row],[גיל]]&gt;$AF$3,1,(($G698-AF$2)/(AF$3-AF$2))),0)</f>
        <v>0</v>
      </c>
      <c r="AG69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8" s="1">
        <f t="shared" si="43"/>
        <v>0</v>
      </c>
      <c r="AI698" s="2">
        <f ca="1">IF(AH698&gt;0,YEAR(TODAY())+'תקציבים מיוחדים'!$F$7-HEVARIM[[#This Row],[גיל]],0)</f>
        <v>0</v>
      </c>
      <c r="AJ698" s="9">
        <f>IF(AND(ISERROR(VLOOKUP(H698,'[2]ריכוז נתונים'!A:L,1,0)),P698="1     "),1,0)</f>
        <v>0</v>
      </c>
      <c r="AK698" s="1">
        <f>IF(VALUE(HEVARIM[[#This Row],[קוד מעמד]])=1,VLOOKUP((IF(LEFT(HEVARIM[[#This Row],[קוד חבר]],1)="0",HEVARIM[[#This Row],[קוד חבר]],VALUE(HEVARIM[[#This Row],[קוד חבר]]))),'ותק חברה 40'!AQ:AW,7,0),"")</f>
        <v>36.130000000000003</v>
      </c>
      <c r="AL698" s="1">
        <f>IF(AND(VALUE(HEVARIM[[#This Row],[קוד מעמד]])=1,HEVARIM[[#This Row],[ותק מחברה 40]]&lt;25),HEVARIM[[#This Row],[ותק מחברה 40]]/25*הנחות!$C$4,0)</f>
        <v>0</v>
      </c>
      <c r="AM698" s="9" t="str">
        <f ca="1">IF(HEVARIM[[#This Row],[דמי עזיבה 25 שנות ותק]]&gt;0,YEAR(TODAY())+25-ROUNDDOWN(HEVARIM[[#This Row],[ותק מחברה 40]],0),"")</f>
        <v/>
      </c>
      <c r="AN698" s="1">
        <f>IF(AND(VALUE(HEVARIM[[#This Row],[קוד מעמד]])=1,HEVARIM[[#This Row],[ותק מחברה 40]]&gt;25,HEVARIM[[#This Row],[גיל]]&lt;65),הנחות!$C$14+(HEVARIM[[#This Row],[ותק מחברה 40]]-25)*הנחות!$C$10*0.25,0)</f>
        <v>56650.454437500004</v>
      </c>
      <c r="AO698" s="9">
        <f ca="1">IF(HEVARIM[[#This Row],[דמי עזיבה לגיל 65]]&gt;0,YEAR(TODAY())+64-ROUNDDOWN(HEVARIM[[#This Row],[גיל]],0),"")</f>
        <v>2030</v>
      </c>
      <c r="AP698" s="1">
        <f>SUMIF(HEVARIM[קוד תקציב],HEVARIM[[#This Row],[קוד תקציב משפחה מקורי]],HEVARIM[ותק מחברה 40])</f>
        <v>0</v>
      </c>
      <c r="AQ69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3281.25</v>
      </c>
      <c r="AS698" s="9">
        <f>IF(HEVARIM[[#This Row],[קוד מעמד]]="1     ",IFERROR(VLOOKUP(HEVARIM[[#This Row],[קוד תקציב]],'תקציב צביעה - לקראת השינוי'!A:F,4,0),0),0)</f>
        <v>2028</v>
      </c>
      <c r="AT698" s="1"/>
    </row>
    <row r="699" spans="1:46">
      <c r="A699" t="s">
        <v>1795</v>
      </c>
      <c r="B699" t="s">
        <v>1796</v>
      </c>
      <c r="C699" t="s">
        <v>1790</v>
      </c>
      <c r="D699" t="s">
        <v>166</v>
      </c>
      <c r="E699" t="s">
        <v>79</v>
      </c>
      <c r="F699" s="4">
        <v>22739</v>
      </c>
      <c r="G699">
        <v>63</v>
      </c>
      <c r="H699" t="s">
        <v>1792</v>
      </c>
      <c r="I699" t="s">
        <v>1793</v>
      </c>
      <c r="J699" s="4" t="s">
        <v>70</v>
      </c>
      <c r="K699" s="4" t="s">
        <v>71</v>
      </c>
      <c r="L699" t="s">
        <v>1797</v>
      </c>
      <c r="M699" t="s">
        <v>1788</v>
      </c>
      <c r="N699" t="s">
        <v>1789</v>
      </c>
      <c r="O699">
        <f>IFERROR(VLOOKUP(HEVARIM[[#This Row],[קוד תקציב]],[2]תקציבים!A:L,6,0),0)</f>
        <v>2</v>
      </c>
      <c r="P699" s="5" t="s">
        <v>104</v>
      </c>
      <c r="Q699" t="s">
        <v>11</v>
      </c>
      <c r="R699" s="4">
        <v>36441</v>
      </c>
      <c r="S699" s="4" t="s">
        <v>74</v>
      </c>
      <c r="T699" s="96" t="s">
        <v>3855</v>
      </c>
      <c r="U699" t="str">
        <f>VLOOKUP(HEVARIM[[#This Row],[גיל]],GIL,2,1)</f>
        <v>--</v>
      </c>
      <c r="V699" t="str">
        <f>IF(HEVARIM[[#This Row],[קוד מעמד]]="4     ",IF(HEVARIM[[#This Row],[גיל]]=1,1,IF(HEVARIM[[#This Row],[גיל]]&lt;=5,5,18)),"")</f>
        <v/>
      </c>
      <c r="W699">
        <f t="shared" si="40"/>
        <v>0</v>
      </c>
      <c r="X699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699">
        <f>IF(HEVARIM[[#This Row],[מצב משפחתי2]]="אלמן",'[2]ריכוז נתונים'!$AC$2,0)</f>
        <v>0</v>
      </c>
      <c r="Z699" s="3">
        <f>VLOOKUP(VALUE(HEVARIM[[#This Row],[קוד מעמד]]),הנחות!$I$2:$K$21,3,0)</f>
        <v>0</v>
      </c>
      <c r="AA699" t="b">
        <f>ISERROR(VLOOKUP(HEVARIM[[#This Row],[קוד תקציב]],'[2]ריכוז נתונים'!A:A,1,0))</f>
        <v>0</v>
      </c>
      <c r="AB699" s="1">
        <f t="shared" si="41"/>
        <v>0</v>
      </c>
      <c r="AC699" s="2">
        <f ca="1">IF(HEVARIM[[#This Row],[בר מצוה]]&gt;0,YEAR(TODAY())+'תקציבים מיוחדים'!$F$5-HEVARIM[[#This Row],[גיל]],0)</f>
        <v>0</v>
      </c>
      <c r="AD699" s="1">
        <f t="shared" si="42"/>
        <v>0</v>
      </c>
      <c r="AE699" s="2">
        <f ca="1">IF(HEVARIM[[#This Row],[בת מצוה]]&gt;0,YEAR(TODAY())+'תקציבים מיוחדים'!$F$5-HEVARIM[[#This Row],[גיל]],0)</f>
        <v>0</v>
      </c>
      <c r="AF699" s="1">
        <f>IF(AND($S699&gt;="רווק",$Z699=1),AF$4*IF(HEVARIM[[#This Row],[גיל]]&gt;$AF$3,1,(($G699-AF$2)/(AF$3-AF$2))),0)</f>
        <v>0</v>
      </c>
      <c r="AG69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699" s="1">
        <f t="shared" si="43"/>
        <v>0</v>
      </c>
      <c r="AI699" s="2">
        <f ca="1">IF(AH699&gt;0,YEAR(TODAY())+'תקציבים מיוחדים'!$F$7-HEVARIM[[#This Row],[גיל]],0)</f>
        <v>0</v>
      </c>
      <c r="AJ699" s="9">
        <f>IF(AND(ISERROR(VLOOKUP(H699,'[2]ריכוז נתונים'!A:L,1,0)),P699="1     "),1,0)</f>
        <v>0</v>
      </c>
      <c r="AK699" s="1">
        <f>IF(VALUE(HEVARIM[[#This Row],[קוד מעמד]])=1,VLOOKUP((IF(LEFT(HEVARIM[[#This Row],[קוד חבר]],1)="0",HEVARIM[[#This Row],[קוד חבר]],VALUE(HEVARIM[[#This Row],[קוד חבר]]))),'ותק חברה 40'!AQ:AW,7,0),"")</f>
        <v>44.78</v>
      </c>
      <c r="AL699" s="1">
        <f>IF(AND(VALUE(HEVARIM[[#This Row],[קוד מעמד]])=1,HEVARIM[[#This Row],[ותק מחברה 40]]&lt;25),HEVARIM[[#This Row],[ותק מחברה 40]]/25*הנחות!$C$4,0)</f>
        <v>0</v>
      </c>
      <c r="AM699" s="9" t="str">
        <f ca="1">IF(HEVARIM[[#This Row],[דמי עזיבה 25 שנות ותק]]&gt;0,YEAR(TODAY())+25-ROUNDDOWN(HEVARIM[[#This Row],[ותק מחברה 40]],0),"")</f>
        <v/>
      </c>
      <c r="AN699" s="1">
        <f>IF(AND(VALUE(HEVARIM[[#This Row],[קוד מעמד]])=1,HEVARIM[[#This Row],[ותק מחברה 40]]&gt;25,HEVARIM[[#This Row],[גיל]]&lt;65),הנחות!$C$14+(HEVARIM[[#This Row],[ותק מחברה 40]]-25)*הנחות!$C$10*0.25,0)</f>
        <v>79841.482875000002</v>
      </c>
      <c r="AO699" s="9">
        <f ca="1">IF(HEVARIM[[#This Row],[דמי עזיבה לגיל 65]]&gt;0,YEAR(TODAY())+64-ROUNDDOWN(HEVARIM[[#This Row],[גיל]],0),"")</f>
        <v>2027</v>
      </c>
      <c r="AP699" s="1">
        <f>SUMIF(HEVARIM[קוד תקציב],HEVARIM[[#This Row],[קוד תקציב משפחה מקורי]],HEVARIM[ותק מחברה 40])</f>
        <v>0</v>
      </c>
      <c r="AQ69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69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699" s="9">
        <f>IF(HEVARIM[[#This Row],[קוד מעמד]]="1     ",IFERROR(VLOOKUP(HEVARIM[[#This Row],[קוד תקציב]],'תקציב צביעה - לקראת השינוי'!A:F,4,0),0),0)</f>
        <v>2029</v>
      </c>
      <c r="AT699" s="1"/>
    </row>
    <row r="700" spans="1:46">
      <c r="A700" t="s">
        <v>2611</v>
      </c>
      <c r="B700" t="s">
        <v>2612</v>
      </c>
      <c r="C700" t="s">
        <v>2559</v>
      </c>
      <c r="D700" t="s">
        <v>426</v>
      </c>
      <c r="E700" t="s">
        <v>67</v>
      </c>
      <c r="F700" s="4">
        <v>21251</v>
      </c>
      <c r="G700">
        <v>67</v>
      </c>
      <c r="H700" t="s">
        <v>2613</v>
      </c>
      <c r="I700" t="s">
        <v>2614</v>
      </c>
      <c r="J700" s="4" t="s">
        <v>70</v>
      </c>
      <c r="K700" s="4" t="s">
        <v>71</v>
      </c>
      <c r="L700" t="s">
        <v>2615</v>
      </c>
      <c r="M700" t="s">
        <v>2611</v>
      </c>
      <c r="N700" t="s">
        <v>2612</v>
      </c>
      <c r="O700">
        <f>IFERROR(VLOOKUP(HEVARIM[[#This Row],[קוד תקציב]],[2]תקציבים!A:L,6,0),0)</f>
        <v>2</v>
      </c>
      <c r="P700" s="5" t="s">
        <v>104</v>
      </c>
      <c r="Q700" t="s">
        <v>11</v>
      </c>
      <c r="R700" s="4">
        <v>39278</v>
      </c>
      <c r="S700" s="4" t="s">
        <v>74</v>
      </c>
      <c r="T700" s="96" t="s">
        <v>2560</v>
      </c>
      <c r="U700" t="str">
        <f>VLOOKUP(HEVARIM[[#This Row],[גיל]],GIL,2,1)</f>
        <v>--</v>
      </c>
      <c r="V700" t="str">
        <f>IF(HEVARIM[[#This Row],[קוד מעמד]]="4     ",IF(HEVARIM[[#This Row],[גיל]]=1,1,IF(HEVARIM[[#This Row],[גיל]]&lt;=5,5,18)),"")</f>
        <v/>
      </c>
      <c r="W700">
        <f t="shared" si="40"/>
        <v>2365</v>
      </c>
      <c r="X700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00">
        <f>IF(HEVARIM[[#This Row],[מצב משפחתי2]]="אלמן",'[2]ריכוז נתונים'!$AC$2,0)</f>
        <v>0</v>
      </c>
      <c r="Z700" s="3">
        <f>VLOOKUP(VALUE(HEVARIM[[#This Row],[קוד מעמד]]),הנחות!$I$2:$K$21,3,0)</f>
        <v>0</v>
      </c>
      <c r="AA700" t="b">
        <f>ISERROR(VLOOKUP(HEVARIM[[#This Row],[קוד תקציב]],'[2]ריכוז נתונים'!A:A,1,0))</f>
        <v>0</v>
      </c>
      <c r="AB700" s="1">
        <f t="shared" si="41"/>
        <v>0</v>
      </c>
      <c r="AC700" s="2">
        <f ca="1">IF(HEVARIM[[#This Row],[בר מצוה]]&gt;0,YEAR(TODAY())+'תקציבים מיוחדים'!$F$5-HEVARIM[[#This Row],[גיל]],0)</f>
        <v>0</v>
      </c>
      <c r="AD700" s="1">
        <f t="shared" si="42"/>
        <v>0</v>
      </c>
      <c r="AE700" s="2">
        <f ca="1">IF(HEVARIM[[#This Row],[בת מצוה]]&gt;0,YEAR(TODAY())+'תקציבים מיוחדים'!$F$5-HEVARIM[[#This Row],[גיל]],0)</f>
        <v>0</v>
      </c>
      <c r="AF700" s="1">
        <f>IF(AND($S700&gt;="רווק",$Z700=1),AF$4*IF(HEVARIM[[#This Row],[גיל]]&gt;$AF$3,1,(($G700-AF$2)/(AF$3-AF$2))),0)</f>
        <v>0</v>
      </c>
      <c r="AG70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0" s="1">
        <f t="shared" si="43"/>
        <v>0</v>
      </c>
      <c r="AI700" s="2">
        <f ca="1">IF(AH700&gt;0,YEAR(TODAY())+'תקציבים מיוחדים'!$F$7-HEVARIM[[#This Row],[גיל]],0)</f>
        <v>0</v>
      </c>
      <c r="AJ700" s="9">
        <f>IF(AND(ISERROR(VLOOKUP(H700,'[2]ריכוז נתונים'!A:L,1,0)),P700="1     "),1,0)</f>
        <v>0</v>
      </c>
      <c r="AK700" s="1">
        <f>IF(VALUE(HEVARIM[[#This Row],[קוד מעמד]])=1,VLOOKUP((IF(LEFT(HEVARIM[[#This Row],[קוד חבר]],1)="0",HEVARIM[[#This Row],[קוד חבר]],VALUE(HEVARIM[[#This Row],[קוד חבר]]))),'ותק חברה 40'!AQ:AW,7,0),"")</f>
        <v>46.74</v>
      </c>
      <c r="AL700" s="1">
        <f>IF(AND(VALUE(HEVARIM[[#This Row],[קוד מעמד]])=1,HEVARIM[[#This Row],[ותק מחברה 40]]&lt;25),HEVARIM[[#This Row],[ותק מחברה 40]]/25*הנחות!$C$4,0)</f>
        <v>0</v>
      </c>
      <c r="AM700" s="9" t="str">
        <f ca="1">IF(HEVARIM[[#This Row],[דמי עזיבה 25 שנות ותק]]&gt;0,YEAR(TODAY())+25-ROUNDDOWN(HEVARIM[[#This Row],[ותק מחברה 40]],0),"")</f>
        <v/>
      </c>
      <c r="AN70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0" s="9" t="str">
        <f ca="1">IF(HEVARIM[[#This Row],[דמי עזיבה לגיל 65]]&gt;0,YEAR(TODAY())+64-ROUNDDOWN(HEVARIM[[#This Row],[גיל]],0),"")</f>
        <v/>
      </c>
      <c r="AP700" s="1">
        <f>SUMIF(HEVARIM[קוד תקציב],HEVARIM[[#This Row],[קוד תקציב משפחה מקורי]],HEVARIM[ותק מחברה 40])</f>
        <v>48</v>
      </c>
      <c r="AQ70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700" s="9">
        <f>IF(HEVARIM[[#This Row],[קוד מעמד]]="1     ",IFERROR(VLOOKUP(HEVARIM[[#This Row],[קוד תקציב]],'תקציב צביעה - לקראת השינוי'!A:F,4,0),0),0)</f>
        <v>2032</v>
      </c>
      <c r="AT700" s="1"/>
    </row>
    <row r="701" spans="1:46">
      <c r="A701" t="s">
        <v>2716</v>
      </c>
      <c r="B701" t="s">
        <v>2717</v>
      </c>
      <c r="C701" t="s">
        <v>2559</v>
      </c>
      <c r="D701" t="s">
        <v>2718</v>
      </c>
      <c r="E701" t="s">
        <v>67</v>
      </c>
      <c r="F701" s="4">
        <v>24687</v>
      </c>
      <c r="G701">
        <v>58</v>
      </c>
      <c r="H701" t="s">
        <v>2719</v>
      </c>
      <c r="I701" t="s">
        <v>2720</v>
      </c>
      <c r="J701" s="4" t="s">
        <v>70</v>
      </c>
      <c r="K701" s="4" t="s">
        <v>71</v>
      </c>
      <c r="L701" t="s">
        <v>2721</v>
      </c>
      <c r="M701" t="s">
        <v>2716</v>
      </c>
      <c r="N701" t="s">
        <v>2717</v>
      </c>
      <c r="O701">
        <f>IFERROR(VLOOKUP(HEVARIM[[#This Row],[קוד תקציב]],[2]תקציבים!A:L,6,0),0)</f>
        <v>2</v>
      </c>
      <c r="P701" s="5" t="s">
        <v>104</v>
      </c>
      <c r="Q701" t="s">
        <v>11</v>
      </c>
      <c r="R701" s="4">
        <v>38957</v>
      </c>
      <c r="S701" s="4" t="s">
        <v>74</v>
      </c>
      <c r="T701" s="96" t="s">
        <v>2560</v>
      </c>
      <c r="U701" t="str">
        <f>VLOOKUP(HEVARIM[[#This Row],[גיל]],GIL,2,1)</f>
        <v>--</v>
      </c>
      <c r="V701" t="str">
        <f>IF(HEVARIM[[#This Row],[קוד מעמד]]="4     ",IF(HEVARIM[[#This Row],[גיל]]=1,1,IF(HEVARIM[[#This Row],[גיל]]&lt;=5,5,18)),"")</f>
        <v/>
      </c>
      <c r="W701">
        <f t="shared" si="40"/>
        <v>0</v>
      </c>
      <c r="X701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01">
        <f>IF(HEVARIM[[#This Row],[מצב משפחתי2]]="אלמן",'[2]ריכוז נתונים'!$AC$2,0)</f>
        <v>0</v>
      </c>
      <c r="Z701" s="3">
        <f>VLOOKUP(VALUE(HEVARIM[[#This Row],[קוד מעמד]]),הנחות!$I$2:$K$21,3,0)</f>
        <v>0</v>
      </c>
      <c r="AA701" t="b">
        <f>ISERROR(VLOOKUP(HEVARIM[[#This Row],[קוד תקציב]],'[2]ריכוז נתונים'!A:A,1,0))</f>
        <v>0</v>
      </c>
      <c r="AB701" s="1">
        <f t="shared" si="41"/>
        <v>0</v>
      </c>
      <c r="AC701" s="2">
        <f ca="1">IF(HEVARIM[[#This Row],[בר מצוה]]&gt;0,YEAR(TODAY())+'תקציבים מיוחדים'!$F$5-HEVARIM[[#This Row],[גיל]],0)</f>
        <v>0</v>
      </c>
      <c r="AD701" s="1">
        <f t="shared" si="42"/>
        <v>0</v>
      </c>
      <c r="AE701" s="2">
        <f ca="1">IF(HEVARIM[[#This Row],[בת מצוה]]&gt;0,YEAR(TODAY())+'תקציבים מיוחדים'!$F$5-HEVARIM[[#This Row],[גיל]],0)</f>
        <v>0</v>
      </c>
      <c r="AF701" s="1">
        <f>IF(AND($S701&gt;="רווק",$Z701=1),AF$4*IF(HEVARIM[[#This Row],[גיל]]&gt;$AF$3,1,(($G701-AF$2)/(AF$3-AF$2))),0)</f>
        <v>0</v>
      </c>
      <c r="AG701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1" s="1">
        <f t="shared" si="43"/>
        <v>0</v>
      </c>
      <c r="AI701" s="2">
        <f ca="1">IF(AH701&gt;0,YEAR(TODAY())+'תקציבים מיוחדים'!$F$7-HEVARIM[[#This Row],[גיל]],0)</f>
        <v>0</v>
      </c>
      <c r="AJ701" s="9">
        <f>IF(AND(ISERROR(VLOOKUP(H701,'[2]ריכוז נתונים'!A:L,1,0)),P701="1     "),1,0)</f>
        <v>0</v>
      </c>
      <c r="AK701" s="1">
        <f>IF(VALUE(HEVARIM[[#This Row],[קוד מעמד]])=1,VLOOKUP((IF(LEFT(HEVARIM[[#This Row],[קוד חבר]],1)="0",HEVARIM[[#This Row],[קוד חבר]],VALUE(HEVARIM[[#This Row],[קוד חבר]]))),'ותק חברה 40'!AQ:AW,7,0),"")</f>
        <v>21.01</v>
      </c>
      <c r="AL701" s="1">
        <f>IF(AND(VALUE(HEVARIM[[#This Row],[קוד מעמד]])=1,HEVARIM[[#This Row],[ותק מחברה 40]]&lt;25),HEVARIM[[#This Row],[ותק מחברה 40]]/25*הנחות!$C$4,0)</f>
        <v>31544.088344999996</v>
      </c>
      <c r="AM701" s="9">
        <f ca="1">IF(HEVARIM[[#This Row],[דמי עזיבה 25 שנות ותק]]&gt;0,YEAR(TODAY())+25-ROUNDDOWN(HEVARIM[[#This Row],[ותק מחברה 40]],0),"")</f>
        <v>2030</v>
      </c>
      <c r="AN701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1" s="9" t="str">
        <f ca="1">IF(HEVARIM[[#This Row],[דמי עזיבה לגיל 65]]&gt;0,YEAR(TODAY())+64-ROUNDDOWN(HEVARIM[[#This Row],[גיל]],0),"")</f>
        <v/>
      </c>
      <c r="AP701" s="1">
        <f>SUMIF(HEVARIM[קוד תקציב],HEVARIM[[#This Row],[קוד תקציב משפחה מקורי]],HEVARIM[ותק מחברה 40])</f>
        <v>48</v>
      </c>
      <c r="AQ701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1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937.5</v>
      </c>
      <c r="AS701" s="9">
        <f>IF(HEVARIM[[#This Row],[קוד מעמד]]="1     ",IFERROR(VLOOKUP(HEVARIM[[#This Row],[קוד תקציב]],'תקציב צביעה - לקראת השינוי'!A:F,4,0),0),0)</f>
        <v>2033</v>
      </c>
      <c r="AT701" s="1"/>
    </row>
    <row r="702" spans="1:46">
      <c r="A702" t="s">
        <v>2557</v>
      </c>
      <c r="B702" t="s">
        <v>2558</v>
      </c>
      <c r="C702" t="s">
        <v>2559</v>
      </c>
      <c r="D702" t="s">
        <v>1817</v>
      </c>
      <c r="E702" t="s">
        <v>79</v>
      </c>
      <c r="F702" s="4">
        <v>13151</v>
      </c>
      <c r="G702">
        <v>89</v>
      </c>
      <c r="H702" t="s">
        <v>2560</v>
      </c>
      <c r="I702" t="s">
        <v>2558</v>
      </c>
      <c r="J702" s="4" t="s">
        <v>70</v>
      </c>
      <c r="K702" s="4" t="s">
        <v>71</v>
      </c>
      <c r="L702" t="s">
        <v>2561</v>
      </c>
      <c r="M702" t="s">
        <v>2562</v>
      </c>
      <c r="N702" t="s">
        <v>2563</v>
      </c>
      <c r="O702">
        <f>IFERROR(VLOOKUP(HEVARIM[[#This Row],[קוד תקציב]],[2]תקציבים!A:L,6,0),0)</f>
        <v>1</v>
      </c>
      <c r="P702" s="5" t="s">
        <v>104</v>
      </c>
      <c r="Q702" t="s">
        <v>11</v>
      </c>
      <c r="R702" s="4">
        <v>21124</v>
      </c>
      <c r="S702" s="4" t="s">
        <v>449</v>
      </c>
      <c r="T702" s="96" t="s">
        <v>2560</v>
      </c>
      <c r="U702" t="str">
        <f>VLOOKUP(HEVARIM[[#This Row],[גיל]],GIL,2,1)</f>
        <v>--</v>
      </c>
      <c r="V702" t="str">
        <f>IF(HEVARIM[[#This Row],[קוד מעמד]]="4     ",IF(HEVARIM[[#This Row],[גיל]]=1,1,IF(HEVARIM[[#This Row],[גיל]]&lt;=5,5,18)),"")</f>
        <v/>
      </c>
      <c r="W702">
        <f t="shared" si="40"/>
        <v>1665</v>
      </c>
      <c r="X702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02">
        <f>IF(HEVARIM[[#This Row],[מצב משפחתי2]]="אלמן",'[2]ריכוז נתונים'!$AC$2,0)</f>
        <v>4900</v>
      </c>
      <c r="Z702" s="3">
        <f>VLOOKUP(VALUE(HEVARIM[[#This Row],[קוד מעמד]]),הנחות!$I$2:$K$21,3,0)</f>
        <v>0</v>
      </c>
      <c r="AA702" t="b">
        <f>ISERROR(VLOOKUP(HEVARIM[[#This Row],[קוד תקציב]],'[2]ריכוז נתונים'!A:A,1,0))</f>
        <v>0</v>
      </c>
      <c r="AB702" s="1">
        <f t="shared" si="41"/>
        <v>0</v>
      </c>
      <c r="AC702" s="2">
        <f ca="1">IF(HEVARIM[[#This Row],[בר מצוה]]&gt;0,YEAR(TODAY())+'תקציבים מיוחדים'!$F$5-HEVARIM[[#This Row],[גיל]],0)</f>
        <v>0</v>
      </c>
      <c r="AD702" s="1">
        <f t="shared" si="42"/>
        <v>0</v>
      </c>
      <c r="AE702" s="2">
        <f ca="1">IF(HEVARIM[[#This Row],[בת מצוה]]&gt;0,YEAR(TODAY())+'תקציבים מיוחדים'!$F$5-HEVARIM[[#This Row],[גיל]],0)</f>
        <v>0</v>
      </c>
      <c r="AF702" s="1">
        <f>IF(AND($S702&gt;="רווק",$Z702=1),AF$4*IF(HEVARIM[[#This Row],[גיל]]&gt;$AF$3,1,(($G702-AF$2)/(AF$3-AF$2))),0)</f>
        <v>0</v>
      </c>
      <c r="AG702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2" s="1">
        <f t="shared" si="43"/>
        <v>0</v>
      </c>
      <c r="AI702" s="2">
        <f ca="1">IF(AH702&gt;0,YEAR(TODAY())+'תקציבים מיוחדים'!$F$7-HEVARIM[[#This Row],[גיל]],0)</f>
        <v>0</v>
      </c>
      <c r="AJ702" s="9">
        <f>IF(AND(ISERROR(VLOOKUP(H702,'[2]ריכוז נתונים'!A:L,1,0)),P702="1     "),1,0)</f>
        <v>0</v>
      </c>
      <c r="AK702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02" s="1">
        <f>IF(AND(VALUE(HEVARIM[[#This Row],[קוד מעמד]])=1,HEVARIM[[#This Row],[ותק מחברה 40]]&lt;25),HEVARIM[[#This Row],[ותק מחברה 40]]/25*הנחות!$C$4,0)</f>
        <v>0</v>
      </c>
      <c r="AM702" s="9" t="str">
        <f ca="1">IF(HEVARIM[[#This Row],[דמי עזיבה 25 שנות ותק]]&gt;0,YEAR(TODAY())+25-ROUNDDOWN(HEVARIM[[#This Row],[ותק מחברה 40]],0),"")</f>
        <v/>
      </c>
      <c r="AN702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2" s="9" t="str">
        <f ca="1">IF(HEVARIM[[#This Row],[דמי עזיבה לגיל 65]]&gt;0,YEAR(TODAY())+64-ROUNDDOWN(HEVARIM[[#This Row],[גיל]],0),"")</f>
        <v/>
      </c>
      <c r="AP702" s="1">
        <f>SUMIF(HEVARIM[קוד תקציב],HEVARIM[[#This Row],[קוד תקציב משפחה מקורי]],HEVARIM[ותק מחברה 40])</f>
        <v>48</v>
      </c>
      <c r="AQ702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2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702" s="9">
        <f>IF(HEVARIM[[#This Row],[קוד מעמד]]="1     ",IFERROR(VLOOKUP(HEVARIM[[#This Row],[קוד תקציב]],'תקציב צביעה - לקראת השינוי'!A:F,4,0),0),0)</f>
        <v>2032</v>
      </c>
      <c r="AT702" s="1"/>
    </row>
    <row r="703" spans="1:46">
      <c r="A703" t="s">
        <v>1721</v>
      </c>
      <c r="B703" t="s">
        <v>1722</v>
      </c>
      <c r="C703" t="s">
        <v>1723</v>
      </c>
      <c r="D703" t="s">
        <v>728</v>
      </c>
      <c r="E703" t="s">
        <v>67</v>
      </c>
      <c r="F703" s="4">
        <v>18437</v>
      </c>
      <c r="G703">
        <v>75</v>
      </c>
      <c r="H703" t="s">
        <v>1724</v>
      </c>
      <c r="I703" t="s">
        <v>1725</v>
      </c>
      <c r="J703" s="4" t="s">
        <v>70</v>
      </c>
      <c r="K703" s="4" t="s">
        <v>71</v>
      </c>
      <c r="L703" t="s">
        <v>1726</v>
      </c>
      <c r="M703" t="s">
        <v>1721</v>
      </c>
      <c r="N703" t="s">
        <v>1722</v>
      </c>
      <c r="O703">
        <f>IFERROR(VLOOKUP(HEVARIM[[#This Row],[קוד תקציב]],[2]תקציבים!A:L,6,0),0)</f>
        <v>2</v>
      </c>
      <c r="P703" s="5" t="s">
        <v>104</v>
      </c>
      <c r="Q703" t="s">
        <v>11</v>
      </c>
      <c r="R703" s="4">
        <v>25507</v>
      </c>
      <c r="S703" s="4" t="s">
        <v>74</v>
      </c>
      <c r="T703" s="96" t="s">
        <v>3856</v>
      </c>
      <c r="U703" t="str">
        <f>VLOOKUP(HEVARIM[[#This Row],[גיל]],GIL,2,1)</f>
        <v>--</v>
      </c>
      <c r="V703" t="str">
        <f>IF(HEVARIM[[#This Row],[קוד מעמד]]="4     ",IF(HEVARIM[[#This Row],[גיל]]=1,1,IF(HEVARIM[[#This Row],[גיל]]&lt;=5,5,18)),"")</f>
        <v/>
      </c>
      <c r="W703">
        <f t="shared" si="40"/>
        <v>2365</v>
      </c>
      <c r="X703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03">
        <f>IF(HEVARIM[[#This Row],[מצב משפחתי2]]="אלמן",'[2]ריכוז נתונים'!$AC$2,0)</f>
        <v>0</v>
      </c>
      <c r="Z703" s="3">
        <f>VLOOKUP(VALUE(HEVARIM[[#This Row],[קוד מעמד]]),הנחות!$I$2:$K$21,3,0)</f>
        <v>0</v>
      </c>
      <c r="AA703" t="b">
        <f>ISERROR(VLOOKUP(HEVARIM[[#This Row],[קוד תקציב]],'[2]ריכוז נתונים'!A:A,1,0))</f>
        <v>0</v>
      </c>
      <c r="AB703" s="1">
        <f t="shared" si="41"/>
        <v>0</v>
      </c>
      <c r="AC703" s="2">
        <f ca="1">IF(HEVARIM[[#This Row],[בר מצוה]]&gt;0,YEAR(TODAY())+'תקציבים מיוחדים'!$F$5-HEVARIM[[#This Row],[גיל]],0)</f>
        <v>0</v>
      </c>
      <c r="AD703" s="1">
        <f t="shared" si="42"/>
        <v>0</v>
      </c>
      <c r="AE703" s="2">
        <f ca="1">IF(HEVARIM[[#This Row],[בת מצוה]]&gt;0,YEAR(TODAY())+'תקציבים מיוחדים'!$F$5-HEVARIM[[#This Row],[גיל]],0)</f>
        <v>0</v>
      </c>
      <c r="AF703" s="1">
        <f>IF(AND($S703&gt;="רווק",$Z703=1),AF$4*IF(HEVARIM[[#This Row],[גיל]]&gt;$AF$3,1,(($G703-AF$2)/(AF$3-AF$2))),0)</f>
        <v>0</v>
      </c>
      <c r="AG703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3" s="1">
        <f t="shared" si="43"/>
        <v>0</v>
      </c>
      <c r="AI703" s="2">
        <f ca="1">IF(AH703&gt;0,YEAR(TODAY())+'תקציבים מיוחדים'!$F$7-HEVARIM[[#This Row],[גיל]],0)</f>
        <v>0</v>
      </c>
      <c r="AJ703" s="9">
        <f>IF(AND(ISERROR(VLOOKUP(H703,'[2]ריכוז נתונים'!A:L,1,0)),P703="1     "),1,0)</f>
        <v>0</v>
      </c>
      <c r="AK703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03" s="1">
        <f>IF(AND(VALUE(HEVARIM[[#This Row],[קוד מעמד]])=1,HEVARIM[[#This Row],[ותק מחברה 40]]&lt;25),HEVARIM[[#This Row],[ותק מחברה 40]]/25*הנחות!$C$4,0)</f>
        <v>0</v>
      </c>
      <c r="AM703" s="9" t="str">
        <f ca="1">IF(HEVARIM[[#This Row],[דמי עזיבה 25 שנות ותק]]&gt;0,YEAR(TODAY())+25-ROUNDDOWN(HEVARIM[[#This Row],[ותק מחברה 40]],0),"")</f>
        <v/>
      </c>
      <c r="AN703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3" s="9" t="str">
        <f ca="1">IF(HEVARIM[[#This Row],[דמי עזיבה לגיל 65]]&gt;0,YEAR(TODAY())+64-ROUNDDOWN(HEVARIM[[#This Row],[גיל]],0),"")</f>
        <v/>
      </c>
      <c r="AP703" s="1">
        <f>SUMIF(HEVARIM[קוד תקציב],HEVARIM[[#This Row],[קוד תקציב משפחה מקורי]],HEVARIM[ותק מחברה 40])</f>
        <v>0</v>
      </c>
      <c r="AQ703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3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703" s="9">
        <f>IF(HEVARIM[[#This Row],[קוד מעמד]]="1     ",IFERROR(VLOOKUP(HEVARIM[[#This Row],[קוד תקציב]],'תקציב צביעה - לקראת השינוי'!A:F,4,0),0),0)</f>
        <v>2029</v>
      </c>
      <c r="AT703" s="1"/>
    </row>
    <row r="704" spans="1:46">
      <c r="A704" t="s">
        <v>2938</v>
      </c>
      <c r="B704" t="s">
        <v>2939</v>
      </c>
      <c r="C704" t="s">
        <v>2940</v>
      </c>
      <c r="D704" t="s">
        <v>364</v>
      </c>
      <c r="E704" t="s">
        <v>67</v>
      </c>
      <c r="F704" s="4">
        <v>19216</v>
      </c>
      <c r="G704">
        <v>73</v>
      </c>
      <c r="H704" t="s">
        <v>2941</v>
      </c>
      <c r="I704" t="s">
        <v>2942</v>
      </c>
      <c r="J704" s="4" t="s">
        <v>70</v>
      </c>
      <c r="K704" s="4" t="s">
        <v>71</v>
      </c>
      <c r="L704" t="s">
        <v>2943</v>
      </c>
      <c r="M704" t="s">
        <v>2938</v>
      </c>
      <c r="N704" t="s">
        <v>2939</v>
      </c>
      <c r="O704">
        <f>IFERROR(VLOOKUP(HEVARIM[[#This Row],[קוד תקציב]],[2]תקציבים!A:L,6,0),0)</f>
        <v>2</v>
      </c>
      <c r="P704" s="5" t="s">
        <v>104</v>
      </c>
      <c r="Q704" t="s">
        <v>11</v>
      </c>
      <c r="R704" s="4">
        <v>25872</v>
      </c>
      <c r="S704" s="4" t="s">
        <v>74</v>
      </c>
      <c r="T704" s="96" t="s">
        <v>3857</v>
      </c>
      <c r="U704" t="str">
        <f>VLOOKUP(HEVARIM[[#This Row],[גיל]],GIL,2,1)</f>
        <v>--</v>
      </c>
      <c r="V704" t="str">
        <f>IF(HEVARIM[[#This Row],[קוד מעמד]]="4     ",IF(HEVARIM[[#This Row],[גיל]]=1,1,IF(HEVARIM[[#This Row],[גיל]]&lt;=5,5,18)),"")</f>
        <v/>
      </c>
      <c r="W704">
        <f t="shared" si="40"/>
        <v>2365</v>
      </c>
      <c r="X704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04">
        <f>IF(HEVARIM[[#This Row],[מצב משפחתי2]]="אלמן",'[2]ריכוז נתונים'!$AC$2,0)</f>
        <v>0</v>
      </c>
      <c r="Z704" s="3">
        <f>VLOOKUP(VALUE(HEVARIM[[#This Row],[קוד מעמד]]),הנחות!$I$2:$K$21,3,0)</f>
        <v>0</v>
      </c>
      <c r="AA704" t="b">
        <f>ISERROR(VLOOKUP(HEVARIM[[#This Row],[קוד תקציב]],'[2]ריכוז נתונים'!A:A,1,0))</f>
        <v>0</v>
      </c>
      <c r="AB704" s="1">
        <f t="shared" si="41"/>
        <v>0</v>
      </c>
      <c r="AC704" s="2">
        <f ca="1">IF(HEVARIM[[#This Row],[בר מצוה]]&gt;0,YEAR(TODAY())+'תקציבים מיוחדים'!$F$5-HEVARIM[[#This Row],[גיל]],0)</f>
        <v>0</v>
      </c>
      <c r="AD704" s="1">
        <f t="shared" si="42"/>
        <v>0</v>
      </c>
      <c r="AE704" s="2">
        <f ca="1">IF(HEVARIM[[#This Row],[בת מצוה]]&gt;0,YEAR(TODAY())+'תקציבים מיוחדים'!$F$5-HEVARIM[[#This Row],[גיל]],0)</f>
        <v>0</v>
      </c>
      <c r="AF704" s="1">
        <f>IF(AND($S704&gt;="רווק",$Z704=1),AF$4*IF(HEVARIM[[#This Row],[גיל]]&gt;$AF$3,1,(($G704-AF$2)/(AF$3-AF$2))),0)</f>
        <v>0</v>
      </c>
      <c r="AG704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4" s="1">
        <f t="shared" si="43"/>
        <v>0</v>
      </c>
      <c r="AI704" s="2">
        <f ca="1">IF(AH704&gt;0,YEAR(TODAY())+'תקציבים מיוחדים'!$F$7-HEVARIM[[#This Row],[גיל]],0)</f>
        <v>0</v>
      </c>
      <c r="AJ704" s="9">
        <f>IF(AND(ISERROR(VLOOKUP(H704,'[2]ריכוז נתונים'!A:L,1,0)),P704="1     "),1,0)</f>
        <v>0</v>
      </c>
      <c r="AK704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04" s="1">
        <f>IF(AND(VALUE(HEVARIM[[#This Row],[קוד מעמד]])=1,HEVARIM[[#This Row],[ותק מחברה 40]]&lt;25),HEVARIM[[#This Row],[ותק מחברה 40]]/25*הנחות!$C$4,0)</f>
        <v>0</v>
      </c>
      <c r="AM704" s="9" t="str">
        <f ca="1">IF(HEVARIM[[#This Row],[דמי עזיבה 25 שנות ותק]]&gt;0,YEAR(TODAY())+25-ROUNDDOWN(HEVARIM[[#This Row],[ותק מחברה 40]],0),"")</f>
        <v/>
      </c>
      <c r="AN704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4" s="9" t="str">
        <f ca="1">IF(HEVARIM[[#This Row],[דמי עזיבה לגיל 65]]&gt;0,YEAR(TODAY())+64-ROUNDDOWN(HEVARIM[[#This Row],[גיל]],0),"")</f>
        <v/>
      </c>
      <c r="AP704" s="1">
        <f>SUMIF(HEVARIM[קוד תקציב],HEVARIM[[#This Row],[קוד תקציב משפחה מקורי]],HEVARIM[ותק מחברה 40])</f>
        <v>0</v>
      </c>
      <c r="AQ704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4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704" s="9">
        <f>IF(HEVARIM[[#This Row],[קוד מעמד]]="1     ",IFERROR(VLOOKUP(HEVARIM[[#This Row],[קוד תקציב]],'תקציב צביעה - לקראת השינוי'!A:F,4,0),0),0)</f>
        <v>2027</v>
      </c>
      <c r="AT704" s="1"/>
    </row>
    <row r="705" spans="1:46">
      <c r="A705" t="s">
        <v>2948</v>
      </c>
      <c r="B705" t="s">
        <v>2949</v>
      </c>
      <c r="C705" t="s">
        <v>399</v>
      </c>
      <c r="D705" t="s">
        <v>1260</v>
      </c>
      <c r="E705" t="s">
        <v>67</v>
      </c>
      <c r="F705" s="4">
        <v>22617</v>
      </c>
      <c r="G705">
        <v>64</v>
      </c>
      <c r="H705" t="s">
        <v>2950</v>
      </c>
      <c r="I705" t="s">
        <v>2951</v>
      </c>
      <c r="J705" s="4" t="s">
        <v>70</v>
      </c>
      <c r="K705" s="4" t="s">
        <v>71</v>
      </c>
      <c r="L705" t="s">
        <v>2952</v>
      </c>
      <c r="M705" t="s">
        <v>2948</v>
      </c>
      <c r="N705" t="s">
        <v>2949</v>
      </c>
      <c r="O705">
        <f>IFERROR(VLOOKUP(HEVARIM[[#This Row],[קוד תקציב]],[2]תקציבים!A:L,6,0),0)</f>
        <v>2</v>
      </c>
      <c r="P705" s="5" t="s">
        <v>104</v>
      </c>
      <c r="Q705" t="s">
        <v>11</v>
      </c>
      <c r="R705" s="4">
        <v>34912</v>
      </c>
      <c r="S705" s="4" t="s">
        <v>74</v>
      </c>
      <c r="T705" s="96" t="s">
        <v>3858</v>
      </c>
      <c r="U705" t="str">
        <f>VLOOKUP(HEVARIM[[#This Row],[גיל]],GIL,2,1)</f>
        <v>--</v>
      </c>
      <c r="V705" t="str">
        <f>IF(HEVARIM[[#This Row],[קוד מעמד]]="4     ",IF(HEVARIM[[#This Row],[גיל]]=1,1,IF(HEVARIM[[#This Row],[גיל]]&lt;=5,5,18)),"")</f>
        <v/>
      </c>
      <c r="W705">
        <f t="shared" si="40"/>
        <v>0</v>
      </c>
      <c r="X705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05">
        <f>IF(HEVARIM[[#This Row],[מצב משפחתי2]]="אלמן",'[2]ריכוז נתונים'!$AC$2,0)</f>
        <v>0</v>
      </c>
      <c r="Z705" s="3">
        <f>VLOOKUP(VALUE(HEVARIM[[#This Row],[קוד מעמד]]),הנחות!$I$2:$K$21,3,0)</f>
        <v>0</v>
      </c>
      <c r="AA705" t="b">
        <f>ISERROR(VLOOKUP(HEVARIM[[#This Row],[קוד תקציב]],'[2]ריכוז נתונים'!A:A,1,0))</f>
        <v>0</v>
      </c>
      <c r="AB705" s="1">
        <f t="shared" si="41"/>
        <v>0</v>
      </c>
      <c r="AC705" s="2">
        <f ca="1">IF(HEVARIM[[#This Row],[בר מצוה]]&gt;0,YEAR(TODAY())+'תקציבים מיוחדים'!$F$5-HEVARIM[[#This Row],[גיל]],0)</f>
        <v>0</v>
      </c>
      <c r="AD705" s="1">
        <f t="shared" si="42"/>
        <v>0</v>
      </c>
      <c r="AE705" s="2">
        <f ca="1">IF(HEVARIM[[#This Row],[בת מצוה]]&gt;0,YEAR(TODAY())+'תקציבים מיוחדים'!$F$5-HEVARIM[[#This Row],[גיל]],0)</f>
        <v>0</v>
      </c>
      <c r="AF705" s="1">
        <f>IF(AND($S705&gt;="רווק",$Z705=1),AF$4*IF(HEVARIM[[#This Row],[גיל]]&gt;$AF$3,1,(($G705-AF$2)/(AF$3-AF$2))),0)</f>
        <v>0</v>
      </c>
      <c r="AG705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5" s="1">
        <f t="shared" si="43"/>
        <v>0</v>
      </c>
      <c r="AI705" s="2">
        <f ca="1">IF(AH705&gt;0,YEAR(TODAY())+'תקציבים מיוחדים'!$F$7-HEVARIM[[#This Row],[גיל]],0)</f>
        <v>0</v>
      </c>
      <c r="AJ705" s="9">
        <f>IF(AND(ISERROR(VLOOKUP(H705,'[2]ריכוז נתונים'!A:L,1,0)),P705="1     "),1,0)</f>
        <v>0</v>
      </c>
      <c r="AK705" s="1">
        <f>IF(VALUE(HEVARIM[[#This Row],[קוד מעמד]])=1,VLOOKUP((IF(LEFT(HEVARIM[[#This Row],[קוד חבר]],1)="0",HEVARIM[[#This Row],[קוד חבר]],VALUE(HEVARIM[[#This Row],[קוד חבר]]))),'ותק חברה 40'!AQ:AW,7,0),"")</f>
        <v>43.95</v>
      </c>
      <c r="AL705" s="1">
        <f>IF(AND(VALUE(HEVARIM[[#This Row],[קוד מעמד]])=1,HEVARIM[[#This Row],[ותק מחברה 40]]&lt;25),HEVARIM[[#This Row],[ותק מחברה 40]]/25*הנחות!$C$4,0)</f>
        <v>0</v>
      </c>
      <c r="AM705" s="9" t="str">
        <f ca="1">IF(HEVARIM[[#This Row],[דמי עזיבה 25 שנות ותק]]&gt;0,YEAR(TODAY())+25-ROUNDDOWN(HEVARIM[[#This Row],[ותק מחברה 40]],0),"")</f>
        <v/>
      </c>
      <c r="AN705" s="1">
        <f>IF(AND(VALUE(HEVARIM[[#This Row],[קוד מעמד]])=1,HEVARIM[[#This Row],[ותק מחברה 40]]&gt;25,HEVARIM[[#This Row],[גיל]]&lt;65),הנחות!$C$14+(HEVARIM[[#This Row],[ותק מחברה 40]]-25)*הנחות!$C$10*0.25,0)</f>
        <v>77616.216562500005</v>
      </c>
      <c r="AO705" s="9">
        <f ca="1">IF(HEVARIM[[#This Row],[דמי עזיבה לגיל 65]]&gt;0,YEAR(TODAY())+64-ROUNDDOWN(HEVARIM[[#This Row],[גיל]],0),"")</f>
        <v>2026</v>
      </c>
      <c r="AP705" s="1">
        <f>SUMIF(HEVARIM[קוד תקציב],HEVARIM[[#This Row],[קוד תקציב משפחה מקורי]],HEVARIM[ותק מחברה 40])</f>
        <v>0</v>
      </c>
      <c r="AQ705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5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705" s="9">
        <f>IF(HEVARIM[[#This Row],[קוד מעמד]]="1     ",IFERROR(VLOOKUP(HEVARIM[[#This Row],[קוד תקציב]],'תקציב צביעה - לקראת השינוי'!A:F,4,0),0),0)</f>
        <v>2029</v>
      </c>
      <c r="AT705" s="1"/>
    </row>
    <row r="706" spans="1:46">
      <c r="A706" t="s">
        <v>1718</v>
      </c>
      <c r="B706" t="s">
        <v>1719</v>
      </c>
      <c r="C706" t="s">
        <v>1691</v>
      </c>
      <c r="D706" t="s">
        <v>221</v>
      </c>
      <c r="E706" t="s">
        <v>79</v>
      </c>
      <c r="F706" s="4">
        <v>19912</v>
      </c>
      <c r="G706">
        <v>71</v>
      </c>
      <c r="H706" t="s">
        <v>1715</v>
      </c>
      <c r="I706" t="s">
        <v>1716</v>
      </c>
      <c r="J706" s="4" t="s">
        <v>70</v>
      </c>
      <c r="K706" s="4" t="s">
        <v>71</v>
      </c>
      <c r="L706" t="s">
        <v>1720</v>
      </c>
      <c r="M706" t="s">
        <v>1713</v>
      </c>
      <c r="N706" t="s">
        <v>1714</v>
      </c>
      <c r="O706">
        <f>IFERROR(VLOOKUP(HEVARIM[[#This Row],[קוד תקציב]],[2]תקציבים!A:L,6,0),0)</f>
        <v>2</v>
      </c>
      <c r="P706" s="5" t="s">
        <v>104</v>
      </c>
      <c r="Q706" t="s">
        <v>11</v>
      </c>
      <c r="R706" s="4">
        <v>26664</v>
      </c>
      <c r="S706" s="4" t="s">
        <v>74</v>
      </c>
      <c r="T706" s="96" t="s">
        <v>3859</v>
      </c>
      <c r="U706" t="str">
        <f>VLOOKUP(HEVARIM[[#This Row],[גיל]],GIL,2,1)</f>
        <v>--</v>
      </c>
      <c r="V706" t="str">
        <f>IF(HEVARIM[[#This Row],[קוד מעמד]]="4     ",IF(HEVARIM[[#This Row],[גיל]]=1,1,IF(HEVARIM[[#This Row],[גיל]]&lt;=5,5,18)),"")</f>
        <v/>
      </c>
      <c r="W706">
        <f t="shared" si="40"/>
        <v>2365</v>
      </c>
      <c r="X706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06">
        <f>IF(HEVARIM[[#This Row],[מצב משפחתי2]]="אלמן",'[2]ריכוז נתונים'!$AC$2,0)</f>
        <v>0</v>
      </c>
      <c r="Z706" s="3">
        <f>VLOOKUP(VALUE(HEVARIM[[#This Row],[קוד מעמד]]),הנחות!$I$2:$K$21,3,0)</f>
        <v>0</v>
      </c>
      <c r="AA706" t="b">
        <f>ISERROR(VLOOKUP(HEVARIM[[#This Row],[קוד תקציב]],'[2]ריכוז נתונים'!A:A,1,0))</f>
        <v>0</v>
      </c>
      <c r="AB706" s="1">
        <f t="shared" si="41"/>
        <v>0</v>
      </c>
      <c r="AC706" s="2">
        <f ca="1">IF(HEVARIM[[#This Row],[בר מצוה]]&gt;0,YEAR(TODAY())+'תקציבים מיוחדים'!$F$5-HEVARIM[[#This Row],[גיל]],0)</f>
        <v>0</v>
      </c>
      <c r="AD706" s="1">
        <f t="shared" si="42"/>
        <v>0</v>
      </c>
      <c r="AE706" s="2">
        <f ca="1">IF(HEVARIM[[#This Row],[בת מצוה]]&gt;0,YEAR(TODAY())+'תקציבים מיוחדים'!$F$5-HEVARIM[[#This Row],[גיל]],0)</f>
        <v>0</v>
      </c>
      <c r="AF706" s="1">
        <f>IF(AND($S706&gt;="רווק",$Z706=1),AF$4*IF(HEVARIM[[#This Row],[גיל]]&gt;$AF$3,1,(($G706-AF$2)/(AF$3-AF$2))),0)</f>
        <v>0</v>
      </c>
      <c r="AG706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6" s="1">
        <f t="shared" si="43"/>
        <v>0</v>
      </c>
      <c r="AI706" s="2">
        <f ca="1">IF(AH706&gt;0,YEAR(TODAY())+'תקציבים מיוחדים'!$F$7-HEVARIM[[#This Row],[גיל]],0)</f>
        <v>0</v>
      </c>
      <c r="AJ706" s="9">
        <f>IF(AND(ISERROR(VLOOKUP(H706,'[2]ריכוז נתונים'!A:L,1,0)),P706="1     "),1,0)</f>
        <v>0</v>
      </c>
      <c r="AK706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06" s="1">
        <f>IF(AND(VALUE(HEVARIM[[#This Row],[קוד מעמד]])=1,HEVARIM[[#This Row],[ותק מחברה 40]]&lt;25),HEVARIM[[#This Row],[ותק מחברה 40]]/25*הנחות!$C$4,0)</f>
        <v>0</v>
      </c>
      <c r="AM706" s="9" t="str">
        <f ca="1">IF(HEVARIM[[#This Row],[דמי עזיבה 25 שנות ותק]]&gt;0,YEAR(TODAY())+25-ROUNDDOWN(HEVARIM[[#This Row],[ותק מחברה 40]],0),"")</f>
        <v/>
      </c>
      <c r="AN706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6" s="9" t="str">
        <f ca="1">IF(HEVARIM[[#This Row],[דמי עזיבה לגיל 65]]&gt;0,YEAR(TODAY())+64-ROUNDDOWN(HEVARIM[[#This Row],[גיל]],0),"")</f>
        <v/>
      </c>
      <c r="AP706" s="1">
        <f>SUMIF(HEVARIM[קוד תקציב],HEVARIM[[#This Row],[קוד תקציב משפחה מקורי]],HEVARIM[ותק מחברה 40])</f>
        <v>0</v>
      </c>
      <c r="AQ706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6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1406.25</v>
      </c>
      <c r="AS706" s="9">
        <f>IF(HEVARIM[[#This Row],[קוד מעמד]]="1     ",IFERROR(VLOOKUP(HEVARIM[[#This Row],[קוד תקציב]],'תקציב צביעה - לקראת השינוי'!A:F,4,0),0),0)</f>
        <v>2032</v>
      </c>
      <c r="AT706" s="1"/>
    </row>
    <row r="707" spans="1:46">
      <c r="A707" t="s">
        <v>2372</v>
      </c>
      <c r="B707" t="s">
        <v>2373</v>
      </c>
      <c r="C707" t="s">
        <v>2322</v>
      </c>
      <c r="D707" t="s">
        <v>1171</v>
      </c>
      <c r="E707" t="s">
        <v>67</v>
      </c>
      <c r="F707" s="4">
        <v>19292</v>
      </c>
      <c r="G707">
        <v>73</v>
      </c>
      <c r="H707" t="s">
        <v>2374</v>
      </c>
      <c r="I707" t="s">
        <v>2375</v>
      </c>
      <c r="J707" s="4" t="s">
        <v>70</v>
      </c>
      <c r="K707" s="4" t="s">
        <v>71</v>
      </c>
      <c r="L707" t="s">
        <v>2376</v>
      </c>
      <c r="M707" t="s">
        <v>2372</v>
      </c>
      <c r="N707" t="s">
        <v>2373</v>
      </c>
      <c r="O707">
        <f>IFERROR(VLOOKUP(HEVARIM[[#This Row],[קוד תקציב]],[2]תקציבים!A:L,6,0),0)</f>
        <v>2</v>
      </c>
      <c r="P707" s="5" t="s">
        <v>104</v>
      </c>
      <c r="Q707" t="s">
        <v>11</v>
      </c>
      <c r="R707" s="4">
        <v>31260</v>
      </c>
      <c r="S707" s="4" t="s">
        <v>74</v>
      </c>
      <c r="T707" s="96" t="s">
        <v>3859</v>
      </c>
      <c r="U707" t="str">
        <f>VLOOKUP(HEVARIM[[#This Row],[גיל]],GIL,2,1)</f>
        <v>--</v>
      </c>
      <c r="V707" t="str">
        <f>IF(HEVARIM[[#This Row],[קוד מעמד]]="4     ",IF(HEVARIM[[#This Row],[גיל]]=1,1,IF(HEVARIM[[#This Row],[גיל]]&lt;=5,5,18)),"")</f>
        <v/>
      </c>
      <c r="W707">
        <f t="shared" si="40"/>
        <v>2365</v>
      </c>
      <c r="X707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07">
        <f>IF(HEVARIM[[#This Row],[מצב משפחתי2]]="אלמן",'[2]ריכוז נתונים'!$AC$2,0)</f>
        <v>0</v>
      </c>
      <c r="Z707" s="3">
        <f>VLOOKUP(VALUE(HEVARIM[[#This Row],[קוד מעמד]]),הנחות!$I$2:$K$21,3,0)</f>
        <v>0</v>
      </c>
      <c r="AA707" t="b">
        <f>ISERROR(VLOOKUP(HEVARIM[[#This Row],[קוד תקציב]],'[2]ריכוז נתונים'!A:A,1,0))</f>
        <v>0</v>
      </c>
      <c r="AB707" s="1">
        <f t="shared" si="41"/>
        <v>0</v>
      </c>
      <c r="AC707" s="2">
        <f ca="1">IF(HEVARIM[[#This Row],[בר מצוה]]&gt;0,YEAR(TODAY())+'תקציבים מיוחדים'!$F$5-HEVARIM[[#This Row],[גיל]],0)</f>
        <v>0</v>
      </c>
      <c r="AD707" s="1">
        <f t="shared" si="42"/>
        <v>0</v>
      </c>
      <c r="AE707" s="2">
        <f ca="1">IF(HEVARIM[[#This Row],[בת מצוה]]&gt;0,YEAR(TODAY())+'תקציבים מיוחדים'!$F$5-HEVARIM[[#This Row],[גיל]],0)</f>
        <v>0</v>
      </c>
      <c r="AF707" s="1">
        <f>IF(AND($S707&gt;="רווק",$Z707=1),AF$4*IF(HEVARIM[[#This Row],[גיל]]&gt;$AF$3,1,(($G707-AF$2)/(AF$3-AF$2))),0)</f>
        <v>0</v>
      </c>
      <c r="AG707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7" s="1">
        <f t="shared" si="43"/>
        <v>0</v>
      </c>
      <c r="AI707" s="2">
        <f ca="1">IF(AH707&gt;0,YEAR(TODAY())+'תקציבים מיוחדים'!$F$7-HEVARIM[[#This Row],[גיל]],0)</f>
        <v>0</v>
      </c>
      <c r="AJ707" s="9">
        <f>IF(AND(ISERROR(VLOOKUP(H707,'[2]ריכוז נתונים'!A:L,1,0)),P707="1     "),1,0)</f>
        <v>0</v>
      </c>
      <c r="AK707" s="1">
        <f>IF(VALUE(HEVARIM[[#This Row],[קוד מעמד]])=1,VLOOKUP((IF(LEFT(HEVARIM[[#This Row],[קוד חבר]],1)="0",HEVARIM[[#This Row],[קוד חבר]],VALUE(HEVARIM[[#This Row],[קוד חבר]]))),'ותק חברה 40'!AQ:AW,7,0),"")</f>
        <v>37.25</v>
      </c>
      <c r="AL707" s="1">
        <f>IF(AND(VALUE(HEVARIM[[#This Row],[קוד מעמד]])=1,HEVARIM[[#This Row],[ותק מחברה 40]]&lt;25),HEVARIM[[#This Row],[ותק מחברה 40]]/25*הנחות!$C$4,0)</f>
        <v>0</v>
      </c>
      <c r="AM707" s="9" t="str">
        <f ca="1">IF(HEVARIM[[#This Row],[דמי עזיבה 25 שנות ותק]]&gt;0,YEAR(TODAY())+25-ROUNDDOWN(HEVARIM[[#This Row],[ותק מחברה 40]],0),"")</f>
        <v/>
      </c>
      <c r="AN707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07" s="9" t="str">
        <f ca="1">IF(HEVARIM[[#This Row],[דמי עזיבה לגיל 65]]&gt;0,YEAR(TODAY())+64-ROUNDDOWN(HEVARIM[[#This Row],[גיל]],0),"")</f>
        <v/>
      </c>
      <c r="AP707" s="1">
        <f>SUMIF(HEVARIM[קוד תקציב],HEVARIM[[#This Row],[קוד תקציב משפחה מקורי]],HEVARIM[ותק מחברה 40])</f>
        <v>0</v>
      </c>
      <c r="AQ707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7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707" s="9">
        <f>IF(HEVARIM[[#This Row],[קוד מעמד]]="1     ",IFERROR(VLOOKUP(HEVARIM[[#This Row],[קוד תקציב]],'תקציב צביעה - לקראת השינוי'!A:F,4,0),0),0)</f>
        <v>2029</v>
      </c>
      <c r="AT707" s="1"/>
    </row>
    <row r="708" spans="1:46">
      <c r="A708" t="s">
        <v>2397</v>
      </c>
      <c r="B708" t="s">
        <v>2398</v>
      </c>
      <c r="C708" t="s">
        <v>2322</v>
      </c>
      <c r="D708" t="s">
        <v>426</v>
      </c>
      <c r="E708" t="s">
        <v>67</v>
      </c>
      <c r="F708" s="4">
        <v>25815</v>
      </c>
      <c r="G708">
        <v>55</v>
      </c>
      <c r="H708" t="s">
        <v>2399</v>
      </c>
      <c r="I708" t="s">
        <v>2400</v>
      </c>
      <c r="J708" s="4" t="s">
        <v>70</v>
      </c>
      <c r="K708" s="4" t="s">
        <v>71</v>
      </c>
      <c r="L708" t="s">
        <v>2401</v>
      </c>
      <c r="M708" t="s">
        <v>2397</v>
      </c>
      <c r="N708" t="s">
        <v>2398</v>
      </c>
      <c r="O708">
        <f>IFERROR(VLOOKUP(HEVARIM[[#This Row],[קוד תקציב]],[2]תקציבים!A:L,6,0),0)</f>
        <v>2</v>
      </c>
      <c r="P708" s="5" t="s">
        <v>104</v>
      </c>
      <c r="Q708" t="s">
        <v>11</v>
      </c>
      <c r="R708" s="4">
        <v>37857</v>
      </c>
      <c r="S708" s="4" t="s">
        <v>74</v>
      </c>
      <c r="T708" s="96" t="s">
        <v>3859</v>
      </c>
      <c r="U708" t="str">
        <f>VLOOKUP(HEVARIM[[#This Row],[גיל]],GIL,2,1)</f>
        <v>--</v>
      </c>
      <c r="V708" t="str">
        <f>IF(HEVARIM[[#This Row],[קוד מעמד]]="4     ",IF(HEVARIM[[#This Row],[גיל]]=1,1,IF(HEVARIM[[#This Row],[גיל]]&lt;=5,5,18)),"")</f>
        <v/>
      </c>
      <c r="W708">
        <f t="shared" si="40"/>
        <v>0</v>
      </c>
      <c r="X708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08">
        <f>IF(HEVARIM[[#This Row],[מצב משפחתי2]]="אלמן",'[2]ריכוז נתונים'!$AC$2,0)</f>
        <v>0</v>
      </c>
      <c r="Z708" s="3">
        <f>VLOOKUP(VALUE(HEVARIM[[#This Row],[קוד מעמד]]),הנחות!$I$2:$K$21,3,0)</f>
        <v>0</v>
      </c>
      <c r="AA708" t="b">
        <f>ISERROR(VLOOKUP(HEVARIM[[#This Row],[קוד תקציב]],'[2]ריכוז נתונים'!A:A,1,0))</f>
        <v>0</v>
      </c>
      <c r="AB708" s="1">
        <f t="shared" si="41"/>
        <v>0</v>
      </c>
      <c r="AC708" s="2">
        <f ca="1">IF(HEVARIM[[#This Row],[בר מצוה]]&gt;0,YEAR(TODAY())+'תקציבים מיוחדים'!$F$5-HEVARIM[[#This Row],[גיל]],0)</f>
        <v>0</v>
      </c>
      <c r="AD708" s="1">
        <f t="shared" si="42"/>
        <v>0</v>
      </c>
      <c r="AE708" s="2">
        <f ca="1">IF(HEVARIM[[#This Row],[בת מצוה]]&gt;0,YEAR(TODAY())+'תקציבים מיוחדים'!$F$5-HEVARIM[[#This Row],[גיל]],0)</f>
        <v>0</v>
      </c>
      <c r="AF708" s="1">
        <f>IF(AND($S708&gt;="רווק",$Z708=1),AF$4*IF(HEVARIM[[#This Row],[גיל]]&gt;$AF$3,1,(($G708-AF$2)/(AF$3-AF$2))),0)</f>
        <v>0</v>
      </c>
      <c r="AG708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8" s="1">
        <f t="shared" si="43"/>
        <v>0</v>
      </c>
      <c r="AI708" s="2">
        <f ca="1">IF(AH708&gt;0,YEAR(TODAY())+'תקציבים מיוחדים'!$F$7-HEVARIM[[#This Row],[גיל]],0)</f>
        <v>0</v>
      </c>
      <c r="AJ708" s="9">
        <f>IF(AND(ISERROR(VLOOKUP(H708,'[2]ריכוז נתונים'!A:L,1,0)),P708="1     "),1,0)</f>
        <v>0</v>
      </c>
      <c r="AK708" s="1">
        <f>IF(VALUE(HEVARIM[[#This Row],[קוד מעמד]])=1,VLOOKUP((IF(LEFT(HEVARIM[[#This Row],[קוד חבר]],1)="0",HEVARIM[[#This Row],[קוד חבר]],VALUE(HEVARIM[[#This Row],[קוד חבר]]))),'ותק חברה 40'!AQ:AW,7,0),"")</f>
        <v>33.65</v>
      </c>
      <c r="AL708" s="1">
        <f>IF(AND(VALUE(HEVARIM[[#This Row],[קוד מעמד]])=1,HEVARIM[[#This Row],[ותק מחברה 40]]&lt;25),HEVARIM[[#This Row],[ותק מחברה 40]]/25*הנחות!$C$4,0)</f>
        <v>0</v>
      </c>
      <c r="AM708" s="9" t="str">
        <f ca="1">IF(HEVARIM[[#This Row],[דמי עזיבה 25 שנות ותק]]&gt;0,YEAR(TODAY())+25-ROUNDDOWN(HEVARIM[[#This Row],[ותק מחברה 40]],0),"")</f>
        <v/>
      </c>
      <c r="AN708" s="1">
        <f>IF(AND(VALUE(HEVARIM[[#This Row],[קוד מעמד]])=1,HEVARIM[[#This Row],[ותק מחברה 40]]&gt;25,HEVARIM[[#This Row],[גיל]]&lt;65),הנחות!$C$14+(HEVARIM[[#This Row],[ותק מחברה 40]]-25)*הנחות!$C$10*0.25,0)</f>
        <v>50001.46593749999</v>
      </c>
      <c r="AO708" s="9">
        <f ca="1">IF(HEVARIM[[#This Row],[דמי עזיבה לגיל 65]]&gt;0,YEAR(TODAY())+64-ROUNDDOWN(HEVARIM[[#This Row],[גיל]],0),"")</f>
        <v>2035</v>
      </c>
      <c r="AP708" s="1">
        <f>SUMIF(HEVARIM[קוד תקציב],HEVARIM[[#This Row],[קוד תקציב משפחה מקורי]],HEVARIM[ותק מחברה 40])</f>
        <v>0</v>
      </c>
      <c r="AQ708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8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3750</v>
      </c>
      <c r="AS708" s="9">
        <f>IF(HEVARIM[[#This Row],[קוד מעמד]]="1     ",IFERROR(VLOOKUP(HEVARIM[[#This Row],[קוד תקציב]],'תקציב צביעה - לקראת השינוי'!A:F,4,0),0),0)</f>
        <v>2027</v>
      </c>
      <c r="AT708" s="1"/>
    </row>
    <row r="709" spans="1:46">
      <c r="A709" t="s">
        <v>1827</v>
      </c>
      <c r="B709" t="s">
        <v>1828</v>
      </c>
      <c r="C709" t="s">
        <v>1753</v>
      </c>
      <c r="D709" t="s">
        <v>1404</v>
      </c>
      <c r="E709" t="s">
        <v>67</v>
      </c>
      <c r="F709" s="4">
        <v>23010</v>
      </c>
      <c r="G709">
        <v>63</v>
      </c>
      <c r="H709" t="s">
        <v>1829</v>
      </c>
      <c r="I709" t="s">
        <v>1830</v>
      </c>
      <c r="J709" s="4" t="s">
        <v>70</v>
      </c>
      <c r="K709" s="4" t="s">
        <v>71</v>
      </c>
      <c r="L709" t="s">
        <v>1831</v>
      </c>
      <c r="M709" t="s">
        <v>1827</v>
      </c>
      <c r="N709" t="s">
        <v>1828</v>
      </c>
      <c r="O709">
        <f>IFERROR(VLOOKUP(HEVARIM[[#This Row],[קוד תקציב]],[2]תקציבים!A:L,6,0),0)</f>
        <v>2</v>
      </c>
      <c r="P709" s="5" t="s">
        <v>104</v>
      </c>
      <c r="Q709" t="s">
        <v>11</v>
      </c>
      <c r="R709" s="4">
        <v>35666</v>
      </c>
      <c r="S709" s="4" t="s">
        <v>74</v>
      </c>
      <c r="T709" s="96" t="s">
        <v>1754</v>
      </c>
      <c r="U709" t="str">
        <f>VLOOKUP(HEVARIM[[#This Row],[גיל]],GIL,2,1)</f>
        <v>--</v>
      </c>
      <c r="V709" t="str">
        <f>IF(HEVARIM[[#This Row],[קוד מעמד]]="4     ",IF(HEVARIM[[#This Row],[גיל]]=1,1,IF(HEVARIM[[#This Row],[גיל]]&lt;=5,5,18)),"")</f>
        <v/>
      </c>
      <c r="W709">
        <f t="shared" si="40"/>
        <v>0</v>
      </c>
      <c r="X709">
        <f>IF(AND(HEVARIM[[#This Row],[מין]]="ז ",HEVARIM[[#This Row],[גיל]]&gt;67),'[2]ריכוז נתונים'!$AB$2,IF(AND(HEVARIM[[#This Row],[מין]]="נ ",HEVARIM[[#This Row],[גיל]]&gt;62),'[2]ריכוז נתונים'!$AB$2,0))</f>
        <v>0</v>
      </c>
      <c r="Y709">
        <f>IF(HEVARIM[[#This Row],[מצב משפחתי2]]="אלמן",'[2]ריכוז נתונים'!$AC$2,0)</f>
        <v>0</v>
      </c>
      <c r="Z709" s="3">
        <f>VLOOKUP(VALUE(HEVARIM[[#This Row],[קוד מעמד]]),הנחות!$I$2:$K$21,3,0)</f>
        <v>0</v>
      </c>
      <c r="AA709" t="b">
        <f>ISERROR(VLOOKUP(HEVARIM[[#This Row],[קוד תקציב]],'[2]ריכוז נתונים'!A:A,1,0))</f>
        <v>0</v>
      </c>
      <c r="AB709" s="1">
        <f t="shared" si="41"/>
        <v>0</v>
      </c>
      <c r="AC709" s="2">
        <f ca="1">IF(HEVARIM[[#This Row],[בר מצוה]]&gt;0,YEAR(TODAY())+'תקציבים מיוחדים'!$F$5-HEVARIM[[#This Row],[גיל]],0)</f>
        <v>0</v>
      </c>
      <c r="AD709" s="1">
        <f t="shared" si="42"/>
        <v>0</v>
      </c>
      <c r="AE709" s="2">
        <f ca="1">IF(HEVARIM[[#This Row],[בת מצוה]]&gt;0,YEAR(TODAY())+'תקציבים מיוחדים'!$F$5-HEVARIM[[#This Row],[גיל]],0)</f>
        <v>0</v>
      </c>
      <c r="AF709" s="1">
        <f>IF(AND($S709&gt;="רווק",$Z709=1),AF$4*IF(HEVARIM[[#This Row],[גיל]]&gt;$AF$3,1,(($G709-AF$2)/(AF$3-AF$2))),0)</f>
        <v>0</v>
      </c>
      <c r="AG709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09" s="1">
        <f t="shared" si="43"/>
        <v>0</v>
      </c>
      <c r="AI709" s="2">
        <f ca="1">IF(AH709&gt;0,YEAR(TODAY())+'תקציבים מיוחדים'!$F$7-HEVARIM[[#This Row],[גיל]],0)</f>
        <v>0</v>
      </c>
      <c r="AJ709" s="9">
        <f>IF(AND(ISERROR(VLOOKUP(H709,'[2]ריכוז נתונים'!A:L,1,0)),P709="1     "),1,0)</f>
        <v>0</v>
      </c>
      <c r="AK709" s="1">
        <f>IF(VALUE(HEVARIM[[#This Row],[קוד מעמד]])=1,VLOOKUP((IF(LEFT(HEVARIM[[#This Row],[קוד חבר]],1)="0",HEVARIM[[#This Row],[קוד חבר]],VALUE(HEVARIM[[#This Row],[קוד חבר]]))),'ותק חברה 40'!AQ:AW,7,0),"")</f>
        <v>44.61</v>
      </c>
      <c r="AL709" s="1">
        <f>IF(AND(VALUE(HEVARIM[[#This Row],[קוד מעמד]])=1,HEVARIM[[#This Row],[ותק מחברה 40]]&lt;25),HEVARIM[[#This Row],[ותק מחברה 40]]/25*הנחות!$C$4,0)</f>
        <v>0</v>
      </c>
      <c r="AM709" s="9" t="str">
        <f ca="1">IF(HEVARIM[[#This Row],[דמי עזיבה 25 שנות ותק]]&gt;0,YEAR(TODAY())+25-ROUNDDOWN(HEVARIM[[#This Row],[ותק מחברה 40]],0),"")</f>
        <v/>
      </c>
      <c r="AN709" s="1">
        <f>IF(AND(VALUE(HEVARIM[[#This Row],[קוד מעמד]])=1,HEVARIM[[#This Row],[ותק מחברה 40]]&gt;25,HEVARIM[[#This Row],[גיל]]&lt;65),הנחות!$C$14+(HEVARIM[[#This Row],[ותק מחברה 40]]-25)*הנחות!$C$10*0.25,0)</f>
        <v>79385.705437500001</v>
      </c>
      <c r="AO709" s="9">
        <f ca="1">IF(HEVARIM[[#This Row],[דמי עזיבה לגיל 65]]&gt;0,YEAR(TODAY())+64-ROUNDDOWN(HEVARIM[[#This Row],[גיל]],0),"")</f>
        <v>2027</v>
      </c>
      <c r="AP709" s="1">
        <f>SUMIF(HEVARIM[קוד תקציב],HEVARIM[[#This Row],[קוד תקציב משפחה מקורי]],HEVARIM[ותק מחברה 40])</f>
        <v>34.229999999999997</v>
      </c>
      <c r="AQ709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09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468.75</v>
      </c>
      <c r="AS709" s="9">
        <f>IF(HEVARIM[[#This Row],[קוד מעמד]]="1     ",IFERROR(VLOOKUP(HEVARIM[[#This Row],[קוד תקציב]],'תקציב צביעה - לקראת השינוי'!A:F,4,0),0),0)</f>
        <v>2034</v>
      </c>
      <c r="AT709" s="1"/>
    </row>
    <row r="710" spans="1:46">
      <c r="A710" t="s">
        <v>2085</v>
      </c>
      <c r="B710" t="s">
        <v>2086</v>
      </c>
      <c r="C710" t="s">
        <v>2087</v>
      </c>
      <c r="D710" t="s">
        <v>183</v>
      </c>
      <c r="E710" t="s">
        <v>79</v>
      </c>
      <c r="F710" s="4">
        <v>9674</v>
      </c>
      <c r="G710">
        <v>99</v>
      </c>
      <c r="H710" t="s">
        <v>2088</v>
      </c>
      <c r="I710" t="s">
        <v>2086</v>
      </c>
      <c r="J710" s="4" t="s">
        <v>70</v>
      </c>
      <c r="K710" s="4" t="s">
        <v>71</v>
      </c>
      <c r="L710" t="s">
        <v>2089</v>
      </c>
      <c r="M710" t="s">
        <v>2085</v>
      </c>
      <c r="N710" t="s">
        <v>2086</v>
      </c>
      <c r="O710">
        <f>IFERROR(VLOOKUP(HEVARIM[[#This Row],[קוד תקציב]],[2]תקציבים!A:L,6,0),0)</f>
        <v>1</v>
      </c>
      <c r="P710" s="5" t="s">
        <v>104</v>
      </c>
      <c r="Q710" t="s">
        <v>11</v>
      </c>
      <c r="R710" s="4">
        <v>16802</v>
      </c>
      <c r="S710" s="4" t="s">
        <v>449</v>
      </c>
      <c r="T710" s="96" t="s">
        <v>2088</v>
      </c>
      <c r="U710" t="str">
        <f>VLOOKUP(HEVARIM[[#This Row],[גיל]],GIL,2,1)</f>
        <v>Z</v>
      </c>
      <c r="V710" t="str">
        <f>IF(HEVARIM[[#This Row],[קוד מעמד]]="4     ",IF(HEVARIM[[#This Row],[גיל]]=1,1,IF(HEVARIM[[#This Row],[גיל]]&lt;=5,5,18)),"")</f>
        <v/>
      </c>
      <c r="W710">
        <f t="shared" si="40"/>
        <v>1665</v>
      </c>
      <c r="X710">
        <f>IF(AND(HEVARIM[[#This Row],[מין]]="ז ",HEVARIM[[#This Row],[גיל]]&gt;67),'[2]ריכוז נתונים'!$AB$2,IF(AND(HEVARIM[[#This Row],[מין]]="נ ",HEVARIM[[#This Row],[גיל]]&gt;62),'[2]ריכוז נתונים'!$AB$2,0))</f>
        <v>7500</v>
      </c>
      <c r="Y710">
        <f>IF(HEVARIM[[#This Row],[מצב משפחתי2]]="אלמן",'[2]ריכוז נתונים'!$AC$2,0)</f>
        <v>4900</v>
      </c>
      <c r="Z710" s="3">
        <f>VLOOKUP(VALUE(HEVARIM[[#This Row],[קוד מעמד]]),הנחות!$I$2:$K$21,3,0)</f>
        <v>0</v>
      </c>
      <c r="AA710" t="b">
        <f>ISERROR(VLOOKUP(HEVARIM[[#This Row],[קוד תקציב]],'[2]ריכוז נתונים'!A:A,1,0))</f>
        <v>0</v>
      </c>
      <c r="AB710" s="1">
        <f t="shared" ref="AB710" si="44">IF(AND($G710&gt;=AC$2,$G710&lt;=AC$3,$E710="ז ",$Z710=1),AC$4*(($G710-AC$2)/(AC$3-AC$2)),0)</f>
        <v>0</v>
      </c>
      <c r="AC710" s="2">
        <f ca="1">IF(HEVARIM[[#This Row],[בר מצוה]]&gt;0,YEAR(TODAY())+'תקציבים מיוחדים'!$F$5-HEVARIM[[#This Row],[גיל]],0)</f>
        <v>0</v>
      </c>
      <c r="AD710" s="1">
        <f t="shared" ref="AD710" si="45">IF(AND($G710&gt;=AE$2,$G710&lt;=AE$3,$E710="נ ",$Z710=1),AE$4*(($G710-AE$2)/(AE$3-AE$2)),0)</f>
        <v>0</v>
      </c>
      <c r="AE710" s="2">
        <f ca="1">IF(HEVARIM[[#This Row],[בת מצוה]]&gt;0,YEAR(TODAY())+'תקציבים מיוחדים'!$F$5-HEVARIM[[#This Row],[גיל]],0)</f>
        <v>0</v>
      </c>
      <c r="AF710" s="1">
        <f>IF(AND($S710&gt;="רווק",$Z710=1),AF$4*IF(HEVARIM[[#This Row],[גיל]]&gt;$AF$3,1,(($G710-AF$2)/(AF$3-AF$2))),0)</f>
        <v>0</v>
      </c>
      <c r="AG710" s="2">
        <f ca="1">IF(HEVARIM[[#This Row],[מענק חתונה]]&gt;0,IF(HEVARIM[[#This Row],[גיל]]&gt;'תקציבים מיוחדים'!$F$6,2025,YEAR(TODAY())+'תקציבים מיוחדים'!$F$6-HEVARIM[[#This Row],[גיל]]),0)</f>
        <v>0</v>
      </c>
      <c r="AH710" s="1">
        <f t="shared" ref="AH710" si="46">IF(AND($G710&gt;=AI$2,$G710&lt;=AI$3,$Z710=1),AI$4*(($G710-AI$2)/(AI$3-AI$2)),0)</f>
        <v>0</v>
      </c>
      <c r="AI710" s="2">
        <f ca="1">IF(AH710&gt;0,YEAR(TODAY())+'תקציבים מיוחדים'!$F$7-HEVARIM[[#This Row],[גיל]],0)</f>
        <v>0</v>
      </c>
      <c r="AJ710" s="9">
        <f>IF(AND(ISERROR(VLOOKUP(H710,'[2]ריכוז נתונים'!A:L,1,0)),P710="1     "),1,0)</f>
        <v>0</v>
      </c>
      <c r="AK710" s="1">
        <f>IF(VALUE(HEVARIM[[#This Row],[קוד מעמד]])=1,VLOOKUP((IF(LEFT(HEVARIM[[#This Row],[קוד חבר]],1)="0",HEVARIM[[#This Row],[קוד חבר]],VALUE(HEVARIM[[#This Row],[קוד חבר]]))),'ותק חברה 40'!AQ:AW,7,0),"")</f>
        <v>48</v>
      </c>
      <c r="AL710" s="1">
        <f>IF(AND(VALUE(HEVARIM[[#This Row],[קוד מעמד]])=1,HEVARIM[[#This Row],[ותק מחברה 40]]&lt;25),HEVARIM[[#This Row],[ותק מחברה 40]]/25*הנחות!$C$4,0)</f>
        <v>0</v>
      </c>
      <c r="AM710" s="9" t="str">
        <f ca="1">IF(HEVARIM[[#This Row],[דמי עזיבה 25 שנות ותק]]&gt;0,YEAR(TODAY())+25-ROUNDDOWN(HEVARIM[[#This Row],[ותק מחברה 40]],0),"")</f>
        <v/>
      </c>
      <c r="AN710" s="1">
        <f>IF(AND(VALUE(HEVARIM[[#This Row],[קוד מעמד]])=1,HEVARIM[[#This Row],[ותק מחברה 40]]&gt;25,HEVARIM[[#This Row],[גיל]]&lt;65),הנחות!$C$14+(HEVARIM[[#This Row],[ותק מחברה 40]]-25)*הנחות!$C$10*0.25,0)</f>
        <v>0</v>
      </c>
      <c r="AO710" s="9" t="str">
        <f ca="1">IF(HEVARIM[[#This Row],[דמי עזיבה לגיל 65]]&gt;0,YEAR(TODAY())+64-ROUNDDOWN(HEVARIM[[#This Row],[גיל]],0),"")</f>
        <v/>
      </c>
      <c r="AP710" s="1">
        <f>SUMIF(HEVARIM[קוד תקציב],HEVARIM[[#This Row],[קוד תקציב משפחה מקורי]],HEVARIM[ותק מחברה 40])</f>
        <v>48</v>
      </c>
      <c r="AQ710" s="1">
        <f>IF(AND(HEVARIM[[#This Row],[גיל]]&gt;HEVARIM[[#This Row],[ותק הורים]],OR(HEVARIM[[#This Row],[בר מצוה]]&gt;0,HEVARIM[[#This Row],[בת מצוה]]&gt;0,HEVARIM[[#This Row],[מענק חתונה]]&gt;0,HEVARIM[[#This Row],[מענק לימודים]]&gt;0)),1,0)</f>
        <v>0</v>
      </c>
      <c r="AR710" s="1">
        <f>IF(HEVARIM[[#This Row],[קוד מעמד]]="1     ",IFERROR(VLOOKUP(HEVARIM[[#This Row],[קוד תקציב]],'תקציב צביעה - לקראת השינוי'!A:F,6,0),0)/COUNTIFS(HEVARIM[קוד תקציב],HEVARIM[[#This Row],[קוד תקציב]],HEVARIM[קוד מעמד],"1     "),0)</f>
        <v>2812.5</v>
      </c>
      <c r="AS710" s="9">
        <f>IF(HEVARIM[[#This Row],[קוד מעמד]]="1     ",IFERROR(VLOOKUP(HEVARIM[[#This Row],[קוד תקציב]],'תקציב צביעה - לקראת השינוי'!A:F,4,0),0),0)</f>
        <v>2032</v>
      </c>
      <c r="AT710" s="1"/>
    </row>
  </sheetData>
  <mergeCells count="1">
    <mergeCell ref="AU5:AV5"/>
  </mergeCells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1621-CCEB-4446-B328-9E75BE384BF7}">
  <sheetPr codeName="Sheet2">
    <tabColor theme="4" tint="-0.249977111117893"/>
  </sheetPr>
  <dimension ref="B2:K17"/>
  <sheetViews>
    <sheetView rightToLeft="1" zoomScale="160" zoomScaleNormal="160" workbookViewId="0">
      <selection activeCell="D11" sqref="D11"/>
    </sheetView>
  </sheetViews>
  <sheetFormatPr defaultRowHeight="14.4"/>
  <cols>
    <col min="1" max="1" width="5.44140625" customWidth="1"/>
    <col min="3" max="3" width="21.6640625" customWidth="1"/>
    <col min="4" max="4" width="11" bestFit="1" customWidth="1"/>
    <col min="5" max="5" width="5.33203125" customWidth="1"/>
    <col min="6" max="6" width="5.5546875" bestFit="1" customWidth="1"/>
    <col min="7" max="7" width="12.33203125" bestFit="1" customWidth="1"/>
    <col min="8" max="8" width="13.44140625" hidden="1" customWidth="1"/>
    <col min="9" max="9" width="16.44140625" customWidth="1"/>
    <col min="11" max="11" width="11.5546875" bestFit="1" customWidth="1"/>
    <col min="12" max="12" width="35.5546875" customWidth="1"/>
    <col min="13" max="13" width="8.88671875" customWidth="1"/>
  </cols>
  <sheetData>
    <row r="2" spans="2:11" ht="17.399999999999999">
      <c r="B2" s="60" t="s">
        <v>3804</v>
      </c>
      <c r="C2" s="39"/>
      <c r="D2" s="233" t="s">
        <v>4079</v>
      </c>
      <c r="E2" s="60"/>
      <c r="F2" s="60"/>
      <c r="G2" s="60"/>
    </row>
    <row r="3" spans="2:11" ht="7.2" customHeight="1"/>
    <row r="4" spans="2:11" ht="19.5" customHeight="1">
      <c r="B4" s="40" t="s">
        <v>0</v>
      </c>
      <c r="C4" s="40" t="s">
        <v>1</v>
      </c>
      <c r="D4" s="40" t="s">
        <v>2</v>
      </c>
      <c r="E4" s="40" t="s">
        <v>3</v>
      </c>
      <c r="F4" s="40" t="s">
        <v>4</v>
      </c>
      <c r="G4" s="40" t="s">
        <v>5</v>
      </c>
      <c r="H4" s="40" t="s">
        <v>6</v>
      </c>
      <c r="I4" s="40" t="s">
        <v>7</v>
      </c>
    </row>
    <row r="5" spans="2:11" ht="19.5" customHeight="1">
      <c r="B5" s="41">
        <v>1001</v>
      </c>
      <c r="C5" s="41" t="s">
        <v>3862</v>
      </c>
      <c r="D5" s="42">
        <f>'תקציבים כיום'!E7</f>
        <v>7165</v>
      </c>
      <c r="E5" s="109">
        <v>0</v>
      </c>
      <c r="F5" s="110">
        <v>13</v>
      </c>
      <c r="G5" s="43">
        <f>COUNTIF(HEVARIM[בר מצוה],"&gt;0")+COUNTIF(HEVARIM[בת מצוה],"&gt;0")</f>
        <v>157</v>
      </c>
      <c r="H5" s="42">
        <f>G5*D5</f>
        <v>1124905</v>
      </c>
      <c r="I5" s="42">
        <f>חברים!AC1+חברים!AE1</f>
        <v>636031.53846153826</v>
      </c>
    </row>
    <row r="6" spans="2:11" ht="19.5" customHeight="1">
      <c r="B6" s="41">
        <v>1002</v>
      </c>
      <c r="C6" s="41" t="s">
        <v>3861</v>
      </c>
      <c r="D6" s="42">
        <f>'תקציבים כיום'!E9+'תקציבים כיום'!E10+'תקציבים כיום'!E15/2</f>
        <v>60512.5</v>
      </c>
      <c r="E6" s="109">
        <v>0</v>
      </c>
      <c r="F6" s="110">
        <v>21</v>
      </c>
      <c r="G6" s="43">
        <f>COUNTIF(HEVARIM[מענק חתונה],"&gt;0")</f>
        <v>302</v>
      </c>
      <c r="H6" s="42">
        <f t="shared" ref="H6:H7" si="0">G6*D6</f>
        <v>18274775</v>
      </c>
      <c r="I6" s="42">
        <f>חברים!AF1</f>
        <v>11016156.547619043</v>
      </c>
    </row>
    <row r="7" spans="2:11" ht="19.5" customHeight="1">
      <c r="B7" s="41">
        <v>1003</v>
      </c>
      <c r="C7" s="41" t="s">
        <v>18</v>
      </c>
      <c r="D7" s="107">
        <f>'תקציבים כיום'!E11+'תקציבים כיום'!E12+'תקציבים כיום'!E13+'תקציבים כיום'!E14/2</f>
        <v>105588.5</v>
      </c>
      <c r="E7" s="111">
        <v>0</v>
      </c>
      <c r="F7" s="110">
        <v>21</v>
      </c>
      <c r="G7" s="43">
        <f>COUNTIF(HEVARIM[מענק לימודים],"&gt;0")</f>
        <v>255</v>
      </c>
      <c r="H7" s="107">
        <f t="shared" si="0"/>
        <v>26925067.5</v>
      </c>
      <c r="I7" s="107">
        <f>חברים!AI1</f>
        <v>14163943.071428576</v>
      </c>
    </row>
    <row r="8" spans="2:11" ht="19.5" customHeight="1" thickBot="1">
      <c r="B8" s="75"/>
      <c r="C8" s="76" t="s">
        <v>3802</v>
      </c>
      <c r="D8" s="80">
        <f>SUM(D5:D7)</f>
        <v>173266</v>
      </c>
      <c r="E8" s="77"/>
      <c r="F8" s="77"/>
      <c r="G8" s="77"/>
      <c r="H8" s="77">
        <f>SUM(H5:H7)</f>
        <v>46324747.5</v>
      </c>
      <c r="I8" s="78">
        <f>SUM(I5:I7)</f>
        <v>25816131.157509156</v>
      </c>
      <c r="K8" s="79"/>
    </row>
    <row r="9" spans="2:11" ht="19.5" customHeight="1">
      <c r="B9" s="52"/>
      <c r="C9" s="54" t="s">
        <v>31</v>
      </c>
      <c r="D9" s="52"/>
      <c r="E9" s="52"/>
      <c r="F9" s="52"/>
      <c r="G9" s="52"/>
      <c r="H9" s="52"/>
      <c r="I9" s="59">
        <f>חברים!AM1+חברים!AO1</f>
        <v>4861495.8800099995</v>
      </c>
    </row>
    <row r="10" spans="2:11" ht="19.5" customHeight="1" thickBot="1">
      <c r="B10" s="52"/>
      <c r="C10" s="54" t="s">
        <v>4126</v>
      </c>
      <c r="D10" s="63">
        <v>7500</v>
      </c>
      <c r="E10" s="52"/>
      <c r="F10" s="52"/>
      <c r="G10" s="302">
        <f>COUNTIF(HEVARIM[צביעה],"&gt;0")</f>
        <v>223</v>
      </c>
      <c r="H10" s="52"/>
      <c r="I10" s="59">
        <f>חברים!AR3</f>
        <v>508125</v>
      </c>
    </row>
    <row r="11" spans="2:11" ht="23.4" customHeight="1" thickTop="1" thickBot="1">
      <c r="B11" s="55"/>
      <c r="C11" s="56" t="s">
        <v>25</v>
      </c>
      <c r="D11" s="63">
        <v>633600</v>
      </c>
      <c r="E11" s="62" t="s">
        <v>3791</v>
      </c>
      <c r="F11" s="61">
        <v>20</v>
      </c>
      <c r="G11" s="303">
        <v>32</v>
      </c>
      <c r="H11" s="55"/>
      <c r="I11" s="57">
        <f>בנייה!D1</f>
        <v>10830549.311999999</v>
      </c>
    </row>
    <row r="12" spans="2:11" ht="19.5" customHeight="1" thickTop="1">
      <c r="B12" s="40"/>
      <c r="C12" s="58" t="s">
        <v>28</v>
      </c>
      <c r="D12" s="40"/>
      <c r="E12" s="40"/>
      <c r="F12" s="40"/>
      <c r="G12" s="40"/>
      <c r="H12" s="40" t="e">
        <f>H14+#REF!+I15</f>
        <v>#REF!</v>
      </c>
      <c r="I12" s="44">
        <f>SUM(I8:I11)</f>
        <v>42016301.349519156</v>
      </c>
    </row>
    <row r="14" spans="2:11" ht="19.5" customHeight="1">
      <c r="B14" s="52"/>
      <c r="C14" s="54" t="s">
        <v>23</v>
      </c>
      <c r="D14" s="52"/>
      <c r="E14" s="52"/>
      <c r="F14" s="52"/>
      <c r="G14" s="52"/>
      <c r="H14" s="52"/>
      <c r="I14" s="53">
        <f>29542445-11147545</f>
        <v>18394900</v>
      </c>
    </row>
    <row r="16" spans="2:11" ht="19.5" customHeight="1">
      <c r="B16" s="40"/>
      <c r="C16" s="58" t="s">
        <v>3806</v>
      </c>
      <c r="D16" s="40"/>
      <c r="E16" s="40"/>
      <c r="F16" s="40"/>
      <c r="G16" s="40"/>
      <c r="H16" s="40"/>
      <c r="I16" s="44">
        <f>I14+I12</f>
        <v>60411201.349519156</v>
      </c>
    </row>
    <row r="17" ht="19.5" customHeight="1"/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4343-8FEF-4A34-A666-A176710CCFDE}">
  <sheetPr>
    <tabColor theme="4" tint="-0.249977111117893"/>
  </sheetPr>
  <dimension ref="B2:E17"/>
  <sheetViews>
    <sheetView rightToLeft="1" zoomScale="145" zoomScaleNormal="145" workbookViewId="0">
      <selection activeCell="E10" sqref="E10"/>
    </sheetView>
  </sheetViews>
  <sheetFormatPr defaultRowHeight="14.4"/>
  <cols>
    <col min="1" max="1" width="5.44140625" customWidth="1"/>
    <col min="3" max="3" width="34.109375" customWidth="1"/>
    <col min="4" max="4" width="0.33203125" customWidth="1"/>
    <col min="5" max="5" width="13.6640625" style="1" customWidth="1"/>
    <col min="6" max="6" width="13.109375" customWidth="1"/>
    <col min="7" max="7" width="35.44140625" customWidth="1"/>
    <col min="8" max="8" width="8.88671875" customWidth="1"/>
  </cols>
  <sheetData>
    <row r="2" spans="2:5" ht="17.399999999999999">
      <c r="B2" s="60" t="s">
        <v>3804</v>
      </c>
      <c r="C2" s="39"/>
      <c r="D2" s="58" t="s">
        <v>4067</v>
      </c>
      <c r="E2" s="227"/>
    </row>
    <row r="3" spans="2:5" ht="7.2" customHeight="1"/>
    <row r="4" spans="2:5" ht="30" customHeight="1">
      <c r="B4" s="228" t="s">
        <v>0</v>
      </c>
      <c r="C4" s="228" t="s">
        <v>1</v>
      </c>
      <c r="D4" s="228" t="s">
        <v>4068</v>
      </c>
      <c r="E4" s="229" t="s">
        <v>4069</v>
      </c>
    </row>
    <row r="5" spans="2:5" ht="18.600000000000001" customHeight="1">
      <c r="B5" s="41">
        <v>801</v>
      </c>
      <c r="C5" s="239" t="s">
        <v>4070</v>
      </c>
      <c r="D5" s="240">
        <v>8465.7000000000007</v>
      </c>
      <c r="E5" s="241">
        <v>8599</v>
      </c>
    </row>
    <row r="6" spans="2:5" ht="18.600000000000001" customHeight="1">
      <c r="B6" s="41">
        <v>802</v>
      </c>
      <c r="C6" s="239" t="s">
        <v>4071</v>
      </c>
      <c r="D6" s="240">
        <v>6243.93</v>
      </c>
      <c r="E6" s="241">
        <v>6342</v>
      </c>
    </row>
    <row r="7" spans="2:5" ht="18.600000000000001" customHeight="1">
      <c r="B7" s="41">
        <v>804</v>
      </c>
      <c r="C7" s="230" t="s">
        <v>4072</v>
      </c>
      <c r="D7" s="231">
        <v>7053.99</v>
      </c>
      <c r="E7" s="235">
        <v>7165</v>
      </c>
    </row>
    <row r="8" spans="2:5" ht="18.600000000000001" customHeight="1">
      <c r="B8" s="41">
        <v>805</v>
      </c>
      <c r="C8" s="230" t="s">
        <v>4073</v>
      </c>
      <c r="D8" s="231">
        <v>5502.61</v>
      </c>
      <c r="E8" s="235">
        <v>5589</v>
      </c>
    </row>
    <row r="9" spans="2:5" ht="18.600000000000001" customHeight="1">
      <c r="B9" s="41">
        <v>807</v>
      </c>
      <c r="C9" s="230" t="s">
        <v>4074</v>
      </c>
      <c r="D9" s="231">
        <v>40647.730000000003</v>
      </c>
      <c r="E9" s="235">
        <v>41285</v>
      </c>
    </row>
    <row r="10" spans="2:5" ht="18.600000000000001" customHeight="1">
      <c r="B10" s="41">
        <v>812</v>
      </c>
      <c r="C10" s="230" t="s">
        <v>4075</v>
      </c>
      <c r="D10" s="231">
        <v>15140.05</v>
      </c>
      <c r="E10" s="235">
        <v>15378</v>
      </c>
    </row>
    <row r="11" spans="2:5" ht="18.600000000000001" customHeight="1">
      <c r="B11" s="41">
        <v>813</v>
      </c>
      <c r="C11" s="230" t="s">
        <v>4076</v>
      </c>
      <c r="D11" s="231">
        <v>3220.98</v>
      </c>
      <c r="E11" s="235">
        <v>3272</v>
      </c>
    </row>
    <row r="12" spans="2:5" ht="18.600000000000001" customHeight="1">
      <c r="B12" s="41">
        <v>803</v>
      </c>
      <c r="C12" s="230" t="s">
        <v>18</v>
      </c>
      <c r="D12" s="232">
        <f>16000*3</f>
        <v>48000</v>
      </c>
      <c r="E12" s="235">
        <f>17512*3</f>
        <v>52536</v>
      </c>
    </row>
    <row r="13" spans="2:5" ht="18.600000000000001" customHeight="1">
      <c r="B13" s="41">
        <v>808</v>
      </c>
      <c r="C13" s="230" t="s">
        <v>4077</v>
      </c>
      <c r="D13" s="232">
        <f>10000*3</f>
        <v>30000</v>
      </c>
      <c r="E13" s="235">
        <f>10902*3</f>
        <v>32706</v>
      </c>
    </row>
    <row r="14" spans="2:5" ht="18.600000000000001" customHeight="1">
      <c r="B14" s="41"/>
      <c r="C14" s="239" t="s">
        <v>4078</v>
      </c>
      <c r="D14" s="242">
        <v>33000</v>
      </c>
      <c r="E14" s="241">
        <f>11383*3</f>
        <v>34149</v>
      </c>
    </row>
    <row r="15" spans="2:5" ht="18.600000000000001" customHeight="1">
      <c r="B15" s="41">
        <v>814</v>
      </c>
      <c r="C15" s="239" t="s">
        <v>4080</v>
      </c>
      <c r="D15" s="240">
        <v>7579.91</v>
      </c>
      <c r="E15" s="241">
        <v>7699</v>
      </c>
    </row>
    <row r="16" spans="2:5" ht="19.5" customHeight="1" thickBot="1">
      <c r="B16" s="75"/>
      <c r="C16" s="236" t="s">
        <v>3802</v>
      </c>
      <c r="D16" s="237">
        <f>SUM(D9:D15)+D7+D6+D5</f>
        <v>199352.29</v>
      </c>
      <c r="E16" s="238">
        <f>SUM(E9:E15)+E7+E6+E5</f>
        <v>209131</v>
      </c>
    </row>
    <row r="17" ht="19.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14CC-64ED-4B43-AF67-88DB96168D26}">
  <sheetPr codeName="Sheet3">
    <tabColor theme="4" tint="-0.249977111117893"/>
  </sheetPr>
  <dimension ref="A1:N30"/>
  <sheetViews>
    <sheetView rightToLeft="1" zoomScale="145" zoomScaleNormal="145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L5" sqref="L5"/>
    </sheetView>
  </sheetViews>
  <sheetFormatPr defaultRowHeight="14.4"/>
  <cols>
    <col min="1" max="1" width="5.5546875" customWidth="1"/>
    <col min="2" max="2" width="8.109375" customWidth="1"/>
    <col min="3" max="3" width="9.33203125" customWidth="1"/>
    <col min="4" max="4" width="8.88671875" customWidth="1"/>
    <col min="5" max="7" width="10.6640625" bestFit="1" customWidth="1"/>
    <col min="8" max="8" width="9.5546875" style="1" customWidth="1"/>
    <col min="9" max="10" width="9.6640625" bestFit="1" customWidth="1"/>
    <col min="11" max="11" width="11.44140625" bestFit="1" customWidth="1"/>
    <col min="12" max="13" width="10.6640625" customWidth="1"/>
    <col min="14" max="14" width="10.6640625" style="38" bestFit="1" customWidth="1"/>
  </cols>
  <sheetData>
    <row r="1" spans="1:14">
      <c r="C1" s="69">
        <f t="shared" ref="C1:M1" ca="1" si="0">SUM(C4:C28)</f>
        <v>317464.61538461543</v>
      </c>
      <c r="D1" s="69">
        <f t="shared" ca="1" si="0"/>
        <v>318566.92307692306</v>
      </c>
      <c r="E1" s="69">
        <f t="shared" ca="1" si="0"/>
        <v>11016156.547619047</v>
      </c>
      <c r="F1" s="69">
        <f t="shared" ca="1" si="0"/>
        <v>14163943.071428571</v>
      </c>
      <c r="G1" s="69">
        <f t="shared" ca="1" si="0"/>
        <v>25816131.157509163</v>
      </c>
      <c r="H1" s="64">
        <f t="shared" ca="1" si="0"/>
        <v>2176001.597384999</v>
      </c>
      <c r="I1" s="64">
        <f t="shared" ca="1" si="0"/>
        <v>2685494.282625</v>
      </c>
      <c r="J1" s="64">
        <f t="shared" ca="1" si="0"/>
        <v>4861495.8800099995</v>
      </c>
      <c r="K1" s="64">
        <f t="shared" si="0"/>
        <v>17518952.380952384</v>
      </c>
      <c r="L1" s="64">
        <f t="shared" si="0"/>
        <v>9845953.9199999981</v>
      </c>
      <c r="M1" s="64">
        <f t="shared" si="0"/>
        <v>508125</v>
      </c>
      <c r="N1" s="74">
        <f ca="1">SUM(N4:N29)</f>
        <v>58550658.338471532</v>
      </c>
    </row>
    <row r="2" spans="1:14" ht="15" thickBot="1">
      <c r="C2" s="64"/>
      <c r="D2" s="64"/>
      <c r="E2" s="64"/>
      <c r="F2" s="64"/>
      <c r="G2" s="70"/>
      <c r="H2" s="64"/>
      <c r="I2" s="70"/>
      <c r="J2" s="70"/>
      <c r="K2" s="70">
        <v>21</v>
      </c>
      <c r="L2" s="70">
        <v>11</v>
      </c>
      <c r="M2" s="70"/>
      <c r="N2" s="133">
        <f ca="1">AVERAGE(N4:N23)</f>
        <v>2855769.876382743</v>
      </c>
    </row>
    <row r="3" spans="1:14" ht="45" customHeight="1">
      <c r="A3" s="45" t="s">
        <v>3805</v>
      </c>
      <c r="B3" s="45" t="s">
        <v>3790</v>
      </c>
      <c r="C3" s="46" t="s">
        <v>60</v>
      </c>
      <c r="D3" s="46" t="s">
        <v>61</v>
      </c>
      <c r="E3" s="46" t="s">
        <v>3789</v>
      </c>
      <c r="F3" s="46" t="s">
        <v>18</v>
      </c>
      <c r="G3" s="45" t="s">
        <v>3802</v>
      </c>
      <c r="H3" s="47" t="s">
        <v>3745</v>
      </c>
      <c r="I3" s="48" t="s">
        <v>3746</v>
      </c>
      <c r="J3" s="49" t="s">
        <v>3801</v>
      </c>
      <c r="K3" s="50" t="str">
        <f>'תקציבים מיוחדים'!C14</f>
        <v>חוב המשק לחברים - נטו</v>
      </c>
      <c r="L3" s="51" t="str">
        <f>'תקציבים מיוחדים'!C11</f>
        <v>בניית בתים</v>
      </c>
      <c r="M3" s="300" t="s">
        <v>4121</v>
      </c>
      <c r="N3" s="72" t="s">
        <v>3803</v>
      </c>
    </row>
    <row r="4" spans="1:14">
      <c r="B4" s="28">
        <v>2025</v>
      </c>
      <c r="C4" s="64">
        <f ca="1">SUMIF(HEVARIM[בר מצווה שנה],'פריסת שנים'!B4,HEVARIM[בר מצוה])</f>
        <v>0</v>
      </c>
      <c r="D4" s="64">
        <f ca="1">SUMIF(HEVARIM[בת מצווה שנה],'פריסת שנים'!B4,HEVARIM[בת מצוה])</f>
        <v>0</v>
      </c>
      <c r="E4" s="64">
        <v>0</v>
      </c>
      <c r="F4" s="64">
        <f ca="1">SUMIF(HEVARIM[לימוד שנה],'פריסת שנים'!B4,HEVARIM[מענק לימודים])</f>
        <v>0</v>
      </c>
      <c r="G4" s="65">
        <f ca="1">SUM(C4:F4)</f>
        <v>0</v>
      </c>
      <c r="H4" s="64">
        <f ca="1">SUMIF(HEVARIM[דמי עזיבה 25 שנה],'פריסת שנים'!B4,HEVARIM[דמי עזיבה 25 שנות ותק])</f>
        <v>0</v>
      </c>
      <c r="I4" s="64">
        <f ca="1">SUMIF(HEVARIM[דמי עזיבה 65 שנה],'פריסת שנים'!B4,HEVARIM[דמי עזיבה לגיל 65])</f>
        <v>0</v>
      </c>
      <c r="J4" s="66">
        <f ca="1">I4+H4</f>
        <v>0</v>
      </c>
      <c r="K4" s="67">
        <v>0</v>
      </c>
      <c r="L4" s="68">
        <v>0</v>
      </c>
      <c r="M4" s="299">
        <f>SUMIF('תקציב צביעה - לקראת השינוי'!D:D,'פריסת שנים'!B4,'תקציב צביעה - לקראת השינוי'!F:F)</f>
        <v>0</v>
      </c>
      <c r="N4" s="73">
        <f ca="1">G4+J4+K4+L4+M4</f>
        <v>0</v>
      </c>
    </row>
    <row r="5" spans="1:14">
      <c r="A5" s="71">
        <v>1</v>
      </c>
      <c r="B5" s="28">
        <v>2026</v>
      </c>
      <c r="C5" s="64">
        <f ca="1">SUMIF(HEVARIM[בר מצווה שנה],'פריסת שנים'!B5,HEVARIM[בר מצוה])</f>
        <v>35825</v>
      </c>
      <c r="D5" s="64">
        <f ca="1">SUMIF(HEVARIM[בת מצווה שנה],'פריסת שנים'!B5,HEVARIM[בת מצוה])</f>
        <v>50155</v>
      </c>
      <c r="E5" s="64">
        <f ca="1">SUMIF(HEVARIM[חתונה שנה],'פריסת שנים'!B4,HEVARIM[מענק חתונה])</f>
        <v>2965112.5</v>
      </c>
      <c r="F5" s="64">
        <f ca="1">SUMIF(HEVARIM[לימוד שנה],'פריסת שנים'!B5,HEVARIM[מענק לימודים])</f>
        <v>1478239</v>
      </c>
      <c r="G5" s="65">
        <f t="shared" ref="G5:G28" ca="1" si="1">SUM(C5:F5)</f>
        <v>4529331.5</v>
      </c>
      <c r="H5" s="64">
        <f ca="1">SUMIF(HEVARIM[דמי עזיבה 25 שנה],'פריסת שנים'!B5,HEVARIM[דמי עזיבה 25 שנות ותק])</f>
        <v>37384.474049999997</v>
      </c>
      <c r="I5" s="64">
        <f ca="1">SUMIF(HEVARIM[דמי עזיבה 65 שנה],'פריסת שנים'!B5,HEVARIM[דמי עזיבה לגיל 65])</f>
        <v>333843.56774999999</v>
      </c>
      <c r="J5" s="66">
        <f t="shared" ref="J5:J28" ca="1" si="2">I5+H5</f>
        <v>371228.04180000001</v>
      </c>
      <c r="K5" s="67">
        <f>IF($K$2&gt;=A6,'תקציבים מיוחדים'!$I$14/'פריסת שנים'!$K$2,0)</f>
        <v>875947.61904761905</v>
      </c>
      <c r="L5" s="68">
        <f>IF($L$2&gt;=A6,'תקציבים מיוחדים'!$I$11/'פריסת שנים'!$L$2,0)</f>
        <v>984595.39199999988</v>
      </c>
      <c r="M5" s="299">
        <f>SUMIF('תקציב צביעה - לקראת השינוי'!D:D,'פריסת שנים'!B5,'תקציב צביעה - לקראת השינוי'!F:F)</f>
        <v>0</v>
      </c>
      <c r="N5" s="73">
        <f t="shared" ref="N5:N28" ca="1" si="3">G5+J5+K5+L5+M5</f>
        <v>6761102.5528476192</v>
      </c>
    </row>
    <row r="6" spans="1:14">
      <c r="A6" s="71">
        <v>2</v>
      </c>
      <c r="B6" s="28">
        <v>2027</v>
      </c>
      <c r="C6" s="64">
        <f ca="1">SUMIF(HEVARIM[בר מצווה שנה],'פריסת שנים'!B6,HEVARIM[בר מצוה])</f>
        <v>52910.769230769241</v>
      </c>
      <c r="D6" s="64">
        <f ca="1">SUMIF(HEVARIM[בת מצווה שנה],'פריסת שנים'!B6,HEVARIM[בת מצוה])</f>
        <v>72752.307692307702</v>
      </c>
      <c r="E6" s="64">
        <f ca="1">SUMIF(HEVARIM[חתונה שנה],'פריסת שנים'!B5,HEVARIM[מענק חתונה])</f>
        <v>786662.5</v>
      </c>
      <c r="F6" s="64">
        <f ca="1">SUMIF(HEVARIM[לימוד שנה],'פריסת שנים'!B6,HEVARIM[מענק לימודים])</f>
        <v>703923.33333333337</v>
      </c>
      <c r="G6" s="65">
        <f t="shared" ca="1" si="1"/>
        <v>1616248.9102564105</v>
      </c>
      <c r="H6" s="64">
        <f ca="1">SUMIF(HEVARIM[דמי עזיבה 25 שנה],'פריסת שנים'!B6,HEVARIM[דמי עזיבה 25 שנות ותק])</f>
        <v>73567.840499999991</v>
      </c>
      <c r="I6" s="64">
        <f ca="1">SUMIF(HEVARIM[דמי עזיבה 65 שנה],'פריסת שנים'!B6,HEVARIM[דמי עזיבה לגיל 65])</f>
        <v>496073.52506249992</v>
      </c>
      <c r="J6" s="66">
        <f t="shared" ca="1" si="2"/>
        <v>569641.36556249997</v>
      </c>
      <c r="K6" s="67">
        <f>IF($K$2&gt;=A7,'תקציבים מיוחדים'!$I$14/'פריסת שנים'!$K$2,0)</f>
        <v>875947.61904761905</v>
      </c>
      <c r="L6" s="68">
        <f>IF($L$2&gt;=A7,'תקציבים מיוחדים'!$I$11/'פריסת שנים'!$L$2,0)</f>
        <v>984595.39199999988</v>
      </c>
      <c r="M6" s="299">
        <f>SUMIF('תקציב צביעה - לקראת השינוי'!D:D,'פריסת שנים'!B6,'תקציב צביעה - לקראת השינוי'!F:F)</f>
        <v>120000</v>
      </c>
      <c r="N6" s="73">
        <f t="shared" ca="1" si="3"/>
        <v>4166433.2868665294</v>
      </c>
    </row>
    <row r="7" spans="1:14">
      <c r="A7" s="71">
        <v>3</v>
      </c>
      <c r="B7" s="28">
        <v>2028</v>
      </c>
      <c r="C7" s="64">
        <f ca="1">SUMIF(HEVARIM[בר מצווה שנה],'פריסת שנים'!B7,HEVARIM[בר מצוה])</f>
        <v>18188.076923076922</v>
      </c>
      <c r="D7" s="64">
        <f ca="1">SUMIF(HEVARIM[בת מצווה שנה],'פריסת שנים'!B7,HEVARIM[בת מצוה])</f>
        <v>24250.76923076923</v>
      </c>
      <c r="E7" s="64">
        <f ca="1">SUMIF(HEVARIM[חתונה שנה],'פריסת שנים'!B6,HEVARIM[מענק חתונה])</f>
        <v>403416.66666666663</v>
      </c>
      <c r="F7" s="64">
        <f ca="1">SUMIF(HEVARIM[לימוד שנה],'פריסת שנים'!B7,HEVARIM[מענק לימודים])</f>
        <v>668727.16666666674</v>
      </c>
      <c r="G7" s="65">
        <f t="shared" ca="1" si="1"/>
        <v>1114582.6794871795</v>
      </c>
      <c r="H7" s="64">
        <f ca="1">SUMIF(HEVARIM[דמי עזיבה 25 שנה],'פריסת שנים'!B7,HEVARIM[דמי עזיבה 25 שנות ותק])</f>
        <v>70880.362244999997</v>
      </c>
      <c r="I7" s="64">
        <f ca="1">SUMIF(HEVARIM[דמי עזיבה 65 שנה],'פריסת שנים'!B7,HEVARIM[דמי עזיבה לגיל 65])</f>
        <v>199067.49843750001</v>
      </c>
      <c r="J7" s="66">
        <f t="shared" ca="1" si="2"/>
        <v>269947.8606825</v>
      </c>
      <c r="K7" s="67">
        <f>IF($K$2&gt;=A8,'תקציבים מיוחדים'!$I$14/'פריסת שנים'!$K$2,0)</f>
        <v>875947.61904761905</v>
      </c>
      <c r="L7" s="68">
        <f>IF($L$2&gt;=A8,'תקציבים מיוחדים'!$I$11/'פריסת שנים'!$L$2,0)</f>
        <v>984595.39199999988</v>
      </c>
      <c r="M7" s="299">
        <f>SUMIF('תקציב צביעה - לקראת השינוי'!D:D,'פריסת שנים'!B7,'תקציב צביעה - לקראת השינוי'!F:F)</f>
        <v>124687.5</v>
      </c>
      <c r="N7" s="73">
        <f t="shared" ca="1" si="3"/>
        <v>3369761.0512172985</v>
      </c>
    </row>
    <row r="8" spans="1:14">
      <c r="A8" s="71">
        <v>4</v>
      </c>
      <c r="B8" s="28">
        <v>2029</v>
      </c>
      <c r="C8" s="64">
        <f ca="1">SUMIF(HEVARIM[בר מצווה שנה],'פריסת שנים'!B8,HEVARIM[בר מצוה])</f>
        <v>55115.384615384617</v>
      </c>
      <c r="D8" s="64">
        <f ca="1">SUMIF(HEVARIM[בת מצווה שנה],'פריסת שנים'!B8,HEVARIM[בת מצוה])</f>
        <v>38580.769230769234</v>
      </c>
      <c r="E8" s="64">
        <f ca="1">SUMIF(HEVARIM[חתונה שנה],'פריסת שנים'!B7,HEVARIM[מענק חתונה])</f>
        <v>383245.83333333326</v>
      </c>
      <c r="F8" s="64">
        <f ca="1">SUMIF(HEVARIM[לימוד שנה],'פריסת שנים'!B8,HEVARIM[מענק לימודים])</f>
        <v>633530.99999999988</v>
      </c>
      <c r="G8" s="65">
        <f t="shared" ca="1" si="1"/>
        <v>1110472.987179487</v>
      </c>
      <c r="H8" s="64">
        <f ca="1">SUMIF(HEVARIM[דמי עזיבה 25 שנה],'פריסת שנים'!B8,HEVARIM[דמי עזיבה 25 שנות ותק])</f>
        <v>100622.78919</v>
      </c>
      <c r="I8" s="64">
        <f ca="1">SUMIF(HEVARIM[דמי עזיבה 65 שנה],'פריסת שנים'!B8,HEVARIM[דמי עזיבה לגיל 65])</f>
        <v>40269.277125000001</v>
      </c>
      <c r="J8" s="66">
        <f t="shared" ca="1" si="2"/>
        <v>140892.066315</v>
      </c>
      <c r="K8" s="67">
        <f>IF($K$2&gt;=A9,'תקציבים מיוחדים'!$I$14/'פריסת שנים'!$K$2,0)</f>
        <v>875947.61904761905</v>
      </c>
      <c r="L8" s="68">
        <f>IF($L$2&gt;=A9,'תקציבים מיוחדים'!$I$11/'פריסת שנים'!$L$2,0)</f>
        <v>984595.39199999988</v>
      </c>
      <c r="M8" s="299">
        <f>SUMIF('תקציב צביעה - לקראת השינוי'!D:D,'פריסת שנים'!B8,'תקציב צביעה - לקראת השינוי'!F:F)</f>
        <v>61875</v>
      </c>
      <c r="N8" s="73">
        <f t="shared" ca="1" si="3"/>
        <v>3173783.0645421059</v>
      </c>
    </row>
    <row r="9" spans="1:14">
      <c r="A9" s="71">
        <v>5</v>
      </c>
      <c r="B9" s="28">
        <v>2030</v>
      </c>
      <c r="C9" s="64">
        <f ca="1">SUMIF(HEVARIM[בר מצווה שנה],'פריסת שנים'!B9,HEVARIM[בר מצוה])</f>
        <v>29762.307692307695</v>
      </c>
      <c r="D9" s="64">
        <f ca="1">SUMIF(HEVARIM[בת מצווה שנה],'פריסת שנים'!B9,HEVARIM[בת מצוה])</f>
        <v>19841.538461538461</v>
      </c>
      <c r="E9" s="64">
        <f ca="1">SUMIF(HEVARIM[חתונה שנה],'פריסת שנים'!B8,HEVARIM[מענק חתונה])</f>
        <v>363075</v>
      </c>
      <c r="F9" s="64">
        <f ca="1">SUMIF(HEVARIM[לימוד שנה],'פריסת שנים'!B9,HEVARIM[מענק לימודים])</f>
        <v>1282146.0714285714</v>
      </c>
      <c r="G9" s="65">
        <f t="shared" ca="1" si="1"/>
        <v>1694824.9175824174</v>
      </c>
      <c r="H9" s="64">
        <f ca="1">SUMIF(HEVARIM[דמי עזיבה 25 שנה],'פריסת שנים'!B9,HEVARIM[דמי עזיבה 25 שנות ותק])</f>
        <v>287470.09021500003</v>
      </c>
      <c r="I9" s="64">
        <f ca="1">SUMIF(HEVARIM[דמי עזיבה 65 שנה],'פריסת שנים'!B9,HEVARIM[דמי עזיבה לגיל 65])</f>
        <v>263251.68581250001</v>
      </c>
      <c r="J9" s="66">
        <f t="shared" ca="1" si="2"/>
        <v>550721.77602750005</v>
      </c>
      <c r="K9" s="67">
        <f>IF($K$2&gt;=A10,'תקציבים מיוחדים'!$I$14/'פריסת שנים'!$K$2,0)</f>
        <v>875947.61904761905</v>
      </c>
      <c r="L9" s="68">
        <f>IF($L$2&gt;=A10,'תקציבים מיוחדים'!$I$11/'פריסת שנים'!$L$2,0)</f>
        <v>984595.39199999988</v>
      </c>
      <c r="M9" s="299">
        <f>SUMIF('תקציב צביעה - לקראת השינוי'!D:D,'פריסת שנים'!B9,'תקציב צביעה - לקראת השינוי'!F:F)</f>
        <v>28125</v>
      </c>
      <c r="N9" s="73">
        <f t="shared" ca="1" si="3"/>
        <v>4134214.7046575365</v>
      </c>
    </row>
    <row r="10" spans="1:14">
      <c r="A10" s="71">
        <v>6</v>
      </c>
      <c r="B10" s="28">
        <v>2031</v>
      </c>
      <c r="C10" s="64">
        <f ca="1">SUMIF(HEVARIM[בר מצווה שנה],'פריסת שנים'!B10,HEVARIM[בר מצוה])</f>
        <v>22046.153846153848</v>
      </c>
      <c r="D10" s="64">
        <f ca="1">SUMIF(HEVARIM[בת מצווה שנה],'פריסת שנים'!B10,HEVARIM[בת מצוה])</f>
        <v>22046.153846153848</v>
      </c>
      <c r="E10" s="64">
        <f ca="1">SUMIF(HEVARIM[חתונה שנה],'פריסת שנים'!B9,HEVARIM[מענק חתונה])</f>
        <v>734794.64285714272</v>
      </c>
      <c r="F10" s="64">
        <f ca="1">SUMIF(HEVARIM[לימוד שנה],'פריסת שנים'!B10,HEVARIM[מענק לימודים])</f>
        <v>1045828.9523809523</v>
      </c>
      <c r="G10" s="65">
        <f t="shared" ca="1" si="1"/>
        <v>1824715.9029304027</v>
      </c>
      <c r="H10" s="64">
        <f ca="1">SUMIF(HEVARIM[דמי עזיבה 25 שנה],'פריסת שנים'!B10,HEVARIM[דמי עזיבה 25 שנות ותק])</f>
        <v>91584.454499999993</v>
      </c>
      <c r="I10" s="64">
        <f ca="1">SUMIF(HEVARIM[דמי עזיבה 65 שנה],'פריסת שנים'!B10,HEVARIM[דמי עזיבה לגיל 65])</f>
        <v>56838.127500000002</v>
      </c>
      <c r="J10" s="66">
        <f t="shared" ca="1" si="2"/>
        <v>148422.58199999999</v>
      </c>
      <c r="K10" s="67">
        <f>IF($K$2&gt;=A11,'תקציבים מיוחדים'!$I$14/'פריסת שנים'!$K$2,0)</f>
        <v>875947.61904761905</v>
      </c>
      <c r="L10" s="68">
        <f>IF($L$2&gt;=A11,'תקציבים מיוחדים'!$I$11/'פריסת שנים'!$L$2,0)</f>
        <v>984595.39199999988</v>
      </c>
      <c r="M10" s="299">
        <f>SUMIF('תקציב צביעה - לקראת השינוי'!D:D,'פריסת שנים'!B10,'תקציב צביעה - לקראת השינוי'!F:F)</f>
        <v>37500</v>
      </c>
      <c r="N10" s="73">
        <f t="shared" ca="1" si="3"/>
        <v>3871181.4959780215</v>
      </c>
    </row>
    <row r="11" spans="1:14">
      <c r="A11" s="71">
        <v>7</v>
      </c>
      <c r="B11" s="28">
        <v>2032</v>
      </c>
      <c r="C11" s="64">
        <f ca="1">SUMIF(HEVARIM[בר מצווה שנה],'פריסת שנים'!B11,HEVARIM[בר מצוה])</f>
        <v>34722.692307692305</v>
      </c>
      <c r="D11" s="64">
        <f ca="1">SUMIF(HEVARIM[בת מצווה שנה],'פריסת שנים'!B11,HEVARIM[בת מצוה])</f>
        <v>23148.461538461535</v>
      </c>
      <c r="E11" s="64">
        <f ca="1">SUMIF(HEVARIM[חתונה שנה],'פריסת שנים'!B10,HEVARIM[מענק חתונה])</f>
        <v>599361.90476190473</v>
      </c>
      <c r="F11" s="64">
        <f ca="1">SUMIF(HEVARIM[לימוד שנה],'פריסת שנים'!B11,HEVARIM[מענק לימודים])</f>
        <v>1282146.0714285711</v>
      </c>
      <c r="G11" s="65">
        <f t="shared" ca="1" si="1"/>
        <v>1939379.1300366297</v>
      </c>
      <c r="H11" s="64">
        <f ca="1">SUMIF(HEVARIM[דמי עזיבה 25 שנה],'פריסת שנים'!B11,HEVARIM[דמי עזיבה 25 שנות ותק])</f>
        <v>87155.370224999991</v>
      </c>
      <c r="I11" s="64">
        <f ca="1">SUMIF(HEVARIM[דמי עזיבה 65 שנה],'פריסת שנים'!B11,HEVARIM[דמי עזיבה לגיל 65])</f>
        <v>40349.708437499998</v>
      </c>
      <c r="J11" s="66">
        <f t="shared" ca="1" si="2"/>
        <v>127505.07866249999</v>
      </c>
      <c r="K11" s="67">
        <f>IF($K$2&gt;=A12,'תקציבים מיוחדים'!$I$14/'פריסת שנים'!$K$2,0)</f>
        <v>875947.61904761905</v>
      </c>
      <c r="L11" s="68">
        <f>IF($L$2&gt;=A12,'תקציבים מיוחדים'!$I$11/'פריסת שנים'!$L$2,0)</f>
        <v>984595.39199999988</v>
      </c>
      <c r="M11" s="299">
        <f>SUMIF('תקציב צביעה - לקראת השינוי'!D:D,'פריסת שנים'!B11,'תקציב צביעה - לקראת השינוי'!F:F)</f>
        <v>87187.5</v>
      </c>
      <c r="N11" s="73">
        <f t="shared" ca="1" si="3"/>
        <v>4014614.7197467489</v>
      </c>
    </row>
    <row r="12" spans="1:14">
      <c r="A12" s="71">
        <v>8</v>
      </c>
      <c r="B12" s="28">
        <v>2033</v>
      </c>
      <c r="C12" s="64">
        <f ca="1">SUMIF(HEVARIM[בר מצווה שנה],'פריסת שנים'!B12,HEVARIM[בר מצוה])</f>
        <v>23148.461538461543</v>
      </c>
      <c r="D12" s="64">
        <f ca="1">SUMIF(HEVARIM[בת מצווה שנה],'פריסת שנים'!B12,HEVARIM[בת מצוה])</f>
        <v>26455.384615384621</v>
      </c>
      <c r="E12" s="64">
        <f ca="1">SUMIF(HEVARIM[חתונה שנה],'פריסת שנים'!B11,HEVARIM[מענק חתונה])</f>
        <v>734794.64285714319</v>
      </c>
      <c r="F12" s="64">
        <f ca="1">SUMIF(HEVARIM[לימוד שנה],'פריסת שנים'!B12,HEVARIM[מענק לימודים])</f>
        <v>1267062</v>
      </c>
      <c r="G12" s="65">
        <f t="shared" ca="1" si="1"/>
        <v>2051460.4890109892</v>
      </c>
      <c r="H12" s="64">
        <f ca="1">SUMIF(HEVARIM[דמי עזיבה 25 שנה],'פריסת שנים'!B12,HEVARIM[דמי עזיבה 25 שנות ותק])</f>
        <v>194023.91893499997</v>
      </c>
      <c r="I12" s="64">
        <f ca="1">SUMIF(HEVARIM[דמי עזיבה 65 שנה],'פריסת שנים'!B12,HEVARIM[דמי עזיבה לגיל 65])</f>
        <v>89841.776062499994</v>
      </c>
      <c r="J12" s="66">
        <f t="shared" ca="1" si="2"/>
        <v>283865.69499749993</v>
      </c>
      <c r="K12" s="67">
        <f>IF($K$2&gt;=A13,'תקציבים מיוחדים'!$I$14/'פריסת שנים'!$K$2,0)</f>
        <v>875947.61904761905</v>
      </c>
      <c r="L12" s="68">
        <f>IF($L$2&gt;=A13,'תקציבים מיוחדים'!$I$11/'פריסת שנים'!$L$2,0)</f>
        <v>984595.39199999988</v>
      </c>
      <c r="M12" s="299">
        <f>SUMIF('תקציב צביעה - לקראת השינוי'!D:D,'פריסת שנים'!B12,'תקציב צביעה - לקראת השינוי'!F:F)</f>
        <v>33750</v>
      </c>
      <c r="N12" s="73">
        <f t="shared" ca="1" si="3"/>
        <v>4229619.1950561078</v>
      </c>
    </row>
    <row r="13" spans="1:14">
      <c r="A13" s="71">
        <v>9</v>
      </c>
      <c r="B13" s="28">
        <v>2034</v>
      </c>
      <c r="C13" s="64">
        <f ca="1">SUMIF(HEVARIM[בר מצווה שנה],'פריסת שנים'!B13,HEVARIM[בר מצוה])</f>
        <v>16534.615384615387</v>
      </c>
      <c r="D13" s="64">
        <f ca="1">SUMIF(HEVARIM[בת מצווה שנה],'פריסת שנים'!B13,HEVARIM[בת מצוה])</f>
        <v>11023.076923076924</v>
      </c>
      <c r="E13" s="64">
        <f ca="1">SUMIF(HEVARIM[חתונה שנה],'פריסת שנים'!B12,HEVARIM[מענק חתונה])</f>
        <v>726149.99999999988</v>
      </c>
      <c r="F13" s="64">
        <f ca="1">SUMIF(HEVARIM[לימוד שנה],'פריסת שנים'!B13,HEVARIM[מענק לימודים])</f>
        <v>784371.71428571409</v>
      </c>
      <c r="G13" s="65">
        <f t="shared" ca="1" si="1"/>
        <v>1538079.4065934063</v>
      </c>
      <c r="H13" s="64">
        <f ca="1">SUMIF(HEVARIM[דמי עזיבה 25 שנה],'פריסת שנים'!B13,HEVARIM[דמי עזיבה 25 שנות ותק])</f>
        <v>79813.600019999983</v>
      </c>
      <c r="I13" s="64">
        <f ca="1">SUMIF(HEVARIM[דמי עזיבה 65 שנה],'פריסת שנים'!B13,HEVARIM[דמי עזיבה לגיל 65])</f>
        <v>199174.74018749999</v>
      </c>
      <c r="J13" s="66">
        <f t="shared" ca="1" si="2"/>
        <v>278988.34020749998</v>
      </c>
      <c r="K13" s="67">
        <f>IF($K$2&gt;=A14,'תקציבים מיוחדים'!$I$14/'פריסת שנים'!$K$2,0)</f>
        <v>875947.61904761905</v>
      </c>
      <c r="L13" s="68">
        <f>IF($L$2&gt;=A14,'תקציבים מיוחדים'!$I$11/'פריסת שנים'!$L$2,0)</f>
        <v>984595.39199999988</v>
      </c>
      <c r="M13" s="299">
        <f>SUMIF('תקציב צביעה - לקראת השינוי'!D:D,'פריסת שנים'!B13,'תקציב צביעה - לקראת השינוי'!F:F)</f>
        <v>15000</v>
      </c>
      <c r="N13" s="73">
        <f t="shared" ca="1" si="3"/>
        <v>3692610.7578485254</v>
      </c>
    </row>
    <row r="14" spans="1:14">
      <c r="A14" s="71">
        <v>10</v>
      </c>
      <c r="B14" s="28">
        <v>2035</v>
      </c>
      <c r="C14" s="64">
        <f ca="1">SUMIF(HEVARIM[בר מצווה שנה],'פריסת שנים'!B14,HEVARIM[בר מצוה])</f>
        <v>15432.307692307693</v>
      </c>
      <c r="D14" s="64">
        <f ca="1">SUMIF(HEVARIM[בת מצווה שנה],'פריסת שנים'!B14,HEVARIM[בת מצוה])</f>
        <v>11023.076923076924</v>
      </c>
      <c r="E14" s="64">
        <f ca="1">SUMIF(HEVARIM[חתונה שנה],'פריסת שנים'!B13,HEVARIM[מענק חתונה])</f>
        <v>449521.42857142858</v>
      </c>
      <c r="F14" s="64">
        <f ca="1">SUMIF(HEVARIM[לימוד שנה],'פריסת שנים'!B14,HEVARIM[מענק לימודים])</f>
        <v>1146389.4285714282</v>
      </c>
      <c r="G14" s="65">
        <f t="shared" ca="1" si="1"/>
        <v>1622366.2417582413</v>
      </c>
      <c r="H14" s="64">
        <f ca="1">SUMIF(HEVARIM[דמי עזיבה 25 שנה],'פריסת שנים'!B14,HEVARIM[דמי עזיבה 25 שנות ותק])</f>
        <v>123323.72282999998</v>
      </c>
      <c r="I14" s="64">
        <f ca="1">SUMIF(HEVARIM[דמי עזיבה 65 שנה],'פריסת שנים'!B14,HEVARIM[דמי עזיבה לגיל 65])</f>
        <v>434731.24406250002</v>
      </c>
      <c r="J14" s="66">
        <f t="shared" ca="1" si="2"/>
        <v>558054.96689249994</v>
      </c>
      <c r="K14" s="67">
        <f>IF($K$2&gt;=A15,'תקציבים מיוחדים'!$I$14/'פריסת שנים'!$K$2,0)</f>
        <v>875947.61904761905</v>
      </c>
      <c r="L14" s="68">
        <f>IF($L$2&gt;=A15,'תקציבים מיוחדים'!$I$11/'פריסת שנים'!$L$2,0)</f>
        <v>984595.39199999988</v>
      </c>
      <c r="M14" s="299">
        <f>SUMIF('תקציב צביעה - לקראת השינוי'!D:D,'פריסת שנים'!B14,'תקציב צביעה - לקראת השינוי'!F:F)</f>
        <v>0</v>
      </c>
      <c r="N14" s="73">
        <f t="shared" ca="1" si="3"/>
        <v>4040964.2196983602</v>
      </c>
    </row>
    <row r="15" spans="1:14">
      <c r="A15" s="71">
        <v>11</v>
      </c>
      <c r="B15" s="28">
        <v>2036</v>
      </c>
      <c r="C15" s="64">
        <f ca="1">SUMIF(HEVARIM[בר מצווה שנה],'פריסת שנים'!B15,HEVARIM[בר מצוה])</f>
        <v>3306.9230769230771</v>
      </c>
      <c r="D15" s="64">
        <f ca="1">SUMIF(HEVARIM[בת מצווה שנה],'פריסת שנים'!B15,HEVARIM[בת מצוה])</f>
        <v>11574.230769230771</v>
      </c>
      <c r="E15" s="64">
        <f ca="1">SUMIF(HEVARIM[חתונה שנה],'פריסת שנים'!B14,HEVARIM[מענק חתונה])</f>
        <v>656992.85714285728</v>
      </c>
      <c r="F15" s="64">
        <f ca="1">SUMIF(HEVARIM[לימוד שנה],'פריסת שנים'!B15,HEVARIM[מענק לימודים])</f>
        <v>387157.83333333331</v>
      </c>
      <c r="G15" s="65">
        <f t="shared" ca="1" si="1"/>
        <v>1059031.8443223445</v>
      </c>
      <c r="H15" s="64">
        <f ca="1">SUMIF(HEVARIM[דמי עזיבה 25 שנה],'פריסת שנים'!B15,HEVARIM[דמי עזיבה 25 שנות ותק])</f>
        <v>142030.97369999997</v>
      </c>
      <c r="I15" s="64">
        <f ca="1">SUMIF(HEVARIM[דמי עזיבה 65 שנה],'פריסת שנים'!B15,HEVARIM[דמי עזיבה לגיל 65])</f>
        <v>85900.64175000001</v>
      </c>
      <c r="J15" s="66">
        <f t="shared" ca="1" si="2"/>
        <v>227931.61544999998</v>
      </c>
      <c r="K15" s="67">
        <f>IF($K$2&gt;=A16,'תקציבים מיוחדים'!$I$14/'פריסת שנים'!$K$2,0)</f>
        <v>875947.61904761905</v>
      </c>
      <c r="L15" s="68">
        <f>IF($L$2&gt;=A16,'תקציבים מיוחדים'!$I$11/'פריסת שנים'!$L$2,0)</f>
        <v>0</v>
      </c>
      <c r="M15" s="299">
        <f>SUMIF('תקציב צביעה - לקראת השינוי'!D:D,'פריסת שנים'!B15,'תקציב צביעה - לקראת השינוי'!F:F)</f>
        <v>0</v>
      </c>
      <c r="N15" s="73">
        <f t="shared" ca="1" si="3"/>
        <v>2162911.0788199636</v>
      </c>
    </row>
    <row r="16" spans="1:14">
      <c r="A16" s="71">
        <v>12</v>
      </c>
      <c r="B16" s="28">
        <v>2037</v>
      </c>
      <c r="C16" s="64">
        <f ca="1">SUMIF(HEVARIM[בר מצווה שנה],'פריסת שנים'!B16,HEVARIM[בר מצוה])</f>
        <v>7716.1538461538466</v>
      </c>
      <c r="D16" s="64">
        <f ca="1">SUMIF(HEVARIM[בת מצווה שנה],'פריסת שנים'!B16,HEVARIM[בת מצוה])</f>
        <v>5511.5384615384619</v>
      </c>
      <c r="E16" s="64">
        <f ca="1">SUMIF(HEVARIM[חתונה שנה],'פריסת שנים'!B15,HEVARIM[מענק חתונה])</f>
        <v>221879.16666666669</v>
      </c>
      <c r="F16" s="64">
        <f ca="1">SUMIF(HEVARIM[לימוד שנה],'פריסת שנים'!B16,HEVARIM[מענק לימודים])</f>
        <v>854764.04761904769</v>
      </c>
      <c r="G16" s="65">
        <f t="shared" ca="1" si="1"/>
        <v>1089870.9065934066</v>
      </c>
      <c r="H16" s="64">
        <f ca="1">SUMIF(HEVARIM[דמי עזיבה 25 שנה],'פריסת שנים'!B16,HEVARIM[דמי עזיבה 25 שנות ותק])</f>
        <v>107739.35171999999</v>
      </c>
      <c r="I16" s="64">
        <f ca="1">SUMIF(HEVARIM[דמי עזיבה 65 שנה],'פריסת שנים'!B16,HEVARIM[דמי עזיבה לגיל 65])</f>
        <v>107214.93956249999</v>
      </c>
      <c r="J16" s="66">
        <f t="shared" ca="1" si="2"/>
        <v>214954.29128249997</v>
      </c>
      <c r="K16" s="67">
        <f>IF($K$2&gt;=A17,'תקציבים מיוחדים'!$I$14/'פריסת שנים'!$K$2,0)</f>
        <v>875947.61904761905</v>
      </c>
      <c r="L16" s="68">
        <f>IF($L$2&gt;=A17,'תקציבים מיוחדים'!$I$11/'פריסת שנים'!$L$2,0)</f>
        <v>0</v>
      </c>
      <c r="M16" s="299">
        <f>SUMIF('תקציב צביעה - לקראת השינוי'!D:D,'פריסת שנים'!B16,'תקציב צביעה - לקראת השינוי'!F:F)</f>
        <v>0</v>
      </c>
      <c r="N16" s="73">
        <f t="shared" ca="1" si="3"/>
        <v>2180772.8169235257</v>
      </c>
    </row>
    <row r="17" spans="1:14">
      <c r="A17" s="71">
        <v>13</v>
      </c>
      <c r="B17" s="28">
        <v>2038</v>
      </c>
      <c r="C17" s="64">
        <f ca="1">SUMIF(HEVARIM[בר מצווה שנה],'פריסת שנים'!B17,HEVARIM[בר מצוה])</f>
        <v>2755.7692307692309</v>
      </c>
      <c r="D17" s="64">
        <f ca="1">SUMIF(HEVARIM[בת מצווה שנה],'פריסת שנים'!B17,HEVARIM[בת מצוה])</f>
        <v>2204.6153846153848</v>
      </c>
      <c r="E17" s="64">
        <f ca="1">SUMIF(HEVARIM[חתונה שנה],'פריסת שנים'!B16,HEVARIM[מענק חתונה])</f>
        <v>489863.09523809538</v>
      </c>
      <c r="F17" s="64">
        <f ca="1">SUMIF(HEVARIM[לימוד שנה],'פריסת שנים'!B17,HEVARIM[מענק לימודים])</f>
        <v>452522.14285714272</v>
      </c>
      <c r="G17" s="65">
        <f t="shared" ca="1" si="1"/>
        <v>947345.62271062273</v>
      </c>
      <c r="H17" s="64">
        <f ca="1">SUMIF(HEVARIM[דמי עזיבה 25 שנה],'פריסת שנים'!B17,HEVARIM[דמי עזיבה 25 שנות ותק])</f>
        <v>160452.96151499997</v>
      </c>
      <c r="I17" s="64">
        <f ca="1">SUMIF(HEVARIM[דמי עזיבה 65 שנה],'פריסת שנים'!B17,HEVARIM[דמי עזיבה לגיל 65])</f>
        <v>161935.04249999998</v>
      </c>
      <c r="J17" s="66">
        <f t="shared" ca="1" si="2"/>
        <v>322388.00401499995</v>
      </c>
      <c r="K17" s="67">
        <f>IF($K$2&gt;=A18,'תקציבים מיוחדים'!$I$14/'פריסת שנים'!$K$2,0)</f>
        <v>875947.61904761905</v>
      </c>
      <c r="L17" s="68">
        <f>IF($L$2&gt;=A18,'תקציבים מיוחדים'!$I$11/'פריסת שנים'!$L$2,0)</f>
        <v>0</v>
      </c>
      <c r="M17" s="299">
        <f>SUMIF('תקציב צביעה - לקראת השינוי'!D:D,'פריסת שנים'!B17,'תקציב צביעה - לקראת השינוי'!F:F)</f>
        <v>0</v>
      </c>
      <c r="N17" s="73">
        <f t="shared" ca="1" si="3"/>
        <v>2145681.2457732419</v>
      </c>
    </row>
    <row r="18" spans="1:14">
      <c r="A18" s="71">
        <v>14</v>
      </c>
      <c r="B18" s="28">
        <v>2039</v>
      </c>
      <c r="C18" s="64">
        <f ca="1">SUMIF(HEVARIM[בר מצווה שנה],'פריסת שנים'!B18,HEVARIM[בר מצוה])</f>
        <v>0</v>
      </c>
      <c r="D18" s="64">
        <f ca="1">SUMIF(HEVARIM[בת מצווה שנה],'פריסת שנים'!B18,HEVARIM[בת מצוה])</f>
        <v>0</v>
      </c>
      <c r="E18" s="64">
        <f ca="1">SUMIF(HEVARIM[חתונה שנה],'פריסת שנים'!B17,HEVARIM[מענק חתונה])</f>
        <v>259339.28571428574</v>
      </c>
      <c r="F18" s="64">
        <f ca="1">SUMIF(HEVARIM[לימוד שנה],'פריסת שנים'!B18,HEVARIM[מענק לימודים])</f>
        <v>402241.90476190473</v>
      </c>
      <c r="G18" s="65">
        <f t="shared" ca="1" si="1"/>
        <v>661581.19047619053</v>
      </c>
      <c r="H18" s="64">
        <f ca="1">SUMIF(HEVARIM[דמי עזיבה 25 שנה],'פריסת שנים'!B18,HEVARIM[דמי עזיבה 25 שנות ותק])</f>
        <v>73507.785119999986</v>
      </c>
      <c r="I18" s="64">
        <f ca="1">SUMIF(HEVARIM[דמי עזיבה 65 שנה],'פריסת שנים'!B18,HEVARIM[דמי עזיבה לגיל 65])</f>
        <v>69036.876562499994</v>
      </c>
      <c r="J18" s="66">
        <f t="shared" ca="1" si="2"/>
        <v>142544.66168249998</v>
      </c>
      <c r="K18" s="67">
        <f>IF($K$2&gt;=A19,'תקציבים מיוחדים'!$I$14/'פריסת שנים'!$K$2,0)</f>
        <v>875947.61904761905</v>
      </c>
      <c r="L18" s="68">
        <f>IF($L$2&gt;=A19,'תקציבים מיוחדים'!$I$11/'פריסת שנים'!$L$2,0)</f>
        <v>0</v>
      </c>
      <c r="M18" s="299">
        <f>SUMIF('תקציב צביעה - לקראת השינוי'!D:D,'פריסת שנים'!B18,'תקציב צביעה - לקראת השינוי'!F:F)</f>
        <v>0</v>
      </c>
      <c r="N18" s="73">
        <f t="shared" ca="1" si="3"/>
        <v>1680073.4712063097</v>
      </c>
    </row>
    <row r="19" spans="1:14">
      <c r="A19" s="71">
        <v>15</v>
      </c>
      <c r="B19" s="28">
        <v>2040</v>
      </c>
      <c r="C19" s="64">
        <f ca="1">SUMIF(HEVARIM[בר מצווה שנה],'פריסת שנים'!B19,HEVARIM[בר מצוה])</f>
        <v>0</v>
      </c>
      <c r="D19" s="64">
        <f ca="1">SUMIF(HEVARIM[בת מצווה שנה],'פריסת שנים'!B19,HEVARIM[בת מצוה])</f>
        <v>0</v>
      </c>
      <c r="E19" s="64">
        <f ca="1">SUMIF(HEVARIM[חתונה שנה],'פריסת שנים'!B18,HEVARIM[מענק חתונה])</f>
        <v>230523.8095238095</v>
      </c>
      <c r="F19" s="64">
        <f ca="1">SUMIF(HEVARIM[לימוד שנה],'פריסת שנים'!B19,HEVARIM[מענק לימודים])</f>
        <v>527942.50000000012</v>
      </c>
      <c r="G19" s="65">
        <f t="shared" ca="1" si="1"/>
        <v>758466.30952380958</v>
      </c>
      <c r="H19" s="64">
        <f ca="1">SUMIF(HEVARIM[דמי עזיבה 25 שנה],'פריסת שנים'!B19,HEVARIM[דמי עזיבה 25 שנות ותק])</f>
        <v>16770.464864999998</v>
      </c>
      <c r="I19" s="64">
        <f ca="1">SUMIF(HEVARIM[דמי עזיבה 65 שנה],'פריסת שנים'!B19,HEVARIM[דמי עזיבה לגיל 65])</f>
        <v>79653.809812499996</v>
      </c>
      <c r="J19" s="66">
        <f t="shared" ca="1" si="2"/>
        <v>96424.274677499998</v>
      </c>
      <c r="K19" s="67">
        <f>IF($K$2&gt;=A20,'תקציבים מיוחדים'!$I$14/'פריסת שנים'!$K$2,0)</f>
        <v>875947.61904761905</v>
      </c>
      <c r="L19" s="68">
        <f>IF($L$2&gt;=A20,'תקציבים מיוחדים'!$I$11/'פריסת שנים'!$L$2,0)</f>
        <v>0</v>
      </c>
      <c r="M19" s="299">
        <f>SUMIF('תקציב צביעה - לקראת השינוי'!D:D,'פריסת שנים'!B19,'תקציב צביעה - לקראת השינוי'!F:F)</f>
        <v>0</v>
      </c>
      <c r="N19" s="73">
        <f t="shared" ca="1" si="3"/>
        <v>1730838.2032489288</v>
      </c>
    </row>
    <row r="20" spans="1:14">
      <c r="A20" s="71">
        <v>16</v>
      </c>
      <c r="B20" s="28">
        <v>2041</v>
      </c>
      <c r="C20" s="64">
        <f ca="1">SUMIF(HEVARIM[בר מצווה שנה],'פריסת שנים'!B20,HEVARIM[בר מצוה])</f>
        <v>0</v>
      </c>
      <c r="D20" s="64">
        <f ca="1">SUMIF(HEVARIM[בת מצווה שנה],'פריסת שנים'!B20,HEVARIM[בת מצוה])</f>
        <v>0</v>
      </c>
      <c r="E20" s="64">
        <f ca="1">SUMIF(HEVARIM[חתונה שנה],'פריסת שנים'!B19,HEVARIM[מענק חתונה])</f>
        <v>302562.5</v>
      </c>
      <c r="F20" s="64">
        <f ca="1">SUMIF(HEVARIM[לימוד שנה],'פריסת שנים'!B20,HEVARIM[מענק לימודים])</f>
        <v>452522.14285714267</v>
      </c>
      <c r="G20" s="65">
        <f t="shared" ca="1" si="1"/>
        <v>755084.64285714272</v>
      </c>
      <c r="H20" s="64">
        <f ca="1">SUMIF(HEVARIM[דמי עזיבה 25 שנה],'פריסת שנים'!B20,HEVARIM[דמי עזיבה 25 שנות ותק])</f>
        <v>92920.686704999986</v>
      </c>
      <c r="I20" s="64">
        <f ca="1">SUMIF(HEVARIM[דמי עזיבה 65 שנה],'פריסת שנים'!B20,HEVARIM[דמי עזיבה לגיל 65])</f>
        <v>0</v>
      </c>
      <c r="J20" s="66">
        <f t="shared" ca="1" si="2"/>
        <v>92920.686704999986</v>
      </c>
      <c r="K20" s="67">
        <f>IF($K$2&gt;=A21,'תקציבים מיוחדים'!$I$14/'פריסת שנים'!$K$2,0)</f>
        <v>875947.61904761905</v>
      </c>
      <c r="L20" s="68">
        <f>IF($L$2&gt;=A21,'תקציבים מיוחדים'!$I$11/'פריסת שנים'!$L$2,0)</f>
        <v>0</v>
      </c>
      <c r="M20" s="299">
        <f>SUMIF('תקציב צביעה - לקראת השינוי'!D:D,'פריסת שנים'!B20,'תקציב צביעה - לקראת השינוי'!F:F)</f>
        <v>0</v>
      </c>
      <c r="N20" s="73">
        <f t="shared" ca="1" si="3"/>
        <v>1723952.9486097619</v>
      </c>
    </row>
    <row r="21" spans="1:14">
      <c r="A21" s="71">
        <v>17</v>
      </c>
      <c r="B21" s="28">
        <v>2042</v>
      </c>
      <c r="C21" s="64">
        <f ca="1">SUMIF(HEVARIM[בר מצווה שנה],'פריסת שנים'!B21,HEVARIM[בר מצוה])</f>
        <v>0</v>
      </c>
      <c r="D21" s="64">
        <f ca="1">SUMIF(HEVARIM[בת מצווה שנה],'פריסת שנים'!B21,HEVARIM[בת מצוה])</f>
        <v>0</v>
      </c>
      <c r="E21" s="64">
        <f ca="1">SUMIF(HEVARIM[חתונה שנה],'פריסת שנים'!B20,HEVARIM[מענק חתונה])</f>
        <v>259339.28571428568</v>
      </c>
      <c r="F21" s="64">
        <f ca="1">SUMIF(HEVARIM[לימוד שנה],'פריסת שנים'!B21,HEVARIM[מענק לימודים])</f>
        <v>251401.1904761905</v>
      </c>
      <c r="G21" s="65">
        <f t="shared" ca="1" si="1"/>
        <v>510740.47619047621</v>
      </c>
      <c r="H21" s="64">
        <f ca="1">SUMIF(HEVARIM[דמי עזיבה 25 שנה],'פריסת שנים'!B21,HEVARIM[דמי עזיבה 25 שנות ותק])</f>
        <v>27535.391729999999</v>
      </c>
      <c r="I21" s="64">
        <f ca="1">SUMIF(HEVARIM[דמי עזיבה 65 שנה],'פריסת שנים'!B21,HEVARIM[דמי עזיבה לגיל 65])</f>
        <v>28311.821999999996</v>
      </c>
      <c r="J21" s="66">
        <f t="shared" ca="1" si="2"/>
        <v>55847.213729999996</v>
      </c>
      <c r="K21" s="67">
        <f>IF($K$2&gt;=A22,'תקציבים מיוחדים'!$I$14/'פריסת שנים'!$K$2,0)</f>
        <v>875947.61904761905</v>
      </c>
      <c r="L21" s="68">
        <f>IF($L$2&gt;=A22,'תקציבים מיוחדים'!$I$11/'פריסת שנים'!$L$2,0)</f>
        <v>0</v>
      </c>
      <c r="M21" s="299">
        <f>SUMIF('תקציב צביעה - לקראת השינוי'!D:D,'פריסת שנים'!B21,'תקציב צביעה - לקראת השינוי'!F:F)</f>
        <v>0</v>
      </c>
      <c r="N21" s="73">
        <f t="shared" ca="1" si="3"/>
        <v>1442535.3089680951</v>
      </c>
    </row>
    <row r="22" spans="1:14">
      <c r="A22" s="71">
        <v>18</v>
      </c>
      <c r="B22" s="28">
        <v>2043</v>
      </c>
      <c r="C22" s="64">
        <f ca="1">SUMIF(HEVARIM[בר מצווה שנה],'פריסת שנים'!B22,HEVARIM[בר מצוה])</f>
        <v>0</v>
      </c>
      <c r="D22" s="64">
        <f ca="1">SUMIF(HEVARIM[בת מצווה שנה],'פריסת שנים'!B22,HEVARIM[בת מצוה])</f>
        <v>0</v>
      </c>
      <c r="E22" s="64">
        <f ca="1">SUMIF(HEVARIM[חתונה שנה],'פריסת שנים'!B21,HEVARIM[מענק חתונה])</f>
        <v>144077.38095238095</v>
      </c>
      <c r="F22" s="64">
        <f ca="1">SUMIF(HEVARIM[לימוד שנה],'פריסת שנים'!B22,HEVARIM[מענק לימודים])</f>
        <v>241345.14285714284</v>
      </c>
      <c r="G22" s="65">
        <f t="shared" ca="1" si="1"/>
        <v>385422.52380952379</v>
      </c>
      <c r="H22" s="64">
        <f ca="1">SUMIF(HEVARIM[דמי עזיבה 25 שנה],'פריסת שנים'!B22,HEVARIM[דמי עזיבה 25 שנות ותק])</f>
        <v>138712.91395499997</v>
      </c>
      <c r="I22" s="64">
        <f ca="1">SUMIF(HEVARIM[דמי עזיבה 65 שנה],'פריסת שנים'!B22,HEVARIM[דמי עזיבה לגיל 65])</f>
        <v>0</v>
      </c>
      <c r="J22" s="66">
        <f t="shared" ca="1" si="2"/>
        <v>138712.91395499997</v>
      </c>
      <c r="K22" s="67">
        <f>IF($K$2&gt;=A23,'תקציבים מיוחדים'!$I$14/'פריסת שנים'!$K$2,0)</f>
        <v>875947.61904761905</v>
      </c>
      <c r="L22" s="68">
        <f>IF($L$2&gt;=A23,'תקציבים מיוחדים'!$I$11/'פריסת שנים'!$L$2,0)</f>
        <v>0</v>
      </c>
      <c r="M22" s="299">
        <f>SUMIF('תקציב צביעה - לקראת השינוי'!D:D,'פריסת שנים'!B22,'תקציב צביעה - לקראת השינוי'!F:F)</f>
        <v>0</v>
      </c>
      <c r="N22" s="73">
        <f t="shared" ca="1" si="3"/>
        <v>1400083.056812143</v>
      </c>
    </row>
    <row r="23" spans="1:14">
      <c r="A23" s="71">
        <v>19</v>
      </c>
      <c r="B23" s="28">
        <v>2044</v>
      </c>
      <c r="C23" s="64">
        <f ca="1">SUMIF(HEVARIM[בר מצווה שנה],'פריסת שנים'!B23,HEVARIM[בר מצוה])</f>
        <v>0</v>
      </c>
      <c r="D23" s="64">
        <f ca="1">SUMIF(HEVARIM[בת מצווה שנה],'פריסת שנים'!B23,HEVARIM[בת מצוה])</f>
        <v>0</v>
      </c>
      <c r="E23" s="64">
        <f ca="1">SUMIF(HEVARIM[חתונה שנה],'פריסת שנים'!B22,HEVARIM[מענק חתונה])</f>
        <v>138314.28571428571</v>
      </c>
      <c r="F23" s="64">
        <f ca="1">SUMIF(HEVARIM[לימוד שנה],'פריסת שנים'!B23,HEVARIM[מענק לימודים])</f>
        <v>135756.64285714281</v>
      </c>
      <c r="G23" s="65">
        <f t="shared" ca="1" si="1"/>
        <v>274070.92857142852</v>
      </c>
      <c r="H23" s="64">
        <f ca="1">SUMIF(HEVARIM[דמי עזיבה 25 שנה],'פריסת שנים'!B23,HEVARIM[דמי עזיבה 25 שנות ותק])</f>
        <v>44245.801215</v>
      </c>
      <c r="I23" s="64">
        <f ca="1">SUMIF(HEVARIM[דמי עזיבה 65 שנה],'פריסת שנים'!B23,HEVARIM[דמי עזיבה לגיל 65])</f>
        <v>0</v>
      </c>
      <c r="J23" s="66">
        <f t="shared" ca="1" si="2"/>
        <v>44245.801215</v>
      </c>
      <c r="K23" s="67">
        <f>IF($K$2&gt;=A24,'תקציבים מיוחדים'!$I$14/'פריסת שנים'!$K$2,0)</f>
        <v>875947.61904761905</v>
      </c>
      <c r="L23" s="68">
        <f>IF($L$2&gt;=A24,'תקציבים מיוחדים'!$I$11/'פריסת שנים'!$L$2,0)</f>
        <v>0</v>
      </c>
      <c r="M23" s="299">
        <f>SUMIF('תקציב צביעה - לקראת השינוי'!D:D,'פריסת שנים'!B23,'תקציב צביעה - לקראת השינוי'!F:F)</f>
        <v>0</v>
      </c>
      <c r="N23" s="73">
        <f t="shared" ca="1" si="3"/>
        <v>1194264.3488340476</v>
      </c>
    </row>
    <row r="24" spans="1:14">
      <c r="A24" s="71">
        <v>20</v>
      </c>
      <c r="B24" s="28">
        <v>2045</v>
      </c>
      <c r="C24" s="64">
        <f ca="1">SUMIF(HEVARIM[בר מצווה שנה],'פריסת שנים'!B24,HEVARIM[בר מצוה])</f>
        <v>0</v>
      </c>
      <c r="D24" s="64">
        <f ca="1">SUMIF(HEVARIM[בת מצווה שנה],'פריסת שנים'!B24,HEVARIM[בת מצוה])</f>
        <v>0</v>
      </c>
      <c r="E24" s="64">
        <f ca="1">SUMIF(HEVARIM[חתונה שנה],'פריסת שנים'!B23,HEVARIM[מענק חתונה])</f>
        <v>77801.78571428571</v>
      </c>
      <c r="F24" s="64">
        <f ca="1">SUMIF(HEVARIM[לימוד שנה],'פריסת שנים'!B24,HEVARIM[מענק לימודים])</f>
        <v>120672.57142857142</v>
      </c>
      <c r="G24" s="65">
        <f t="shared" ca="1" si="1"/>
        <v>198474.35714285713</v>
      </c>
      <c r="H24" s="64">
        <f ca="1">SUMIF(HEVARIM[דמי עזיבה 25 שנה],'פריסת שנים'!B24,HEVARIM[דמי עזיבה 25 שנות ותק])</f>
        <v>58073.552459999999</v>
      </c>
      <c r="I24" s="64">
        <f ca="1">SUMIF(HEVARIM[דמי עזיבה 65 שנה],'פריסת שנים'!B24,HEVARIM[דמי עזיבה לגיל 65])</f>
        <v>0</v>
      </c>
      <c r="J24" s="66">
        <f t="shared" ca="1" si="2"/>
        <v>58073.552459999999</v>
      </c>
      <c r="K24" s="67">
        <f>IF($K$2&gt;=A25,'תקציבים מיוחדים'!$I$14/'פריסת שנים'!$K$2,0)</f>
        <v>875947.61904761905</v>
      </c>
      <c r="L24" s="68">
        <f>IF($L$2&gt;=A25,'תקציבים מיוחדים'!$I$11/'פריסת שנים'!$L$2,0)</f>
        <v>0</v>
      </c>
      <c r="M24" s="299">
        <f>SUMIF('תקציב צביעה - לקראת השינוי'!D:D,'פריסת שנים'!B24,'תקציב צביעה - לקראת השינוי'!F:F)</f>
        <v>0</v>
      </c>
      <c r="N24" s="73">
        <f t="shared" ca="1" si="3"/>
        <v>1132495.5286504761</v>
      </c>
    </row>
    <row r="25" spans="1:14">
      <c r="A25" s="71">
        <v>21</v>
      </c>
      <c r="B25" s="28">
        <v>2046</v>
      </c>
      <c r="C25" s="64">
        <f ca="1">SUMIF(HEVARIM[בר מצווה שנה],'פריסת שנים'!B25,HEVARIM[בר מצוה])</f>
        <v>0</v>
      </c>
      <c r="D25" s="64">
        <f ca="1">SUMIF(HEVARIM[בת מצווה שנה],'פריסת שנים'!B25,HEVARIM[בת מצוה])</f>
        <v>0</v>
      </c>
      <c r="E25" s="64">
        <f ca="1">SUMIF(HEVARIM[חתונה שנה],'פריסת שנים'!B24,HEVARIM[מענק חתונה])</f>
        <v>63394.047619047611</v>
      </c>
      <c r="F25" s="64">
        <f ca="1">SUMIF(HEVARIM[לימוד שנה],'פריסת שנים'!B25,HEVARIM[מענק לימודים])</f>
        <v>45252.214285714283</v>
      </c>
      <c r="G25" s="65">
        <f t="shared" ca="1" si="1"/>
        <v>108646.26190476189</v>
      </c>
      <c r="H25" s="64">
        <f ca="1">SUMIF(HEVARIM[דמי עזיבה 25 שנה],'פריסת שנים'!B25,HEVARIM[דמי עזיבה 25 שנות ותק])</f>
        <v>50596.657649999994</v>
      </c>
      <c r="I25" s="64">
        <f ca="1">SUMIF(HEVARIM[דמי עזיבה 65 שנה],'פריסת שנים'!B25,HEVARIM[דמי עזיבה לגיל 65])</f>
        <v>0</v>
      </c>
      <c r="J25" s="66">
        <f t="shared" ca="1" si="2"/>
        <v>50596.657649999994</v>
      </c>
      <c r="K25" s="67">
        <f>IF($K$2&gt;=A26,'תקציבים מיוחדים'!$I$14/'פריסת שנים'!$K$2,0)</f>
        <v>0</v>
      </c>
      <c r="L25" s="68">
        <f>IF($L$2&gt;=A26,'תקציבים מיוחדים'!$I$11/'פריסת שנים'!$L$2,0)</f>
        <v>0</v>
      </c>
      <c r="M25" s="299">
        <f>SUMIF('תקציב צביעה - לקראת השינוי'!D:D,'פריסת שנים'!B25,'תקציב צביעה - לקראת השינוי'!F:F)</f>
        <v>0</v>
      </c>
      <c r="N25" s="73">
        <f t="shared" ca="1" si="3"/>
        <v>159242.9195547619</v>
      </c>
    </row>
    <row r="26" spans="1:14">
      <c r="A26" s="71">
        <v>22</v>
      </c>
      <c r="B26" s="28">
        <v>2047</v>
      </c>
      <c r="C26" s="64">
        <f ca="1">SUMIF(HEVARIM[בר מצווה שנה],'פריסת שנים'!B26,HEVARIM[בר מצוה])</f>
        <v>0</v>
      </c>
      <c r="D26" s="64">
        <f ca="1">SUMIF(HEVARIM[בת מצווה שנה],'פריסת שנים'!B26,HEVARIM[בת מצוה])</f>
        <v>0</v>
      </c>
      <c r="E26" s="64">
        <f ca="1">SUMIF(HEVARIM[חתונה שנה],'פריסת שנים'!B25,HEVARIM[מענק חתונה])</f>
        <v>25933.928571428569</v>
      </c>
      <c r="F26" s="64">
        <f ca="1">SUMIF(HEVARIM[לימוד שנה],'פריסת שנים'!B26,HEVARIM[מענק לימודים])</f>
        <v>0</v>
      </c>
      <c r="G26" s="65">
        <f t="shared" ca="1" si="1"/>
        <v>25933.928571428569</v>
      </c>
      <c r="H26" s="64">
        <f ca="1">SUMIF(HEVARIM[דמי עזיבה 25 שנה],'פריסת שנים'!B26,HEVARIM[דמי עזיבה 25 שנות ותק])</f>
        <v>42038.765999999996</v>
      </c>
      <c r="I26" s="64">
        <f ca="1">SUMIF(HEVARIM[דמי עזיבה 65 שנה],'פריסת שנים'!B26,HEVARIM[דמי עזיבה לגיל 65])</f>
        <v>0</v>
      </c>
      <c r="J26" s="66">
        <f t="shared" ca="1" si="2"/>
        <v>42038.765999999996</v>
      </c>
      <c r="K26" s="67">
        <f>IF($K$2&gt;=A27,'תקציבים מיוחדים'!$I$14/'פריסת שנים'!$K$2,0)</f>
        <v>0</v>
      </c>
      <c r="L26" s="68">
        <f>IF($L$2&gt;=A27,'תקציבים מיוחדים'!$I$11/'פריסת שנים'!$L$2,0)</f>
        <v>0</v>
      </c>
      <c r="M26" s="299">
        <f>SUMIF('תקציב צביעה - לקראת השינוי'!D:D,'פריסת שנים'!B26,'תקציב צביעה - לקראת השינוי'!F:F)</f>
        <v>0</v>
      </c>
      <c r="N26" s="73">
        <f t="shared" ca="1" si="3"/>
        <v>67972.694571428568</v>
      </c>
    </row>
    <row r="27" spans="1:14">
      <c r="A27" s="71">
        <v>23</v>
      </c>
      <c r="B27" s="28">
        <v>2048</v>
      </c>
      <c r="C27" s="64">
        <f ca="1">SUMIF(HEVARIM[בר מצווה שנה],'פריסת שנים'!B27,HEVARIM[בר מצוה])</f>
        <v>0</v>
      </c>
      <c r="D27" s="64">
        <f ca="1">SUMIF(HEVARIM[בת מצווה שנה],'פריסת שנים'!B27,HEVARIM[בת מצוה])</f>
        <v>0</v>
      </c>
      <c r="E27" s="64">
        <f ca="1">SUMIF(HEVARIM[חתונה שנה],'פריסת שנים'!B26,HEVARIM[מענק חתונה])</f>
        <v>0</v>
      </c>
      <c r="F27" s="64">
        <f ca="1">SUMIF(HEVARIM[לימוד שנה],'פריסת שנים'!B27,HEVARIM[מענק לימודים])</f>
        <v>0</v>
      </c>
      <c r="G27" s="65">
        <f t="shared" ca="1" si="1"/>
        <v>0</v>
      </c>
      <c r="H27" s="64">
        <f ca="1">SUMIF(HEVARIM[דמי עזיבה 25 שנה],'פריסת שנים'!B27,HEVARIM[דמי עזיבה 25 שנות ותק])</f>
        <v>66571.388729999977</v>
      </c>
      <c r="I27" s="64">
        <f ca="1">SUMIF(HEVARIM[דמי עזיבה 65 שנה],'פריסת שנים'!B27,HEVARIM[דמי עזיבה לגיל 65])</f>
        <v>0</v>
      </c>
      <c r="J27" s="66">
        <f t="shared" ca="1" si="2"/>
        <v>66571.388729999977</v>
      </c>
      <c r="K27" s="67">
        <f>IF($K$2&gt;=A28,'תקציבים מיוחדים'!$I$14/'פריסת שנים'!$K$2,0)</f>
        <v>0</v>
      </c>
      <c r="L27" s="68">
        <f>IF($L$2&gt;=A28,'תקציבים מיוחדים'!$I$11/'פריסת שנים'!$L$2,0)</f>
        <v>0</v>
      </c>
      <c r="M27" s="299">
        <f>SUMIF('תקציב צביעה - לקראת השינוי'!D:D,'פריסת שנים'!B27,'תקציב צביעה - לקראת השינוי'!F:F)</f>
        <v>0</v>
      </c>
      <c r="N27" s="73">
        <f t="shared" ca="1" si="3"/>
        <v>66571.388729999977</v>
      </c>
    </row>
    <row r="28" spans="1:14">
      <c r="A28" s="71">
        <v>24</v>
      </c>
      <c r="B28" s="28">
        <v>2049</v>
      </c>
      <c r="C28" s="64">
        <f ca="1">SUMIF(HEVARIM[בר מצווה שנה],'פריסת שנים'!B28,HEVARIM[בר מצוה])</f>
        <v>0</v>
      </c>
      <c r="D28" s="64">
        <f ca="1">SUMIF(HEVARIM[בת מצווה שנה],'פריסת שנים'!B28,HEVARIM[בת מצוה])</f>
        <v>0</v>
      </c>
      <c r="E28" s="64">
        <f ca="1">SUMIF(HEVARIM[חתונה שנה],'פריסת שנים'!B27,HEVARIM[מענק חתונה])</f>
        <v>0</v>
      </c>
      <c r="F28" s="64">
        <f ca="1">SUMIF(HEVARIM[לימוד שנה],'פריסת שנים'!B28,HEVARIM[מענק לימודים])</f>
        <v>0</v>
      </c>
      <c r="G28" s="65">
        <f t="shared" ca="1" si="1"/>
        <v>0</v>
      </c>
      <c r="H28" s="64">
        <f ca="1">SUMIF(HEVARIM[דמי עזיבה 25 שנה],'פריסת שנים'!B28,HEVARIM[דמי עזיבה 25 שנות ותק])</f>
        <v>8978.2793099999999</v>
      </c>
      <c r="I28" s="64">
        <f ca="1">SUMIF(HEVARIM[דמי עזיבה 65 שנה],'פריסת שנים'!B28,HEVARIM[דמי עזיבה לגיל 65])</f>
        <v>0</v>
      </c>
      <c r="J28" s="66">
        <f t="shared" ca="1" si="2"/>
        <v>8978.2793099999999</v>
      </c>
      <c r="K28" s="67">
        <f>IF($K$2&gt;=A29,'תקציבים מיוחדים'!$I$14/'פריסת שנים'!$K$2,0)</f>
        <v>0</v>
      </c>
      <c r="L28" s="68">
        <f>IF($L$2&gt;=A29,'תקציבים מיוחדים'!$I$11/'פריסת שנים'!$L$2,0)</f>
        <v>0</v>
      </c>
      <c r="M28" s="299">
        <f>SUMIF('תקציב צביעה - לקראת השינוי'!D:D,'פריסת שנים'!B28,'תקציב צביעה - לקראת השינוי'!F:F)</f>
        <v>0</v>
      </c>
      <c r="N28" s="73">
        <f t="shared" ca="1" si="3"/>
        <v>8978.2793099999999</v>
      </c>
    </row>
    <row r="29" spans="1:14">
      <c r="A29" s="71">
        <v>25</v>
      </c>
      <c r="B29" s="304">
        <v>2050</v>
      </c>
      <c r="C29" s="64">
        <f ca="1">SUMIF(HEVARIM[בר מצווה שנה],'פריסת שנים'!B29,HEVARIM[בר מצוה])</f>
        <v>0</v>
      </c>
      <c r="D29" s="64">
        <f ca="1">SUMIF(HEVARIM[בת מצווה שנה],'פריסת שנים'!B29,HEVARIM[בת מצוה])</f>
        <v>0</v>
      </c>
      <c r="E29" s="64">
        <f ca="1">SUMIF(HEVARIM[חתונה שנה],'פריסת שנים'!B28,HEVARIM[מענק חתונה])</f>
        <v>0</v>
      </c>
      <c r="F29" s="64">
        <f ca="1">SUMIF(HEVARIM[לימוד שנה],'פריסת שנים'!B29,HEVARIM[מענק לימודים])</f>
        <v>0</v>
      </c>
      <c r="G29" s="65">
        <f t="shared" ref="G29" ca="1" si="4">SUM(C29:F29)</f>
        <v>0</v>
      </c>
      <c r="H29" s="64">
        <f ca="1">SUMIF(HEVARIM[דמי עזיבה 25 שנה],'פריסת שנים'!B29,HEVARIM[דמי עזיבה 25 שנות ותק])</f>
        <v>0</v>
      </c>
      <c r="I29" s="64">
        <f ca="1">SUMIF(HEVARIM[דמי עזיבה 65 שנה],'פריסת שנים'!B29,HEVARIM[דמי עזיבה לגיל 65])</f>
        <v>0</v>
      </c>
      <c r="J29" s="66">
        <f t="shared" ref="J29" ca="1" si="5">I29+H29</f>
        <v>0</v>
      </c>
      <c r="K29" s="67">
        <f>IF($K$2&gt;=A30,'תקציבים מיוחדים'!$I$14/'פריסת שנים'!$K$2,0)</f>
        <v>0</v>
      </c>
      <c r="L29" s="68">
        <f>IF($L$2&gt;=A30,'תקציבים מיוחדים'!$I$11/'פריסת שנים'!$L$2,0)</f>
        <v>0</v>
      </c>
      <c r="M29" s="299">
        <f>SUMIF('תקציב צביעה - לקראת השינוי'!D:D,'פריסת שנים'!B29,'תקציב צביעה - לקראת השינוי'!F:F)</f>
        <v>0</v>
      </c>
      <c r="N29" s="73">
        <f t="shared" ref="N29" ca="1" si="6">G29+J29+K29+L29+M29</f>
        <v>0</v>
      </c>
    </row>
    <row r="30" spans="1:14">
      <c r="A30" s="7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E595-CE65-473A-8C73-6F18D088F6F4}">
  <sheetPr codeName="Sheet4"/>
  <dimension ref="A1:J171"/>
  <sheetViews>
    <sheetView rightToLeft="1" zoomScale="160" zoomScaleNormal="160" workbookViewId="0">
      <pane ySplit="6" topLeftCell="A7" activePane="bottomLeft" state="frozen"/>
      <selection pane="bottomLeft" activeCell="D5" sqref="D5"/>
    </sheetView>
  </sheetViews>
  <sheetFormatPr defaultRowHeight="14.4"/>
  <cols>
    <col min="1" max="1" width="14" style="13" customWidth="1"/>
    <col min="2" max="2" width="20.44140625" hidden="1" customWidth="1"/>
    <col min="3" max="3" width="12" bestFit="1" customWidth="1"/>
    <col min="4" max="4" width="13.6640625" bestFit="1" customWidth="1"/>
    <col min="5" max="5" width="28.6640625" customWidth="1"/>
    <col min="8" max="8" width="14.33203125" bestFit="1" customWidth="1"/>
    <col min="10" max="10" width="11.44140625" bestFit="1" customWidth="1"/>
  </cols>
  <sheetData>
    <row r="1" spans="1:10">
      <c r="D1" s="29">
        <f>SUM(D7:D166)</f>
        <v>10830549.311999999</v>
      </c>
    </row>
    <row r="2" spans="1:10" ht="15" thickBot="1"/>
    <row r="3" spans="1:10">
      <c r="D3">
        <v>21</v>
      </c>
      <c r="E3" t="s">
        <v>3794</v>
      </c>
      <c r="G3" s="30">
        <f>COUNTIF(D7:D166,"&gt;0")</f>
        <v>29</v>
      </c>
      <c r="H3" s="103">
        <f>SUMIF(D7:D166,"&gt;0")</f>
        <v>10830549.311999999</v>
      </c>
      <c r="J3" s="6">
        <f>G3*D5</f>
        <v>18374400</v>
      </c>
    </row>
    <row r="4" spans="1:10" ht="15" thickBot="1">
      <c r="A4" s="101" t="s">
        <v>9</v>
      </c>
      <c r="B4" s="13" t="s">
        <v>11</v>
      </c>
      <c r="D4" s="97">
        <f>'תקציבים מיוחדים'!F11</f>
        <v>20</v>
      </c>
      <c r="E4" t="s">
        <v>3795</v>
      </c>
      <c r="G4" s="105">
        <f>COUNTIF(D7:D166,"&lt;0")</f>
        <v>0</v>
      </c>
      <c r="H4" s="106">
        <f>SUMIF(D7:D166,"&lt;0")</f>
        <v>0</v>
      </c>
    </row>
    <row r="5" spans="1:10" ht="15.6" thickTop="1" thickBot="1">
      <c r="D5" s="1">
        <f>'תקציבים מיוחדים'!D11</f>
        <v>633600</v>
      </c>
      <c r="E5" t="s">
        <v>3793</v>
      </c>
      <c r="G5" s="21">
        <f>SUM(G3:G4)</f>
        <v>29</v>
      </c>
      <c r="H5" s="104">
        <f>SUM(H3:H4)</f>
        <v>10830549.311999999</v>
      </c>
    </row>
    <row r="6" spans="1:10" s="98" customFormat="1" ht="36" customHeight="1">
      <c r="A6" s="99" t="s">
        <v>43</v>
      </c>
      <c r="B6" s="99" t="s">
        <v>44</v>
      </c>
      <c r="C6" s="100" t="s">
        <v>3792</v>
      </c>
      <c r="D6" s="102" t="s">
        <v>3796</v>
      </c>
    </row>
    <row r="7" spans="1:10">
      <c r="A7" s="13" t="s">
        <v>101</v>
      </c>
      <c r="B7" t="s">
        <v>102</v>
      </c>
      <c r="C7" s="87">
        <v>86.59</v>
      </c>
      <c r="D7" s="29">
        <f t="shared" ref="D7:D9" si="0">IF(C7&lt;$D$3,$D$4/C7*$D$5,IF(C7&lt;$D$4,$D$4/C7*$D$5-$D$5,0))</f>
        <v>0</v>
      </c>
    </row>
    <row r="8" spans="1:10">
      <c r="A8" s="13" t="s">
        <v>115</v>
      </c>
      <c r="B8" t="s">
        <v>116</v>
      </c>
      <c r="C8" s="87">
        <v>96</v>
      </c>
      <c r="D8" s="29">
        <f t="shared" si="0"/>
        <v>0</v>
      </c>
    </row>
    <row r="9" spans="1:10">
      <c r="A9" s="13" t="s">
        <v>134</v>
      </c>
      <c r="B9" t="s">
        <v>135</v>
      </c>
      <c r="C9" s="87">
        <v>93.09</v>
      </c>
      <c r="D9" s="29">
        <f t="shared" si="0"/>
        <v>0</v>
      </c>
    </row>
    <row r="10" spans="1:10">
      <c r="A10" s="13" t="s">
        <v>143</v>
      </c>
      <c r="B10" t="s">
        <v>140</v>
      </c>
      <c r="C10" s="87">
        <v>48</v>
      </c>
      <c r="D10" s="29">
        <f t="shared" ref="D10:D73" si="1">IF(C10&lt;$D$3,IF(C10&gt;$D$4,$D$5,C10/$D$4*$D$5),IF(C10&lt;$D$4,C10/$D$4*$D$5-$D$5,0))</f>
        <v>0</v>
      </c>
    </row>
    <row r="11" spans="1:10">
      <c r="A11" s="13" t="s">
        <v>150</v>
      </c>
      <c r="B11" t="s">
        <v>151</v>
      </c>
      <c r="C11" s="87">
        <v>75.849999999999994</v>
      </c>
      <c r="D11" s="29">
        <f t="shared" si="1"/>
        <v>0</v>
      </c>
    </row>
    <row r="12" spans="1:10">
      <c r="A12" s="13" t="s">
        <v>161</v>
      </c>
      <c r="B12" t="s">
        <v>162</v>
      </c>
      <c r="C12" s="87">
        <v>96</v>
      </c>
      <c r="D12" s="29">
        <f t="shared" si="1"/>
        <v>0</v>
      </c>
    </row>
    <row r="13" spans="1:10">
      <c r="A13" s="13" t="s">
        <v>178</v>
      </c>
      <c r="B13" t="s">
        <v>179</v>
      </c>
      <c r="C13" s="87">
        <v>72.08</v>
      </c>
      <c r="D13" s="29">
        <f t="shared" si="1"/>
        <v>0</v>
      </c>
    </row>
    <row r="14" spans="1:10">
      <c r="A14" s="13" t="s">
        <v>68</v>
      </c>
      <c r="B14" t="s">
        <v>69</v>
      </c>
      <c r="C14" s="87">
        <v>82.19</v>
      </c>
      <c r="D14" s="29">
        <f t="shared" si="1"/>
        <v>0</v>
      </c>
    </row>
    <row r="15" spans="1:10">
      <c r="A15" s="13" t="s">
        <v>215</v>
      </c>
      <c r="B15" t="s">
        <v>216</v>
      </c>
      <c r="C15" s="87">
        <v>29.19</v>
      </c>
      <c r="D15" s="29">
        <f t="shared" si="1"/>
        <v>0</v>
      </c>
    </row>
    <row r="16" spans="1:10">
      <c r="A16" s="13" t="s">
        <v>237</v>
      </c>
      <c r="B16" t="s">
        <v>238</v>
      </c>
      <c r="C16" s="87">
        <v>37.36</v>
      </c>
      <c r="D16" s="29">
        <f t="shared" si="1"/>
        <v>0</v>
      </c>
    </row>
    <row r="17" spans="1:4">
      <c r="A17" s="13" t="s">
        <v>244</v>
      </c>
      <c r="B17" t="s">
        <v>245</v>
      </c>
      <c r="C17" s="87">
        <v>14.8</v>
      </c>
      <c r="D17" s="29">
        <f>IF(C17&lt;$D$3,IF(C17&gt;$D$4,$D$5,C17/$D$4*$D$5),IF(C17&lt;$D$4,C17/$D$4*$D$5-$D$5,0))*0.58</f>
        <v>271941.12</v>
      </c>
    </row>
    <row r="18" spans="1:4">
      <c r="A18" s="13" t="s">
        <v>258</v>
      </c>
      <c r="B18" t="s">
        <v>256</v>
      </c>
      <c r="C18" s="87">
        <v>43.44</v>
      </c>
      <c r="D18" s="29">
        <f t="shared" si="1"/>
        <v>0</v>
      </c>
    </row>
    <row r="19" spans="1:4">
      <c r="A19" s="13" t="s">
        <v>290</v>
      </c>
      <c r="B19" t="s">
        <v>291</v>
      </c>
      <c r="C19" s="87">
        <v>27.52</v>
      </c>
      <c r="D19" s="29">
        <f t="shared" si="1"/>
        <v>0</v>
      </c>
    </row>
    <row r="20" spans="1:4">
      <c r="A20" s="13" t="s">
        <v>316</v>
      </c>
      <c r="B20" t="s">
        <v>317</v>
      </c>
      <c r="C20" s="87">
        <v>15.16</v>
      </c>
      <c r="D20" s="29">
        <f t="shared" si="1"/>
        <v>480268.79999999999</v>
      </c>
    </row>
    <row r="21" spans="1:4">
      <c r="A21" s="13" t="s">
        <v>366</v>
      </c>
      <c r="B21" t="s">
        <v>367</v>
      </c>
      <c r="C21" s="87">
        <v>17.68</v>
      </c>
      <c r="D21" s="29">
        <f t="shared" si="1"/>
        <v>560102.40000000002</v>
      </c>
    </row>
    <row r="22" spans="1:4">
      <c r="A22" s="13" t="s">
        <v>250</v>
      </c>
      <c r="B22" t="s">
        <v>251</v>
      </c>
      <c r="C22" s="87">
        <v>18.18</v>
      </c>
      <c r="D22" s="29">
        <v>0</v>
      </c>
    </row>
    <row r="23" spans="1:4">
      <c r="A23" s="13" t="s">
        <v>433</v>
      </c>
      <c r="B23" t="s">
        <v>434</v>
      </c>
      <c r="C23" s="87">
        <v>96</v>
      </c>
      <c r="D23" s="29">
        <f t="shared" si="1"/>
        <v>0</v>
      </c>
    </row>
    <row r="24" spans="1:4">
      <c r="A24" s="13" t="s">
        <v>444</v>
      </c>
      <c r="B24" t="s">
        <v>445</v>
      </c>
      <c r="C24" s="87">
        <v>44.69</v>
      </c>
      <c r="D24" s="29">
        <f t="shared" si="1"/>
        <v>0</v>
      </c>
    </row>
    <row r="25" spans="1:4">
      <c r="A25" s="13" t="s">
        <v>452</v>
      </c>
      <c r="B25" t="s">
        <v>453</v>
      </c>
      <c r="C25" s="87">
        <v>31.36</v>
      </c>
      <c r="D25" s="29">
        <f t="shared" si="1"/>
        <v>0</v>
      </c>
    </row>
    <row r="26" spans="1:4">
      <c r="A26" s="13" t="s">
        <v>468</v>
      </c>
      <c r="B26" t="s">
        <v>469</v>
      </c>
      <c r="C26" s="87">
        <v>86.87</v>
      </c>
      <c r="D26" s="29">
        <f t="shared" si="1"/>
        <v>0</v>
      </c>
    </row>
    <row r="27" spans="1:4">
      <c r="A27" s="13" t="s">
        <v>477</v>
      </c>
      <c r="B27" t="s">
        <v>478</v>
      </c>
      <c r="C27" s="87">
        <v>73.66</v>
      </c>
      <c r="D27" s="29">
        <f t="shared" si="1"/>
        <v>0</v>
      </c>
    </row>
    <row r="28" spans="1:4">
      <c r="A28" s="13" t="s">
        <v>489</v>
      </c>
      <c r="B28" t="s">
        <v>490</v>
      </c>
      <c r="C28" s="87">
        <v>95.82</v>
      </c>
      <c r="D28" s="29">
        <f t="shared" si="1"/>
        <v>0</v>
      </c>
    </row>
    <row r="29" spans="1:4">
      <c r="A29" s="13" t="s">
        <v>498</v>
      </c>
      <c r="B29" t="s">
        <v>499</v>
      </c>
      <c r="C29" s="87">
        <v>96</v>
      </c>
      <c r="D29" s="29">
        <f t="shared" si="1"/>
        <v>0</v>
      </c>
    </row>
    <row r="30" spans="1:4">
      <c r="A30" s="13" t="s">
        <v>509</v>
      </c>
      <c r="B30" t="s">
        <v>510</v>
      </c>
      <c r="C30" s="87">
        <v>96</v>
      </c>
      <c r="D30" s="29">
        <f t="shared" si="1"/>
        <v>0</v>
      </c>
    </row>
    <row r="31" spans="1:4">
      <c r="A31" s="13" t="s">
        <v>520</v>
      </c>
      <c r="B31" t="s">
        <v>521</v>
      </c>
      <c r="C31" s="87">
        <v>91.15</v>
      </c>
      <c r="D31" s="29">
        <f t="shared" si="1"/>
        <v>0</v>
      </c>
    </row>
    <row r="32" spans="1:4">
      <c r="A32" s="13" t="s">
        <v>529</v>
      </c>
      <c r="B32" t="s">
        <v>530</v>
      </c>
      <c r="C32" s="87">
        <v>87.919999999999987</v>
      </c>
      <c r="D32" s="29">
        <f t="shared" si="1"/>
        <v>0</v>
      </c>
    </row>
    <row r="33" spans="1:4">
      <c r="A33" s="13" t="s">
        <v>540</v>
      </c>
      <c r="B33" t="s">
        <v>541</v>
      </c>
      <c r="C33" s="87">
        <v>28.02</v>
      </c>
      <c r="D33" s="29">
        <f t="shared" si="1"/>
        <v>0</v>
      </c>
    </row>
    <row r="34" spans="1:4">
      <c r="A34" s="13" t="s">
        <v>575</v>
      </c>
      <c r="B34" t="s">
        <v>576</v>
      </c>
      <c r="C34" s="87">
        <v>28.240000000000002</v>
      </c>
      <c r="D34" s="29">
        <f t="shared" si="1"/>
        <v>0</v>
      </c>
    </row>
    <row r="35" spans="1:4">
      <c r="A35" s="13" t="s">
        <v>549</v>
      </c>
      <c r="B35" t="s">
        <v>550</v>
      </c>
      <c r="C35" s="87">
        <v>42.7</v>
      </c>
      <c r="D35" s="29">
        <f t="shared" si="1"/>
        <v>0</v>
      </c>
    </row>
    <row r="36" spans="1:4">
      <c r="A36" s="13" t="s">
        <v>611</v>
      </c>
      <c r="B36" t="s">
        <v>612</v>
      </c>
      <c r="C36" s="87">
        <v>16.28</v>
      </c>
      <c r="D36" s="29">
        <v>0</v>
      </c>
    </row>
    <row r="37" spans="1:4">
      <c r="A37" s="13" t="s">
        <v>627</v>
      </c>
      <c r="B37" t="s">
        <v>628</v>
      </c>
      <c r="C37" s="87">
        <v>6.06</v>
      </c>
      <c r="D37" s="29">
        <f t="shared" si="1"/>
        <v>191980.79999999999</v>
      </c>
    </row>
    <row r="38" spans="1:4">
      <c r="A38" s="13" t="s">
        <v>646</v>
      </c>
      <c r="B38" t="s">
        <v>647</v>
      </c>
      <c r="C38" s="87">
        <v>33.51</v>
      </c>
      <c r="D38" s="29">
        <f t="shared" si="1"/>
        <v>0</v>
      </c>
    </row>
    <row r="39" spans="1:4">
      <c r="A39" s="13" t="s">
        <v>681</v>
      </c>
      <c r="B39" t="s">
        <v>682</v>
      </c>
      <c r="C39" s="87">
        <v>93.52000000000001</v>
      </c>
      <c r="D39" s="29">
        <f t="shared" si="1"/>
        <v>0</v>
      </c>
    </row>
    <row r="40" spans="1:4">
      <c r="A40" s="13" t="s">
        <v>691</v>
      </c>
      <c r="B40" t="s">
        <v>692</v>
      </c>
      <c r="C40" s="87">
        <v>41.54</v>
      </c>
      <c r="D40" s="29">
        <f t="shared" si="1"/>
        <v>0</v>
      </c>
    </row>
    <row r="41" spans="1:4">
      <c r="A41" s="13" t="s">
        <v>700</v>
      </c>
      <c r="B41" t="s">
        <v>701</v>
      </c>
      <c r="C41" s="87">
        <v>96</v>
      </c>
      <c r="D41" s="29">
        <f t="shared" si="1"/>
        <v>0</v>
      </c>
    </row>
    <row r="42" spans="1:4">
      <c r="A42" s="13" t="s">
        <v>710</v>
      </c>
      <c r="B42" t="s">
        <v>711</v>
      </c>
      <c r="C42" s="87">
        <v>66.039999999999992</v>
      </c>
      <c r="D42" s="29">
        <f t="shared" si="1"/>
        <v>0</v>
      </c>
    </row>
    <row r="43" spans="1:4">
      <c r="A43" s="13" t="s">
        <v>719</v>
      </c>
      <c r="B43" t="s">
        <v>720</v>
      </c>
      <c r="C43" s="87">
        <v>81.98</v>
      </c>
      <c r="D43" s="29">
        <f t="shared" si="1"/>
        <v>0</v>
      </c>
    </row>
    <row r="44" spans="1:4">
      <c r="A44" s="13" t="s">
        <v>729</v>
      </c>
      <c r="B44" t="s">
        <v>730</v>
      </c>
      <c r="C44" s="87">
        <v>42</v>
      </c>
      <c r="D44" s="29">
        <f t="shared" si="1"/>
        <v>0</v>
      </c>
    </row>
    <row r="45" spans="1:4">
      <c r="A45" s="13" t="s">
        <v>755</v>
      </c>
      <c r="B45" t="s">
        <v>756</v>
      </c>
      <c r="C45" s="87">
        <v>56.17</v>
      </c>
      <c r="D45" s="29">
        <f t="shared" si="1"/>
        <v>0</v>
      </c>
    </row>
    <row r="46" spans="1:4">
      <c r="A46" s="13" t="s">
        <v>790</v>
      </c>
      <c r="B46" t="s">
        <v>791</v>
      </c>
      <c r="C46" s="87">
        <v>18.93</v>
      </c>
      <c r="D46" s="29">
        <v>0</v>
      </c>
    </row>
    <row r="47" spans="1:4">
      <c r="A47" s="13" t="s">
        <v>827</v>
      </c>
      <c r="B47" t="s">
        <v>828</v>
      </c>
      <c r="C47" s="87">
        <v>21.6</v>
      </c>
      <c r="D47" s="29">
        <f t="shared" si="1"/>
        <v>0</v>
      </c>
    </row>
    <row r="48" spans="1:4">
      <c r="A48" s="13" t="s">
        <v>869</v>
      </c>
      <c r="B48" t="s">
        <v>870</v>
      </c>
      <c r="C48" s="87">
        <v>13.68</v>
      </c>
      <c r="D48" s="29">
        <f t="shared" si="1"/>
        <v>433382.39999999997</v>
      </c>
    </row>
    <row r="49" spans="1:4">
      <c r="A49" s="13" t="s">
        <v>796</v>
      </c>
      <c r="B49" t="s">
        <v>794</v>
      </c>
      <c r="C49" s="87">
        <v>18.93</v>
      </c>
      <c r="D49" s="29">
        <f>IF(C49&lt;$D$3,IF(C49&gt;$D$4,$D$5,C49/$D$4*$D$5),IF(C49&lt;$D$4,C49/$D$4*$D$5-$D$5,0))*0.58</f>
        <v>347827.39199999999</v>
      </c>
    </row>
    <row r="50" spans="1:4">
      <c r="A50" s="13" t="s">
        <v>904</v>
      </c>
      <c r="B50" t="s">
        <v>905</v>
      </c>
      <c r="C50" s="87">
        <v>95.960000000000008</v>
      </c>
      <c r="D50" s="29">
        <f t="shared" si="1"/>
        <v>0</v>
      </c>
    </row>
    <row r="51" spans="1:4">
      <c r="A51" s="13" t="s">
        <v>919</v>
      </c>
      <c r="B51" t="s">
        <v>920</v>
      </c>
      <c r="C51" s="87">
        <v>21.18</v>
      </c>
      <c r="D51" s="29">
        <f t="shared" si="1"/>
        <v>0</v>
      </c>
    </row>
    <row r="52" spans="1:4">
      <c r="A52" s="13" t="s">
        <v>939</v>
      </c>
      <c r="B52" t="s">
        <v>940</v>
      </c>
      <c r="C52" s="87">
        <v>93.87</v>
      </c>
      <c r="D52" s="29">
        <f t="shared" si="1"/>
        <v>0</v>
      </c>
    </row>
    <row r="53" spans="1:4">
      <c r="A53" s="13" t="s">
        <v>949</v>
      </c>
      <c r="B53" t="s">
        <v>950</v>
      </c>
      <c r="C53" s="87">
        <v>94.28</v>
      </c>
      <c r="D53" s="29">
        <f t="shared" si="1"/>
        <v>0</v>
      </c>
    </row>
    <row r="54" spans="1:4">
      <c r="A54" s="13" t="s">
        <v>958</v>
      </c>
      <c r="B54" t="s">
        <v>956</v>
      </c>
      <c r="C54" s="87">
        <v>34.19</v>
      </c>
      <c r="D54" s="29">
        <f t="shared" si="1"/>
        <v>0</v>
      </c>
    </row>
    <row r="55" spans="1:4">
      <c r="A55" s="13" t="s">
        <v>968</v>
      </c>
      <c r="B55" t="s">
        <v>969</v>
      </c>
      <c r="C55" s="87">
        <v>6.38</v>
      </c>
      <c r="D55" s="29">
        <f t="shared" si="1"/>
        <v>202118.39999999999</v>
      </c>
    </row>
    <row r="56" spans="1:4">
      <c r="A56" s="13" t="s">
        <v>984</v>
      </c>
      <c r="B56" t="s">
        <v>983</v>
      </c>
      <c r="C56" s="87">
        <v>36.86</v>
      </c>
      <c r="D56" s="29">
        <f t="shared" si="1"/>
        <v>0</v>
      </c>
    </row>
    <row r="57" spans="1:4">
      <c r="A57" s="13" t="s">
        <v>990</v>
      </c>
      <c r="B57" t="s">
        <v>987</v>
      </c>
      <c r="C57" s="87">
        <v>17.27</v>
      </c>
      <c r="D57" s="29">
        <v>0</v>
      </c>
    </row>
    <row r="58" spans="1:4">
      <c r="A58" s="13" t="s">
        <v>996</v>
      </c>
      <c r="B58" t="s">
        <v>997</v>
      </c>
      <c r="C58" s="87">
        <v>83.15</v>
      </c>
      <c r="D58" s="29">
        <f t="shared" si="1"/>
        <v>0</v>
      </c>
    </row>
    <row r="59" spans="1:4">
      <c r="A59" s="13" t="s">
        <v>1011</v>
      </c>
      <c r="B59" t="s">
        <v>1012</v>
      </c>
      <c r="C59" s="87">
        <v>48</v>
      </c>
      <c r="D59" s="29">
        <f t="shared" si="1"/>
        <v>0</v>
      </c>
    </row>
    <row r="60" spans="1:4">
      <c r="A60" s="13" t="s">
        <v>1019</v>
      </c>
      <c r="B60" t="s">
        <v>1020</v>
      </c>
      <c r="C60" s="87">
        <v>92.16</v>
      </c>
      <c r="D60" s="29">
        <f t="shared" si="1"/>
        <v>0</v>
      </c>
    </row>
    <row r="61" spans="1:4">
      <c r="A61" s="13" t="s">
        <v>1029</v>
      </c>
      <c r="B61" t="s">
        <v>1030</v>
      </c>
      <c r="C61" s="87">
        <v>81.8</v>
      </c>
      <c r="D61" s="29">
        <f t="shared" si="1"/>
        <v>0</v>
      </c>
    </row>
    <row r="62" spans="1:4">
      <c r="A62" s="13" t="s">
        <v>1044</v>
      </c>
      <c r="B62" t="s">
        <v>1045</v>
      </c>
      <c r="C62" s="87">
        <v>35.64</v>
      </c>
      <c r="D62" s="29">
        <f t="shared" si="1"/>
        <v>0</v>
      </c>
    </row>
    <row r="63" spans="1:4">
      <c r="A63" s="13" t="s">
        <v>1066</v>
      </c>
      <c r="B63" t="s">
        <v>1067</v>
      </c>
      <c r="C63" s="87">
        <v>32.79</v>
      </c>
      <c r="D63" s="29">
        <f t="shared" si="1"/>
        <v>0</v>
      </c>
    </row>
    <row r="64" spans="1:4">
      <c r="A64" s="13" t="s">
        <v>1117</v>
      </c>
      <c r="B64" t="s">
        <v>1118</v>
      </c>
      <c r="C64" s="87">
        <v>11.2</v>
      </c>
      <c r="D64" s="29">
        <f t="shared" si="1"/>
        <v>354815.99999999994</v>
      </c>
    </row>
    <row r="65" spans="1:4">
      <c r="A65" s="13" t="s">
        <v>1157</v>
      </c>
      <c r="B65" t="s">
        <v>1158</v>
      </c>
      <c r="C65" s="87">
        <v>43.19</v>
      </c>
      <c r="D65" s="29">
        <f t="shared" si="1"/>
        <v>0</v>
      </c>
    </row>
    <row r="66" spans="1:4">
      <c r="A66" s="13" t="s">
        <v>1172</v>
      </c>
      <c r="B66" t="s">
        <v>1173</v>
      </c>
      <c r="C66" s="87">
        <v>92.22</v>
      </c>
      <c r="D66" s="29">
        <f t="shared" si="1"/>
        <v>0</v>
      </c>
    </row>
    <row r="67" spans="1:4">
      <c r="A67" s="13" t="s">
        <v>1180</v>
      </c>
      <c r="B67" t="s">
        <v>1181</v>
      </c>
      <c r="C67" s="87">
        <v>48</v>
      </c>
      <c r="D67" s="29">
        <f t="shared" si="1"/>
        <v>0</v>
      </c>
    </row>
    <row r="68" spans="1:4">
      <c r="A68" s="13" t="s">
        <v>1191</v>
      </c>
      <c r="B68" t="s">
        <v>1192</v>
      </c>
      <c r="C68" s="87">
        <v>86.88</v>
      </c>
      <c r="D68" s="29">
        <f t="shared" si="1"/>
        <v>0</v>
      </c>
    </row>
    <row r="69" spans="1:4">
      <c r="A69" s="13" t="s">
        <v>1204</v>
      </c>
      <c r="B69" t="s">
        <v>1205</v>
      </c>
      <c r="C69" s="87">
        <v>34.239999999999995</v>
      </c>
      <c r="D69" s="29">
        <f t="shared" si="1"/>
        <v>0</v>
      </c>
    </row>
    <row r="70" spans="1:4">
      <c r="A70" s="13" t="s">
        <v>1235</v>
      </c>
      <c r="B70" t="s">
        <v>1236</v>
      </c>
      <c r="C70" s="87">
        <v>11.5</v>
      </c>
      <c r="D70" s="29">
        <f t="shared" si="1"/>
        <v>364320</v>
      </c>
    </row>
    <row r="71" spans="1:4">
      <c r="A71" s="13" t="s">
        <v>1261</v>
      </c>
      <c r="B71" t="s">
        <v>1262</v>
      </c>
      <c r="C71" s="87">
        <v>67.3</v>
      </c>
      <c r="D71" s="29">
        <f t="shared" si="1"/>
        <v>0</v>
      </c>
    </row>
    <row r="72" spans="1:4">
      <c r="A72" s="13" t="s">
        <v>1296</v>
      </c>
      <c r="B72" t="s">
        <v>1297</v>
      </c>
      <c r="C72" s="87">
        <v>16</v>
      </c>
      <c r="D72" s="29">
        <f t="shared" si="1"/>
        <v>506880</v>
      </c>
    </row>
    <row r="73" spans="1:4">
      <c r="A73" s="13" t="s">
        <v>1347</v>
      </c>
      <c r="B73" t="s">
        <v>1348</v>
      </c>
      <c r="C73" s="87">
        <v>94.990000000000009</v>
      </c>
      <c r="D73" s="29">
        <f t="shared" si="1"/>
        <v>0</v>
      </c>
    </row>
    <row r="74" spans="1:4">
      <c r="A74" s="13" t="s">
        <v>1357</v>
      </c>
      <c r="B74" t="s">
        <v>1358</v>
      </c>
      <c r="C74" s="87">
        <v>92.66</v>
      </c>
      <c r="D74" s="29">
        <f t="shared" ref="D74:D137" si="2">IF(C74&lt;$D$3,IF(C74&gt;$D$4,$D$5,C74/$D$4*$D$5),IF(C74&lt;$D$4,C74/$D$4*$D$5-$D$5,0))</f>
        <v>0</v>
      </c>
    </row>
    <row r="75" spans="1:4">
      <c r="A75" s="13" t="s">
        <v>1367</v>
      </c>
      <c r="B75" t="s">
        <v>1368</v>
      </c>
      <c r="C75" s="87">
        <v>42.96</v>
      </c>
      <c r="D75" s="29">
        <f t="shared" si="2"/>
        <v>0</v>
      </c>
    </row>
    <row r="76" spans="1:4">
      <c r="A76" s="13" t="s">
        <v>1405</v>
      </c>
      <c r="B76" t="s">
        <v>1406</v>
      </c>
      <c r="C76" s="87">
        <v>9.66</v>
      </c>
      <c r="D76" s="29">
        <f t="shared" si="2"/>
        <v>306028.79999999999</v>
      </c>
    </row>
    <row r="77" spans="1:4">
      <c r="A77" s="13" t="s">
        <v>1426</v>
      </c>
      <c r="B77" t="s">
        <v>1427</v>
      </c>
      <c r="C77" s="87">
        <v>28.36</v>
      </c>
      <c r="D77" s="29">
        <f t="shared" si="2"/>
        <v>0</v>
      </c>
    </row>
    <row r="78" spans="1:4">
      <c r="A78" s="13" t="s">
        <v>1487</v>
      </c>
      <c r="B78" t="s">
        <v>1488</v>
      </c>
      <c r="C78" s="87">
        <v>96</v>
      </c>
      <c r="D78" s="29">
        <f t="shared" si="2"/>
        <v>0</v>
      </c>
    </row>
    <row r="79" spans="1:4">
      <c r="A79" s="13" t="s">
        <v>1497</v>
      </c>
      <c r="B79" t="s">
        <v>1498</v>
      </c>
      <c r="C79" s="87">
        <v>96</v>
      </c>
      <c r="D79" s="29">
        <f t="shared" si="2"/>
        <v>0</v>
      </c>
    </row>
    <row r="80" spans="1:4">
      <c r="A80" s="13" t="s">
        <v>1507</v>
      </c>
      <c r="B80" t="s">
        <v>1505</v>
      </c>
      <c r="C80" s="87">
        <v>36.94</v>
      </c>
      <c r="D80" s="29">
        <f t="shared" si="2"/>
        <v>0</v>
      </c>
    </row>
    <row r="81" spans="1:4">
      <c r="A81" s="13" t="s">
        <v>1517</v>
      </c>
      <c r="B81" t="s">
        <v>1518</v>
      </c>
      <c r="C81" s="87">
        <v>52.629999999999995</v>
      </c>
      <c r="D81" s="29">
        <f t="shared" si="2"/>
        <v>0</v>
      </c>
    </row>
    <row r="82" spans="1:4">
      <c r="A82" s="13" t="s">
        <v>1545</v>
      </c>
      <c r="B82" t="s">
        <v>1543</v>
      </c>
      <c r="C82" s="87">
        <v>24.9</v>
      </c>
      <c r="D82" s="29">
        <f t="shared" si="2"/>
        <v>0</v>
      </c>
    </row>
    <row r="83" spans="1:4">
      <c r="A83" s="13" t="s">
        <v>1562</v>
      </c>
      <c r="B83" t="s">
        <v>1563</v>
      </c>
      <c r="C83" s="87">
        <v>86.03</v>
      </c>
      <c r="D83" s="29">
        <f t="shared" si="2"/>
        <v>0</v>
      </c>
    </row>
    <row r="84" spans="1:4">
      <c r="A84" s="13" t="s">
        <v>1572</v>
      </c>
      <c r="B84" t="s">
        <v>1570</v>
      </c>
      <c r="C84" s="87">
        <v>38.229999999999997</v>
      </c>
      <c r="D84" s="29">
        <f t="shared" si="2"/>
        <v>0</v>
      </c>
    </row>
    <row r="85" spans="1:4">
      <c r="A85" s="13" t="s">
        <v>1578</v>
      </c>
      <c r="B85" t="s">
        <v>1579</v>
      </c>
      <c r="C85" s="87">
        <v>93.08</v>
      </c>
      <c r="D85" s="29">
        <f t="shared" si="2"/>
        <v>0</v>
      </c>
    </row>
    <row r="86" spans="1:4">
      <c r="A86" s="13" t="s">
        <v>1596</v>
      </c>
      <c r="B86" t="s">
        <v>1597</v>
      </c>
      <c r="C86" s="87">
        <v>32.22</v>
      </c>
      <c r="D86" s="29">
        <f t="shared" si="2"/>
        <v>0</v>
      </c>
    </row>
    <row r="87" spans="1:4">
      <c r="A87" s="13" t="s">
        <v>1642</v>
      </c>
      <c r="B87" t="s">
        <v>1643</v>
      </c>
      <c r="C87" s="87">
        <v>42.2</v>
      </c>
      <c r="D87" s="29">
        <f t="shared" si="2"/>
        <v>0</v>
      </c>
    </row>
    <row r="88" spans="1:4">
      <c r="A88" s="13" t="s">
        <v>1669</v>
      </c>
      <c r="B88" t="s">
        <v>1670</v>
      </c>
      <c r="C88" s="87">
        <v>53.58</v>
      </c>
      <c r="D88" s="29">
        <f t="shared" si="2"/>
        <v>0</v>
      </c>
    </row>
    <row r="89" spans="1:4">
      <c r="A89" s="13" t="s">
        <v>1697</v>
      </c>
      <c r="B89" t="s">
        <v>1695</v>
      </c>
      <c r="C89" s="87">
        <v>48</v>
      </c>
      <c r="D89" s="29">
        <f t="shared" si="2"/>
        <v>0</v>
      </c>
    </row>
    <row r="90" spans="1:4">
      <c r="A90" s="13" t="s">
        <v>1707</v>
      </c>
      <c r="B90" t="s">
        <v>1708</v>
      </c>
      <c r="C90" s="87">
        <v>96</v>
      </c>
      <c r="D90" s="29">
        <f t="shared" si="2"/>
        <v>0</v>
      </c>
    </row>
    <row r="91" spans="1:4">
      <c r="A91" s="13" t="s">
        <v>1715</v>
      </c>
      <c r="B91" t="s">
        <v>1716</v>
      </c>
      <c r="C91" s="87">
        <v>96</v>
      </c>
      <c r="D91" s="29">
        <f t="shared" si="2"/>
        <v>0</v>
      </c>
    </row>
    <row r="92" spans="1:4">
      <c r="A92" s="13" t="s">
        <v>1724</v>
      </c>
      <c r="B92" t="s">
        <v>1725</v>
      </c>
      <c r="C92" s="87">
        <v>93.9</v>
      </c>
      <c r="D92" s="29">
        <f t="shared" si="2"/>
        <v>0</v>
      </c>
    </row>
    <row r="93" spans="1:4">
      <c r="A93" s="13" t="s">
        <v>1733</v>
      </c>
      <c r="B93" t="s">
        <v>1734</v>
      </c>
      <c r="C93" s="87">
        <v>89.259999999999991</v>
      </c>
      <c r="D93" s="29">
        <f t="shared" si="2"/>
        <v>0</v>
      </c>
    </row>
    <row r="94" spans="1:4">
      <c r="A94" s="13" t="s">
        <v>1744</v>
      </c>
      <c r="B94" t="s">
        <v>1745</v>
      </c>
      <c r="C94" s="87">
        <v>92.97</v>
      </c>
      <c r="D94" s="29">
        <f t="shared" si="2"/>
        <v>0</v>
      </c>
    </row>
    <row r="95" spans="1:4">
      <c r="A95" s="13" t="s">
        <v>1754</v>
      </c>
      <c r="B95" t="s">
        <v>1752</v>
      </c>
      <c r="C95" s="87">
        <v>34.229999999999997</v>
      </c>
      <c r="D95" s="29">
        <f t="shared" si="2"/>
        <v>0</v>
      </c>
    </row>
    <row r="96" spans="1:4">
      <c r="A96" s="13" t="s">
        <v>1766</v>
      </c>
      <c r="B96" t="s">
        <v>1767</v>
      </c>
      <c r="C96" s="87">
        <v>18.34</v>
      </c>
      <c r="D96" s="29">
        <f t="shared" si="2"/>
        <v>581011.20000000007</v>
      </c>
    </row>
    <row r="97" spans="1:4">
      <c r="A97" s="13" t="s">
        <v>1792</v>
      </c>
      <c r="B97" t="s">
        <v>1793</v>
      </c>
      <c r="C97" s="87">
        <v>92.78</v>
      </c>
      <c r="D97" s="29">
        <f t="shared" si="2"/>
        <v>0</v>
      </c>
    </row>
    <row r="98" spans="1:4">
      <c r="A98" s="13" t="s">
        <v>1812</v>
      </c>
      <c r="B98" t="s">
        <v>1813</v>
      </c>
      <c r="C98" s="87">
        <v>96</v>
      </c>
      <c r="D98" s="29">
        <f t="shared" si="2"/>
        <v>0</v>
      </c>
    </row>
    <row r="99" spans="1:4">
      <c r="A99" s="13" t="s">
        <v>1821</v>
      </c>
      <c r="B99" t="s">
        <v>1822</v>
      </c>
      <c r="C99" s="87">
        <v>96</v>
      </c>
      <c r="D99" s="29">
        <f t="shared" si="2"/>
        <v>0</v>
      </c>
    </row>
    <row r="100" spans="1:4">
      <c r="A100" s="13" t="s">
        <v>1829</v>
      </c>
      <c r="B100" t="s">
        <v>1830</v>
      </c>
      <c r="C100" s="87">
        <v>66.67</v>
      </c>
      <c r="D100" s="29">
        <f t="shared" si="2"/>
        <v>0</v>
      </c>
    </row>
    <row r="101" spans="1:4">
      <c r="A101" s="13" t="s">
        <v>1849</v>
      </c>
      <c r="B101" t="s">
        <v>1850</v>
      </c>
      <c r="C101" s="87">
        <v>43.870000000000005</v>
      </c>
      <c r="D101" s="29">
        <f t="shared" si="2"/>
        <v>0</v>
      </c>
    </row>
    <row r="102" spans="1:4">
      <c r="A102" s="13" t="s">
        <v>1868</v>
      </c>
      <c r="B102" t="s">
        <v>1869</v>
      </c>
      <c r="C102" s="87">
        <v>73.06</v>
      </c>
      <c r="D102" s="29">
        <f t="shared" si="2"/>
        <v>0</v>
      </c>
    </row>
    <row r="103" spans="1:4">
      <c r="A103" s="13" t="s">
        <v>1878</v>
      </c>
      <c r="B103" t="s">
        <v>1879</v>
      </c>
      <c r="C103" s="87">
        <v>53.84</v>
      </c>
      <c r="D103" s="29">
        <f t="shared" si="2"/>
        <v>0</v>
      </c>
    </row>
    <row r="104" spans="1:4">
      <c r="A104" s="13" t="s">
        <v>1890</v>
      </c>
      <c r="B104" t="s">
        <v>1891</v>
      </c>
      <c r="C104" s="87">
        <v>28.02</v>
      </c>
      <c r="D104" s="29">
        <f t="shared" si="2"/>
        <v>0</v>
      </c>
    </row>
    <row r="105" spans="1:4">
      <c r="A105" s="13" t="s">
        <v>1925</v>
      </c>
      <c r="B105" t="s">
        <v>1922</v>
      </c>
      <c r="C105" s="87">
        <v>25.56</v>
      </c>
      <c r="D105" s="29">
        <f t="shared" si="2"/>
        <v>0</v>
      </c>
    </row>
    <row r="106" spans="1:4">
      <c r="A106" s="13" t="s">
        <v>1952</v>
      </c>
      <c r="B106" t="s">
        <v>1953</v>
      </c>
      <c r="C106" s="87">
        <v>11</v>
      </c>
      <c r="D106" s="29">
        <f t="shared" si="2"/>
        <v>348480</v>
      </c>
    </row>
    <row r="107" spans="1:4">
      <c r="A107" s="13" t="s">
        <v>1981</v>
      </c>
      <c r="B107" t="s">
        <v>1982</v>
      </c>
      <c r="C107" s="87">
        <v>24.02</v>
      </c>
      <c r="D107" s="29">
        <f t="shared" si="2"/>
        <v>0</v>
      </c>
    </row>
    <row r="108" spans="1:4">
      <c r="A108" s="13" t="s">
        <v>2006</v>
      </c>
      <c r="B108" t="s">
        <v>2007</v>
      </c>
      <c r="C108" s="87">
        <v>32.36</v>
      </c>
      <c r="D108" s="29">
        <f t="shared" si="2"/>
        <v>0</v>
      </c>
    </row>
    <row r="109" spans="1:4">
      <c r="A109" s="13" t="s">
        <v>2038</v>
      </c>
      <c r="B109" t="s">
        <v>2039</v>
      </c>
      <c r="C109" s="87">
        <v>9.66</v>
      </c>
      <c r="D109" s="29">
        <f t="shared" si="2"/>
        <v>306028.79999999999</v>
      </c>
    </row>
    <row r="110" spans="1:4">
      <c r="A110" s="13" t="s">
        <v>2067</v>
      </c>
      <c r="B110" t="s">
        <v>2068</v>
      </c>
      <c r="C110" s="87">
        <v>6.22</v>
      </c>
      <c r="D110" s="29">
        <f t="shared" si="2"/>
        <v>197049.60000000001</v>
      </c>
    </row>
    <row r="111" spans="1:4">
      <c r="A111" s="13" t="s">
        <v>2088</v>
      </c>
      <c r="B111" t="s">
        <v>2086</v>
      </c>
      <c r="C111" s="87">
        <v>48</v>
      </c>
      <c r="D111" s="29">
        <f t="shared" si="2"/>
        <v>0</v>
      </c>
    </row>
    <row r="112" spans="1:4">
      <c r="A112" s="13" t="s">
        <v>2093</v>
      </c>
      <c r="B112" t="s">
        <v>2091</v>
      </c>
      <c r="C112" s="87">
        <v>43.55</v>
      </c>
      <c r="D112" s="29">
        <f t="shared" si="2"/>
        <v>0</v>
      </c>
    </row>
    <row r="113" spans="1:4">
      <c r="A113" s="13" t="s">
        <v>2099</v>
      </c>
      <c r="B113" t="s">
        <v>2100</v>
      </c>
      <c r="C113" s="87">
        <v>76.22</v>
      </c>
      <c r="D113" s="29">
        <f t="shared" si="2"/>
        <v>0</v>
      </c>
    </row>
    <row r="114" spans="1:4">
      <c r="A114" s="13" t="s">
        <v>2110</v>
      </c>
      <c r="B114" t="s">
        <v>2111</v>
      </c>
      <c r="C114" s="87">
        <v>62.179999999999993</v>
      </c>
      <c r="D114" s="29">
        <f t="shared" si="2"/>
        <v>0</v>
      </c>
    </row>
    <row r="115" spans="1:4">
      <c r="A115" s="13" t="s">
        <v>2128</v>
      </c>
      <c r="B115" t="s">
        <v>2129</v>
      </c>
      <c r="C115" s="87">
        <v>13</v>
      </c>
      <c r="D115" s="29">
        <f t="shared" si="2"/>
        <v>411840</v>
      </c>
    </row>
    <row r="116" spans="1:4">
      <c r="A116" s="13" t="s">
        <v>2181</v>
      </c>
      <c r="B116" t="s">
        <v>2182</v>
      </c>
      <c r="C116" s="87">
        <v>87.93</v>
      </c>
      <c r="D116" s="29">
        <f t="shared" si="2"/>
        <v>0</v>
      </c>
    </row>
    <row r="117" spans="1:4">
      <c r="A117" s="13" t="s">
        <v>2191</v>
      </c>
      <c r="B117" t="s">
        <v>2192</v>
      </c>
      <c r="C117" s="87">
        <v>6.86</v>
      </c>
      <c r="D117" s="29">
        <f t="shared" si="2"/>
        <v>217324.80000000002</v>
      </c>
    </row>
    <row r="118" spans="1:4">
      <c r="A118" s="13" t="s">
        <v>2213</v>
      </c>
      <c r="B118" t="s">
        <v>2211</v>
      </c>
      <c r="C118" s="87">
        <v>36.25</v>
      </c>
      <c r="D118" s="29">
        <f t="shared" si="2"/>
        <v>0</v>
      </c>
    </row>
    <row r="119" spans="1:4">
      <c r="A119" s="13" t="s">
        <v>2218</v>
      </c>
      <c r="B119" t="s">
        <v>2219</v>
      </c>
      <c r="C119" s="87">
        <v>38.479999999999997</v>
      </c>
      <c r="D119" s="29">
        <f t="shared" si="2"/>
        <v>0</v>
      </c>
    </row>
    <row r="120" spans="1:4">
      <c r="A120" s="13" t="s">
        <v>2225</v>
      </c>
      <c r="B120" t="s">
        <v>2226</v>
      </c>
      <c r="C120" s="87">
        <v>92.53</v>
      </c>
      <c r="D120" s="29">
        <f t="shared" si="2"/>
        <v>0</v>
      </c>
    </row>
    <row r="121" spans="1:4">
      <c r="A121" s="13" t="s">
        <v>2235</v>
      </c>
      <c r="B121" t="s">
        <v>2236</v>
      </c>
      <c r="C121" s="87">
        <v>30.02</v>
      </c>
      <c r="D121" s="29">
        <f t="shared" si="2"/>
        <v>0</v>
      </c>
    </row>
    <row r="122" spans="1:4">
      <c r="A122" s="13" t="s">
        <v>2241</v>
      </c>
      <c r="B122" t="s">
        <v>2242</v>
      </c>
      <c r="C122" s="87">
        <v>72.260000000000005</v>
      </c>
      <c r="D122" s="29">
        <f t="shared" si="2"/>
        <v>0</v>
      </c>
    </row>
    <row r="123" spans="1:4">
      <c r="A123" s="13" t="s">
        <v>2251</v>
      </c>
      <c r="B123" t="s">
        <v>2252</v>
      </c>
      <c r="C123" s="87">
        <v>15.46</v>
      </c>
      <c r="D123" s="29">
        <f t="shared" si="2"/>
        <v>489772.79999999999</v>
      </c>
    </row>
    <row r="124" spans="1:4">
      <c r="A124" s="13" t="s">
        <v>2268</v>
      </c>
      <c r="B124" t="s">
        <v>2269</v>
      </c>
      <c r="C124" s="87">
        <v>24.52</v>
      </c>
      <c r="D124" s="29">
        <f t="shared" si="2"/>
        <v>0</v>
      </c>
    </row>
    <row r="125" spans="1:4">
      <c r="A125" s="13" t="s">
        <v>2326</v>
      </c>
      <c r="B125" t="s">
        <v>2325</v>
      </c>
      <c r="C125" s="87">
        <v>40.22</v>
      </c>
      <c r="D125" s="29">
        <f t="shared" si="2"/>
        <v>0</v>
      </c>
    </row>
    <row r="126" spans="1:4">
      <c r="A126" s="13" t="s">
        <v>2330</v>
      </c>
      <c r="B126" t="s">
        <v>2331</v>
      </c>
      <c r="C126" s="87">
        <v>77.38</v>
      </c>
      <c r="D126" s="29">
        <f t="shared" si="2"/>
        <v>0</v>
      </c>
    </row>
    <row r="127" spans="1:4">
      <c r="A127" s="13" t="s">
        <v>2339</v>
      </c>
      <c r="B127" t="s">
        <v>2340</v>
      </c>
      <c r="C127" s="87">
        <v>93.08</v>
      </c>
      <c r="D127" s="29">
        <f t="shared" si="2"/>
        <v>0</v>
      </c>
    </row>
    <row r="128" spans="1:4">
      <c r="A128" s="13" t="s">
        <v>2350</v>
      </c>
      <c r="B128" t="s">
        <v>2351</v>
      </c>
      <c r="C128" s="87">
        <v>94.27000000000001</v>
      </c>
      <c r="D128" s="29">
        <f t="shared" si="2"/>
        <v>0</v>
      </c>
    </row>
    <row r="129" spans="1:4">
      <c r="A129" s="13" t="s">
        <v>2358</v>
      </c>
      <c r="B129" t="s">
        <v>2359</v>
      </c>
      <c r="C129" s="87">
        <v>5.98</v>
      </c>
      <c r="D129" s="29">
        <f t="shared" si="2"/>
        <v>189446.40000000002</v>
      </c>
    </row>
    <row r="130" spans="1:4">
      <c r="A130" s="13" t="s">
        <v>2374</v>
      </c>
      <c r="B130" t="s">
        <v>2375</v>
      </c>
      <c r="C130" s="87">
        <v>77.09</v>
      </c>
      <c r="D130" s="29">
        <f t="shared" si="2"/>
        <v>0</v>
      </c>
    </row>
    <row r="131" spans="1:4">
      <c r="A131" s="13" t="s">
        <v>2387</v>
      </c>
      <c r="B131" t="s">
        <v>2388</v>
      </c>
      <c r="C131" s="87">
        <v>69.89</v>
      </c>
      <c r="D131" s="29">
        <f t="shared" si="2"/>
        <v>0</v>
      </c>
    </row>
    <row r="132" spans="1:4">
      <c r="A132" s="13" t="s">
        <v>2399</v>
      </c>
      <c r="B132" t="s">
        <v>2400</v>
      </c>
      <c r="C132" s="87">
        <v>58.629999999999995</v>
      </c>
      <c r="D132" s="29">
        <f t="shared" si="2"/>
        <v>0</v>
      </c>
    </row>
    <row r="133" spans="1:4">
      <c r="A133" s="13" t="s">
        <v>2428</v>
      </c>
      <c r="B133" t="s">
        <v>2429</v>
      </c>
      <c r="C133" s="87">
        <v>16.100000000000001</v>
      </c>
      <c r="D133" s="29">
        <f t="shared" si="2"/>
        <v>510048.00000000006</v>
      </c>
    </row>
    <row r="134" spans="1:4">
      <c r="A134" s="13" t="s">
        <v>2457</v>
      </c>
      <c r="B134" t="s">
        <v>2458</v>
      </c>
      <c r="C134" s="87">
        <v>26.36</v>
      </c>
      <c r="D134" s="29">
        <f t="shared" si="2"/>
        <v>0</v>
      </c>
    </row>
    <row r="135" spans="1:4">
      <c r="A135" s="13" t="s">
        <v>2491</v>
      </c>
      <c r="B135" t="s">
        <v>2492</v>
      </c>
      <c r="C135" s="87">
        <v>8.68</v>
      </c>
      <c r="D135" s="29">
        <f t="shared" si="2"/>
        <v>274982.40000000002</v>
      </c>
    </row>
    <row r="136" spans="1:4">
      <c r="A136" s="13" t="s">
        <v>2511</v>
      </c>
      <c r="B136" t="s">
        <v>2512</v>
      </c>
      <c r="C136" s="87">
        <v>20.02</v>
      </c>
      <c r="D136" s="29">
        <f t="shared" si="2"/>
        <v>633600</v>
      </c>
    </row>
    <row r="137" spans="1:4">
      <c r="A137" s="13" t="s">
        <v>2560</v>
      </c>
      <c r="B137" t="s">
        <v>2558</v>
      </c>
      <c r="C137" s="87">
        <v>48</v>
      </c>
      <c r="D137" s="29">
        <f t="shared" si="2"/>
        <v>0</v>
      </c>
    </row>
    <row r="138" spans="1:4">
      <c r="A138" s="13" t="s">
        <v>2567</v>
      </c>
      <c r="B138" t="s">
        <v>2568</v>
      </c>
      <c r="C138" s="87">
        <v>94.77000000000001</v>
      </c>
      <c r="D138" s="29">
        <f t="shared" ref="D138:D166" si="3">IF(C138&lt;$D$3,IF(C138&gt;$D$4,$D$5,C138/$D$4*$D$5),IF(C138&lt;$D$4,C138/$D$4*$D$5-$D$5,0))</f>
        <v>0</v>
      </c>
    </row>
    <row r="139" spans="1:4">
      <c r="A139" s="13" t="s">
        <v>2577</v>
      </c>
      <c r="B139" t="s">
        <v>2578</v>
      </c>
      <c r="C139" s="87">
        <v>71</v>
      </c>
      <c r="D139" s="29">
        <f t="shared" si="3"/>
        <v>0</v>
      </c>
    </row>
    <row r="140" spans="1:4">
      <c r="A140" s="13" t="s">
        <v>2587</v>
      </c>
      <c r="B140" t="s">
        <v>2588</v>
      </c>
      <c r="C140" s="87">
        <v>95.08</v>
      </c>
      <c r="D140" s="29">
        <f t="shared" si="3"/>
        <v>0</v>
      </c>
    </row>
    <row r="141" spans="1:4">
      <c r="A141" s="13" t="s">
        <v>2596</v>
      </c>
      <c r="B141" t="s">
        <v>2597</v>
      </c>
      <c r="C141" s="87">
        <v>95.009999999999991</v>
      </c>
      <c r="D141" s="29">
        <f t="shared" si="3"/>
        <v>0</v>
      </c>
    </row>
    <row r="142" spans="1:4">
      <c r="A142" s="13" t="s">
        <v>2604</v>
      </c>
      <c r="B142" t="s">
        <v>2605</v>
      </c>
      <c r="C142" s="87">
        <v>76.010000000000005</v>
      </c>
      <c r="D142" s="29">
        <f t="shared" si="3"/>
        <v>0</v>
      </c>
    </row>
    <row r="143" spans="1:4">
      <c r="A143" s="13" t="s">
        <v>2613</v>
      </c>
      <c r="B143" t="s">
        <v>2614</v>
      </c>
      <c r="C143" s="87">
        <v>79.180000000000007</v>
      </c>
      <c r="D143" s="29">
        <f t="shared" si="3"/>
        <v>0</v>
      </c>
    </row>
    <row r="144" spans="1:4">
      <c r="A144" s="13" t="s">
        <v>2622</v>
      </c>
      <c r="B144" t="s">
        <v>2623</v>
      </c>
      <c r="C144" s="87">
        <v>60.1</v>
      </c>
      <c r="D144" s="29">
        <f t="shared" si="3"/>
        <v>0</v>
      </c>
    </row>
    <row r="145" spans="1:4">
      <c r="A145" s="13" t="s">
        <v>2633</v>
      </c>
      <c r="B145" t="s">
        <v>2634</v>
      </c>
      <c r="C145" s="87">
        <v>46.95</v>
      </c>
      <c r="D145" s="29">
        <f t="shared" si="3"/>
        <v>0</v>
      </c>
    </row>
    <row r="146" spans="1:4">
      <c r="A146" s="13" t="s">
        <v>2643</v>
      </c>
      <c r="B146" t="s">
        <v>2644</v>
      </c>
      <c r="C146" s="87">
        <v>86.14</v>
      </c>
      <c r="D146" s="29">
        <f t="shared" si="3"/>
        <v>0</v>
      </c>
    </row>
    <row r="147" spans="1:4">
      <c r="A147" s="13" t="s">
        <v>2651</v>
      </c>
      <c r="B147" t="s">
        <v>2652</v>
      </c>
      <c r="C147" s="87">
        <v>41.2</v>
      </c>
      <c r="D147" s="29">
        <f t="shared" si="3"/>
        <v>0</v>
      </c>
    </row>
    <row r="148" spans="1:4">
      <c r="A148" s="13" t="s">
        <v>2665</v>
      </c>
      <c r="B148" t="s">
        <v>2666</v>
      </c>
      <c r="C148" s="87">
        <v>54.379999999999995</v>
      </c>
      <c r="D148" s="29">
        <f t="shared" si="3"/>
        <v>0</v>
      </c>
    </row>
    <row r="149" spans="1:4">
      <c r="A149" s="13" t="s">
        <v>2681</v>
      </c>
      <c r="B149" t="s">
        <v>2680</v>
      </c>
      <c r="C149" s="87">
        <v>32.94</v>
      </c>
      <c r="D149" s="29">
        <f t="shared" si="3"/>
        <v>0</v>
      </c>
    </row>
    <row r="150" spans="1:4">
      <c r="A150" s="13" t="s">
        <v>2719</v>
      </c>
      <c r="B150" t="s">
        <v>2720</v>
      </c>
      <c r="C150" s="87">
        <v>42.02</v>
      </c>
      <c r="D150" s="29">
        <f t="shared" si="3"/>
        <v>0</v>
      </c>
    </row>
    <row r="151" spans="1:4">
      <c r="A151" s="13" t="s">
        <v>2728</v>
      </c>
      <c r="B151" t="s">
        <v>2729</v>
      </c>
      <c r="C151" s="87">
        <v>34.840000000000003</v>
      </c>
      <c r="D151" s="29">
        <f t="shared" si="3"/>
        <v>0</v>
      </c>
    </row>
    <row r="152" spans="1:4">
      <c r="A152" s="13" t="s">
        <v>2753</v>
      </c>
      <c r="B152" t="s">
        <v>2754</v>
      </c>
      <c r="C152" s="87">
        <v>6.38</v>
      </c>
      <c r="D152" s="29">
        <f t="shared" si="3"/>
        <v>202118.39999999999</v>
      </c>
    </row>
    <row r="153" spans="1:4">
      <c r="A153" s="13" t="s">
        <v>2782</v>
      </c>
      <c r="B153" t="s">
        <v>2783</v>
      </c>
      <c r="C153" s="87">
        <v>6.38</v>
      </c>
      <c r="D153" s="29">
        <f t="shared" si="3"/>
        <v>202118.39999999999</v>
      </c>
    </row>
    <row r="154" spans="1:4">
      <c r="A154" s="13" t="s">
        <v>2878</v>
      </c>
      <c r="B154" t="s">
        <v>2879</v>
      </c>
      <c r="C154" s="87">
        <v>6.06</v>
      </c>
      <c r="D154" s="29">
        <f t="shared" si="3"/>
        <v>191980.79999999999</v>
      </c>
    </row>
    <row r="155" spans="1:4">
      <c r="A155" s="13" t="s">
        <v>2897</v>
      </c>
      <c r="B155" t="s">
        <v>2898</v>
      </c>
      <c r="C155" s="87">
        <v>15.75</v>
      </c>
      <c r="D155" s="29">
        <f t="shared" si="3"/>
        <v>498960</v>
      </c>
    </row>
    <row r="156" spans="1:4">
      <c r="A156" s="13" t="s">
        <v>2935</v>
      </c>
      <c r="B156" t="s">
        <v>2936</v>
      </c>
      <c r="C156" s="87">
        <v>48</v>
      </c>
      <c r="D156" s="29">
        <f t="shared" si="3"/>
        <v>0</v>
      </c>
    </row>
    <row r="157" spans="1:4">
      <c r="A157" s="13" t="s">
        <v>2941</v>
      </c>
      <c r="B157" t="s">
        <v>2942</v>
      </c>
      <c r="C157" s="87">
        <v>91.210000000000008</v>
      </c>
      <c r="D157" s="29">
        <f t="shared" si="3"/>
        <v>0</v>
      </c>
    </row>
    <row r="158" spans="1:4">
      <c r="A158" s="13" t="s">
        <v>2950</v>
      </c>
      <c r="B158" t="s">
        <v>2951</v>
      </c>
      <c r="C158" s="87">
        <v>84.06</v>
      </c>
      <c r="D158" s="29">
        <f t="shared" si="3"/>
        <v>0</v>
      </c>
    </row>
    <row r="159" spans="1:4">
      <c r="A159" s="13" t="s">
        <v>2967</v>
      </c>
      <c r="B159" t="s">
        <v>2968</v>
      </c>
      <c r="C159" s="87">
        <v>17.12</v>
      </c>
      <c r="D159" s="29">
        <f t="shared" si="3"/>
        <v>542361.60000000009</v>
      </c>
    </row>
    <row r="160" spans="1:4">
      <c r="A160" s="13" t="s">
        <v>2959</v>
      </c>
      <c r="B160" t="s">
        <v>2960</v>
      </c>
      <c r="C160" s="87">
        <v>33.79</v>
      </c>
      <c r="D160" s="29">
        <f>D5</f>
        <v>633600</v>
      </c>
    </row>
    <row r="161" spans="1:4">
      <c r="A161" s="13" t="s">
        <v>3018</v>
      </c>
      <c r="B161" t="s">
        <v>3019</v>
      </c>
      <c r="C161" s="87">
        <v>16.739999999999998</v>
      </c>
      <c r="D161" s="29">
        <v>0</v>
      </c>
    </row>
    <row r="162" spans="1:4">
      <c r="A162" s="13" t="s">
        <v>2927</v>
      </c>
      <c r="B162" t="s">
        <v>2928</v>
      </c>
      <c r="C162" s="87">
        <v>47.57</v>
      </c>
      <c r="D162" s="29">
        <f t="shared" si="3"/>
        <v>0</v>
      </c>
    </row>
    <row r="163" spans="1:4">
      <c r="A163" s="13" t="s">
        <v>3083</v>
      </c>
      <c r="B163" t="s">
        <v>3084</v>
      </c>
      <c r="C163" s="87">
        <v>12</v>
      </c>
      <c r="D163" s="29">
        <f t="shared" si="3"/>
        <v>380160</v>
      </c>
    </row>
    <row r="164" spans="1:4">
      <c r="A164" s="13" t="s">
        <v>3103</v>
      </c>
      <c r="B164" t="s">
        <v>3104</v>
      </c>
      <c r="C164" s="87">
        <v>26.26</v>
      </c>
      <c r="D164" s="29">
        <f t="shared" si="3"/>
        <v>0</v>
      </c>
    </row>
    <row r="165" spans="1:4">
      <c r="A165" s="13" t="s">
        <v>3133</v>
      </c>
      <c r="B165" t="s">
        <v>3134</v>
      </c>
      <c r="C165" s="87">
        <v>31.94</v>
      </c>
      <c r="D165" s="29">
        <f t="shared" si="3"/>
        <v>0</v>
      </c>
    </row>
    <row r="166" spans="1:4">
      <c r="A166" s="13" t="s">
        <v>3169</v>
      </c>
      <c r="B166" t="s">
        <v>3170</v>
      </c>
      <c r="C166" s="87">
        <v>43.54</v>
      </c>
      <c r="D166" s="29">
        <f t="shared" si="3"/>
        <v>0</v>
      </c>
    </row>
    <row r="167" spans="1:4">
      <c r="D167" s="29"/>
    </row>
    <row r="168" spans="1:4">
      <c r="D168" s="29"/>
    </row>
    <row r="169" spans="1:4">
      <c r="D169" s="29"/>
    </row>
    <row r="170" spans="1:4">
      <c r="D170" s="29"/>
    </row>
    <row r="171" spans="1:4">
      <c r="D171" s="29"/>
    </row>
  </sheetData>
  <autoFilter ref="A3:E171" xr:uid="{3AA2E595-CE65-473A-8C73-6F18D088F6F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D5EE-A04D-4529-8898-C439C2B89001}">
  <sheetPr codeName="Sheet6">
    <tabColor theme="7" tint="0.79998168889431442"/>
  </sheetPr>
  <dimension ref="B2:AT41"/>
  <sheetViews>
    <sheetView rightToLeft="1" zoomScale="160" zoomScaleNormal="160" workbookViewId="0">
      <selection activeCell="H15" sqref="H15"/>
    </sheetView>
  </sheetViews>
  <sheetFormatPr defaultColWidth="8.88671875" defaultRowHeight="13.8"/>
  <cols>
    <col min="1" max="1" width="2.33203125" style="114" customWidth="1"/>
    <col min="2" max="2" width="19.5546875" style="114" customWidth="1"/>
    <col min="3" max="3" width="11.6640625" style="114" customWidth="1"/>
    <col min="4" max="4" width="7.6640625" style="114" bestFit="1" customWidth="1"/>
    <col min="5" max="5" width="19.6640625" style="114" bestFit="1" customWidth="1"/>
    <col min="6" max="20" width="10.6640625" style="114" bestFit="1" customWidth="1"/>
    <col min="21" max="21" width="12.33203125" style="114" bestFit="1" customWidth="1"/>
    <col min="22" max="30" width="11.33203125" style="114" bestFit="1" customWidth="1"/>
    <col min="31" max="31" width="11.6640625" style="114" customWidth="1"/>
    <col min="32" max="33" width="10.6640625" style="114" customWidth="1"/>
    <col min="34" max="34" width="10.6640625" style="114" bestFit="1" customWidth="1"/>
    <col min="35" max="35" width="10.6640625" style="114" customWidth="1"/>
    <col min="36" max="39" width="10.6640625" style="114" bestFit="1" customWidth="1"/>
    <col min="40" max="40" width="10.6640625" style="114" customWidth="1"/>
    <col min="41" max="45" width="10.6640625" style="114" bestFit="1" customWidth="1"/>
    <col min="46" max="16384" width="8.88671875" style="114"/>
  </cols>
  <sheetData>
    <row r="2" spans="2:46">
      <c r="B2" s="114" t="s">
        <v>3893</v>
      </c>
      <c r="C2" s="156">
        <v>28946188.269243326</v>
      </c>
      <c r="E2" s="128" t="s">
        <v>3892</v>
      </c>
    </row>
    <row r="3" spans="2:46">
      <c r="B3" s="114" t="s">
        <v>3888</v>
      </c>
      <c r="C3" s="156">
        <v>9553044</v>
      </c>
      <c r="F3" s="142">
        <v>1</v>
      </c>
      <c r="G3" s="142">
        <v>2</v>
      </c>
      <c r="H3" s="142">
        <v>3</v>
      </c>
      <c r="I3" s="142">
        <v>4</v>
      </c>
      <c r="J3" s="142">
        <v>5</v>
      </c>
      <c r="K3" s="142">
        <v>6</v>
      </c>
      <c r="L3" s="142">
        <v>7</v>
      </c>
      <c r="M3" s="142">
        <v>8</v>
      </c>
      <c r="N3" s="142">
        <v>9</v>
      </c>
      <c r="O3" s="142">
        <v>10</v>
      </c>
      <c r="P3" s="142">
        <v>11</v>
      </c>
      <c r="Q3" s="142">
        <v>12</v>
      </c>
      <c r="R3" s="142">
        <v>13</v>
      </c>
      <c r="S3" s="142">
        <v>14</v>
      </c>
      <c r="T3" s="142">
        <v>15</v>
      </c>
      <c r="U3" s="142">
        <v>16</v>
      </c>
      <c r="V3" s="142">
        <v>17</v>
      </c>
      <c r="W3" s="142">
        <v>18</v>
      </c>
      <c r="X3" s="142">
        <v>19</v>
      </c>
      <c r="Y3" s="142">
        <v>20</v>
      </c>
      <c r="Z3" s="142">
        <v>21</v>
      </c>
      <c r="AA3" s="142">
        <v>22</v>
      </c>
      <c r="AB3" s="142">
        <v>23</v>
      </c>
      <c r="AC3" s="142">
        <v>24</v>
      </c>
      <c r="AD3" s="142">
        <v>25</v>
      </c>
      <c r="AE3" s="142">
        <v>26</v>
      </c>
      <c r="AF3" s="142">
        <v>27</v>
      </c>
      <c r="AG3" s="142">
        <v>28</v>
      </c>
      <c r="AH3" s="142">
        <v>29</v>
      </c>
      <c r="AI3" s="142">
        <v>30</v>
      </c>
      <c r="AJ3" s="142">
        <v>31</v>
      </c>
      <c r="AK3" s="142">
        <v>32</v>
      </c>
      <c r="AL3" s="142">
        <v>33</v>
      </c>
      <c r="AM3" s="142">
        <v>34</v>
      </c>
      <c r="AN3" s="142">
        <v>35</v>
      </c>
      <c r="AO3" s="142">
        <v>36</v>
      </c>
      <c r="AP3" s="142">
        <v>37</v>
      </c>
      <c r="AQ3" s="142">
        <v>38</v>
      </c>
      <c r="AR3" s="142">
        <v>39</v>
      </c>
      <c r="AS3" s="142">
        <v>40</v>
      </c>
      <c r="AT3" s="142"/>
    </row>
    <row r="4" spans="2:46">
      <c r="B4" s="114" t="s">
        <v>3894</v>
      </c>
      <c r="C4" s="156">
        <v>-500000</v>
      </c>
      <c r="E4" s="128" t="s">
        <v>3790</v>
      </c>
      <c r="F4" s="165">
        <v>2027</v>
      </c>
      <c r="G4" s="165">
        <v>2028</v>
      </c>
      <c r="H4" s="165">
        <v>2029</v>
      </c>
      <c r="I4" s="165">
        <v>2030</v>
      </c>
      <c r="J4" s="165">
        <v>2031</v>
      </c>
      <c r="K4" s="165">
        <v>2032</v>
      </c>
      <c r="L4" s="165">
        <v>2033</v>
      </c>
      <c r="M4" s="165">
        <v>2034</v>
      </c>
      <c r="N4" s="165">
        <v>2035</v>
      </c>
      <c r="O4" s="165">
        <v>2036</v>
      </c>
      <c r="P4" s="165">
        <v>2037</v>
      </c>
      <c r="Q4" s="165">
        <v>2038</v>
      </c>
      <c r="R4" s="165">
        <v>2039</v>
      </c>
      <c r="S4" s="165">
        <v>2040</v>
      </c>
      <c r="T4" s="165">
        <v>2041</v>
      </c>
      <c r="U4" s="165">
        <v>2042</v>
      </c>
      <c r="V4" s="165">
        <v>2043</v>
      </c>
      <c r="W4" s="165">
        <v>2044</v>
      </c>
      <c r="X4" s="165">
        <v>2045</v>
      </c>
      <c r="Y4" s="165">
        <v>2046</v>
      </c>
      <c r="Z4" s="165">
        <v>2047</v>
      </c>
      <c r="AA4" s="165">
        <v>2048</v>
      </c>
      <c r="AB4" s="165">
        <v>2049</v>
      </c>
      <c r="AC4" s="165">
        <v>2050</v>
      </c>
      <c r="AD4" s="165">
        <v>2051</v>
      </c>
      <c r="AE4" s="165">
        <v>2052</v>
      </c>
      <c r="AF4" s="165">
        <v>2053</v>
      </c>
      <c r="AG4" s="165">
        <v>2054</v>
      </c>
      <c r="AH4" s="165">
        <v>2055</v>
      </c>
      <c r="AI4" s="165">
        <v>2056</v>
      </c>
      <c r="AJ4" s="165">
        <v>2057</v>
      </c>
      <c r="AK4" s="165">
        <v>2058</v>
      </c>
      <c r="AL4" s="165">
        <v>2059</v>
      </c>
      <c r="AM4" s="165">
        <v>2060</v>
      </c>
      <c r="AN4" s="165">
        <v>2061</v>
      </c>
      <c r="AO4" s="165">
        <v>2062</v>
      </c>
      <c r="AP4" s="165">
        <v>2063</v>
      </c>
      <c r="AQ4" s="165">
        <v>2064</v>
      </c>
      <c r="AR4" s="165">
        <v>2065</v>
      </c>
      <c r="AS4" s="165">
        <v>2066</v>
      </c>
      <c r="AT4" s="165"/>
    </row>
    <row r="5" spans="2:46">
      <c r="B5" s="114" t="s">
        <v>3913</v>
      </c>
      <c r="C5" s="156">
        <v>1250000</v>
      </c>
      <c r="E5" s="114" t="s">
        <v>3895</v>
      </c>
      <c r="F5" s="115">
        <f t="shared" ref="F5:AD5" si="0">$C$2</f>
        <v>28946188.269243326</v>
      </c>
      <c r="G5" s="115">
        <f t="shared" si="0"/>
        <v>28946188.269243326</v>
      </c>
      <c r="H5" s="115">
        <f t="shared" si="0"/>
        <v>28946188.269243326</v>
      </c>
      <c r="I5" s="115">
        <f t="shared" si="0"/>
        <v>28946188.269243326</v>
      </c>
      <c r="J5" s="115">
        <f t="shared" si="0"/>
        <v>28946188.269243326</v>
      </c>
      <c r="K5" s="115">
        <f t="shared" si="0"/>
        <v>28946188.269243326</v>
      </c>
      <c r="L5" s="115">
        <f t="shared" si="0"/>
        <v>28946188.269243326</v>
      </c>
      <c r="M5" s="115">
        <f t="shared" si="0"/>
        <v>28946188.269243326</v>
      </c>
      <c r="N5" s="115">
        <f t="shared" si="0"/>
        <v>28946188.269243326</v>
      </c>
      <c r="O5" s="115">
        <f t="shared" si="0"/>
        <v>28946188.269243326</v>
      </c>
      <c r="P5" s="115">
        <f t="shared" si="0"/>
        <v>28946188.269243326</v>
      </c>
      <c r="Q5" s="115">
        <f t="shared" si="0"/>
        <v>28946188.269243326</v>
      </c>
      <c r="R5" s="115">
        <f t="shared" si="0"/>
        <v>28946188.269243326</v>
      </c>
      <c r="S5" s="115">
        <f t="shared" si="0"/>
        <v>28946188.269243326</v>
      </c>
      <c r="T5" s="115">
        <f t="shared" si="0"/>
        <v>28946188.269243326</v>
      </c>
      <c r="U5" s="115">
        <f t="shared" si="0"/>
        <v>28946188.269243326</v>
      </c>
      <c r="V5" s="115">
        <f t="shared" si="0"/>
        <v>28946188.269243326</v>
      </c>
      <c r="W5" s="115">
        <f t="shared" si="0"/>
        <v>28946188.269243326</v>
      </c>
      <c r="X5" s="115">
        <f t="shared" si="0"/>
        <v>28946188.269243326</v>
      </c>
      <c r="Y5" s="115">
        <f t="shared" si="0"/>
        <v>28946188.269243326</v>
      </c>
      <c r="Z5" s="115">
        <f t="shared" si="0"/>
        <v>28946188.269243326</v>
      </c>
      <c r="AA5" s="115">
        <f t="shared" si="0"/>
        <v>28946188.269243326</v>
      </c>
      <c r="AB5" s="115">
        <f t="shared" si="0"/>
        <v>28946188.269243326</v>
      </c>
      <c r="AC5" s="115">
        <f t="shared" si="0"/>
        <v>28946188.269243326</v>
      </c>
      <c r="AD5" s="115">
        <f t="shared" si="0"/>
        <v>28946188.269243326</v>
      </c>
      <c r="AE5" s="115">
        <f t="shared" ref="AE5:AS5" si="1">$C$2</f>
        <v>28946188.269243326</v>
      </c>
      <c r="AF5" s="115">
        <f t="shared" si="1"/>
        <v>28946188.269243326</v>
      </c>
      <c r="AG5" s="115">
        <f t="shared" si="1"/>
        <v>28946188.269243326</v>
      </c>
      <c r="AH5" s="115">
        <f t="shared" si="1"/>
        <v>28946188.269243326</v>
      </c>
      <c r="AI5" s="115">
        <f t="shared" si="1"/>
        <v>28946188.269243326</v>
      </c>
      <c r="AJ5" s="115">
        <f t="shared" si="1"/>
        <v>28946188.269243326</v>
      </c>
      <c r="AK5" s="115">
        <f t="shared" si="1"/>
        <v>28946188.269243326</v>
      </c>
      <c r="AL5" s="115">
        <f t="shared" si="1"/>
        <v>28946188.269243326</v>
      </c>
      <c r="AM5" s="115">
        <f t="shared" si="1"/>
        <v>28946188.269243326</v>
      </c>
      <c r="AN5" s="115">
        <f t="shared" si="1"/>
        <v>28946188.269243326</v>
      </c>
      <c r="AO5" s="115">
        <f t="shared" si="1"/>
        <v>28946188.269243326</v>
      </c>
      <c r="AP5" s="115">
        <f t="shared" si="1"/>
        <v>28946188.269243326</v>
      </c>
      <c r="AQ5" s="115">
        <f t="shared" si="1"/>
        <v>28946188.269243326</v>
      </c>
      <c r="AR5" s="115">
        <f t="shared" si="1"/>
        <v>28946188.269243326</v>
      </c>
      <c r="AS5" s="115">
        <f t="shared" si="1"/>
        <v>28946188.269243326</v>
      </c>
    </row>
    <row r="6" spans="2:46" ht="14.4" thickBot="1">
      <c r="B6" s="114" t="s">
        <v>3914</v>
      </c>
      <c r="C6" s="156">
        <v>6000000</v>
      </c>
      <c r="E6" s="152" t="s">
        <v>3896</v>
      </c>
      <c r="F6" s="153">
        <f>C3</f>
        <v>9553044</v>
      </c>
      <c r="G6" s="153">
        <f t="shared" ref="G6:T6" si="2">F6+$C$4</f>
        <v>9053044</v>
      </c>
      <c r="H6" s="153">
        <f t="shared" si="2"/>
        <v>8553044</v>
      </c>
      <c r="I6" s="153">
        <f t="shared" si="2"/>
        <v>8053044</v>
      </c>
      <c r="J6" s="153">
        <f t="shared" si="2"/>
        <v>7553044</v>
      </c>
      <c r="K6" s="153">
        <f t="shared" si="2"/>
        <v>7053044</v>
      </c>
      <c r="L6" s="153">
        <f t="shared" si="2"/>
        <v>6553044</v>
      </c>
      <c r="M6" s="153">
        <f t="shared" si="2"/>
        <v>6053044</v>
      </c>
      <c r="N6" s="153">
        <f t="shared" si="2"/>
        <v>5553044</v>
      </c>
      <c r="O6" s="153">
        <f t="shared" si="2"/>
        <v>5053044</v>
      </c>
      <c r="P6" s="153">
        <f t="shared" si="2"/>
        <v>4553044</v>
      </c>
      <c r="Q6" s="153">
        <f t="shared" si="2"/>
        <v>4053044</v>
      </c>
      <c r="R6" s="153">
        <f t="shared" si="2"/>
        <v>3553044</v>
      </c>
      <c r="S6" s="153">
        <f t="shared" si="2"/>
        <v>3053044</v>
      </c>
      <c r="T6" s="153">
        <f t="shared" si="2"/>
        <v>2553044</v>
      </c>
      <c r="U6" s="153">
        <f t="shared" ref="U6:AD6" si="3">T6</f>
        <v>2553044</v>
      </c>
      <c r="V6" s="153">
        <f t="shared" si="3"/>
        <v>2553044</v>
      </c>
      <c r="W6" s="153">
        <f t="shared" si="3"/>
        <v>2553044</v>
      </c>
      <c r="X6" s="153">
        <f t="shared" si="3"/>
        <v>2553044</v>
      </c>
      <c r="Y6" s="153">
        <f t="shared" si="3"/>
        <v>2553044</v>
      </c>
      <c r="Z6" s="153">
        <f t="shared" si="3"/>
        <v>2553044</v>
      </c>
      <c r="AA6" s="153">
        <f t="shared" si="3"/>
        <v>2553044</v>
      </c>
      <c r="AB6" s="153">
        <f t="shared" si="3"/>
        <v>2553044</v>
      </c>
      <c r="AC6" s="153">
        <f t="shared" si="3"/>
        <v>2553044</v>
      </c>
      <c r="AD6" s="153">
        <f t="shared" si="3"/>
        <v>2553044</v>
      </c>
      <c r="AE6" s="153">
        <f t="shared" ref="AE6:AI6" si="4">AD6</f>
        <v>2553044</v>
      </c>
      <c r="AF6" s="153">
        <f t="shared" si="4"/>
        <v>2553044</v>
      </c>
      <c r="AG6" s="153">
        <f t="shared" si="4"/>
        <v>2553044</v>
      </c>
      <c r="AH6" s="153">
        <f t="shared" si="4"/>
        <v>2553044</v>
      </c>
      <c r="AI6" s="153">
        <f t="shared" si="4"/>
        <v>2553044</v>
      </c>
      <c r="AJ6" s="153">
        <f t="shared" ref="AJ6:AN6" si="5">AI6</f>
        <v>2553044</v>
      </c>
      <c r="AK6" s="153">
        <f t="shared" si="5"/>
        <v>2553044</v>
      </c>
      <c r="AL6" s="153">
        <f t="shared" si="5"/>
        <v>2553044</v>
      </c>
      <c r="AM6" s="153">
        <f t="shared" si="5"/>
        <v>2553044</v>
      </c>
      <c r="AN6" s="153">
        <f t="shared" si="5"/>
        <v>2553044</v>
      </c>
      <c r="AO6" s="153">
        <f t="shared" ref="AO6:AS6" si="6">AN6</f>
        <v>2553044</v>
      </c>
      <c r="AP6" s="153">
        <f t="shared" si="6"/>
        <v>2553044</v>
      </c>
      <c r="AQ6" s="153">
        <f t="shared" si="6"/>
        <v>2553044</v>
      </c>
      <c r="AR6" s="153">
        <f t="shared" si="6"/>
        <v>2553044</v>
      </c>
      <c r="AS6" s="153">
        <f t="shared" si="6"/>
        <v>2553044</v>
      </c>
    </row>
    <row r="7" spans="2:46" s="128" customFormat="1" ht="14.4" thickTop="1">
      <c r="C7" s="120"/>
      <c r="E7" s="158" t="s">
        <v>3897</v>
      </c>
      <c r="F7" s="159">
        <f>F5-F6</f>
        <v>19393144.269243326</v>
      </c>
      <c r="G7" s="159">
        <f t="shared" ref="G7:AD7" si="7">G5-G6</f>
        <v>19893144.269243326</v>
      </c>
      <c r="H7" s="159">
        <f t="shared" si="7"/>
        <v>20393144.269243326</v>
      </c>
      <c r="I7" s="159">
        <f t="shared" si="7"/>
        <v>20893144.269243326</v>
      </c>
      <c r="J7" s="159">
        <f t="shared" si="7"/>
        <v>21393144.269243326</v>
      </c>
      <c r="K7" s="159">
        <f t="shared" si="7"/>
        <v>21893144.269243326</v>
      </c>
      <c r="L7" s="159">
        <f t="shared" si="7"/>
        <v>22393144.269243326</v>
      </c>
      <c r="M7" s="159">
        <f t="shared" si="7"/>
        <v>22893144.269243326</v>
      </c>
      <c r="N7" s="159">
        <f t="shared" si="7"/>
        <v>23393144.269243326</v>
      </c>
      <c r="O7" s="159">
        <f t="shared" si="7"/>
        <v>23893144.269243326</v>
      </c>
      <c r="P7" s="159">
        <f t="shared" si="7"/>
        <v>24393144.269243326</v>
      </c>
      <c r="Q7" s="159">
        <f t="shared" si="7"/>
        <v>24893144.269243326</v>
      </c>
      <c r="R7" s="159">
        <f t="shared" si="7"/>
        <v>25393144.269243326</v>
      </c>
      <c r="S7" s="159">
        <f t="shared" si="7"/>
        <v>25893144.269243326</v>
      </c>
      <c r="T7" s="159">
        <f t="shared" si="7"/>
        <v>26393144.269243326</v>
      </c>
      <c r="U7" s="159">
        <f t="shared" si="7"/>
        <v>26393144.269243326</v>
      </c>
      <c r="V7" s="159">
        <f t="shared" si="7"/>
        <v>26393144.269243326</v>
      </c>
      <c r="W7" s="159">
        <f t="shared" si="7"/>
        <v>26393144.269243326</v>
      </c>
      <c r="X7" s="159">
        <f t="shared" si="7"/>
        <v>26393144.269243326</v>
      </c>
      <c r="Y7" s="159">
        <f t="shared" si="7"/>
        <v>26393144.269243326</v>
      </c>
      <c r="Z7" s="159">
        <f t="shared" si="7"/>
        <v>26393144.269243326</v>
      </c>
      <c r="AA7" s="159">
        <f t="shared" si="7"/>
        <v>26393144.269243326</v>
      </c>
      <c r="AB7" s="159">
        <f t="shared" si="7"/>
        <v>26393144.269243326</v>
      </c>
      <c r="AC7" s="159">
        <f t="shared" si="7"/>
        <v>26393144.269243326</v>
      </c>
      <c r="AD7" s="159">
        <f t="shared" si="7"/>
        <v>26393144.269243326</v>
      </c>
      <c r="AE7" s="159">
        <f t="shared" ref="AE7" si="8">AE5-AE6</f>
        <v>26393144.269243326</v>
      </c>
      <c r="AF7" s="159">
        <f t="shared" ref="AF7" si="9">AF5-AF6</f>
        <v>26393144.269243326</v>
      </c>
      <c r="AG7" s="159">
        <f t="shared" ref="AG7" si="10">AG5-AG6</f>
        <v>26393144.269243326</v>
      </c>
      <c r="AH7" s="159">
        <f t="shared" ref="AH7" si="11">AH5-AH6</f>
        <v>26393144.269243326</v>
      </c>
      <c r="AI7" s="159">
        <f t="shared" ref="AI7" si="12">AI5-AI6</f>
        <v>26393144.269243326</v>
      </c>
      <c r="AJ7" s="159">
        <f t="shared" ref="AJ7" si="13">AJ5-AJ6</f>
        <v>26393144.269243326</v>
      </c>
      <c r="AK7" s="159">
        <f t="shared" ref="AK7" si="14">AK5-AK6</f>
        <v>26393144.269243326</v>
      </c>
      <c r="AL7" s="159">
        <f t="shared" ref="AL7" si="15">AL5-AL6</f>
        <v>26393144.269243326</v>
      </c>
      <c r="AM7" s="159">
        <f t="shared" ref="AM7" si="16">AM5-AM6</f>
        <v>26393144.269243326</v>
      </c>
      <c r="AN7" s="159">
        <f t="shared" ref="AN7" si="17">AN5-AN6</f>
        <v>26393144.269243326</v>
      </c>
      <c r="AO7" s="159">
        <f t="shared" ref="AO7" si="18">AO5-AO6</f>
        <v>26393144.269243326</v>
      </c>
      <c r="AP7" s="159">
        <f t="shared" ref="AP7" si="19">AP5-AP6</f>
        <v>26393144.269243326</v>
      </c>
      <c r="AQ7" s="159">
        <f t="shared" ref="AQ7" si="20">AQ5-AQ6</f>
        <v>26393144.269243326</v>
      </c>
      <c r="AR7" s="159">
        <f t="shared" ref="AR7" si="21">AR5-AR6</f>
        <v>26393144.269243326</v>
      </c>
      <c r="AS7" s="159">
        <f t="shared" ref="AS7" si="22">AS5-AS6</f>
        <v>26393144.269243326</v>
      </c>
    </row>
    <row r="8" spans="2:46">
      <c r="C8" s="120">
        <f>SUM(F8:AD8)</f>
        <v>25816131.157509159</v>
      </c>
      <c r="D8" s="143">
        <f>'מדרג שימושים '!D4</f>
        <v>20</v>
      </c>
      <c r="E8" s="145" t="s">
        <v>3891</v>
      </c>
      <c r="F8" s="115">
        <f>'מדרג שימושים '!$E$4</f>
        <v>1290806.5578754577</v>
      </c>
      <c r="G8" s="115">
        <f>'מדרג שימושים '!$E$4</f>
        <v>1290806.5578754577</v>
      </c>
      <c r="H8" s="115">
        <f>'מדרג שימושים '!$E$4</f>
        <v>1290806.5578754577</v>
      </c>
      <c r="I8" s="115">
        <f>'מדרג שימושים '!$E$4</f>
        <v>1290806.5578754577</v>
      </c>
      <c r="J8" s="115">
        <f>'מדרג שימושים '!$E$4</f>
        <v>1290806.5578754577</v>
      </c>
      <c r="K8" s="115">
        <f>'מדרג שימושים '!$E$4</f>
        <v>1290806.5578754577</v>
      </c>
      <c r="L8" s="115">
        <f>'מדרג שימושים '!$E$4</f>
        <v>1290806.5578754577</v>
      </c>
      <c r="M8" s="115">
        <f>'מדרג שימושים '!$E$4</f>
        <v>1290806.5578754577</v>
      </c>
      <c r="N8" s="115">
        <f>'מדרג שימושים '!$E$4</f>
        <v>1290806.5578754577</v>
      </c>
      <c r="O8" s="115">
        <f>'מדרג שימושים '!$E$4</f>
        <v>1290806.5578754577</v>
      </c>
      <c r="P8" s="115">
        <f>'מדרג שימושים '!$E$4</f>
        <v>1290806.5578754577</v>
      </c>
      <c r="Q8" s="115">
        <f>'מדרג שימושים '!$E$4</f>
        <v>1290806.5578754577</v>
      </c>
      <c r="R8" s="115">
        <f>'מדרג שימושים '!$E$4</f>
        <v>1290806.5578754577</v>
      </c>
      <c r="S8" s="115">
        <f>'מדרג שימושים '!$E$4</f>
        <v>1290806.5578754577</v>
      </c>
      <c r="T8" s="115">
        <f>'מדרג שימושים '!$E$4</f>
        <v>1290806.5578754577</v>
      </c>
      <c r="U8" s="115">
        <f>'מדרג שימושים '!$E$4</f>
        <v>1290806.5578754577</v>
      </c>
      <c r="V8" s="115">
        <f>'מדרג שימושים '!$E$4</f>
        <v>1290806.5578754577</v>
      </c>
      <c r="W8" s="115">
        <f>'מדרג שימושים '!$E$4</f>
        <v>1290806.5578754577</v>
      </c>
      <c r="X8" s="115">
        <f>'מדרג שימושים '!$E$4</f>
        <v>1290806.5578754577</v>
      </c>
      <c r="Y8" s="115">
        <f>'מדרג שימושים '!$E$4</f>
        <v>1290806.5578754577</v>
      </c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</row>
    <row r="9" spans="2:46">
      <c r="C9" s="120">
        <f t="shared" ref="C9:C15" si="23">SUM(F9:AD9)</f>
        <v>4861495.8800099986</v>
      </c>
      <c r="D9" s="143">
        <f>'מדרג שימושים '!D5</f>
        <v>20</v>
      </c>
      <c r="E9" s="145" t="s">
        <v>31</v>
      </c>
      <c r="F9" s="115">
        <f>'מדרג שימושים '!$E$5</f>
        <v>243074.79400049997</v>
      </c>
      <c r="G9" s="115">
        <f>'מדרג שימושים '!$E$5</f>
        <v>243074.79400049997</v>
      </c>
      <c r="H9" s="115">
        <f>'מדרג שימושים '!$E$5</f>
        <v>243074.79400049997</v>
      </c>
      <c r="I9" s="115">
        <f>'מדרג שימושים '!$E$5</f>
        <v>243074.79400049997</v>
      </c>
      <c r="J9" s="115">
        <f>'מדרג שימושים '!$E$5</f>
        <v>243074.79400049997</v>
      </c>
      <c r="K9" s="115">
        <f>'מדרג שימושים '!$E$5</f>
        <v>243074.79400049997</v>
      </c>
      <c r="L9" s="115">
        <f>'מדרג שימושים '!$E$5</f>
        <v>243074.79400049997</v>
      </c>
      <c r="M9" s="115">
        <f>'מדרג שימושים '!$E$5</f>
        <v>243074.79400049997</v>
      </c>
      <c r="N9" s="115">
        <f>'מדרג שימושים '!$E$5</f>
        <v>243074.79400049997</v>
      </c>
      <c r="O9" s="115">
        <f>'מדרג שימושים '!$E$5</f>
        <v>243074.79400049997</v>
      </c>
      <c r="P9" s="115">
        <f>'מדרג שימושים '!$E$5</f>
        <v>243074.79400049997</v>
      </c>
      <c r="Q9" s="115">
        <f>'מדרג שימושים '!$E$5</f>
        <v>243074.79400049997</v>
      </c>
      <c r="R9" s="115">
        <f>'מדרג שימושים '!$E$5</f>
        <v>243074.79400049997</v>
      </c>
      <c r="S9" s="115">
        <f>'מדרג שימושים '!$E$5</f>
        <v>243074.79400049997</v>
      </c>
      <c r="T9" s="115">
        <f>'מדרג שימושים '!$E$5</f>
        <v>243074.79400049997</v>
      </c>
      <c r="U9" s="115">
        <f>'מדרג שימושים '!$E$5</f>
        <v>243074.79400049997</v>
      </c>
      <c r="V9" s="115">
        <f>'מדרג שימושים '!$E$5</f>
        <v>243074.79400049997</v>
      </c>
      <c r="W9" s="115">
        <f>'מדרג שימושים '!$E$5</f>
        <v>243074.79400049997</v>
      </c>
      <c r="X9" s="115">
        <f>'מדרג שימושים '!$E$5</f>
        <v>243074.79400049997</v>
      </c>
      <c r="Y9" s="115">
        <f>'מדרג שימושים '!$E$5</f>
        <v>243074.79400049997</v>
      </c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</row>
    <row r="10" spans="2:46">
      <c r="C10" s="120">
        <f t="shared" si="23"/>
        <v>20275200</v>
      </c>
      <c r="D10" s="143">
        <f>'מדרג שימושים '!D6</f>
        <v>10</v>
      </c>
      <c r="E10" s="145" t="s">
        <v>3886</v>
      </c>
      <c r="F10" s="115">
        <f>'מדרג שימושים '!$E$6</f>
        <v>2027520</v>
      </c>
      <c r="G10" s="115">
        <f>'מדרג שימושים '!$E$6</f>
        <v>2027520</v>
      </c>
      <c r="H10" s="115">
        <f>'מדרג שימושים '!$E$6</f>
        <v>2027520</v>
      </c>
      <c r="I10" s="115">
        <f>'מדרג שימושים '!$E$6</f>
        <v>2027520</v>
      </c>
      <c r="J10" s="115">
        <f>'מדרג שימושים '!$E$6</f>
        <v>2027520</v>
      </c>
      <c r="K10" s="115">
        <f>'מדרג שימושים '!$E$6</f>
        <v>2027520</v>
      </c>
      <c r="L10" s="115">
        <f>'מדרג שימושים '!$E$6</f>
        <v>2027520</v>
      </c>
      <c r="M10" s="115">
        <f>'מדרג שימושים '!$E$6</f>
        <v>2027520</v>
      </c>
      <c r="N10" s="115">
        <f>'מדרג שימושים '!$E$6</f>
        <v>2027520</v>
      </c>
      <c r="O10" s="115">
        <f>'מדרג שימושים '!$E$6</f>
        <v>2027520</v>
      </c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</row>
    <row r="11" spans="2:46">
      <c r="C11" s="120">
        <f t="shared" si="23"/>
        <v>9900000</v>
      </c>
      <c r="D11" s="143">
        <f>'מדרג שימושים '!D7</f>
        <v>10</v>
      </c>
      <c r="E11" s="145" t="s">
        <v>3883</v>
      </c>
      <c r="F11" s="115">
        <f>'מדרג שימושים '!$E$7</f>
        <v>990000</v>
      </c>
      <c r="G11" s="115">
        <f>'מדרג שימושים '!$E$7</f>
        <v>990000</v>
      </c>
      <c r="H11" s="115">
        <f>'מדרג שימושים '!$E$7</f>
        <v>990000</v>
      </c>
      <c r="I11" s="115">
        <f>'מדרג שימושים '!$E$7</f>
        <v>990000</v>
      </c>
      <c r="J11" s="115">
        <f>'מדרג שימושים '!$E$7</f>
        <v>990000</v>
      </c>
      <c r="K11" s="115">
        <f>'מדרג שימושים '!$E$7</f>
        <v>990000</v>
      </c>
      <c r="L11" s="115">
        <f>'מדרג שימושים '!$E$7</f>
        <v>990000</v>
      </c>
      <c r="M11" s="115">
        <f>'מדרג שימושים '!$E$7</f>
        <v>990000</v>
      </c>
      <c r="N11" s="115">
        <f>'מדרג שימושים '!$E$7</f>
        <v>990000</v>
      </c>
      <c r="O11" s="115">
        <f>'מדרג שימושים '!$E$7</f>
        <v>990000</v>
      </c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</row>
    <row r="12" spans="2:46" ht="14.4" thickBot="1">
      <c r="C12" s="120">
        <f t="shared" si="23"/>
        <v>18394900</v>
      </c>
      <c r="D12" s="143">
        <f>'מדרג שימושים '!D8</f>
        <v>20</v>
      </c>
      <c r="E12" s="157" t="s">
        <v>3882</v>
      </c>
      <c r="F12" s="153">
        <f>'מדרג שימושים '!$E$8</f>
        <v>919745</v>
      </c>
      <c r="G12" s="153">
        <f>'מדרג שימושים '!$E$8</f>
        <v>919745</v>
      </c>
      <c r="H12" s="153">
        <f>'מדרג שימושים '!$E$8</f>
        <v>919745</v>
      </c>
      <c r="I12" s="153">
        <f>'מדרג שימושים '!$E$8</f>
        <v>919745</v>
      </c>
      <c r="J12" s="153">
        <f>'מדרג שימושים '!$E$8</f>
        <v>919745</v>
      </c>
      <c r="K12" s="153">
        <f>'מדרג שימושים '!$E$8</f>
        <v>919745</v>
      </c>
      <c r="L12" s="153">
        <f>'מדרג שימושים '!$E$8</f>
        <v>919745</v>
      </c>
      <c r="M12" s="153">
        <f>'מדרג שימושים '!$E$8</f>
        <v>919745</v>
      </c>
      <c r="N12" s="153">
        <f>'מדרג שימושים '!$E$8</f>
        <v>919745</v>
      </c>
      <c r="O12" s="153">
        <f>'מדרג שימושים '!$E$8</f>
        <v>919745</v>
      </c>
      <c r="P12" s="153">
        <f>'מדרג שימושים '!$E$8</f>
        <v>919745</v>
      </c>
      <c r="Q12" s="153">
        <f>'מדרג שימושים '!$E$8</f>
        <v>919745</v>
      </c>
      <c r="R12" s="153">
        <f>'מדרג שימושים '!$E$8</f>
        <v>919745</v>
      </c>
      <c r="S12" s="153">
        <f>'מדרג שימושים '!$E$8</f>
        <v>919745</v>
      </c>
      <c r="T12" s="153">
        <f>'מדרג שימושים '!$E$8</f>
        <v>919745</v>
      </c>
      <c r="U12" s="153">
        <f>'מדרג שימושים '!$E$8</f>
        <v>919745</v>
      </c>
      <c r="V12" s="153">
        <f>'מדרג שימושים '!$E$8</f>
        <v>919745</v>
      </c>
      <c r="W12" s="153">
        <f>'מדרג שימושים '!$E$8</f>
        <v>919745</v>
      </c>
      <c r="X12" s="153">
        <f>'מדרג שימושים '!$E$8</f>
        <v>919745</v>
      </c>
      <c r="Y12" s="153">
        <f>'מדרג שימושים '!$E$8</f>
        <v>919745</v>
      </c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</row>
    <row r="13" spans="2:46" s="128" customFormat="1" ht="14.4" thickTop="1">
      <c r="C13" s="120"/>
      <c r="E13" s="160" t="s">
        <v>3898</v>
      </c>
      <c r="F13" s="159">
        <f>F7-F8-F9-F10-F11-F12</f>
        <v>13921997.917367369</v>
      </c>
      <c r="G13" s="159">
        <f t="shared" ref="G13:AD13" si="24">G7-G8-G9-G10-G11-G12</f>
        <v>14421997.917367369</v>
      </c>
      <c r="H13" s="159">
        <f t="shared" si="24"/>
        <v>14921997.917367369</v>
      </c>
      <c r="I13" s="159">
        <f t="shared" si="24"/>
        <v>15421997.917367369</v>
      </c>
      <c r="J13" s="159">
        <f t="shared" si="24"/>
        <v>15921997.917367369</v>
      </c>
      <c r="K13" s="159">
        <f t="shared" si="24"/>
        <v>16421997.917367369</v>
      </c>
      <c r="L13" s="159">
        <f t="shared" si="24"/>
        <v>16921997.917367369</v>
      </c>
      <c r="M13" s="159">
        <f t="shared" si="24"/>
        <v>17421997.917367369</v>
      </c>
      <c r="N13" s="159">
        <f t="shared" si="24"/>
        <v>17921997.917367369</v>
      </c>
      <c r="O13" s="159">
        <f t="shared" si="24"/>
        <v>18421997.917367369</v>
      </c>
      <c r="P13" s="159">
        <f t="shared" si="24"/>
        <v>21939517.917367369</v>
      </c>
      <c r="Q13" s="159">
        <f t="shared" si="24"/>
        <v>22439517.917367369</v>
      </c>
      <c r="R13" s="159">
        <f t="shared" si="24"/>
        <v>22939517.917367369</v>
      </c>
      <c r="S13" s="159">
        <f t="shared" si="24"/>
        <v>23439517.917367369</v>
      </c>
      <c r="T13" s="159">
        <f t="shared" si="24"/>
        <v>23939517.917367369</v>
      </c>
      <c r="U13" s="159">
        <f t="shared" si="24"/>
        <v>23939517.917367369</v>
      </c>
      <c r="V13" s="159">
        <f t="shared" si="24"/>
        <v>23939517.917367369</v>
      </c>
      <c r="W13" s="159">
        <f t="shared" si="24"/>
        <v>23939517.917367369</v>
      </c>
      <c r="X13" s="159">
        <f t="shared" si="24"/>
        <v>23939517.917367369</v>
      </c>
      <c r="Y13" s="159">
        <f t="shared" si="24"/>
        <v>23939517.917367369</v>
      </c>
      <c r="Z13" s="159">
        <f t="shared" si="24"/>
        <v>26393144.269243326</v>
      </c>
      <c r="AA13" s="159">
        <f t="shared" si="24"/>
        <v>26393144.269243326</v>
      </c>
      <c r="AB13" s="159">
        <f t="shared" si="24"/>
        <v>26393144.269243326</v>
      </c>
      <c r="AC13" s="159">
        <f t="shared" si="24"/>
        <v>26393144.269243326</v>
      </c>
      <c r="AD13" s="159">
        <f t="shared" si="24"/>
        <v>26393144.269243326</v>
      </c>
      <c r="AE13" s="159">
        <f t="shared" ref="AE13" si="25">AE7-AE8-AE9-AE10-AE11-AE12</f>
        <v>26393144.269243326</v>
      </c>
      <c r="AF13" s="159">
        <f t="shared" ref="AF13" si="26">AF7-AF8-AF9-AF10-AF11-AF12</f>
        <v>26393144.269243326</v>
      </c>
      <c r="AG13" s="159">
        <f t="shared" ref="AG13" si="27">AG7-AG8-AG9-AG10-AG11-AG12</f>
        <v>26393144.269243326</v>
      </c>
      <c r="AH13" s="159">
        <f t="shared" ref="AH13" si="28">AH7-AH8-AH9-AH10-AH11-AH12</f>
        <v>26393144.269243326</v>
      </c>
      <c r="AI13" s="159">
        <f t="shared" ref="AI13" si="29">AI7-AI8-AI9-AI10-AI11-AI12</f>
        <v>26393144.269243326</v>
      </c>
      <c r="AJ13" s="159">
        <f t="shared" ref="AJ13" si="30">AJ7-AJ8-AJ9-AJ10-AJ11-AJ12</f>
        <v>26393144.269243326</v>
      </c>
      <c r="AK13" s="159">
        <f t="shared" ref="AK13" si="31">AK7-AK8-AK9-AK10-AK11-AK12</f>
        <v>26393144.269243326</v>
      </c>
      <c r="AL13" s="159">
        <f t="shared" ref="AL13" si="32">AL7-AL8-AL9-AL10-AL11-AL12</f>
        <v>26393144.269243326</v>
      </c>
      <c r="AM13" s="159">
        <f t="shared" ref="AM13" si="33">AM7-AM8-AM9-AM10-AM11-AM12</f>
        <v>26393144.269243326</v>
      </c>
      <c r="AN13" s="159">
        <f t="shared" ref="AN13" si="34">AN7-AN8-AN9-AN10-AN11-AN12</f>
        <v>26393144.269243326</v>
      </c>
      <c r="AO13" s="159">
        <f t="shared" ref="AO13" si="35">AO7-AO8-AO9-AO10-AO11-AO12</f>
        <v>26393144.269243326</v>
      </c>
      <c r="AP13" s="159">
        <f t="shared" ref="AP13" si="36">AP7-AP8-AP9-AP10-AP11-AP12</f>
        <v>26393144.269243326</v>
      </c>
      <c r="AQ13" s="159">
        <f t="shared" ref="AQ13" si="37">AQ7-AQ8-AQ9-AQ10-AQ11-AQ12</f>
        <v>26393144.269243326</v>
      </c>
      <c r="AR13" s="159">
        <f t="shared" ref="AR13" si="38">AR7-AR8-AR9-AR10-AR11-AR12</f>
        <v>26393144.269243326</v>
      </c>
      <c r="AS13" s="159">
        <f t="shared" ref="AS13" si="39">AS7-AS8-AS9-AS10-AS11-AS12</f>
        <v>26393144.269243326</v>
      </c>
    </row>
    <row r="14" spans="2:46">
      <c r="C14" s="120">
        <f t="shared" si="23"/>
        <v>31250000</v>
      </c>
      <c r="D14" s="155">
        <v>0.1</v>
      </c>
      <c r="E14" s="145" t="s">
        <v>3889</v>
      </c>
      <c r="F14" s="115">
        <f t="shared" ref="F14:AD14" si="40">IF(F13*$D$14&gt;$C$5,$C$5,F13*$D$14)</f>
        <v>1250000</v>
      </c>
      <c r="G14" s="115">
        <f t="shared" si="40"/>
        <v>1250000</v>
      </c>
      <c r="H14" s="115">
        <f t="shared" si="40"/>
        <v>1250000</v>
      </c>
      <c r="I14" s="115">
        <f t="shared" si="40"/>
        <v>1250000</v>
      </c>
      <c r="J14" s="115">
        <f t="shared" si="40"/>
        <v>1250000</v>
      </c>
      <c r="K14" s="115">
        <f t="shared" si="40"/>
        <v>1250000</v>
      </c>
      <c r="L14" s="115">
        <f t="shared" si="40"/>
        <v>1250000</v>
      </c>
      <c r="M14" s="115">
        <f t="shared" si="40"/>
        <v>1250000</v>
      </c>
      <c r="N14" s="115">
        <f t="shared" si="40"/>
        <v>1250000</v>
      </c>
      <c r="O14" s="115">
        <f t="shared" si="40"/>
        <v>1250000</v>
      </c>
      <c r="P14" s="115">
        <f t="shared" si="40"/>
        <v>1250000</v>
      </c>
      <c r="Q14" s="115">
        <f t="shared" si="40"/>
        <v>1250000</v>
      </c>
      <c r="R14" s="115">
        <f t="shared" si="40"/>
        <v>1250000</v>
      </c>
      <c r="S14" s="115">
        <f t="shared" si="40"/>
        <v>1250000</v>
      </c>
      <c r="T14" s="115">
        <f t="shared" si="40"/>
        <v>1250000</v>
      </c>
      <c r="U14" s="115">
        <f t="shared" si="40"/>
        <v>1250000</v>
      </c>
      <c r="V14" s="115">
        <f t="shared" si="40"/>
        <v>1250000</v>
      </c>
      <c r="W14" s="115">
        <f t="shared" si="40"/>
        <v>1250000</v>
      </c>
      <c r="X14" s="115">
        <f t="shared" si="40"/>
        <v>1250000</v>
      </c>
      <c r="Y14" s="115">
        <f t="shared" si="40"/>
        <v>1250000</v>
      </c>
      <c r="Z14" s="115">
        <f t="shared" si="40"/>
        <v>1250000</v>
      </c>
      <c r="AA14" s="115">
        <f t="shared" si="40"/>
        <v>1250000</v>
      </c>
      <c r="AB14" s="115">
        <f t="shared" si="40"/>
        <v>1250000</v>
      </c>
      <c r="AC14" s="115">
        <f t="shared" si="40"/>
        <v>1250000</v>
      </c>
      <c r="AD14" s="115">
        <f t="shared" si="40"/>
        <v>1250000</v>
      </c>
      <c r="AE14" s="115">
        <f t="shared" ref="AE14:AI14" si="41">IF(AE13*$D$14&gt;$C$5,$C$5,AE13*$D$14)</f>
        <v>1250000</v>
      </c>
      <c r="AF14" s="115">
        <f t="shared" si="41"/>
        <v>1250000</v>
      </c>
      <c r="AG14" s="115">
        <f t="shared" si="41"/>
        <v>1250000</v>
      </c>
      <c r="AH14" s="115">
        <f t="shared" si="41"/>
        <v>1250000</v>
      </c>
      <c r="AI14" s="115">
        <f t="shared" si="41"/>
        <v>1250000</v>
      </c>
      <c r="AJ14" s="115">
        <f t="shared" ref="AJ14" si="42">IF(AJ13*$D$14&gt;$C$5,$C$5,AJ13*$D$14)</f>
        <v>1250000</v>
      </c>
      <c r="AK14" s="115">
        <f t="shared" ref="AK14" si="43">IF(AK13*$D$14&gt;$C$5,$C$5,AK13*$D$14)</f>
        <v>1250000</v>
      </c>
      <c r="AL14" s="115">
        <f t="shared" ref="AL14" si="44">IF(AL13*$D$14&gt;$C$5,$C$5,AL13*$D$14)</f>
        <v>1250000</v>
      </c>
      <c r="AM14" s="115">
        <f t="shared" ref="AM14" si="45">IF(AM13*$D$14&gt;$C$5,$C$5,AM13*$D$14)</f>
        <v>1250000</v>
      </c>
      <c r="AN14" s="115">
        <f t="shared" ref="AN14" si="46">IF(AN13*$D$14&gt;$C$5,$C$5,AN13*$D$14)</f>
        <v>1250000</v>
      </c>
      <c r="AO14" s="115">
        <f t="shared" ref="AO14" si="47">IF(AO13*$D$14&gt;$C$5,$C$5,AO13*$D$14)</f>
        <v>1250000</v>
      </c>
      <c r="AP14" s="115">
        <f t="shared" ref="AP14" si="48">IF(AP13*$D$14&gt;$C$5,$C$5,AP13*$D$14)</f>
        <v>1250000</v>
      </c>
      <c r="AQ14" s="115">
        <f t="shared" ref="AQ14" si="49">IF(AQ13*$D$14&gt;$C$5,$C$5,AQ13*$D$14)</f>
        <v>1250000</v>
      </c>
      <c r="AR14" s="115">
        <f t="shared" ref="AR14" si="50">IF(AR13*$D$14&gt;$C$5,$C$5,AR13*$D$14)</f>
        <v>1250000</v>
      </c>
      <c r="AS14" s="115">
        <f t="shared" ref="AS14" si="51">IF(AS13*$D$14&gt;$C$5,$C$5,AS13*$D$14)</f>
        <v>1250000</v>
      </c>
    </row>
    <row r="15" spans="2:46">
      <c r="C15" s="120">
        <f t="shared" si="23"/>
        <v>149306397.50084084</v>
      </c>
      <c r="D15" s="155">
        <v>0.4</v>
      </c>
      <c r="E15" s="145" t="s">
        <v>3890</v>
      </c>
      <c r="F15" s="115">
        <f t="shared" ref="F15:AD15" si="52">IF(F13*$D$15&gt;$C$6,$C$6,F13*$D$15)</f>
        <v>5568799.1669469476</v>
      </c>
      <c r="G15" s="115">
        <f t="shared" si="52"/>
        <v>5768799.1669469476</v>
      </c>
      <c r="H15" s="115">
        <f t="shared" si="52"/>
        <v>5968799.1669469476</v>
      </c>
      <c r="I15" s="115">
        <f t="shared" si="52"/>
        <v>6000000</v>
      </c>
      <c r="J15" s="115">
        <f t="shared" si="52"/>
        <v>6000000</v>
      </c>
      <c r="K15" s="115">
        <f t="shared" si="52"/>
        <v>6000000</v>
      </c>
      <c r="L15" s="115">
        <f t="shared" si="52"/>
        <v>6000000</v>
      </c>
      <c r="M15" s="115">
        <f t="shared" si="52"/>
        <v>6000000</v>
      </c>
      <c r="N15" s="115">
        <f t="shared" si="52"/>
        <v>6000000</v>
      </c>
      <c r="O15" s="115">
        <f t="shared" si="52"/>
        <v>6000000</v>
      </c>
      <c r="P15" s="115">
        <f t="shared" si="52"/>
        <v>6000000</v>
      </c>
      <c r="Q15" s="115">
        <f t="shared" si="52"/>
        <v>6000000</v>
      </c>
      <c r="R15" s="115">
        <f t="shared" si="52"/>
        <v>6000000</v>
      </c>
      <c r="S15" s="115">
        <f t="shared" si="52"/>
        <v>6000000</v>
      </c>
      <c r="T15" s="115">
        <f t="shared" si="52"/>
        <v>6000000</v>
      </c>
      <c r="U15" s="115">
        <f t="shared" si="52"/>
        <v>6000000</v>
      </c>
      <c r="V15" s="115">
        <f t="shared" si="52"/>
        <v>6000000</v>
      </c>
      <c r="W15" s="115">
        <f t="shared" si="52"/>
        <v>6000000</v>
      </c>
      <c r="X15" s="115">
        <f t="shared" si="52"/>
        <v>6000000</v>
      </c>
      <c r="Y15" s="115">
        <f t="shared" si="52"/>
        <v>6000000</v>
      </c>
      <c r="Z15" s="115">
        <f t="shared" si="52"/>
        <v>6000000</v>
      </c>
      <c r="AA15" s="115">
        <f t="shared" si="52"/>
        <v>6000000</v>
      </c>
      <c r="AB15" s="115">
        <f t="shared" si="52"/>
        <v>6000000</v>
      </c>
      <c r="AC15" s="115">
        <f t="shared" si="52"/>
        <v>6000000</v>
      </c>
      <c r="AD15" s="115">
        <f t="shared" si="52"/>
        <v>6000000</v>
      </c>
      <c r="AE15" s="115">
        <f t="shared" ref="AE15:AI15" si="53">IF(AE13*$D$15&gt;$C$6,$C$6,AE13*$D$15)</f>
        <v>6000000</v>
      </c>
      <c r="AF15" s="115">
        <f t="shared" si="53"/>
        <v>6000000</v>
      </c>
      <c r="AG15" s="115">
        <f t="shared" si="53"/>
        <v>6000000</v>
      </c>
      <c r="AH15" s="115">
        <f t="shared" si="53"/>
        <v>6000000</v>
      </c>
      <c r="AI15" s="115">
        <f t="shared" si="53"/>
        <v>6000000</v>
      </c>
      <c r="AJ15" s="115">
        <f t="shared" ref="AJ15:AN15" si="54">IF(AJ13*$D$15&gt;$C$6,$C$6,AJ13*$D$15)</f>
        <v>6000000</v>
      </c>
      <c r="AK15" s="115">
        <f t="shared" si="54"/>
        <v>6000000</v>
      </c>
      <c r="AL15" s="115">
        <f t="shared" si="54"/>
        <v>6000000</v>
      </c>
      <c r="AM15" s="115">
        <f t="shared" si="54"/>
        <v>6000000</v>
      </c>
      <c r="AN15" s="115">
        <f t="shared" si="54"/>
        <v>6000000</v>
      </c>
      <c r="AO15" s="115">
        <f t="shared" ref="AO15:AS15" si="55">IF(AO13*$D$15&gt;$C$6,$C$6,AO13*$D$15)</f>
        <v>6000000</v>
      </c>
      <c r="AP15" s="115">
        <f t="shared" si="55"/>
        <v>6000000</v>
      </c>
      <c r="AQ15" s="115">
        <f t="shared" si="55"/>
        <v>6000000</v>
      </c>
      <c r="AR15" s="115">
        <f t="shared" si="55"/>
        <v>6000000</v>
      </c>
      <c r="AS15" s="115">
        <f t="shared" si="55"/>
        <v>6000000</v>
      </c>
    </row>
    <row r="16" spans="2:46">
      <c r="C16" s="154">
        <f>SUM(F16:AI16)</f>
        <v>443240203.53893954</v>
      </c>
      <c r="D16" s="155">
        <v>0.5</v>
      </c>
      <c r="E16" s="162" t="s">
        <v>3879</v>
      </c>
      <c r="F16" s="163">
        <f>F13-F14-F15</f>
        <v>7103198.7504204214</v>
      </c>
      <c r="G16" s="163">
        <f t="shared" ref="G16:AD16" si="56">G13-G14-G15</f>
        <v>7403198.7504204214</v>
      </c>
      <c r="H16" s="163">
        <f t="shared" si="56"/>
        <v>7703198.7504204214</v>
      </c>
      <c r="I16" s="163">
        <f t="shared" si="56"/>
        <v>8171997.9173673689</v>
      </c>
      <c r="J16" s="163">
        <f t="shared" si="56"/>
        <v>8671997.9173673689</v>
      </c>
      <c r="K16" s="163">
        <f t="shared" si="56"/>
        <v>9171997.9173673689</v>
      </c>
      <c r="L16" s="163">
        <f t="shared" si="56"/>
        <v>9671997.9173673689</v>
      </c>
      <c r="M16" s="163">
        <f t="shared" si="56"/>
        <v>10171997.917367369</v>
      </c>
      <c r="N16" s="163">
        <f t="shared" si="56"/>
        <v>10671997.917367369</v>
      </c>
      <c r="O16" s="163">
        <f t="shared" si="56"/>
        <v>11171997.917367369</v>
      </c>
      <c r="P16" s="163">
        <f t="shared" si="56"/>
        <v>14689517.917367369</v>
      </c>
      <c r="Q16" s="163">
        <f t="shared" si="56"/>
        <v>15189517.917367369</v>
      </c>
      <c r="R16" s="163">
        <f t="shared" si="56"/>
        <v>15689517.917367369</v>
      </c>
      <c r="S16" s="163">
        <f t="shared" si="56"/>
        <v>16189517.917367369</v>
      </c>
      <c r="T16" s="163">
        <f t="shared" si="56"/>
        <v>16689517.917367369</v>
      </c>
      <c r="U16" s="163">
        <f t="shared" si="56"/>
        <v>16689517.917367369</v>
      </c>
      <c r="V16" s="163">
        <f t="shared" si="56"/>
        <v>16689517.917367369</v>
      </c>
      <c r="W16" s="163">
        <f t="shared" si="56"/>
        <v>16689517.917367369</v>
      </c>
      <c r="X16" s="163">
        <f t="shared" si="56"/>
        <v>16689517.917367369</v>
      </c>
      <c r="Y16" s="163">
        <f t="shared" si="56"/>
        <v>16689517.917367369</v>
      </c>
      <c r="Z16" s="163">
        <f t="shared" si="56"/>
        <v>19143144.269243326</v>
      </c>
      <c r="AA16" s="163">
        <f t="shared" si="56"/>
        <v>19143144.269243326</v>
      </c>
      <c r="AB16" s="163">
        <f t="shared" si="56"/>
        <v>19143144.269243326</v>
      </c>
      <c r="AC16" s="163">
        <f t="shared" si="56"/>
        <v>19143144.269243326</v>
      </c>
      <c r="AD16" s="163">
        <f t="shared" si="56"/>
        <v>19143144.269243326</v>
      </c>
      <c r="AE16" s="163">
        <f t="shared" ref="AE16" si="57">AE13-AE14-AE15</f>
        <v>19143144.269243326</v>
      </c>
      <c r="AF16" s="163">
        <f t="shared" ref="AF16" si="58">AF13-AF14-AF15</f>
        <v>19143144.269243326</v>
      </c>
      <c r="AG16" s="163">
        <f t="shared" ref="AG16" si="59">AG13-AG14-AG15</f>
        <v>19143144.269243326</v>
      </c>
      <c r="AH16" s="163">
        <f t="shared" ref="AH16" si="60">AH13-AH14-AH15</f>
        <v>19143144.269243326</v>
      </c>
      <c r="AI16" s="163">
        <f t="shared" ref="AI16" si="61">AI13-AI14-AI15</f>
        <v>19143144.269243326</v>
      </c>
      <c r="AJ16" s="163">
        <f t="shared" ref="AJ16" si="62">AJ13-AJ14-AJ15</f>
        <v>19143144.269243326</v>
      </c>
      <c r="AK16" s="163">
        <f t="shared" ref="AK16" si="63">AK13-AK14-AK15</f>
        <v>19143144.269243326</v>
      </c>
      <c r="AL16" s="163">
        <f t="shared" ref="AL16" si="64">AL13-AL14-AL15</f>
        <v>19143144.269243326</v>
      </c>
      <c r="AM16" s="163">
        <f t="shared" ref="AM16" si="65">AM13-AM14-AM15</f>
        <v>19143144.269243326</v>
      </c>
      <c r="AN16" s="163">
        <f t="shared" ref="AN16" si="66">AN13-AN14-AN15</f>
        <v>19143144.269243326</v>
      </c>
      <c r="AO16" s="163">
        <f t="shared" ref="AO16" si="67">AO13-AO14-AO15</f>
        <v>19143144.269243326</v>
      </c>
      <c r="AP16" s="163">
        <f t="shared" ref="AP16" si="68">AP13-AP14-AP15</f>
        <v>19143144.269243326</v>
      </c>
      <c r="AQ16" s="163">
        <f t="shared" ref="AQ16" si="69">AQ13-AQ14-AQ15</f>
        <v>19143144.269243326</v>
      </c>
      <c r="AR16" s="163">
        <f t="shared" ref="AR16" si="70">AR13-AR14-AR15</f>
        <v>19143144.269243326</v>
      </c>
      <c r="AS16" s="163">
        <f t="shared" ref="AS16" si="71">AS13-AS14-AS15</f>
        <v>19143144.269243326</v>
      </c>
    </row>
    <row r="17" spans="2:45">
      <c r="C17" s="154"/>
    </row>
    <row r="18" spans="2:45">
      <c r="C18" s="120">
        <f>SUM(F18:AS18)</f>
        <v>408634354.52826715</v>
      </c>
      <c r="D18" s="164">
        <f>C18/C20</f>
        <v>0.92192529302538284</v>
      </c>
      <c r="E18" s="114" t="s">
        <v>3904</v>
      </c>
      <c r="F18" s="120">
        <f>IF(F3&lt;$B$28,F16,IF(F3&lt;$B$29,$C$28*F16,IF(F3&lt;$B$30,F16*$C$29,F16*$C$30)))</f>
        <v>7103198.7504204214</v>
      </c>
      <c r="G18" s="120">
        <f t="shared" ref="G18:AS18" si="72">IF(G3&lt;$B$28,G16,IF(G3&lt;$B$29,$C$28*G16,IF(G3&lt;$B$30,G16*$C$29,G16*$C$30)))</f>
        <v>7403198.7504204214</v>
      </c>
      <c r="H18" s="120">
        <f t="shared" si="72"/>
        <v>7703198.7504204214</v>
      </c>
      <c r="I18" s="120">
        <f t="shared" si="72"/>
        <v>8171997.9173673689</v>
      </c>
      <c r="J18" s="120">
        <f t="shared" si="72"/>
        <v>8671997.9173673689</v>
      </c>
      <c r="K18" s="120">
        <f t="shared" si="72"/>
        <v>9171997.9173673689</v>
      </c>
      <c r="L18" s="120">
        <f t="shared" si="72"/>
        <v>9671997.9173673689</v>
      </c>
      <c r="M18" s="120">
        <f t="shared" si="72"/>
        <v>10171997.917367369</v>
      </c>
      <c r="N18" s="120">
        <f t="shared" si="72"/>
        <v>10671997.917367369</v>
      </c>
      <c r="O18" s="120">
        <f>IF(O3&lt;$B$28,O16,IF(O3&lt;$B$29,$C$28*O16,IF(O3&lt;$B$30,O16*$C$29,O16*$C$30)))</f>
        <v>11171997.917367369</v>
      </c>
      <c r="P18" s="120">
        <f t="shared" si="72"/>
        <v>14689517.917367369</v>
      </c>
      <c r="Q18" s="120">
        <f t="shared" si="72"/>
        <v>15189517.917367369</v>
      </c>
      <c r="R18" s="120">
        <f t="shared" si="72"/>
        <v>15689517.917367369</v>
      </c>
      <c r="S18" s="120">
        <f t="shared" si="72"/>
        <v>16189517.917367369</v>
      </c>
      <c r="T18" s="120">
        <f t="shared" si="72"/>
        <v>12517138.438025527</v>
      </c>
      <c r="U18" s="120">
        <f t="shared" si="72"/>
        <v>12517138.438025527</v>
      </c>
      <c r="V18" s="120">
        <f t="shared" si="72"/>
        <v>12517138.438025527</v>
      </c>
      <c r="W18" s="120">
        <f t="shared" si="72"/>
        <v>12517138.438025527</v>
      </c>
      <c r="X18" s="120">
        <f t="shared" si="72"/>
        <v>12517138.438025527</v>
      </c>
      <c r="Y18" s="120">
        <f t="shared" si="72"/>
        <v>12517138.438025527</v>
      </c>
      <c r="Z18" s="120">
        <f t="shared" si="72"/>
        <v>14357358.201932494</v>
      </c>
      <c r="AA18" s="120">
        <f t="shared" si="72"/>
        <v>14357358.201932494</v>
      </c>
      <c r="AB18" s="120">
        <f t="shared" si="72"/>
        <v>14357358.201932494</v>
      </c>
      <c r="AC18" s="120">
        <f t="shared" si="72"/>
        <v>14357358.201932494</v>
      </c>
      <c r="AD18" s="120">
        <f t="shared" si="72"/>
        <v>9571572.134621663</v>
      </c>
      <c r="AE18" s="120">
        <f t="shared" si="72"/>
        <v>9571572.134621663</v>
      </c>
      <c r="AF18" s="120">
        <f t="shared" si="72"/>
        <v>9571572.134621663</v>
      </c>
      <c r="AG18" s="120">
        <f t="shared" si="72"/>
        <v>9571572.134621663</v>
      </c>
      <c r="AH18" s="120">
        <f t="shared" si="72"/>
        <v>9571572.134621663</v>
      </c>
      <c r="AI18" s="120">
        <f t="shared" si="72"/>
        <v>9571572.134621663</v>
      </c>
      <c r="AJ18" s="120">
        <f t="shared" si="72"/>
        <v>9571572.134621663</v>
      </c>
      <c r="AK18" s="120">
        <f t="shared" si="72"/>
        <v>9571572.134621663</v>
      </c>
      <c r="AL18" s="120">
        <f t="shared" si="72"/>
        <v>9571572.134621663</v>
      </c>
      <c r="AM18" s="120">
        <f t="shared" si="72"/>
        <v>9571572.134621663</v>
      </c>
      <c r="AN18" s="120">
        <f t="shared" si="72"/>
        <v>4785786.0673108315</v>
      </c>
      <c r="AO18" s="120">
        <f t="shared" si="72"/>
        <v>4785786.0673108315</v>
      </c>
      <c r="AP18" s="120">
        <f t="shared" si="72"/>
        <v>4785786.0673108315</v>
      </c>
      <c r="AQ18" s="120">
        <f t="shared" si="72"/>
        <v>4785786.0673108315</v>
      </c>
      <c r="AR18" s="120">
        <f t="shared" si="72"/>
        <v>4785786.0673108315</v>
      </c>
      <c r="AS18" s="120">
        <f t="shared" si="72"/>
        <v>4785786.0673108315</v>
      </c>
    </row>
    <row r="19" spans="2:45">
      <c r="C19" s="120">
        <f>SUM(F19:AS19)</f>
        <v>221864912.22376412</v>
      </c>
      <c r="E19" s="114" t="s">
        <v>3905</v>
      </c>
      <c r="U19" s="120">
        <f t="shared" ref="U19:AC19" si="73">U16-U18</f>
        <v>4172379.4793418422</v>
      </c>
      <c r="V19" s="120">
        <f t="shared" si="73"/>
        <v>4172379.4793418422</v>
      </c>
      <c r="W19" s="120">
        <f t="shared" si="73"/>
        <v>4172379.4793418422</v>
      </c>
      <c r="X19" s="120">
        <f t="shared" si="73"/>
        <v>4172379.4793418422</v>
      </c>
      <c r="Y19" s="120">
        <f t="shared" si="73"/>
        <v>4172379.4793418422</v>
      </c>
      <c r="Z19" s="120">
        <f t="shared" si="73"/>
        <v>4785786.0673108324</v>
      </c>
      <c r="AA19" s="120">
        <f t="shared" si="73"/>
        <v>4785786.0673108324</v>
      </c>
      <c r="AB19" s="120">
        <f t="shared" si="73"/>
        <v>4785786.0673108324</v>
      </c>
      <c r="AC19" s="120">
        <f t="shared" si="73"/>
        <v>4785786.0673108324</v>
      </c>
      <c r="AD19" s="120">
        <f>AD16-AD18</f>
        <v>9571572.134621663</v>
      </c>
      <c r="AE19" s="120">
        <f t="shared" ref="AE19:AI19" si="74">AE16-AE18</f>
        <v>9571572.134621663</v>
      </c>
      <c r="AF19" s="120">
        <f t="shared" si="74"/>
        <v>9571572.134621663</v>
      </c>
      <c r="AG19" s="120">
        <f t="shared" si="74"/>
        <v>9571572.134621663</v>
      </c>
      <c r="AH19" s="120">
        <f t="shared" si="74"/>
        <v>9571572.134621663</v>
      </c>
      <c r="AI19" s="120">
        <f t="shared" si="74"/>
        <v>9571572.134621663</v>
      </c>
      <c r="AJ19" s="120">
        <f t="shared" ref="AJ19" si="75">AJ16-AJ18</f>
        <v>9571572.134621663</v>
      </c>
      <c r="AK19" s="120">
        <f t="shared" ref="AK19" si="76">AK16-AK18</f>
        <v>9571572.134621663</v>
      </c>
      <c r="AL19" s="120">
        <f t="shared" ref="AL19" si="77">AL16-AL18</f>
        <v>9571572.134621663</v>
      </c>
      <c r="AM19" s="120">
        <f t="shared" ref="AM19" si="78">AM16-AM18</f>
        <v>9571572.134621663</v>
      </c>
      <c r="AN19" s="120">
        <f>AN16-AN18</f>
        <v>14357358.201932494</v>
      </c>
      <c r="AO19" s="120">
        <f t="shared" ref="AO19" si="79">AO16-AO18</f>
        <v>14357358.201932494</v>
      </c>
      <c r="AP19" s="120">
        <f t="shared" ref="AP19" si="80">AP16-AP18</f>
        <v>14357358.201932494</v>
      </c>
      <c r="AQ19" s="120">
        <f t="shared" ref="AQ19" si="81">AQ16-AQ18</f>
        <v>14357358.201932494</v>
      </c>
      <c r="AR19" s="120">
        <f t="shared" ref="AR19" si="82">AR16-AR18</f>
        <v>14357358.201932494</v>
      </c>
      <c r="AS19" s="120">
        <f t="shared" ref="AS19" si="83">AS16-AS18</f>
        <v>14357358.201932494</v>
      </c>
    </row>
    <row r="20" spans="2:45">
      <c r="B20" s="128" t="s">
        <v>3887</v>
      </c>
      <c r="C20" s="161">
        <f>SUM(F16:AI16)</f>
        <v>443240203.53893954</v>
      </c>
    </row>
    <row r="21" spans="2:45">
      <c r="E21" s="114" t="s">
        <v>3900</v>
      </c>
      <c r="F21" s="120">
        <f t="shared" ref="F21:AS21" si="84">F16/$C$22</f>
        <v>25368.56696578722</v>
      </c>
      <c r="G21" s="120">
        <f t="shared" si="84"/>
        <v>26439.995537215789</v>
      </c>
      <c r="H21" s="120">
        <f t="shared" si="84"/>
        <v>27511.424108644362</v>
      </c>
      <c r="I21" s="120">
        <f t="shared" si="84"/>
        <v>29185.706847740603</v>
      </c>
      <c r="J21" s="120">
        <f t="shared" si="84"/>
        <v>30971.421133454889</v>
      </c>
      <c r="K21" s="120">
        <f t="shared" si="84"/>
        <v>32757.135419169175</v>
      </c>
      <c r="L21" s="120">
        <f t="shared" si="84"/>
        <v>34542.849704883462</v>
      </c>
      <c r="M21" s="120">
        <f t="shared" si="84"/>
        <v>36328.563990597744</v>
      </c>
      <c r="N21" s="120">
        <f t="shared" si="84"/>
        <v>38114.278276312034</v>
      </c>
      <c r="O21" s="120">
        <f t="shared" si="84"/>
        <v>39899.992562026317</v>
      </c>
      <c r="P21" s="120">
        <f t="shared" si="84"/>
        <v>52462.563990597744</v>
      </c>
      <c r="Q21" s="120">
        <f t="shared" si="84"/>
        <v>54248.278276312034</v>
      </c>
      <c r="R21" s="120">
        <f t="shared" si="84"/>
        <v>56033.992562026317</v>
      </c>
      <c r="S21" s="120">
        <f t="shared" si="84"/>
        <v>57819.706847740606</v>
      </c>
      <c r="T21" s="120">
        <f t="shared" si="84"/>
        <v>59605.421133454889</v>
      </c>
      <c r="U21" s="120">
        <f t="shared" si="84"/>
        <v>59605.421133454889</v>
      </c>
      <c r="V21" s="120">
        <f t="shared" si="84"/>
        <v>59605.421133454889</v>
      </c>
      <c r="W21" s="120">
        <f t="shared" si="84"/>
        <v>59605.421133454889</v>
      </c>
      <c r="X21" s="120">
        <f t="shared" si="84"/>
        <v>59605.421133454889</v>
      </c>
      <c r="Y21" s="120">
        <f t="shared" si="84"/>
        <v>59605.421133454889</v>
      </c>
      <c r="Z21" s="120">
        <f t="shared" si="84"/>
        <v>68368.372390154735</v>
      </c>
      <c r="AA21" s="120">
        <f t="shared" si="84"/>
        <v>68368.372390154735</v>
      </c>
      <c r="AB21" s="120">
        <f t="shared" si="84"/>
        <v>68368.372390154735</v>
      </c>
      <c r="AC21" s="120">
        <f t="shared" si="84"/>
        <v>68368.372390154735</v>
      </c>
      <c r="AD21" s="120">
        <f t="shared" si="84"/>
        <v>68368.372390154735</v>
      </c>
      <c r="AE21" s="120">
        <f t="shared" si="84"/>
        <v>68368.372390154735</v>
      </c>
      <c r="AF21" s="120">
        <f t="shared" si="84"/>
        <v>68368.372390154735</v>
      </c>
      <c r="AG21" s="120">
        <f t="shared" si="84"/>
        <v>68368.372390154735</v>
      </c>
      <c r="AH21" s="120">
        <f t="shared" si="84"/>
        <v>68368.372390154735</v>
      </c>
      <c r="AI21" s="120">
        <f t="shared" si="84"/>
        <v>68368.372390154735</v>
      </c>
      <c r="AJ21" s="120">
        <f t="shared" si="84"/>
        <v>68368.372390154735</v>
      </c>
      <c r="AK21" s="120">
        <f t="shared" si="84"/>
        <v>68368.372390154735</v>
      </c>
      <c r="AL21" s="120">
        <f t="shared" si="84"/>
        <v>68368.372390154735</v>
      </c>
      <c r="AM21" s="120">
        <f t="shared" si="84"/>
        <v>68368.372390154735</v>
      </c>
      <c r="AN21" s="120">
        <f t="shared" si="84"/>
        <v>68368.372390154735</v>
      </c>
      <c r="AO21" s="120">
        <f t="shared" si="84"/>
        <v>68368.372390154735</v>
      </c>
      <c r="AP21" s="120">
        <f t="shared" si="84"/>
        <v>68368.372390154735</v>
      </c>
      <c r="AQ21" s="120">
        <f t="shared" si="84"/>
        <v>68368.372390154735</v>
      </c>
      <c r="AR21" s="120">
        <f t="shared" si="84"/>
        <v>68368.372390154735</v>
      </c>
      <c r="AS21" s="120">
        <f t="shared" si="84"/>
        <v>68368.372390154735</v>
      </c>
    </row>
    <row r="22" spans="2:45">
      <c r="B22" s="114" t="s">
        <v>3899</v>
      </c>
      <c r="C22" s="114">
        <v>280</v>
      </c>
      <c r="E22" s="114" t="s">
        <v>49</v>
      </c>
      <c r="F22" s="120">
        <f>F21*2</f>
        <v>50737.133931574441</v>
      </c>
      <c r="G22" s="120">
        <f t="shared" ref="G22:AD22" si="85">G21*2</f>
        <v>52879.991074431578</v>
      </c>
      <c r="H22" s="120">
        <f t="shared" si="85"/>
        <v>55022.848217288723</v>
      </c>
      <c r="I22" s="120">
        <f t="shared" si="85"/>
        <v>58371.413695481206</v>
      </c>
      <c r="J22" s="120">
        <f t="shared" si="85"/>
        <v>61942.842266909778</v>
      </c>
      <c r="K22" s="120">
        <f t="shared" si="85"/>
        <v>65514.270838338351</v>
      </c>
      <c r="L22" s="120">
        <f t="shared" si="85"/>
        <v>69085.699409766923</v>
      </c>
      <c r="M22" s="120">
        <f t="shared" si="85"/>
        <v>72657.127981195488</v>
      </c>
      <c r="N22" s="120">
        <f t="shared" si="85"/>
        <v>76228.556552624068</v>
      </c>
      <c r="O22" s="120">
        <f t="shared" si="85"/>
        <v>79799.985124052633</v>
      </c>
      <c r="P22" s="120">
        <f t="shared" si="85"/>
        <v>104925.12798119549</v>
      </c>
      <c r="Q22" s="120">
        <f t="shared" si="85"/>
        <v>108496.55655262407</v>
      </c>
      <c r="R22" s="120">
        <f t="shared" si="85"/>
        <v>112067.98512405263</v>
      </c>
      <c r="S22" s="120">
        <f t="shared" si="85"/>
        <v>115639.41369548121</v>
      </c>
      <c r="T22" s="120">
        <f t="shared" si="85"/>
        <v>119210.84226690978</v>
      </c>
      <c r="U22" s="120">
        <f t="shared" si="85"/>
        <v>119210.84226690978</v>
      </c>
      <c r="V22" s="120">
        <f t="shared" si="85"/>
        <v>119210.84226690978</v>
      </c>
      <c r="W22" s="120">
        <f t="shared" si="85"/>
        <v>119210.84226690978</v>
      </c>
      <c r="X22" s="120">
        <f t="shared" si="85"/>
        <v>119210.84226690978</v>
      </c>
      <c r="Y22" s="120">
        <f t="shared" si="85"/>
        <v>119210.84226690978</v>
      </c>
      <c r="Z22" s="120">
        <f t="shared" si="85"/>
        <v>136736.74478030947</v>
      </c>
      <c r="AA22" s="120">
        <f t="shared" si="85"/>
        <v>136736.74478030947</v>
      </c>
      <c r="AB22" s="120">
        <f t="shared" si="85"/>
        <v>136736.74478030947</v>
      </c>
      <c r="AC22" s="120">
        <f t="shared" si="85"/>
        <v>136736.74478030947</v>
      </c>
      <c r="AD22" s="120">
        <f t="shared" si="85"/>
        <v>136736.74478030947</v>
      </c>
      <c r="AE22" s="120">
        <f t="shared" ref="AE22" si="86">AE21*2</f>
        <v>136736.74478030947</v>
      </c>
      <c r="AF22" s="120">
        <f t="shared" ref="AF22" si="87">AF21*2</f>
        <v>136736.74478030947</v>
      </c>
      <c r="AG22" s="120">
        <f t="shared" ref="AG22" si="88">AG21*2</f>
        <v>136736.74478030947</v>
      </c>
      <c r="AH22" s="120">
        <f t="shared" ref="AH22" si="89">AH21*2</f>
        <v>136736.74478030947</v>
      </c>
      <c r="AI22" s="120">
        <f t="shared" ref="AI22" si="90">AI21*2</f>
        <v>136736.74478030947</v>
      </c>
      <c r="AJ22" s="120">
        <f t="shared" ref="AJ22" si="91">AJ21*2</f>
        <v>136736.74478030947</v>
      </c>
      <c r="AK22" s="120">
        <f t="shared" ref="AK22" si="92">AK21*2</f>
        <v>136736.74478030947</v>
      </c>
      <c r="AL22" s="120">
        <f t="shared" ref="AL22" si="93">AL21*2</f>
        <v>136736.74478030947</v>
      </c>
      <c r="AM22" s="120">
        <f t="shared" ref="AM22" si="94">AM21*2</f>
        <v>136736.74478030947</v>
      </c>
      <c r="AN22" s="120">
        <f t="shared" ref="AN22" si="95">AN21*2</f>
        <v>136736.74478030947</v>
      </c>
      <c r="AO22" s="120">
        <f t="shared" ref="AO22" si="96">AO21*2</f>
        <v>136736.74478030947</v>
      </c>
      <c r="AP22" s="120">
        <f t="shared" ref="AP22" si="97">AP21*2</f>
        <v>136736.74478030947</v>
      </c>
      <c r="AQ22" s="120">
        <f t="shared" ref="AQ22" si="98">AQ21*2</f>
        <v>136736.74478030947</v>
      </c>
      <c r="AR22" s="120">
        <f t="shared" ref="AR22" si="99">AR21*2</f>
        <v>136736.74478030947</v>
      </c>
      <c r="AS22" s="120">
        <f t="shared" ref="AS22" si="100">AS21*2</f>
        <v>136736.74478030947</v>
      </c>
    </row>
    <row r="23" spans="2:45">
      <c r="B23" s="114" t="s">
        <v>3901</v>
      </c>
      <c r="C23" s="116">
        <v>10</v>
      </c>
      <c r="E23" s="114" t="s">
        <v>3906</v>
      </c>
      <c r="F23" s="120">
        <f>F22</f>
        <v>50737.133931574441</v>
      </c>
      <c r="G23" s="120">
        <f>F23+G22</f>
        <v>103617.12500600601</v>
      </c>
      <c r="H23" s="120">
        <f t="shared" ref="H23:AD23" si="101">G23+H22</f>
        <v>158639.97322329474</v>
      </c>
      <c r="I23" s="120">
        <f t="shared" si="101"/>
        <v>217011.38691877594</v>
      </c>
      <c r="J23" s="120">
        <f t="shared" si="101"/>
        <v>278954.22918568575</v>
      </c>
      <c r="K23" s="120">
        <f t="shared" si="101"/>
        <v>344468.50002402411</v>
      </c>
      <c r="L23" s="120">
        <f t="shared" si="101"/>
        <v>413554.19943379104</v>
      </c>
      <c r="M23" s="120">
        <f t="shared" si="101"/>
        <v>486211.32741498656</v>
      </c>
      <c r="N23" s="120">
        <f t="shared" si="101"/>
        <v>562439.88396761066</v>
      </c>
      <c r="O23" s="120">
        <f t="shared" si="101"/>
        <v>642239.86909166328</v>
      </c>
      <c r="P23" s="120">
        <f t="shared" si="101"/>
        <v>747164.99707285874</v>
      </c>
      <c r="Q23" s="120">
        <f t="shared" si="101"/>
        <v>855661.55362548283</v>
      </c>
      <c r="R23" s="120">
        <f t="shared" si="101"/>
        <v>967729.53874953545</v>
      </c>
      <c r="S23" s="120">
        <f t="shared" si="101"/>
        <v>1083368.9524450167</v>
      </c>
      <c r="T23" s="120">
        <f t="shared" si="101"/>
        <v>1202579.7947119265</v>
      </c>
      <c r="U23" s="120">
        <f t="shared" si="101"/>
        <v>1321790.6369788363</v>
      </c>
      <c r="V23" s="120">
        <f t="shared" si="101"/>
        <v>1441001.479245746</v>
      </c>
      <c r="W23" s="120">
        <f t="shared" si="101"/>
        <v>1560212.3215126558</v>
      </c>
      <c r="X23" s="120">
        <f t="shared" si="101"/>
        <v>1679423.1637795656</v>
      </c>
      <c r="Y23" s="120">
        <f t="shared" si="101"/>
        <v>1798634.0060464754</v>
      </c>
      <c r="Z23" s="120">
        <f t="shared" si="101"/>
        <v>1935370.7508267849</v>
      </c>
      <c r="AA23" s="120">
        <f t="shared" si="101"/>
        <v>2072107.4956070944</v>
      </c>
      <c r="AB23" s="120">
        <f t="shared" si="101"/>
        <v>2208844.2403874039</v>
      </c>
      <c r="AC23" s="120">
        <f t="shared" si="101"/>
        <v>2345580.9851677134</v>
      </c>
      <c r="AD23" s="120">
        <f t="shared" si="101"/>
        <v>2482317.7299480229</v>
      </c>
      <c r="AE23" s="120">
        <f t="shared" ref="AE23" si="102">AD23+AE22</f>
        <v>2619054.4747283324</v>
      </c>
      <c r="AF23" s="120">
        <f t="shared" ref="AF23" si="103">AE23+AF22</f>
        <v>2755791.2195086419</v>
      </c>
      <c r="AG23" s="120">
        <f t="shared" ref="AG23" si="104">AF23+AG22</f>
        <v>2892527.9642889514</v>
      </c>
      <c r="AH23" s="120">
        <f t="shared" ref="AH23" si="105">AG23+AH22</f>
        <v>3029264.7090692609</v>
      </c>
      <c r="AI23" s="120">
        <f t="shared" ref="AI23" si="106">AH23+AI22</f>
        <v>3166001.4538495704</v>
      </c>
      <c r="AJ23" s="120">
        <f t="shared" ref="AJ23" si="107">AI23+AJ22</f>
        <v>3302738.1986298799</v>
      </c>
      <c r="AK23" s="120">
        <f t="shared" ref="AK23" si="108">AJ23+AK22</f>
        <v>3439474.9434101894</v>
      </c>
      <c r="AL23" s="120">
        <f t="shared" ref="AL23" si="109">AK23+AL22</f>
        <v>3576211.6881904989</v>
      </c>
      <c r="AM23" s="120">
        <f t="shared" ref="AM23" si="110">AL23+AM22</f>
        <v>3712948.4329708084</v>
      </c>
      <c r="AN23" s="120">
        <f t="shared" ref="AN23" si="111">AM23+AN22</f>
        <v>3849685.1777511179</v>
      </c>
      <c r="AO23" s="120">
        <f t="shared" ref="AO23" si="112">AN23+AO22</f>
        <v>3986421.9225314273</v>
      </c>
      <c r="AP23" s="120">
        <f t="shared" ref="AP23" si="113">AO23+AP22</f>
        <v>4123158.6673117368</v>
      </c>
      <c r="AQ23" s="120">
        <f t="shared" ref="AQ23" si="114">AP23+AQ22</f>
        <v>4259895.4120920459</v>
      </c>
      <c r="AR23" s="120">
        <f t="shared" ref="AR23" si="115">AQ23+AR22</f>
        <v>4396632.1568723554</v>
      </c>
      <c r="AS23" s="120">
        <f t="shared" ref="AS23" si="116">AR23+AS22</f>
        <v>4533368.9016526649</v>
      </c>
    </row>
    <row r="24" spans="2:45">
      <c r="B24" s="114" t="s">
        <v>3902</v>
      </c>
      <c r="C24" s="118">
        <f>Z22</f>
        <v>136736.74478030947</v>
      </c>
    </row>
    <row r="25" spans="2:45">
      <c r="B25" s="114" t="s">
        <v>3903</v>
      </c>
      <c r="C25" s="120">
        <f>C24*C23</f>
        <v>1367367.4478030948</v>
      </c>
    </row>
    <row r="26" spans="2:45" s="166" customFormat="1" ht="17.399999999999999" customHeight="1">
      <c r="F26" s="167" t="s">
        <v>3907</v>
      </c>
      <c r="G26" s="167" t="s">
        <v>3908</v>
      </c>
      <c r="H26" s="168" t="s">
        <v>3909</v>
      </c>
      <c r="I26" s="168" t="s">
        <v>3910</v>
      </c>
      <c r="J26" s="168" t="s">
        <v>3911</v>
      </c>
      <c r="K26" s="168" t="s">
        <v>3915</v>
      </c>
    </row>
    <row r="27" spans="2:45" s="166" customFormat="1" ht="17.399999999999999" customHeight="1">
      <c r="B27" s="168" t="s">
        <v>3918</v>
      </c>
      <c r="C27" s="168"/>
      <c r="E27" s="166" t="s">
        <v>3895</v>
      </c>
      <c r="F27" s="169">
        <f>AVERAGE(F5:J5)</f>
        <v>28946188.269243322</v>
      </c>
      <c r="G27" s="169">
        <f>AVERAGE(K5:O5)</f>
        <v>28946188.269243322</v>
      </c>
      <c r="H27" s="169">
        <f>AVERAGE(P5:T5)</f>
        <v>28946188.269243322</v>
      </c>
      <c r="I27" s="169">
        <f>AVERAGE(U5:Y5)</f>
        <v>28946188.269243322</v>
      </c>
      <c r="J27" s="169">
        <f>AVERAGE(Z5:AD5)</f>
        <v>28946188.269243322</v>
      </c>
      <c r="K27" s="169">
        <f>AVERAGE(AE5:AI5)</f>
        <v>28946188.269243322</v>
      </c>
    </row>
    <row r="28" spans="2:45" s="166" customFormat="1" ht="17.399999999999999" customHeight="1" thickBot="1">
      <c r="B28" s="193">
        <v>15</v>
      </c>
      <c r="C28" s="194">
        <v>0.75</v>
      </c>
      <c r="E28" s="170" t="s">
        <v>3896</v>
      </c>
      <c r="F28" s="171">
        <f>AVERAGE(F6:J6)</f>
        <v>8553044</v>
      </c>
      <c r="G28" s="171">
        <f t="shared" ref="G28:G38" si="117">AVERAGE(K6:O6)</f>
        <v>6053044</v>
      </c>
      <c r="H28" s="171">
        <f t="shared" ref="H28:H40" si="118">AVERAGE(P6:T6)</f>
        <v>3553044</v>
      </c>
      <c r="I28" s="171">
        <f t="shared" ref="I28:I38" si="119">AVERAGE(U6:Y6)</f>
        <v>2553044</v>
      </c>
      <c r="J28" s="171">
        <f t="shared" ref="J28:J38" si="120">AVERAGE(Z6:AD6)</f>
        <v>2553044</v>
      </c>
      <c r="K28" s="171">
        <f t="shared" ref="K28:K38" si="121">AVERAGE(AE6:AI6)</f>
        <v>2553044</v>
      </c>
    </row>
    <row r="29" spans="2:45" s="166" customFormat="1" ht="17.399999999999999" customHeight="1" thickTop="1">
      <c r="B29" s="193">
        <v>25</v>
      </c>
      <c r="C29" s="194">
        <v>0.5</v>
      </c>
      <c r="E29" s="172" t="s">
        <v>3897</v>
      </c>
      <c r="F29" s="173">
        <f t="shared" ref="F29:F38" si="122">AVERAGE(F7:J7)</f>
        <v>20393144.269243326</v>
      </c>
      <c r="G29" s="173">
        <f t="shared" si="117"/>
        <v>22893144.269243326</v>
      </c>
      <c r="H29" s="173">
        <f t="shared" si="118"/>
        <v>25393144.269243326</v>
      </c>
      <c r="I29" s="173">
        <f t="shared" si="119"/>
        <v>26393144.269243326</v>
      </c>
      <c r="J29" s="173">
        <f t="shared" si="120"/>
        <v>26393144.269243326</v>
      </c>
      <c r="K29" s="173">
        <f t="shared" si="121"/>
        <v>26393144.269243326</v>
      </c>
    </row>
    <row r="30" spans="2:45" s="166" customFormat="1" ht="17.399999999999999" customHeight="1">
      <c r="B30" s="193">
        <v>35</v>
      </c>
      <c r="C30" s="194">
        <v>0.25</v>
      </c>
      <c r="E30" s="145" t="s">
        <v>3891</v>
      </c>
      <c r="F30" s="169">
        <f t="shared" si="122"/>
        <v>1290806.5578754577</v>
      </c>
      <c r="G30" s="169">
        <f t="shared" si="117"/>
        <v>1290806.5578754577</v>
      </c>
      <c r="H30" s="169">
        <f t="shared" si="118"/>
        <v>1290806.5578754577</v>
      </c>
      <c r="I30" s="169">
        <f t="shared" ref="I30:I35" si="123">AVERAGE(U8:Y8)</f>
        <v>1290806.5578754577</v>
      </c>
      <c r="J30" s="169"/>
      <c r="K30" s="169"/>
    </row>
    <row r="31" spans="2:45" s="166" customFormat="1" ht="17.399999999999999" customHeight="1">
      <c r="E31" s="145" t="s">
        <v>31</v>
      </c>
      <c r="F31" s="169">
        <f t="shared" si="122"/>
        <v>243074.79400049997</v>
      </c>
      <c r="G31" s="169">
        <f t="shared" si="117"/>
        <v>243074.79400049997</v>
      </c>
      <c r="H31" s="169">
        <f t="shared" si="118"/>
        <v>243074.79400049997</v>
      </c>
      <c r="I31" s="169">
        <f t="shared" si="123"/>
        <v>243074.79400049997</v>
      </c>
      <c r="J31" s="169"/>
      <c r="K31" s="169"/>
    </row>
    <row r="32" spans="2:45" s="166" customFormat="1" ht="17.399999999999999" customHeight="1">
      <c r="B32" s="166" t="s">
        <v>3912</v>
      </c>
      <c r="C32" s="176">
        <v>244730.71</v>
      </c>
      <c r="E32" s="145" t="s">
        <v>3886</v>
      </c>
      <c r="F32" s="169">
        <f t="shared" si="122"/>
        <v>2027520</v>
      </c>
      <c r="G32" s="169">
        <f t="shared" si="117"/>
        <v>2027520</v>
      </c>
      <c r="H32" s="169"/>
      <c r="I32" s="169"/>
      <c r="J32" s="169"/>
      <c r="K32" s="169"/>
    </row>
    <row r="33" spans="2:11" s="166" customFormat="1" ht="17.399999999999999" customHeight="1">
      <c r="B33" s="166">
        <f>C33/C32</f>
        <v>3.366966082842648E-3</v>
      </c>
      <c r="C33" s="176">
        <v>824</v>
      </c>
      <c r="E33" s="145" t="s">
        <v>3883</v>
      </c>
      <c r="F33" s="169">
        <f>AVERAGE(F11:J11)</f>
        <v>990000</v>
      </c>
      <c r="G33" s="169">
        <f t="shared" si="117"/>
        <v>990000</v>
      </c>
      <c r="H33" s="169"/>
      <c r="I33" s="169"/>
      <c r="J33" s="169"/>
      <c r="K33" s="169"/>
    </row>
    <row r="34" spans="2:11" s="166" customFormat="1" ht="17.399999999999999" customHeight="1" thickBot="1">
      <c r="B34" s="166">
        <f>C34/C32</f>
        <v>1.6242403742464525E-3</v>
      </c>
      <c r="C34" s="176">
        <f>496.83*0.33+707.72*0.33</f>
        <v>397.50150000000002</v>
      </c>
      <c r="E34" s="157" t="s">
        <v>3882</v>
      </c>
      <c r="F34" s="171">
        <f t="shared" si="122"/>
        <v>919745</v>
      </c>
      <c r="G34" s="171">
        <f t="shared" si="117"/>
        <v>919745</v>
      </c>
      <c r="H34" s="171">
        <f t="shared" si="118"/>
        <v>919745</v>
      </c>
      <c r="I34" s="171">
        <f t="shared" si="123"/>
        <v>919745</v>
      </c>
      <c r="J34" s="171"/>
      <c r="K34" s="171"/>
    </row>
    <row r="35" spans="2:11" s="166" customFormat="1" ht="17.399999999999999" customHeight="1" thickTop="1" thickBot="1">
      <c r="E35" s="160" t="s">
        <v>3898</v>
      </c>
      <c r="F35" s="175">
        <f t="shared" ref="F35" si="124">AVERAGE(F13:J13)</f>
        <v>14921997.917367369</v>
      </c>
      <c r="G35" s="175">
        <f t="shared" ref="G35" si="125">AVERAGE(K13:O13)</f>
        <v>17421997.917367369</v>
      </c>
      <c r="H35" s="175">
        <f t="shared" ref="H35" si="126">AVERAGE(P13:T13)</f>
        <v>22939517.917367369</v>
      </c>
      <c r="I35" s="175">
        <f t="shared" si="123"/>
        <v>23939517.917367369</v>
      </c>
      <c r="J35" s="175">
        <f t="shared" ref="J35" si="127">AVERAGE(Z13:AD13)</f>
        <v>26393144.269243326</v>
      </c>
      <c r="K35" s="175">
        <f t="shared" si="121"/>
        <v>26393144.269243326</v>
      </c>
    </row>
    <row r="36" spans="2:11" s="166" customFormat="1" ht="17.399999999999999" customHeight="1" thickTop="1">
      <c r="B36" s="166" t="s">
        <v>3919</v>
      </c>
      <c r="C36" s="192">
        <f>B33*C16</f>
        <v>1492374.7318678813</v>
      </c>
      <c r="E36" s="145" t="s">
        <v>3889</v>
      </c>
      <c r="F36" s="169">
        <f t="shared" si="122"/>
        <v>1250000</v>
      </c>
      <c r="G36" s="169">
        <f t="shared" si="117"/>
        <v>1250000</v>
      </c>
      <c r="H36" s="169">
        <f t="shared" si="118"/>
        <v>1250000</v>
      </c>
      <c r="I36" s="169">
        <f t="shared" si="119"/>
        <v>1250000</v>
      </c>
      <c r="J36" s="169">
        <f t="shared" si="120"/>
        <v>1250000</v>
      </c>
      <c r="K36" s="169">
        <f t="shared" si="121"/>
        <v>1250000</v>
      </c>
    </row>
    <row r="37" spans="2:11" s="166" customFormat="1" ht="17.399999999999999" customHeight="1" thickBot="1">
      <c r="B37" s="166" t="s">
        <v>3920</v>
      </c>
      <c r="C37" s="195">
        <f>B34*C20</f>
        <v>719928.63407716097</v>
      </c>
      <c r="E37" s="145" t="s">
        <v>3890</v>
      </c>
      <c r="F37" s="169">
        <f t="shared" si="122"/>
        <v>5861279.5001681689</v>
      </c>
      <c r="G37" s="169">
        <f t="shared" si="117"/>
        <v>6000000</v>
      </c>
      <c r="H37" s="169">
        <f t="shared" si="118"/>
        <v>6000000</v>
      </c>
      <c r="I37" s="169">
        <f t="shared" si="119"/>
        <v>6000000</v>
      </c>
      <c r="J37" s="169">
        <f t="shared" si="120"/>
        <v>6000000</v>
      </c>
      <c r="K37" s="169">
        <f t="shared" si="121"/>
        <v>6000000</v>
      </c>
    </row>
    <row r="38" spans="2:11" s="166" customFormat="1" ht="17.399999999999999" customHeight="1" thickTop="1">
      <c r="C38" s="176">
        <f>SUM(C36:C37)</f>
        <v>2212303.3659450421</v>
      </c>
      <c r="E38" s="162" t="s">
        <v>3879</v>
      </c>
      <c r="F38" s="174">
        <f t="shared" si="122"/>
        <v>7810718.4171992</v>
      </c>
      <c r="G38" s="174">
        <f t="shared" si="117"/>
        <v>10171997.917367369</v>
      </c>
      <c r="H38" s="174">
        <f t="shared" si="118"/>
        <v>15689517.917367369</v>
      </c>
      <c r="I38" s="174">
        <f t="shared" si="119"/>
        <v>16689517.917367369</v>
      </c>
      <c r="J38" s="174">
        <f t="shared" si="120"/>
        <v>19143144.269243326</v>
      </c>
      <c r="K38" s="174">
        <f t="shared" si="121"/>
        <v>19143144.269243326</v>
      </c>
    </row>
    <row r="39" spans="2:11">
      <c r="F39" s="169"/>
      <c r="G39" s="169"/>
      <c r="H39" s="169"/>
      <c r="I39" s="169"/>
      <c r="J39" s="169"/>
      <c r="K39" s="169"/>
    </row>
    <row r="40" spans="2:11">
      <c r="E40" s="197" t="s">
        <v>3916</v>
      </c>
      <c r="F40" s="198">
        <f t="shared" ref="F40" si="128">AVERAGE(F18:J18)</f>
        <v>7810718.4171992</v>
      </c>
      <c r="G40" s="198">
        <f t="shared" ref="G40" si="129">AVERAGE(K18:O18)</f>
        <v>10171997.917367369</v>
      </c>
      <c r="H40" s="198">
        <f t="shared" si="118"/>
        <v>14855042.021499002</v>
      </c>
      <c r="I40" s="198">
        <f t="shared" ref="I40" si="130">AVERAGE(U18:Y18)</f>
        <v>12517138.438025527</v>
      </c>
      <c r="J40" s="198">
        <f t="shared" ref="J40" si="131">AVERAGE(Z18:AD18)</f>
        <v>13400200.988470327</v>
      </c>
      <c r="K40" s="198">
        <f t="shared" ref="K40" si="132">AVERAGE(AE18:AI18)</f>
        <v>9571572.134621663</v>
      </c>
    </row>
    <row r="41" spans="2:11">
      <c r="E41" s="197" t="s">
        <v>3917</v>
      </c>
      <c r="F41" s="198">
        <v>0</v>
      </c>
      <c r="G41" s="198">
        <v>0</v>
      </c>
      <c r="H41" s="198">
        <f>H38-H40</f>
        <v>834475.89586836658</v>
      </c>
      <c r="I41" s="198">
        <f>I38-I40</f>
        <v>4172379.4793418422</v>
      </c>
      <c r="J41" s="198">
        <f t="shared" ref="J41:K41" si="133">J38-J40</f>
        <v>5742943.2807729989</v>
      </c>
      <c r="K41" s="198">
        <f t="shared" si="133"/>
        <v>9571572.134621663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A4FB-02C3-4D99-A262-01183C430B32}">
  <sheetPr codeName="Sheet7"/>
  <dimension ref="A1:BD334"/>
  <sheetViews>
    <sheetView rightToLeft="1" zoomScale="115" zoomScaleNormal="115" workbookViewId="0">
      <pane ySplit="1" topLeftCell="A109" activePane="bottomLeft" state="frozen"/>
      <selection pane="bottomLeft" activeCell="AW124" sqref="AW124"/>
    </sheetView>
  </sheetViews>
  <sheetFormatPr defaultRowHeight="14.4"/>
  <cols>
    <col min="2" max="2" width="0" hidden="1" customWidth="1"/>
    <col min="4" max="11" width="0" hidden="1" customWidth="1"/>
    <col min="12" max="12" width="13" customWidth="1"/>
    <col min="14" max="21" width="0" hidden="1" customWidth="1"/>
    <col min="24" max="35" width="0" hidden="1" customWidth="1"/>
    <col min="38" max="40" width="0" hidden="1" customWidth="1"/>
    <col min="49" max="49" width="9.109375" customWidth="1"/>
    <col min="50" max="50" width="16.33203125" customWidth="1"/>
    <col min="51" max="51" width="12.88671875" customWidth="1"/>
    <col min="52" max="52" width="11" bestFit="1" customWidth="1"/>
    <col min="53" max="53" width="10.6640625" bestFit="1" customWidth="1"/>
  </cols>
  <sheetData>
    <row r="1" spans="1:51" ht="17.399999999999999">
      <c r="A1" s="11" t="s">
        <v>3267</v>
      </c>
      <c r="B1" s="11" t="s">
        <v>3268</v>
      </c>
      <c r="C1" s="11" t="s">
        <v>3269</v>
      </c>
      <c r="D1" s="11" t="s">
        <v>3270</v>
      </c>
      <c r="E1" s="11" t="s">
        <v>3271</v>
      </c>
      <c r="F1" s="11" t="s">
        <v>3272</v>
      </c>
      <c r="G1" s="11" t="s">
        <v>3273</v>
      </c>
      <c r="H1" s="11" t="s">
        <v>3274</v>
      </c>
      <c r="I1" s="11" t="s">
        <v>3275</v>
      </c>
      <c r="J1" s="11" t="s">
        <v>3276</v>
      </c>
      <c r="K1" s="11" t="s">
        <v>3277</v>
      </c>
      <c r="L1" s="11" t="s">
        <v>3278</v>
      </c>
      <c r="M1" s="11" t="s">
        <v>3279</v>
      </c>
      <c r="N1" s="11" t="s">
        <v>3280</v>
      </c>
      <c r="O1" s="11" t="s">
        <v>3281</v>
      </c>
      <c r="P1" s="11" t="s">
        <v>3282</v>
      </c>
      <c r="Q1" s="11" t="s">
        <v>3283</v>
      </c>
      <c r="R1" s="11" t="s">
        <v>3284</v>
      </c>
      <c r="S1" s="11" t="s">
        <v>3285</v>
      </c>
      <c r="T1" s="11" t="s">
        <v>3286</v>
      </c>
      <c r="U1" s="11" t="s">
        <v>3287</v>
      </c>
      <c r="V1" s="11" t="s">
        <v>3288</v>
      </c>
      <c r="W1" s="11" t="s">
        <v>3289</v>
      </c>
      <c r="X1" s="11" t="s">
        <v>3290</v>
      </c>
      <c r="Y1" s="11" t="s">
        <v>3291</v>
      </c>
      <c r="Z1" s="11" t="s">
        <v>3292</v>
      </c>
      <c r="AA1" s="11" t="s">
        <v>3293</v>
      </c>
      <c r="AB1" s="11" t="s">
        <v>3294</v>
      </c>
      <c r="AC1" s="11" t="s">
        <v>3295</v>
      </c>
      <c r="AD1" s="11" t="s">
        <v>3296</v>
      </c>
      <c r="AE1" s="11" t="s">
        <v>3297</v>
      </c>
      <c r="AF1" s="11" t="s">
        <v>3298</v>
      </c>
      <c r="AG1" s="11" t="s">
        <v>3299</v>
      </c>
      <c r="AH1" s="11" t="s">
        <v>3300</v>
      </c>
      <c r="AI1" s="11" t="s">
        <v>3301</v>
      </c>
      <c r="AJ1" s="11" t="s">
        <v>3302</v>
      </c>
      <c r="AK1" s="11" t="s">
        <v>3303</v>
      </c>
      <c r="AL1" s="11" t="s">
        <v>3304</v>
      </c>
      <c r="AM1" s="11" t="s">
        <v>3305</v>
      </c>
      <c r="AN1" s="11" t="s">
        <v>3306</v>
      </c>
      <c r="AO1" s="11" t="s">
        <v>3307</v>
      </c>
      <c r="AP1" s="11" t="s">
        <v>3308</v>
      </c>
      <c r="AQ1" s="11" t="s">
        <v>36</v>
      </c>
      <c r="AR1" s="11" t="s">
        <v>3309</v>
      </c>
      <c r="AS1" s="11" t="s">
        <v>3310</v>
      </c>
      <c r="AT1" s="11" t="s">
        <v>3311</v>
      </c>
      <c r="AU1" s="11" t="s">
        <v>3312</v>
      </c>
      <c r="AV1" s="11" t="s">
        <v>3313</v>
      </c>
      <c r="AW1" s="11" t="s">
        <v>3314</v>
      </c>
      <c r="AX1" s="11" t="s">
        <v>3315</v>
      </c>
      <c r="AY1" s="11" t="s">
        <v>3863</v>
      </c>
    </row>
    <row r="2" spans="1:51">
      <c r="A2" s="12">
        <v>8922101</v>
      </c>
      <c r="B2" s="13" t="s">
        <v>3698</v>
      </c>
      <c r="C2" s="13" t="s">
        <v>3317</v>
      </c>
      <c r="D2" s="13"/>
      <c r="E2" s="13" t="s">
        <v>3318</v>
      </c>
      <c r="F2" s="12"/>
      <c r="G2" s="12"/>
      <c r="H2" s="13"/>
      <c r="I2" s="12"/>
      <c r="J2" s="12"/>
      <c r="K2" s="12"/>
      <c r="L2" s="12" t="s">
        <v>2899</v>
      </c>
      <c r="M2" s="12" t="s">
        <v>2899</v>
      </c>
      <c r="N2" s="12"/>
      <c r="O2" s="13"/>
      <c r="P2" s="12"/>
      <c r="Q2" s="13"/>
      <c r="R2" s="12"/>
      <c r="S2" s="12"/>
      <c r="T2" s="12"/>
      <c r="U2" s="13"/>
      <c r="V2" s="12" t="s">
        <v>3321</v>
      </c>
      <c r="W2" s="13" t="s">
        <v>3322</v>
      </c>
      <c r="X2" s="12"/>
      <c r="Y2" s="13"/>
      <c r="Z2" s="12"/>
      <c r="AA2" s="13"/>
      <c r="AB2" s="12"/>
      <c r="AC2" s="12"/>
      <c r="AD2" s="14"/>
      <c r="AE2" s="12"/>
      <c r="AF2" s="13"/>
      <c r="AG2" s="12"/>
      <c r="AH2" s="12"/>
      <c r="AI2" s="13"/>
      <c r="AJ2" s="13" t="s">
        <v>3328</v>
      </c>
      <c r="AK2" s="13" t="s">
        <v>3324</v>
      </c>
      <c r="AL2" s="12"/>
      <c r="AM2" s="13"/>
      <c r="AN2" s="12"/>
      <c r="AO2" s="12"/>
      <c r="AP2" s="13"/>
      <c r="AQ2" s="12"/>
      <c r="AR2" s="13"/>
      <c r="AS2" s="13" t="s">
        <v>71</v>
      </c>
      <c r="AT2" s="13" t="s">
        <v>71</v>
      </c>
      <c r="AU2" s="14">
        <v>100</v>
      </c>
      <c r="AV2" s="14"/>
      <c r="AW2" s="14">
        <v>2</v>
      </c>
      <c r="AX2" s="15">
        <v>44439</v>
      </c>
      <c r="AY2" s="15"/>
    </row>
    <row r="3" spans="1:51">
      <c r="A3" s="12">
        <v>8922102</v>
      </c>
      <c r="B3" s="13" t="s">
        <v>3700</v>
      </c>
      <c r="C3" s="13" t="s">
        <v>3317</v>
      </c>
      <c r="D3" s="13"/>
      <c r="E3" s="13" t="s">
        <v>3318</v>
      </c>
      <c r="F3" s="12"/>
      <c r="G3" s="12"/>
      <c r="H3" s="13"/>
      <c r="I3" s="12"/>
      <c r="J3" s="12"/>
      <c r="K3" s="12"/>
      <c r="L3" s="12" t="s">
        <v>2902</v>
      </c>
      <c r="M3" s="12" t="s">
        <v>2902</v>
      </c>
      <c r="N3" s="12"/>
      <c r="O3" s="13"/>
      <c r="P3" s="12"/>
      <c r="Q3" s="13"/>
      <c r="R3" s="12"/>
      <c r="S3" s="12"/>
      <c r="T3" s="12"/>
      <c r="U3" s="13"/>
      <c r="V3" s="12" t="s">
        <v>3321</v>
      </c>
      <c r="W3" s="13" t="s">
        <v>3322</v>
      </c>
      <c r="X3" s="12"/>
      <c r="Y3" s="13"/>
      <c r="Z3" s="12"/>
      <c r="AA3" s="13"/>
      <c r="AB3" s="12"/>
      <c r="AC3" s="12"/>
      <c r="AD3" s="14"/>
      <c r="AE3" s="12"/>
      <c r="AF3" s="13"/>
      <c r="AG3" s="12"/>
      <c r="AH3" s="12"/>
      <c r="AI3" s="13"/>
      <c r="AJ3" s="13" t="s">
        <v>3328</v>
      </c>
      <c r="AK3" s="13" t="s">
        <v>3324</v>
      </c>
      <c r="AL3" s="12"/>
      <c r="AM3" s="13"/>
      <c r="AN3" s="12"/>
      <c r="AO3" s="12"/>
      <c r="AP3" s="13"/>
      <c r="AQ3" s="12"/>
      <c r="AR3" s="13"/>
      <c r="AS3" s="13" t="s">
        <v>71</v>
      </c>
      <c r="AT3" s="13" t="s">
        <v>71</v>
      </c>
      <c r="AU3" s="14">
        <v>100</v>
      </c>
      <c r="AV3" s="14"/>
      <c r="AW3" s="14">
        <v>2</v>
      </c>
      <c r="AX3" s="15">
        <v>44439</v>
      </c>
      <c r="AY3" s="15"/>
    </row>
    <row r="4" spans="1:51">
      <c r="A4" s="12">
        <v>8919101</v>
      </c>
      <c r="B4" s="13" t="s">
        <v>2357</v>
      </c>
      <c r="C4" s="13" t="s">
        <v>3342</v>
      </c>
      <c r="D4" s="13"/>
      <c r="E4" s="13" t="s">
        <v>3318</v>
      </c>
      <c r="F4" s="12"/>
      <c r="G4" s="12"/>
      <c r="H4" s="13"/>
      <c r="I4" s="12"/>
      <c r="J4" s="12"/>
      <c r="K4" s="12"/>
      <c r="L4" s="12">
        <v>203737424</v>
      </c>
      <c r="M4" s="12"/>
      <c r="N4" s="12"/>
      <c r="O4" s="13"/>
      <c r="P4" s="12"/>
      <c r="Q4" s="13"/>
      <c r="R4" s="12"/>
      <c r="S4" s="12"/>
      <c r="T4" s="12"/>
      <c r="U4" s="13"/>
      <c r="V4" s="12" t="s">
        <v>3321</v>
      </c>
      <c r="W4" s="13" t="s">
        <v>3322</v>
      </c>
      <c r="X4" s="12"/>
      <c r="Y4" s="13"/>
      <c r="Z4" s="12"/>
      <c r="AA4" s="13"/>
      <c r="AB4" s="12"/>
      <c r="AC4" s="12"/>
      <c r="AD4" s="14"/>
      <c r="AE4" s="12"/>
      <c r="AF4" s="13"/>
      <c r="AG4" s="12"/>
      <c r="AH4" s="12"/>
      <c r="AI4" s="13"/>
      <c r="AJ4" s="13" t="s">
        <v>3328</v>
      </c>
      <c r="AK4" s="13" t="s">
        <v>3324</v>
      </c>
      <c r="AL4" s="12"/>
      <c r="AM4" s="13"/>
      <c r="AN4" s="12"/>
      <c r="AO4" s="12">
        <v>1910</v>
      </c>
      <c r="AP4" s="13"/>
      <c r="AQ4" s="12">
        <v>19101</v>
      </c>
      <c r="AR4" s="13"/>
      <c r="AS4" s="13" t="s">
        <v>71</v>
      </c>
      <c r="AT4" s="13" t="s">
        <v>71</v>
      </c>
      <c r="AU4" s="14">
        <v>100</v>
      </c>
      <c r="AV4" s="14"/>
      <c r="AW4" s="14">
        <v>2.99</v>
      </c>
      <c r="AX4" s="15">
        <v>45900</v>
      </c>
      <c r="AY4" s="15"/>
    </row>
    <row r="5" spans="1:51">
      <c r="A5" s="12">
        <v>8919102</v>
      </c>
      <c r="B5" s="13" t="s">
        <v>2362</v>
      </c>
      <c r="C5" s="13" t="s">
        <v>3342</v>
      </c>
      <c r="D5" s="13"/>
      <c r="E5" s="13" t="s">
        <v>3318</v>
      </c>
      <c r="F5" s="12"/>
      <c r="G5" s="12"/>
      <c r="H5" s="13"/>
      <c r="I5" s="12"/>
      <c r="J5" s="12"/>
      <c r="K5" s="12"/>
      <c r="L5" s="12">
        <v>302283759</v>
      </c>
      <c r="M5" s="12"/>
      <c r="N5" s="12"/>
      <c r="O5" s="13"/>
      <c r="P5" s="12"/>
      <c r="Q5" s="13"/>
      <c r="R5" s="12"/>
      <c r="S5" s="12"/>
      <c r="T5" s="12"/>
      <c r="U5" s="13"/>
      <c r="V5" s="12" t="s">
        <v>3321</v>
      </c>
      <c r="W5" s="13" t="s">
        <v>3322</v>
      </c>
      <c r="X5" s="12"/>
      <c r="Y5" s="13"/>
      <c r="Z5" s="12"/>
      <c r="AA5" s="13"/>
      <c r="AB5" s="12"/>
      <c r="AC5" s="12"/>
      <c r="AD5" s="14"/>
      <c r="AE5" s="12"/>
      <c r="AF5" s="13"/>
      <c r="AG5" s="12"/>
      <c r="AH5" s="12"/>
      <c r="AI5" s="13"/>
      <c r="AJ5" s="13" t="s">
        <v>3328</v>
      </c>
      <c r="AK5" s="13" t="s">
        <v>3324</v>
      </c>
      <c r="AL5" s="12"/>
      <c r="AM5" s="13"/>
      <c r="AN5" s="12"/>
      <c r="AO5" s="12">
        <v>1910</v>
      </c>
      <c r="AP5" s="13"/>
      <c r="AQ5" s="12">
        <v>19102</v>
      </c>
      <c r="AR5" s="13"/>
      <c r="AS5" s="13" t="s">
        <v>71</v>
      </c>
      <c r="AT5" s="13" t="s">
        <v>71</v>
      </c>
      <c r="AU5" s="14">
        <v>100</v>
      </c>
      <c r="AV5" s="14"/>
      <c r="AW5" s="14">
        <v>2.99</v>
      </c>
      <c r="AX5" s="15">
        <v>45900</v>
      </c>
      <c r="AY5" s="15"/>
    </row>
    <row r="6" spans="1:51">
      <c r="A6" s="12">
        <v>8902501</v>
      </c>
      <c r="B6" s="13" t="s">
        <v>3419</v>
      </c>
      <c r="C6" s="13" t="s">
        <v>3342</v>
      </c>
      <c r="D6" s="13"/>
      <c r="E6" s="13" t="s">
        <v>3318</v>
      </c>
      <c r="F6" s="12"/>
      <c r="G6" s="12"/>
      <c r="H6" s="13"/>
      <c r="I6" s="12"/>
      <c r="J6" s="12"/>
      <c r="K6" s="12"/>
      <c r="L6" s="12">
        <v>305663395</v>
      </c>
      <c r="M6" s="12"/>
      <c r="N6" s="12"/>
      <c r="O6" s="13"/>
      <c r="P6" s="12"/>
      <c r="Q6" s="13"/>
      <c r="R6" s="12"/>
      <c r="S6" s="12"/>
      <c r="T6" s="12"/>
      <c r="U6" s="13"/>
      <c r="V6" s="12" t="s">
        <v>3321</v>
      </c>
      <c r="W6" s="13" t="s">
        <v>3322</v>
      </c>
      <c r="X6" s="12"/>
      <c r="Y6" s="13"/>
      <c r="Z6" s="12"/>
      <c r="AA6" s="13"/>
      <c r="AB6" s="12"/>
      <c r="AC6" s="12"/>
      <c r="AD6" s="14"/>
      <c r="AE6" s="12"/>
      <c r="AF6" s="13"/>
      <c r="AG6" s="12"/>
      <c r="AH6" s="12"/>
      <c r="AI6" s="13"/>
      <c r="AJ6" s="13" t="s">
        <v>3328</v>
      </c>
      <c r="AK6" s="13" t="s">
        <v>3324</v>
      </c>
      <c r="AL6" s="12"/>
      <c r="AM6" s="13"/>
      <c r="AN6" s="12"/>
      <c r="AO6" s="12" t="s">
        <v>627</v>
      </c>
      <c r="AP6" s="13"/>
      <c r="AQ6" s="12" t="s">
        <v>623</v>
      </c>
      <c r="AR6" s="13"/>
      <c r="AS6" s="13" t="s">
        <v>71</v>
      </c>
      <c r="AT6" s="13" t="s">
        <v>71</v>
      </c>
      <c r="AU6" s="14">
        <v>100</v>
      </c>
      <c r="AV6" s="14"/>
      <c r="AW6" s="14">
        <v>3.03</v>
      </c>
      <c r="AX6" s="15">
        <v>45900</v>
      </c>
      <c r="AY6" s="15"/>
    </row>
    <row r="7" spans="1:51">
      <c r="A7" s="12">
        <v>8902502</v>
      </c>
      <c r="B7" s="13" t="s">
        <v>631</v>
      </c>
      <c r="C7" s="13" t="s">
        <v>3342</v>
      </c>
      <c r="D7" s="13"/>
      <c r="E7" s="13" t="s">
        <v>3318</v>
      </c>
      <c r="F7" s="12"/>
      <c r="G7" s="12"/>
      <c r="H7" s="13"/>
      <c r="I7" s="12"/>
      <c r="J7" s="12"/>
      <c r="K7" s="12"/>
      <c r="L7" s="12">
        <v>203298997</v>
      </c>
      <c r="M7" s="12"/>
      <c r="N7" s="12"/>
      <c r="O7" s="13"/>
      <c r="P7" s="12"/>
      <c r="Q7" s="13"/>
      <c r="R7" s="12"/>
      <c r="S7" s="12"/>
      <c r="T7" s="12"/>
      <c r="U7" s="13"/>
      <c r="V7" s="12" t="s">
        <v>3321</v>
      </c>
      <c r="W7" s="13" t="s">
        <v>3322</v>
      </c>
      <c r="X7" s="12"/>
      <c r="Y7" s="13"/>
      <c r="Z7" s="12"/>
      <c r="AA7" s="13"/>
      <c r="AB7" s="12"/>
      <c r="AC7" s="12"/>
      <c r="AD7" s="14"/>
      <c r="AE7" s="12"/>
      <c r="AF7" s="13"/>
      <c r="AG7" s="12"/>
      <c r="AH7" s="12"/>
      <c r="AI7" s="13"/>
      <c r="AJ7" s="13" t="s">
        <v>3328</v>
      </c>
      <c r="AK7" s="13" t="s">
        <v>3324</v>
      </c>
      <c r="AL7" s="12"/>
      <c r="AM7" s="13"/>
      <c r="AN7" s="12"/>
      <c r="AO7" s="12" t="s">
        <v>627</v>
      </c>
      <c r="AP7" s="13"/>
      <c r="AQ7" s="12" t="s">
        <v>630</v>
      </c>
      <c r="AR7" s="13"/>
      <c r="AS7" s="13" t="s">
        <v>71</v>
      </c>
      <c r="AT7" s="13" t="s">
        <v>71</v>
      </c>
      <c r="AU7" s="14">
        <v>100</v>
      </c>
      <c r="AV7" s="14"/>
      <c r="AW7" s="14">
        <v>3.03</v>
      </c>
      <c r="AX7" s="15">
        <v>45900</v>
      </c>
      <c r="AY7" s="15"/>
    </row>
    <row r="8" spans="1:51">
      <c r="A8" s="12">
        <v>8920501</v>
      </c>
      <c r="B8" s="13" t="s">
        <v>3697</v>
      </c>
      <c r="C8" s="13" t="s">
        <v>3342</v>
      </c>
      <c r="D8" s="13"/>
      <c r="E8" s="13" t="s">
        <v>3318</v>
      </c>
      <c r="F8" s="12"/>
      <c r="G8" s="12"/>
      <c r="H8" s="13"/>
      <c r="I8" s="12"/>
      <c r="J8" s="12"/>
      <c r="K8" s="12"/>
      <c r="L8" s="12">
        <v>305127250</v>
      </c>
      <c r="M8" s="12"/>
      <c r="N8" s="12"/>
      <c r="O8" s="13"/>
      <c r="P8" s="12"/>
      <c r="Q8" s="13"/>
      <c r="R8" s="12"/>
      <c r="S8" s="12"/>
      <c r="T8" s="12"/>
      <c r="U8" s="13"/>
      <c r="V8" s="12" t="s">
        <v>3321</v>
      </c>
      <c r="W8" s="13" t="s">
        <v>3322</v>
      </c>
      <c r="X8" s="12"/>
      <c r="Y8" s="13"/>
      <c r="Z8" s="12"/>
      <c r="AA8" s="13"/>
      <c r="AB8" s="12"/>
      <c r="AC8" s="12"/>
      <c r="AD8" s="14"/>
      <c r="AE8" s="12"/>
      <c r="AF8" s="13"/>
      <c r="AG8" s="12"/>
      <c r="AH8" s="12"/>
      <c r="AI8" s="13"/>
      <c r="AJ8" s="13" t="s">
        <v>3328</v>
      </c>
      <c r="AK8" s="13" t="s">
        <v>3324</v>
      </c>
      <c r="AL8" s="12"/>
      <c r="AM8" s="13"/>
      <c r="AN8" s="12"/>
      <c r="AO8" s="12">
        <v>2050</v>
      </c>
      <c r="AP8" s="13"/>
      <c r="AQ8" s="12">
        <v>20501</v>
      </c>
      <c r="AR8" s="13"/>
      <c r="AS8" s="13" t="s">
        <v>71</v>
      </c>
      <c r="AT8" s="13" t="s">
        <v>71</v>
      </c>
      <c r="AU8" s="14">
        <v>100</v>
      </c>
      <c r="AV8" s="14"/>
      <c r="AW8" s="14">
        <v>3.03</v>
      </c>
      <c r="AX8" s="15">
        <v>45900</v>
      </c>
      <c r="AY8" s="15"/>
    </row>
    <row r="9" spans="1:51">
      <c r="A9" s="12">
        <v>8920502</v>
      </c>
      <c r="B9" s="13" t="s">
        <v>2882</v>
      </c>
      <c r="C9" s="13" t="s">
        <v>3342</v>
      </c>
      <c r="D9" s="13"/>
      <c r="E9" s="13" t="s">
        <v>3318</v>
      </c>
      <c r="F9" s="12"/>
      <c r="G9" s="12"/>
      <c r="H9" s="13"/>
      <c r="I9" s="12"/>
      <c r="J9" s="12"/>
      <c r="K9" s="12"/>
      <c r="L9" s="12">
        <v>305358277</v>
      </c>
      <c r="M9" s="12"/>
      <c r="N9" s="12"/>
      <c r="O9" s="13"/>
      <c r="P9" s="12"/>
      <c r="Q9" s="13"/>
      <c r="R9" s="12"/>
      <c r="S9" s="12"/>
      <c r="T9" s="12"/>
      <c r="U9" s="13"/>
      <c r="V9" s="12" t="s">
        <v>3321</v>
      </c>
      <c r="W9" s="13" t="s">
        <v>3322</v>
      </c>
      <c r="X9" s="12"/>
      <c r="Y9" s="13"/>
      <c r="Z9" s="12"/>
      <c r="AA9" s="13"/>
      <c r="AB9" s="12"/>
      <c r="AC9" s="12"/>
      <c r="AD9" s="14"/>
      <c r="AE9" s="12"/>
      <c r="AF9" s="13"/>
      <c r="AG9" s="12"/>
      <c r="AH9" s="12"/>
      <c r="AI9" s="13"/>
      <c r="AJ9" s="13" t="s">
        <v>3328</v>
      </c>
      <c r="AK9" s="13" t="s">
        <v>3324</v>
      </c>
      <c r="AL9" s="12"/>
      <c r="AM9" s="13"/>
      <c r="AN9" s="12"/>
      <c r="AO9" s="12">
        <v>2050</v>
      </c>
      <c r="AP9" s="13"/>
      <c r="AQ9" s="12">
        <v>20502</v>
      </c>
      <c r="AR9" s="13"/>
      <c r="AS9" s="13" t="s">
        <v>71</v>
      </c>
      <c r="AT9" s="13" t="s">
        <v>71</v>
      </c>
      <c r="AU9" s="14">
        <v>100</v>
      </c>
      <c r="AV9" s="14"/>
      <c r="AW9" s="14">
        <v>3.03</v>
      </c>
      <c r="AX9" s="15">
        <v>45900</v>
      </c>
      <c r="AY9" s="15"/>
    </row>
    <row r="10" spans="1:51">
      <c r="A10" s="12">
        <v>8913061</v>
      </c>
      <c r="B10" s="13" t="s">
        <v>3603</v>
      </c>
      <c r="C10" s="13" t="s">
        <v>3342</v>
      </c>
      <c r="D10" s="13"/>
      <c r="E10" s="13" t="s">
        <v>3318</v>
      </c>
      <c r="F10" s="12"/>
      <c r="G10" s="12"/>
      <c r="H10" s="13"/>
      <c r="I10" s="12"/>
      <c r="J10" s="12"/>
      <c r="K10" s="12"/>
      <c r="L10" s="12">
        <v>204071575</v>
      </c>
      <c r="M10" s="12"/>
      <c r="N10" s="12"/>
      <c r="O10" s="13"/>
      <c r="P10" s="12">
        <v>14</v>
      </c>
      <c r="Q10" s="13" t="s">
        <v>3364</v>
      </c>
      <c r="R10" s="12">
        <v>349</v>
      </c>
      <c r="S10" s="12">
        <v>126887</v>
      </c>
      <c r="T10" s="12"/>
      <c r="U10" s="13"/>
      <c r="V10" s="12" t="s">
        <v>3321</v>
      </c>
      <c r="W10" s="13" t="s">
        <v>3322</v>
      </c>
      <c r="X10" s="12"/>
      <c r="Y10" s="13"/>
      <c r="Z10" s="12"/>
      <c r="AA10" s="13"/>
      <c r="AB10" s="12"/>
      <c r="AC10" s="12"/>
      <c r="AD10" s="14"/>
      <c r="AE10" s="12"/>
      <c r="AF10" s="13"/>
      <c r="AG10" s="12"/>
      <c r="AH10" s="12"/>
      <c r="AI10" s="13"/>
      <c r="AJ10" s="13" t="s">
        <v>3328</v>
      </c>
      <c r="AK10" s="13" t="s">
        <v>3324</v>
      </c>
      <c r="AL10" s="12"/>
      <c r="AM10" s="13"/>
      <c r="AN10" s="12"/>
      <c r="AO10" s="12">
        <v>1306</v>
      </c>
      <c r="AP10" s="13"/>
      <c r="AQ10" s="12">
        <v>13061</v>
      </c>
      <c r="AR10" s="13"/>
      <c r="AS10" s="13" t="s">
        <v>71</v>
      </c>
      <c r="AT10" s="13" t="s">
        <v>71</v>
      </c>
      <c r="AU10" s="14">
        <v>100</v>
      </c>
      <c r="AV10" s="14"/>
      <c r="AW10" s="14">
        <v>3.11</v>
      </c>
      <c r="AX10" s="15">
        <v>45900</v>
      </c>
      <c r="AY10" s="15"/>
    </row>
    <row r="11" spans="1:51">
      <c r="A11" s="12">
        <v>8913062</v>
      </c>
      <c r="B11" s="13" t="s">
        <v>2071</v>
      </c>
      <c r="C11" s="13" t="s">
        <v>3342</v>
      </c>
      <c r="D11" s="13"/>
      <c r="E11" s="13" t="s">
        <v>3318</v>
      </c>
      <c r="F11" s="12"/>
      <c r="G11" s="12"/>
      <c r="H11" s="13"/>
      <c r="I11" s="12"/>
      <c r="J11" s="12"/>
      <c r="K11" s="12"/>
      <c r="L11" s="12">
        <v>203441084</v>
      </c>
      <c r="M11" s="12"/>
      <c r="N11" s="12"/>
      <c r="O11" s="13"/>
      <c r="P11" s="12">
        <v>14</v>
      </c>
      <c r="Q11" s="13" t="s">
        <v>3364</v>
      </c>
      <c r="R11" s="12">
        <v>349</v>
      </c>
      <c r="S11" s="12">
        <v>126887</v>
      </c>
      <c r="T11" s="12"/>
      <c r="U11" s="13"/>
      <c r="V11" s="12" t="s">
        <v>3321</v>
      </c>
      <c r="W11" s="13" t="s">
        <v>3322</v>
      </c>
      <c r="X11" s="12"/>
      <c r="Y11" s="13"/>
      <c r="Z11" s="12"/>
      <c r="AA11" s="13"/>
      <c r="AB11" s="12"/>
      <c r="AC11" s="12"/>
      <c r="AD11" s="14"/>
      <c r="AE11" s="12"/>
      <c r="AF11" s="13"/>
      <c r="AG11" s="12"/>
      <c r="AH11" s="12"/>
      <c r="AI11" s="13"/>
      <c r="AJ11" s="13" t="s">
        <v>3328</v>
      </c>
      <c r="AK11" s="13" t="s">
        <v>3324</v>
      </c>
      <c r="AL11" s="12"/>
      <c r="AM11" s="13"/>
      <c r="AN11" s="12"/>
      <c r="AO11" s="12">
        <v>1306</v>
      </c>
      <c r="AP11" s="13"/>
      <c r="AQ11" s="12">
        <v>13062</v>
      </c>
      <c r="AR11" s="13"/>
      <c r="AS11" s="13" t="s">
        <v>71</v>
      </c>
      <c r="AT11" s="13" t="s">
        <v>71</v>
      </c>
      <c r="AU11" s="14">
        <v>100</v>
      </c>
      <c r="AV11" s="14"/>
      <c r="AW11" s="14">
        <v>3.11</v>
      </c>
      <c r="AX11" s="15">
        <v>45900</v>
      </c>
      <c r="AY11" s="15"/>
    </row>
    <row r="12" spans="1:51">
      <c r="A12" s="12">
        <v>8904111</v>
      </c>
      <c r="B12" s="13" t="s">
        <v>966</v>
      </c>
      <c r="C12" s="13" t="s">
        <v>3342</v>
      </c>
      <c r="D12" s="13"/>
      <c r="E12" s="13" t="s">
        <v>3318</v>
      </c>
      <c r="F12" s="12"/>
      <c r="G12" s="12"/>
      <c r="H12" s="13"/>
      <c r="I12" s="12"/>
      <c r="J12" s="12"/>
      <c r="K12" s="12"/>
      <c r="L12" s="12">
        <v>203786876</v>
      </c>
      <c r="M12" s="12"/>
      <c r="N12" s="12"/>
      <c r="O12" s="13"/>
      <c r="P12" s="12"/>
      <c r="Q12" s="13"/>
      <c r="R12" s="12"/>
      <c r="S12" s="12"/>
      <c r="T12" s="12"/>
      <c r="U12" s="13"/>
      <c r="V12" s="12" t="s">
        <v>3321</v>
      </c>
      <c r="W12" s="13" t="s">
        <v>3322</v>
      </c>
      <c r="X12" s="12"/>
      <c r="Y12" s="13"/>
      <c r="Z12" s="12"/>
      <c r="AA12" s="13"/>
      <c r="AB12" s="12"/>
      <c r="AC12" s="12"/>
      <c r="AD12" s="14"/>
      <c r="AE12" s="12"/>
      <c r="AF12" s="13"/>
      <c r="AG12" s="12"/>
      <c r="AH12" s="12"/>
      <c r="AI12" s="13"/>
      <c r="AJ12" s="13" t="s">
        <v>3328</v>
      </c>
      <c r="AK12" s="13" t="s">
        <v>3324</v>
      </c>
      <c r="AL12" s="12"/>
      <c r="AM12" s="13"/>
      <c r="AN12" s="12"/>
      <c r="AO12" s="12" t="s">
        <v>968</v>
      </c>
      <c r="AP12" s="13"/>
      <c r="AQ12" s="12" t="s">
        <v>965</v>
      </c>
      <c r="AR12" s="13"/>
      <c r="AS12" s="13" t="s">
        <v>71</v>
      </c>
      <c r="AT12" s="13" t="s">
        <v>71</v>
      </c>
      <c r="AU12" s="14">
        <v>100</v>
      </c>
      <c r="AV12" s="14"/>
      <c r="AW12" s="14">
        <v>3.19</v>
      </c>
      <c r="AX12" s="15">
        <v>45900</v>
      </c>
      <c r="AY12" s="15"/>
    </row>
    <row r="13" spans="1:51">
      <c r="A13" s="12">
        <v>8904112</v>
      </c>
      <c r="B13" s="13" t="s">
        <v>972</v>
      </c>
      <c r="C13" s="13" t="s">
        <v>3342</v>
      </c>
      <c r="D13" s="13"/>
      <c r="E13" s="13" t="s">
        <v>3318</v>
      </c>
      <c r="F13" s="12"/>
      <c r="G13" s="12"/>
      <c r="H13" s="13"/>
      <c r="I13" s="12"/>
      <c r="J13" s="12"/>
      <c r="K13" s="12"/>
      <c r="L13" s="12">
        <v>304981319</v>
      </c>
      <c r="M13" s="12"/>
      <c r="N13" s="12"/>
      <c r="O13" s="13"/>
      <c r="P13" s="12"/>
      <c r="Q13" s="13"/>
      <c r="R13" s="12"/>
      <c r="S13" s="12"/>
      <c r="T13" s="12"/>
      <c r="U13" s="13"/>
      <c r="V13" s="12" t="s">
        <v>3321</v>
      </c>
      <c r="W13" s="13" t="s">
        <v>3322</v>
      </c>
      <c r="X13" s="12"/>
      <c r="Y13" s="13"/>
      <c r="Z13" s="12"/>
      <c r="AA13" s="13"/>
      <c r="AB13" s="12"/>
      <c r="AC13" s="12"/>
      <c r="AD13" s="14"/>
      <c r="AE13" s="12"/>
      <c r="AF13" s="13"/>
      <c r="AG13" s="12"/>
      <c r="AH13" s="12"/>
      <c r="AI13" s="13"/>
      <c r="AJ13" s="13" t="s">
        <v>3328</v>
      </c>
      <c r="AK13" s="13" t="s">
        <v>3324</v>
      </c>
      <c r="AL13" s="12"/>
      <c r="AM13" s="13"/>
      <c r="AN13" s="12"/>
      <c r="AO13" s="12" t="s">
        <v>968</v>
      </c>
      <c r="AP13" s="13"/>
      <c r="AQ13" s="12" t="s">
        <v>971</v>
      </c>
      <c r="AR13" s="13"/>
      <c r="AS13" s="13" t="s">
        <v>71</v>
      </c>
      <c r="AT13" s="13" t="s">
        <v>71</v>
      </c>
      <c r="AU13" s="14">
        <v>100</v>
      </c>
      <c r="AV13" s="14"/>
      <c r="AW13" s="14">
        <v>3.19</v>
      </c>
      <c r="AX13" s="15">
        <v>45900</v>
      </c>
      <c r="AY13" s="15"/>
    </row>
    <row r="14" spans="1:51">
      <c r="A14" s="12">
        <v>8920311</v>
      </c>
      <c r="B14" s="13" t="s">
        <v>3689</v>
      </c>
      <c r="C14" s="13" t="s">
        <v>3342</v>
      </c>
      <c r="D14" s="13"/>
      <c r="E14" s="13" t="s">
        <v>3318</v>
      </c>
      <c r="F14" s="12"/>
      <c r="G14" s="12"/>
      <c r="H14" s="13"/>
      <c r="I14" s="12"/>
      <c r="J14" s="12"/>
      <c r="K14" s="12" t="s">
        <v>3690</v>
      </c>
      <c r="L14" s="12">
        <v>203382510</v>
      </c>
      <c r="M14" s="12"/>
      <c r="N14" s="12"/>
      <c r="O14" s="13"/>
      <c r="P14" s="12">
        <v>14</v>
      </c>
      <c r="Q14" s="13" t="s">
        <v>3364</v>
      </c>
      <c r="R14" s="12">
        <v>349</v>
      </c>
      <c r="S14" s="12">
        <v>136300</v>
      </c>
      <c r="T14" s="12"/>
      <c r="U14" s="13"/>
      <c r="V14" s="12" t="s">
        <v>3321</v>
      </c>
      <c r="W14" s="13" t="s">
        <v>3322</v>
      </c>
      <c r="X14" s="12"/>
      <c r="Y14" s="13"/>
      <c r="Z14" s="12"/>
      <c r="AA14" s="13"/>
      <c r="AB14" s="12"/>
      <c r="AC14" s="12"/>
      <c r="AD14" s="14"/>
      <c r="AE14" s="12"/>
      <c r="AF14" s="13"/>
      <c r="AG14" s="12"/>
      <c r="AH14" s="12"/>
      <c r="AI14" s="13"/>
      <c r="AJ14" s="13" t="s">
        <v>3328</v>
      </c>
      <c r="AK14" s="13" t="s">
        <v>3324</v>
      </c>
      <c r="AL14" s="12"/>
      <c r="AM14" s="13"/>
      <c r="AN14" s="12"/>
      <c r="AO14" s="12">
        <v>2031</v>
      </c>
      <c r="AP14" s="13"/>
      <c r="AQ14" s="12">
        <v>20311</v>
      </c>
      <c r="AR14" s="13"/>
      <c r="AS14" s="13" t="s">
        <v>71</v>
      </c>
      <c r="AT14" s="13" t="s">
        <v>71</v>
      </c>
      <c r="AU14" s="14">
        <v>100</v>
      </c>
      <c r="AV14" s="14"/>
      <c r="AW14" s="14">
        <v>3.19</v>
      </c>
      <c r="AX14" s="15">
        <v>45900</v>
      </c>
      <c r="AY14" s="15"/>
    </row>
    <row r="15" spans="1:51">
      <c r="A15" s="12">
        <v>8920312</v>
      </c>
      <c r="B15" s="13" t="s">
        <v>3691</v>
      </c>
      <c r="C15" s="13" t="s">
        <v>3342</v>
      </c>
      <c r="D15" s="13"/>
      <c r="E15" s="13" t="s">
        <v>3318</v>
      </c>
      <c r="F15" s="12"/>
      <c r="G15" s="12"/>
      <c r="H15" s="13"/>
      <c r="I15" s="12"/>
      <c r="J15" s="12"/>
      <c r="K15" s="12" t="s">
        <v>3692</v>
      </c>
      <c r="L15" s="12">
        <v>204566251</v>
      </c>
      <c r="M15" s="12"/>
      <c r="N15" s="12"/>
      <c r="O15" s="13"/>
      <c r="P15" s="12">
        <v>14</v>
      </c>
      <c r="Q15" s="13" t="s">
        <v>3364</v>
      </c>
      <c r="R15" s="12">
        <v>349</v>
      </c>
      <c r="S15" s="12">
        <v>136300</v>
      </c>
      <c r="T15" s="12"/>
      <c r="U15" s="13"/>
      <c r="V15" s="12" t="s">
        <v>3321</v>
      </c>
      <c r="W15" s="13" t="s">
        <v>3322</v>
      </c>
      <c r="X15" s="12"/>
      <c r="Y15" s="13"/>
      <c r="Z15" s="12"/>
      <c r="AA15" s="13"/>
      <c r="AB15" s="12"/>
      <c r="AC15" s="12"/>
      <c r="AD15" s="14"/>
      <c r="AE15" s="12"/>
      <c r="AF15" s="13"/>
      <c r="AG15" s="12"/>
      <c r="AH15" s="12"/>
      <c r="AI15" s="13"/>
      <c r="AJ15" s="13" t="s">
        <v>3328</v>
      </c>
      <c r="AK15" s="13" t="s">
        <v>3324</v>
      </c>
      <c r="AL15" s="12"/>
      <c r="AM15" s="13"/>
      <c r="AN15" s="12"/>
      <c r="AO15" s="12">
        <v>2031</v>
      </c>
      <c r="AP15" s="13"/>
      <c r="AQ15" s="12">
        <v>20312</v>
      </c>
      <c r="AR15" s="13"/>
      <c r="AS15" s="13" t="s">
        <v>71</v>
      </c>
      <c r="AT15" s="13" t="s">
        <v>71</v>
      </c>
      <c r="AU15" s="14">
        <v>100</v>
      </c>
      <c r="AV15" s="14"/>
      <c r="AW15" s="14">
        <v>3.19</v>
      </c>
      <c r="AX15" s="15">
        <v>45900</v>
      </c>
      <c r="AY15" s="15"/>
    </row>
    <row r="16" spans="1:51">
      <c r="A16" s="12">
        <v>8920331</v>
      </c>
      <c r="B16" s="13" t="s">
        <v>3693</v>
      </c>
      <c r="C16" s="13" t="s">
        <v>3342</v>
      </c>
      <c r="D16" s="13"/>
      <c r="E16" s="13" t="s">
        <v>3318</v>
      </c>
      <c r="F16" s="12"/>
      <c r="G16" s="12"/>
      <c r="H16" s="13"/>
      <c r="I16" s="12"/>
      <c r="J16" s="12"/>
      <c r="K16" s="12" t="s">
        <v>3694</v>
      </c>
      <c r="L16" s="12">
        <v>208554436</v>
      </c>
      <c r="M16" s="12"/>
      <c r="N16" s="12"/>
      <c r="O16" s="13"/>
      <c r="P16" s="12">
        <v>10</v>
      </c>
      <c r="Q16" s="13" t="s">
        <v>3339</v>
      </c>
      <c r="R16" s="12">
        <v>939</v>
      </c>
      <c r="S16" s="12">
        <v>5542102</v>
      </c>
      <c r="T16" s="12"/>
      <c r="U16" s="13"/>
      <c r="V16" s="12" t="s">
        <v>3321</v>
      </c>
      <c r="W16" s="13" t="s">
        <v>3322</v>
      </c>
      <c r="X16" s="12"/>
      <c r="Y16" s="13"/>
      <c r="Z16" s="12"/>
      <c r="AA16" s="13"/>
      <c r="AB16" s="12"/>
      <c r="AC16" s="12"/>
      <c r="AD16" s="14"/>
      <c r="AE16" s="12"/>
      <c r="AF16" s="13"/>
      <c r="AG16" s="12"/>
      <c r="AH16" s="12"/>
      <c r="AI16" s="13"/>
      <c r="AJ16" s="13" t="s">
        <v>3328</v>
      </c>
      <c r="AK16" s="13" t="s">
        <v>3324</v>
      </c>
      <c r="AL16" s="12"/>
      <c r="AM16" s="13"/>
      <c r="AN16" s="12"/>
      <c r="AO16" s="12">
        <v>2033</v>
      </c>
      <c r="AP16" s="13"/>
      <c r="AQ16" s="12">
        <v>20331</v>
      </c>
      <c r="AR16" s="13"/>
      <c r="AS16" s="13" t="s">
        <v>71</v>
      </c>
      <c r="AT16" s="13" t="s">
        <v>71</v>
      </c>
      <c r="AU16" s="14">
        <v>100</v>
      </c>
      <c r="AV16" s="14"/>
      <c r="AW16" s="14">
        <v>3.19</v>
      </c>
      <c r="AX16" s="15">
        <v>45900</v>
      </c>
      <c r="AY16" s="15"/>
    </row>
    <row r="17" spans="1:51">
      <c r="A17" s="12">
        <v>8920332</v>
      </c>
      <c r="B17" s="13" t="s">
        <v>3695</v>
      </c>
      <c r="C17" s="13" t="s">
        <v>3342</v>
      </c>
      <c r="D17" s="13"/>
      <c r="E17" s="13" t="s">
        <v>3318</v>
      </c>
      <c r="F17" s="12"/>
      <c r="G17" s="12"/>
      <c r="H17" s="13"/>
      <c r="I17" s="12"/>
      <c r="J17" s="12"/>
      <c r="K17" s="12" t="s">
        <v>3696</v>
      </c>
      <c r="L17" s="12">
        <v>207229287</v>
      </c>
      <c r="M17" s="12"/>
      <c r="N17" s="12"/>
      <c r="O17" s="13"/>
      <c r="P17" s="12">
        <v>10</v>
      </c>
      <c r="Q17" s="13" t="s">
        <v>3339</v>
      </c>
      <c r="R17" s="12">
        <v>939</v>
      </c>
      <c r="S17" s="12">
        <v>5542102</v>
      </c>
      <c r="T17" s="12"/>
      <c r="U17" s="13"/>
      <c r="V17" s="12" t="s">
        <v>3321</v>
      </c>
      <c r="W17" s="13" t="s">
        <v>3322</v>
      </c>
      <c r="X17" s="12"/>
      <c r="Y17" s="13"/>
      <c r="Z17" s="12"/>
      <c r="AA17" s="13"/>
      <c r="AB17" s="12"/>
      <c r="AC17" s="12"/>
      <c r="AD17" s="14"/>
      <c r="AE17" s="12"/>
      <c r="AF17" s="13"/>
      <c r="AG17" s="12"/>
      <c r="AH17" s="12"/>
      <c r="AI17" s="13"/>
      <c r="AJ17" s="13" t="s">
        <v>3328</v>
      </c>
      <c r="AK17" s="13" t="s">
        <v>3324</v>
      </c>
      <c r="AL17" s="12"/>
      <c r="AM17" s="13"/>
      <c r="AN17" s="12"/>
      <c r="AO17" s="12">
        <v>2033</v>
      </c>
      <c r="AP17" s="13"/>
      <c r="AQ17" s="12">
        <v>20332</v>
      </c>
      <c r="AR17" s="13"/>
      <c r="AS17" s="13" t="s">
        <v>71</v>
      </c>
      <c r="AT17" s="13" t="s">
        <v>71</v>
      </c>
      <c r="AU17" s="14">
        <v>100</v>
      </c>
      <c r="AV17" s="14"/>
      <c r="AW17" s="14">
        <v>3.19</v>
      </c>
      <c r="AX17" s="15">
        <v>45900</v>
      </c>
      <c r="AY17" s="15"/>
    </row>
    <row r="18" spans="1:51">
      <c r="A18" s="12">
        <v>8922031</v>
      </c>
      <c r="B18" s="13" t="s">
        <v>3734</v>
      </c>
      <c r="C18" s="13" t="s">
        <v>3342</v>
      </c>
      <c r="D18" s="13"/>
      <c r="E18" s="13" t="s">
        <v>3318</v>
      </c>
      <c r="F18" s="12"/>
      <c r="G18" s="12"/>
      <c r="H18" s="13"/>
      <c r="I18" s="12"/>
      <c r="J18" s="12"/>
      <c r="K18" s="12" t="s">
        <v>3735</v>
      </c>
      <c r="L18" s="12">
        <v>317033546</v>
      </c>
      <c r="M18" s="12"/>
      <c r="N18" s="12"/>
      <c r="O18" s="13"/>
      <c r="P18" s="12">
        <v>10</v>
      </c>
      <c r="Q18" s="13" t="s">
        <v>3339</v>
      </c>
      <c r="R18" s="12">
        <v>985</v>
      </c>
      <c r="S18" s="12">
        <v>3273299</v>
      </c>
      <c r="T18" s="12"/>
      <c r="U18" s="13"/>
      <c r="V18" s="12" t="s">
        <v>3321</v>
      </c>
      <c r="W18" s="13" t="s">
        <v>3322</v>
      </c>
      <c r="X18" s="12"/>
      <c r="Y18" s="13"/>
      <c r="Z18" s="12"/>
      <c r="AA18" s="13"/>
      <c r="AB18" s="12"/>
      <c r="AC18" s="12"/>
      <c r="AD18" s="14"/>
      <c r="AE18" s="12"/>
      <c r="AF18" s="13"/>
      <c r="AG18" s="12"/>
      <c r="AH18" s="12"/>
      <c r="AI18" s="13"/>
      <c r="AJ18" s="13" t="s">
        <v>3328</v>
      </c>
      <c r="AK18" s="13" t="s">
        <v>3324</v>
      </c>
      <c r="AL18" s="12"/>
      <c r="AM18" s="13"/>
      <c r="AN18" s="12"/>
      <c r="AO18" s="12">
        <v>2203</v>
      </c>
      <c r="AP18" s="13"/>
      <c r="AQ18" s="12">
        <v>22031</v>
      </c>
      <c r="AR18" s="13"/>
      <c r="AS18" s="13" t="s">
        <v>71</v>
      </c>
      <c r="AT18" s="13" t="s">
        <v>71</v>
      </c>
      <c r="AU18" s="14">
        <v>100</v>
      </c>
      <c r="AV18" s="14"/>
      <c r="AW18" s="14">
        <v>3.36</v>
      </c>
      <c r="AX18" s="15">
        <v>45900</v>
      </c>
      <c r="AY18" s="15"/>
    </row>
    <row r="19" spans="1:51">
      <c r="A19" s="12">
        <v>8922032</v>
      </c>
      <c r="B19" s="13" t="s">
        <v>3736</v>
      </c>
      <c r="C19" s="13" t="s">
        <v>3342</v>
      </c>
      <c r="D19" s="13"/>
      <c r="E19" s="13" t="s">
        <v>3318</v>
      </c>
      <c r="F19" s="12"/>
      <c r="G19" s="12"/>
      <c r="H19" s="13"/>
      <c r="I19" s="12"/>
      <c r="J19" s="12"/>
      <c r="K19" s="12" t="s">
        <v>3735</v>
      </c>
      <c r="L19" s="12">
        <v>307889782</v>
      </c>
      <c r="M19" s="12"/>
      <c r="N19" s="12"/>
      <c r="O19" s="13"/>
      <c r="P19" s="12">
        <v>10</v>
      </c>
      <c r="Q19" s="13" t="s">
        <v>3339</v>
      </c>
      <c r="R19" s="12">
        <v>985</v>
      </c>
      <c r="S19" s="12">
        <v>3273299</v>
      </c>
      <c r="T19" s="12"/>
      <c r="U19" s="13"/>
      <c r="V19" s="12" t="s">
        <v>3321</v>
      </c>
      <c r="W19" s="13" t="s">
        <v>3322</v>
      </c>
      <c r="X19" s="12"/>
      <c r="Y19" s="13"/>
      <c r="Z19" s="12"/>
      <c r="AA19" s="13"/>
      <c r="AB19" s="12"/>
      <c r="AC19" s="12"/>
      <c r="AD19" s="14"/>
      <c r="AE19" s="12"/>
      <c r="AF19" s="13"/>
      <c r="AG19" s="12"/>
      <c r="AH19" s="12"/>
      <c r="AI19" s="13"/>
      <c r="AJ19" s="13" t="s">
        <v>3328</v>
      </c>
      <c r="AK19" s="13" t="s">
        <v>3324</v>
      </c>
      <c r="AL19" s="12"/>
      <c r="AM19" s="13"/>
      <c r="AN19" s="12"/>
      <c r="AO19" s="12">
        <v>2203</v>
      </c>
      <c r="AP19" s="13"/>
      <c r="AQ19" s="12">
        <v>22032</v>
      </c>
      <c r="AR19" s="13"/>
      <c r="AS19" s="13" t="s">
        <v>71</v>
      </c>
      <c r="AT19" s="13" t="s">
        <v>71</v>
      </c>
      <c r="AU19" s="14">
        <v>100</v>
      </c>
      <c r="AV19" s="14"/>
      <c r="AW19" s="14">
        <v>3.36</v>
      </c>
      <c r="AX19" s="15">
        <v>45900</v>
      </c>
      <c r="AY19" s="15"/>
    </row>
    <row r="20" spans="1:51">
      <c r="A20" s="12">
        <v>8916071</v>
      </c>
      <c r="B20" s="13" t="s">
        <v>3617</v>
      </c>
      <c r="C20" s="13" t="s">
        <v>3342</v>
      </c>
      <c r="D20" s="13" t="s">
        <v>3318</v>
      </c>
      <c r="E20" s="13" t="s">
        <v>3318</v>
      </c>
      <c r="F20" s="12">
        <v>79858</v>
      </c>
      <c r="G20" s="12"/>
      <c r="H20" s="13"/>
      <c r="I20" s="12"/>
      <c r="J20" s="12"/>
      <c r="K20" s="12" t="s">
        <v>3618</v>
      </c>
      <c r="L20" s="12">
        <v>203529540</v>
      </c>
      <c r="M20" s="12">
        <v>203529540</v>
      </c>
      <c r="N20" s="12"/>
      <c r="O20" s="13"/>
      <c r="P20" s="12">
        <v>10</v>
      </c>
      <c r="Q20" s="13" t="s">
        <v>3339</v>
      </c>
      <c r="R20" s="12">
        <v>902</v>
      </c>
      <c r="S20" s="12">
        <v>7055479</v>
      </c>
      <c r="T20" s="12"/>
      <c r="U20" s="13"/>
      <c r="V20" s="12" t="s">
        <v>3321</v>
      </c>
      <c r="W20" s="13" t="s">
        <v>3322</v>
      </c>
      <c r="X20" s="12"/>
      <c r="Y20" s="13"/>
      <c r="Z20" s="12"/>
      <c r="AA20" s="13"/>
      <c r="AB20" s="12"/>
      <c r="AC20" s="12"/>
      <c r="AD20" s="14"/>
      <c r="AE20" s="12"/>
      <c r="AF20" s="13"/>
      <c r="AG20" s="12"/>
      <c r="AH20" s="12"/>
      <c r="AI20" s="13"/>
      <c r="AJ20" s="13" t="s">
        <v>3328</v>
      </c>
      <c r="AK20" s="13" t="s">
        <v>3324</v>
      </c>
      <c r="AL20" s="12"/>
      <c r="AM20" s="13"/>
      <c r="AN20" s="12"/>
      <c r="AO20" s="12">
        <v>1607</v>
      </c>
      <c r="AP20" s="13"/>
      <c r="AQ20" s="12">
        <v>16071</v>
      </c>
      <c r="AR20" s="13"/>
      <c r="AS20" s="13" t="s">
        <v>71</v>
      </c>
      <c r="AT20" s="13" t="s">
        <v>71</v>
      </c>
      <c r="AU20" s="14">
        <v>100</v>
      </c>
      <c r="AV20" s="14"/>
      <c r="AW20" s="14">
        <v>3.43</v>
      </c>
      <c r="AX20" s="15">
        <v>45900</v>
      </c>
      <c r="AY20" s="15"/>
    </row>
    <row r="21" spans="1:51">
      <c r="A21" s="12">
        <v>8916072</v>
      </c>
      <c r="B21" s="13" t="s">
        <v>3619</v>
      </c>
      <c r="C21" s="13" t="s">
        <v>3342</v>
      </c>
      <c r="D21" s="13" t="s">
        <v>3318</v>
      </c>
      <c r="E21" s="13" t="s">
        <v>3318</v>
      </c>
      <c r="F21" s="12">
        <v>79858</v>
      </c>
      <c r="G21" s="12"/>
      <c r="H21" s="13"/>
      <c r="I21" s="12"/>
      <c r="J21" s="12"/>
      <c r="K21" s="12" t="s">
        <v>3620</v>
      </c>
      <c r="L21" s="12">
        <v>311225445</v>
      </c>
      <c r="M21" s="12">
        <v>311225445</v>
      </c>
      <c r="N21" s="12"/>
      <c r="O21" s="13"/>
      <c r="P21" s="12">
        <v>10</v>
      </c>
      <c r="Q21" s="13" t="s">
        <v>3339</v>
      </c>
      <c r="R21" s="12">
        <v>902</v>
      </c>
      <c r="S21" s="12">
        <v>7055479</v>
      </c>
      <c r="T21" s="12"/>
      <c r="U21" s="13"/>
      <c r="V21" s="12" t="s">
        <v>3321</v>
      </c>
      <c r="W21" s="13" t="s">
        <v>3322</v>
      </c>
      <c r="X21" s="12"/>
      <c r="Y21" s="13"/>
      <c r="Z21" s="12"/>
      <c r="AA21" s="13"/>
      <c r="AB21" s="12"/>
      <c r="AC21" s="12"/>
      <c r="AD21" s="14"/>
      <c r="AE21" s="12"/>
      <c r="AF21" s="13"/>
      <c r="AG21" s="12"/>
      <c r="AH21" s="12"/>
      <c r="AI21" s="13"/>
      <c r="AJ21" s="13" t="s">
        <v>3328</v>
      </c>
      <c r="AK21" s="13" t="s">
        <v>3324</v>
      </c>
      <c r="AL21" s="12"/>
      <c r="AM21" s="13"/>
      <c r="AN21" s="12"/>
      <c r="AO21" s="12">
        <v>1607</v>
      </c>
      <c r="AP21" s="13"/>
      <c r="AQ21" s="12">
        <v>16072</v>
      </c>
      <c r="AR21" s="13"/>
      <c r="AS21" s="13" t="s">
        <v>71</v>
      </c>
      <c r="AT21" s="13" t="s">
        <v>71</v>
      </c>
      <c r="AU21" s="14">
        <v>100</v>
      </c>
      <c r="AV21" s="14"/>
      <c r="AW21" s="14">
        <v>3.43</v>
      </c>
      <c r="AX21" s="15">
        <v>45900</v>
      </c>
      <c r="AY21" s="15"/>
    </row>
    <row r="22" spans="1:51">
      <c r="A22" s="12">
        <v>8919311</v>
      </c>
      <c r="B22" s="13" t="s">
        <v>3654</v>
      </c>
      <c r="C22" s="13" t="s">
        <v>3342</v>
      </c>
      <c r="D22" s="13"/>
      <c r="E22" s="13" t="s">
        <v>3318</v>
      </c>
      <c r="F22" s="12"/>
      <c r="G22" s="12"/>
      <c r="H22" s="13"/>
      <c r="I22" s="12"/>
      <c r="J22" s="12"/>
      <c r="K22" s="12"/>
      <c r="L22" s="12">
        <v>200279198</v>
      </c>
      <c r="M22" s="12"/>
      <c r="N22" s="12"/>
      <c r="O22" s="13"/>
      <c r="P22" s="12"/>
      <c r="Q22" s="13"/>
      <c r="R22" s="12"/>
      <c r="S22" s="12"/>
      <c r="T22" s="12"/>
      <c r="U22" s="13"/>
      <c r="V22" s="12" t="s">
        <v>3321</v>
      </c>
      <c r="W22" s="13" t="s">
        <v>3322</v>
      </c>
      <c r="X22" s="12"/>
      <c r="Y22" s="13"/>
      <c r="Z22" s="12"/>
      <c r="AA22" s="13"/>
      <c r="AB22" s="12"/>
      <c r="AC22" s="12"/>
      <c r="AD22" s="14"/>
      <c r="AE22" s="12"/>
      <c r="AF22" s="13"/>
      <c r="AG22" s="12"/>
      <c r="AH22" s="12"/>
      <c r="AI22" s="13"/>
      <c r="AJ22" s="13" t="s">
        <v>3328</v>
      </c>
      <c r="AK22" s="13" t="s">
        <v>3324</v>
      </c>
      <c r="AL22" s="12"/>
      <c r="AM22" s="13"/>
      <c r="AN22" s="12"/>
      <c r="AO22" s="12">
        <v>1931</v>
      </c>
      <c r="AP22" s="13"/>
      <c r="AQ22" s="12">
        <v>19311</v>
      </c>
      <c r="AR22" s="13"/>
      <c r="AS22" s="13" t="s">
        <v>71</v>
      </c>
      <c r="AT22" s="13" t="s">
        <v>71</v>
      </c>
      <c r="AU22" s="14">
        <v>100</v>
      </c>
      <c r="AV22" s="14"/>
      <c r="AW22" s="14">
        <v>4.34</v>
      </c>
      <c r="AX22" s="15">
        <v>45900</v>
      </c>
      <c r="AY22" s="15"/>
    </row>
    <row r="23" spans="1:51">
      <c r="A23" s="12">
        <v>8919312</v>
      </c>
      <c r="B23" s="13" t="s">
        <v>3655</v>
      </c>
      <c r="C23" s="13" t="s">
        <v>3342</v>
      </c>
      <c r="D23" s="13"/>
      <c r="E23" s="13" t="s">
        <v>3318</v>
      </c>
      <c r="F23" s="12"/>
      <c r="G23" s="12"/>
      <c r="H23" s="13"/>
      <c r="I23" s="12"/>
      <c r="J23" s="12"/>
      <c r="K23" s="12"/>
      <c r="L23" s="12">
        <v>203463997</v>
      </c>
      <c r="M23" s="12"/>
      <c r="N23" s="12"/>
      <c r="O23" s="13"/>
      <c r="P23" s="12"/>
      <c r="Q23" s="13"/>
      <c r="R23" s="12"/>
      <c r="S23" s="12"/>
      <c r="T23" s="12"/>
      <c r="U23" s="13"/>
      <c r="V23" s="12" t="s">
        <v>3321</v>
      </c>
      <c r="W23" s="13" t="s">
        <v>3322</v>
      </c>
      <c r="X23" s="12"/>
      <c r="Y23" s="13"/>
      <c r="Z23" s="12"/>
      <c r="AA23" s="13"/>
      <c r="AB23" s="12"/>
      <c r="AC23" s="12"/>
      <c r="AD23" s="14"/>
      <c r="AE23" s="12"/>
      <c r="AF23" s="13"/>
      <c r="AG23" s="12"/>
      <c r="AH23" s="12"/>
      <c r="AI23" s="13"/>
      <c r="AJ23" s="13" t="s">
        <v>3328</v>
      </c>
      <c r="AK23" s="13" t="s">
        <v>3324</v>
      </c>
      <c r="AL23" s="12"/>
      <c r="AM23" s="13"/>
      <c r="AN23" s="12"/>
      <c r="AO23" s="12">
        <v>1931</v>
      </c>
      <c r="AP23" s="13"/>
      <c r="AQ23" s="12">
        <v>19312</v>
      </c>
      <c r="AR23" s="13"/>
      <c r="AS23" s="13" t="s">
        <v>71</v>
      </c>
      <c r="AT23" s="13" t="s">
        <v>71</v>
      </c>
      <c r="AU23" s="14">
        <v>100</v>
      </c>
      <c r="AV23" s="14"/>
      <c r="AW23" s="14">
        <v>4.34</v>
      </c>
      <c r="AX23" s="15">
        <v>45900</v>
      </c>
      <c r="AY23" s="15"/>
    </row>
    <row r="24" spans="1:51">
      <c r="A24" s="12">
        <v>8908131</v>
      </c>
      <c r="B24" s="13" t="s">
        <v>1402</v>
      </c>
      <c r="C24" s="13" t="s">
        <v>3342</v>
      </c>
      <c r="D24" s="13"/>
      <c r="E24" s="13" t="s">
        <v>3318</v>
      </c>
      <c r="F24" s="12"/>
      <c r="G24" s="12"/>
      <c r="H24" s="13"/>
      <c r="I24" s="12"/>
      <c r="J24" s="12"/>
      <c r="K24" s="12"/>
      <c r="L24" s="12">
        <v>200035418</v>
      </c>
      <c r="M24" s="12">
        <v>200035418</v>
      </c>
      <c r="N24" s="12"/>
      <c r="O24" s="13"/>
      <c r="P24" s="12"/>
      <c r="Q24" s="13"/>
      <c r="R24" s="12"/>
      <c r="S24" s="12"/>
      <c r="T24" s="12"/>
      <c r="U24" s="13"/>
      <c r="V24" s="12" t="s">
        <v>3321</v>
      </c>
      <c r="W24" s="13" t="s">
        <v>3322</v>
      </c>
      <c r="X24" s="12"/>
      <c r="Y24" s="13"/>
      <c r="Z24" s="12"/>
      <c r="AA24" s="13"/>
      <c r="AB24" s="12"/>
      <c r="AC24" s="12"/>
      <c r="AD24" s="14"/>
      <c r="AE24" s="12"/>
      <c r="AF24" s="13"/>
      <c r="AG24" s="12"/>
      <c r="AH24" s="12"/>
      <c r="AI24" s="13"/>
      <c r="AJ24" s="13" t="s">
        <v>3328</v>
      </c>
      <c r="AK24" s="13" t="s">
        <v>3324</v>
      </c>
      <c r="AL24" s="12"/>
      <c r="AM24" s="13"/>
      <c r="AN24" s="12"/>
      <c r="AO24" s="12" t="s">
        <v>1405</v>
      </c>
      <c r="AP24" s="13"/>
      <c r="AQ24" s="12" t="s">
        <v>1401</v>
      </c>
      <c r="AR24" s="13"/>
      <c r="AS24" s="13" t="s">
        <v>71</v>
      </c>
      <c r="AT24" s="13" t="s">
        <v>71</v>
      </c>
      <c r="AU24" s="14">
        <v>100</v>
      </c>
      <c r="AV24" s="14"/>
      <c r="AW24" s="14">
        <v>4.83</v>
      </c>
      <c r="AX24" s="15">
        <v>45900</v>
      </c>
      <c r="AY24" s="15"/>
    </row>
    <row r="25" spans="1:51">
      <c r="A25" s="12">
        <v>8908132</v>
      </c>
      <c r="B25" s="13" t="s">
        <v>1409</v>
      </c>
      <c r="C25" s="13" t="s">
        <v>3342</v>
      </c>
      <c r="D25" s="13"/>
      <c r="E25" s="13" t="s">
        <v>3318</v>
      </c>
      <c r="F25" s="12"/>
      <c r="G25" s="12"/>
      <c r="H25" s="13"/>
      <c r="I25" s="12"/>
      <c r="J25" s="12"/>
      <c r="K25" s="12"/>
      <c r="L25" s="12">
        <v>305588204</v>
      </c>
      <c r="M25" s="12">
        <v>305588204</v>
      </c>
      <c r="N25" s="12"/>
      <c r="O25" s="13"/>
      <c r="P25" s="12"/>
      <c r="Q25" s="13"/>
      <c r="R25" s="12"/>
      <c r="S25" s="12"/>
      <c r="T25" s="12"/>
      <c r="U25" s="13"/>
      <c r="V25" s="12" t="s">
        <v>3321</v>
      </c>
      <c r="W25" s="13" t="s">
        <v>3322</v>
      </c>
      <c r="X25" s="12"/>
      <c r="Y25" s="13"/>
      <c r="Z25" s="12"/>
      <c r="AA25" s="13"/>
      <c r="AB25" s="12"/>
      <c r="AC25" s="12"/>
      <c r="AD25" s="14"/>
      <c r="AE25" s="12"/>
      <c r="AF25" s="13"/>
      <c r="AG25" s="12"/>
      <c r="AH25" s="12"/>
      <c r="AI25" s="13"/>
      <c r="AJ25" s="13" t="s">
        <v>3328</v>
      </c>
      <c r="AK25" s="13" t="s">
        <v>3324</v>
      </c>
      <c r="AL25" s="12"/>
      <c r="AM25" s="13"/>
      <c r="AN25" s="12"/>
      <c r="AO25" s="12" t="s">
        <v>1405</v>
      </c>
      <c r="AP25" s="13"/>
      <c r="AQ25" s="12" t="s">
        <v>1408</v>
      </c>
      <c r="AR25" s="13"/>
      <c r="AS25" s="13" t="s">
        <v>71</v>
      </c>
      <c r="AT25" s="13" t="s">
        <v>71</v>
      </c>
      <c r="AU25" s="14">
        <v>100</v>
      </c>
      <c r="AV25" s="14"/>
      <c r="AW25" s="14">
        <v>4.83</v>
      </c>
      <c r="AX25" s="15">
        <v>45900</v>
      </c>
      <c r="AY25" s="15"/>
    </row>
    <row r="26" spans="1:51">
      <c r="A26" s="12">
        <v>8913041</v>
      </c>
      <c r="B26" s="13" t="s">
        <v>2035</v>
      </c>
      <c r="C26" s="13" t="s">
        <v>3342</v>
      </c>
      <c r="D26" s="13"/>
      <c r="E26" s="13" t="s">
        <v>3318</v>
      </c>
      <c r="F26" s="12"/>
      <c r="G26" s="12"/>
      <c r="H26" s="13"/>
      <c r="I26" s="12"/>
      <c r="J26" s="12"/>
      <c r="K26" s="12"/>
      <c r="L26" s="12">
        <v>205419310</v>
      </c>
      <c r="M26" s="12">
        <v>205419310</v>
      </c>
      <c r="N26" s="12"/>
      <c r="O26" s="13"/>
      <c r="P26" s="12"/>
      <c r="Q26" s="13"/>
      <c r="R26" s="12"/>
      <c r="S26" s="12"/>
      <c r="T26" s="12"/>
      <c r="U26" s="13"/>
      <c r="V26" s="12" t="s">
        <v>3321</v>
      </c>
      <c r="W26" s="13" t="s">
        <v>3322</v>
      </c>
      <c r="X26" s="12"/>
      <c r="Y26" s="13"/>
      <c r="Z26" s="12"/>
      <c r="AA26" s="13"/>
      <c r="AB26" s="12"/>
      <c r="AC26" s="12"/>
      <c r="AD26" s="14"/>
      <c r="AE26" s="12"/>
      <c r="AF26" s="13"/>
      <c r="AG26" s="12"/>
      <c r="AH26" s="12"/>
      <c r="AI26" s="13"/>
      <c r="AJ26" s="13" t="s">
        <v>3328</v>
      </c>
      <c r="AK26" s="13" t="s">
        <v>3324</v>
      </c>
      <c r="AL26" s="12"/>
      <c r="AM26" s="13"/>
      <c r="AN26" s="12"/>
      <c r="AO26" s="12">
        <v>1304</v>
      </c>
      <c r="AP26" s="13"/>
      <c r="AQ26" s="12">
        <v>13041</v>
      </c>
      <c r="AR26" s="13"/>
      <c r="AS26" s="13" t="s">
        <v>71</v>
      </c>
      <c r="AT26" s="13" t="s">
        <v>71</v>
      </c>
      <c r="AU26" s="14">
        <v>100</v>
      </c>
      <c r="AV26" s="14"/>
      <c r="AW26" s="14">
        <v>4.83</v>
      </c>
      <c r="AX26" s="15">
        <v>45900</v>
      </c>
      <c r="AY26" s="15"/>
    </row>
    <row r="27" spans="1:51">
      <c r="A27" s="12">
        <v>8913042</v>
      </c>
      <c r="B27" s="13" t="s">
        <v>2042</v>
      </c>
      <c r="C27" s="13" t="s">
        <v>3342</v>
      </c>
      <c r="D27" s="13"/>
      <c r="E27" s="13" t="s">
        <v>3318</v>
      </c>
      <c r="F27" s="12"/>
      <c r="G27" s="12"/>
      <c r="H27" s="13"/>
      <c r="I27" s="12"/>
      <c r="J27" s="12"/>
      <c r="K27" s="12"/>
      <c r="L27" s="12">
        <v>205516354</v>
      </c>
      <c r="M27" s="12">
        <v>205516354</v>
      </c>
      <c r="N27" s="12"/>
      <c r="O27" s="13"/>
      <c r="P27" s="12"/>
      <c r="Q27" s="13"/>
      <c r="R27" s="12"/>
      <c r="S27" s="12"/>
      <c r="T27" s="12"/>
      <c r="U27" s="13"/>
      <c r="V27" s="12" t="s">
        <v>3321</v>
      </c>
      <c r="W27" s="13" t="s">
        <v>3322</v>
      </c>
      <c r="X27" s="12"/>
      <c r="Y27" s="13"/>
      <c r="Z27" s="12"/>
      <c r="AA27" s="13"/>
      <c r="AB27" s="12"/>
      <c r="AC27" s="12"/>
      <c r="AD27" s="14"/>
      <c r="AE27" s="12"/>
      <c r="AF27" s="13"/>
      <c r="AG27" s="12"/>
      <c r="AH27" s="12"/>
      <c r="AI27" s="13"/>
      <c r="AJ27" s="13" t="s">
        <v>3328</v>
      </c>
      <c r="AK27" s="13" t="s">
        <v>3324</v>
      </c>
      <c r="AL27" s="12"/>
      <c r="AM27" s="13"/>
      <c r="AN27" s="12"/>
      <c r="AO27" s="12">
        <v>1304</v>
      </c>
      <c r="AP27" s="13"/>
      <c r="AQ27" s="12">
        <v>13042</v>
      </c>
      <c r="AR27" s="13"/>
      <c r="AS27" s="13" t="s">
        <v>71</v>
      </c>
      <c r="AT27" s="13" t="s">
        <v>71</v>
      </c>
      <c r="AU27" s="14">
        <v>100</v>
      </c>
      <c r="AV27" s="14"/>
      <c r="AW27" s="14">
        <v>4.83</v>
      </c>
      <c r="AX27" s="15">
        <v>45900</v>
      </c>
      <c r="AY27" s="15"/>
    </row>
    <row r="28" spans="1:51">
      <c r="A28" s="12">
        <v>8912391</v>
      </c>
      <c r="B28" s="13" t="s">
        <v>1950</v>
      </c>
      <c r="C28" s="13" t="s">
        <v>3342</v>
      </c>
      <c r="D28" s="13"/>
      <c r="E28" s="13" t="s">
        <v>3318</v>
      </c>
      <c r="F28" s="12"/>
      <c r="G28" s="12"/>
      <c r="H28" s="13"/>
      <c r="I28" s="12"/>
      <c r="J28" s="12"/>
      <c r="K28" s="12"/>
      <c r="L28" s="12">
        <v>203785563</v>
      </c>
      <c r="M28" s="12">
        <v>203785563</v>
      </c>
      <c r="N28" s="12"/>
      <c r="O28" s="13"/>
      <c r="P28" s="12">
        <v>10</v>
      </c>
      <c r="Q28" s="13" t="s">
        <v>3339</v>
      </c>
      <c r="R28" s="12">
        <v>985</v>
      </c>
      <c r="S28" s="12">
        <v>3274000</v>
      </c>
      <c r="T28" s="12"/>
      <c r="U28" s="13"/>
      <c r="V28" s="12" t="s">
        <v>3321</v>
      </c>
      <c r="W28" s="13" t="s">
        <v>3322</v>
      </c>
      <c r="X28" s="12"/>
      <c r="Y28" s="13"/>
      <c r="Z28" s="12"/>
      <c r="AA28" s="13"/>
      <c r="AB28" s="12"/>
      <c r="AC28" s="12"/>
      <c r="AD28" s="14"/>
      <c r="AE28" s="12"/>
      <c r="AF28" s="13"/>
      <c r="AG28" s="12"/>
      <c r="AH28" s="12"/>
      <c r="AI28" s="13"/>
      <c r="AJ28" s="13" t="s">
        <v>3328</v>
      </c>
      <c r="AK28" s="13" t="s">
        <v>3324</v>
      </c>
      <c r="AL28" s="12"/>
      <c r="AM28" s="13"/>
      <c r="AN28" s="12"/>
      <c r="AO28" s="12">
        <v>1239</v>
      </c>
      <c r="AP28" s="13"/>
      <c r="AQ28" s="12">
        <v>12391</v>
      </c>
      <c r="AR28" s="13"/>
      <c r="AS28" s="13" t="s">
        <v>71</v>
      </c>
      <c r="AT28" s="13" t="s">
        <v>71</v>
      </c>
      <c r="AU28" s="14">
        <v>100</v>
      </c>
      <c r="AV28" s="14"/>
      <c r="AW28" s="14">
        <v>5.5</v>
      </c>
      <c r="AX28" s="15">
        <v>45900</v>
      </c>
      <c r="AY28" s="15"/>
    </row>
    <row r="29" spans="1:51">
      <c r="A29" s="12">
        <v>8912392</v>
      </c>
      <c r="B29" s="13" t="s">
        <v>3595</v>
      </c>
      <c r="C29" s="13" t="s">
        <v>3342</v>
      </c>
      <c r="D29" s="13"/>
      <c r="E29" s="13" t="s">
        <v>3318</v>
      </c>
      <c r="F29" s="12"/>
      <c r="G29" s="12"/>
      <c r="H29" s="13"/>
      <c r="I29" s="12"/>
      <c r="J29" s="12"/>
      <c r="K29" s="12"/>
      <c r="L29" s="12">
        <v>203294806</v>
      </c>
      <c r="M29" s="12">
        <v>203294806</v>
      </c>
      <c r="N29" s="12"/>
      <c r="O29" s="13"/>
      <c r="P29" s="12">
        <v>10</v>
      </c>
      <c r="Q29" s="13" t="s">
        <v>3339</v>
      </c>
      <c r="R29" s="12">
        <v>985</v>
      </c>
      <c r="S29" s="12">
        <v>3274000</v>
      </c>
      <c r="T29" s="12"/>
      <c r="U29" s="13"/>
      <c r="V29" s="12" t="s">
        <v>3321</v>
      </c>
      <c r="W29" s="13" t="s">
        <v>3322</v>
      </c>
      <c r="X29" s="12"/>
      <c r="Y29" s="13"/>
      <c r="Z29" s="12"/>
      <c r="AA29" s="13"/>
      <c r="AB29" s="12"/>
      <c r="AC29" s="12"/>
      <c r="AD29" s="14"/>
      <c r="AE29" s="12"/>
      <c r="AF29" s="13"/>
      <c r="AG29" s="12"/>
      <c r="AH29" s="12"/>
      <c r="AI29" s="13"/>
      <c r="AJ29" s="13" t="s">
        <v>3328</v>
      </c>
      <c r="AK29" s="13" t="s">
        <v>3324</v>
      </c>
      <c r="AL29" s="12"/>
      <c r="AM29" s="13"/>
      <c r="AN29" s="12"/>
      <c r="AO29" s="12">
        <v>1239</v>
      </c>
      <c r="AP29" s="13"/>
      <c r="AQ29" s="12">
        <v>12392</v>
      </c>
      <c r="AR29" s="13"/>
      <c r="AS29" s="13" t="s">
        <v>71</v>
      </c>
      <c r="AT29" s="13" t="s">
        <v>71</v>
      </c>
      <c r="AU29" s="14">
        <v>100</v>
      </c>
      <c r="AV29" s="14"/>
      <c r="AW29" s="14">
        <v>5.5</v>
      </c>
      <c r="AX29" s="15">
        <v>45900</v>
      </c>
      <c r="AY29" s="15"/>
    </row>
    <row r="30" spans="1:51">
      <c r="A30" s="12">
        <v>8905231</v>
      </c>
      <c r="B30" s="13" t="s">
        <v>3493</v>
      </c>
      <c r="C30" s="13" t="s">
        <v>3342</v>
      </c>
      <c r="D30" s="13"/>
      <c r="E30" s="13" t="s">
        <v>3318</v>
      </c>
      <c r="F30" s="12"/>
      <c r="G30" s="12"/>
      <c r="H30" s="13"/>
      <c r="I30" s="12"/>
      <c r="J30" s="12"/>
      <c r="K30" s="12" t="s">
        <v>3494</v>
      </c>
      <c r="L30" s="12" t="s">
        <v>1119</v>
      </c>
      <c r="M30" s="12" t="s">
        <v>1119</v>
      </c>
      <c r="N30" s="12"/>
      <c r="O30" s="13"/>
      <c r="P30" s="12">
        <v>10</v>
      </c>
      <c r="Q30" s="13" t="s">
        <v>3339</v>
      </c>
      <c r="R30" s="12">
        <v>985</v>
      </c>
      <c r="S30" s="12">
        <v>3183416</v>
      </c>
      <c r="T30" s="12"/>
      <c r="U30" s="13"/>
      <c r="V30" s="12" t="s">
        <v>3321</v>
      </c>
      <c r="W30" s="13" t="s">
        <v>3322</v>
      </c>
      <c r="X30" s="12"/>
      <c r="Y30" s="13"/>
      <c r="Z30" s="12"/>
      <c r="AA30" s="13"/>
      <c r="AB30" s="12"/>
      <c r="AC30" s="12"/>
      <c r="AD30" s="14"/>
      <c r="AE30" s="12"/>
      <c r="AF30" s="13"/>
      <c r="AG30" s="12"/>
      <c r="AH30" s="12"/>
      <c r="AI30" s="13"/>
      <c r="AJ30" s="13" t="s">
        <v>3328</v>
      </c>
      <c r="AK30" s="13" t="s">
        <v>3324</v>
      </c>
      <c r="AL30" s="12"/>
      <c r="AM30" s="13"/>
      <c r="AN30" s="12"/>
      <c r="AO30" s="12" t="s">
        <v>1117</v>
      </c>
      <c r="AP30" s="13"/>
      <c r="AQ30" s="12" t="s">
        <v>1113</v>
      </c>
      <c r="AR30" s="13"/>
      <c r="AS30" s="13" t="s">
        <v>71</v>
      </c>
      <c r="AT30" s="13" t="s">
        <v>71</v>
      </c>
      <c r="AU30" s="14">
        <v>100</v>
      </c>
      <c r="AV30" s="14"/>
      <c r="AW30" s="14">
        <v>5.6</v>
      </c>
      <c r="AX30" s="15">
        <v>45900</v>
      </c>
      <c r="AY30" s="15"/>
    </row>
    <row r="31" spans="1:51">
      <c r="A31" s="12">
        <v>8905232</v>
      </c>
      <c r="B31" s="13" t="s">
        <v>1121</v>
      </c>
      <c r="C31" s="13" t="s">
        <v>3342</v>
      </c>
      <c r="D31" s="13"/>
      <c r="E31" s="13" t="s">
        <v>3318</v>
      </c>
      <c r="F31" s="12"/>
      <c r="G31" s="12"/>
      <c r="H31" s="13"/>
      <c r="I31" s="12"/>
      <c r="J31" s="12"/>
      <c r="K31" s="12" t="s">
        <v>3494</v>
      </c>
      <c r="L31" s="12" t="s">
        <v>1122</v>
      </c>
      <c r="M31" s="12" t="s">
        <v>1122</v>
      </c>
      <c r="N31" s="12"/>
      <c r="O31" s="13"/>
      <c r="P31" s="12">
        <v>10</v>
      </c>
      <c r="Q31" s="13" t="s">
        <v>3339</v>
      </c>
      <c r="R31" s="12">
        <v>985</v>
      </c>
      <c r="S31" s="12">
        <v>3183416</v>
      </c>
      <c r="T31" s="12"/>
      <c r="U31" s="13"/>
      <c r="V31" s="12" t="s">
        <v>3321</v>
      </c>
      <c r="W31" s="13" t="s">
        <v>3322</v>
      </c>
      <c r="X31" s="12"/>
      <c r="Y31" s="13"/>
      <c r="Z31" s="12"/>
      <c r="AA31" s="13"/>
      <c r="AB31" s="12"/>
      <c r="AC31" s="12"/>
      <c r="AD31" s="14"/>
      <c r="AE31" s="12"/>
      <c r="AF31" s="13"/>
      <c r="AG31" s="12"/>
      <c r="AH31" s="12"/>
      <c r="AI31" s="13"/>
      <c r="AJ31" s="13" t="s">
        <v>3328</v>
      </c>
      <c r="AK31" s="13" t="s">
        <v>3324</v>
      </c>
      <c r="AL31" s="12"/>
      <c r="AM31" s="13"/>
      <c r="AN31" s="12"/>
      <c r="AO31" s="12" t="s">
        <v>1117</v>
      </c>
      <c r="AP31" s="13"/>
      <c r="AQ31" s="12" t="s">
        <v>1120</v>
      </c>
      <c r="AR31" s="13"/>
      <c r="AS31" s="13" t="s">
        <v>71</v>
      </c>
      <c r="AT31" s="13" t="s">
        <v>71</v>
      </c>
      <c r="AU31" s="14">
        <v>100</v>
      </c>
      <c r="AV31" s="14"/>
      <c r="AW31" s="14">
        <v>5.6</v>
      </c>
      <c r="AX31" s="15">
        <v>45900</v>
      </c>
      <c r="AY31" s="15"/>
    </row>
    <row r="32" spans="1:51">
      <c r="A32" s="12">
        <v>8906141</v>
      </c>
      <c r="B32" s="13" t="s">
        <v>1234</v>
      </c>
      <c r="C32" s="13" t="s">
        <v>3342</v>
      </c>
      <c r="D32" s="13"/>
      <c r="E32" s="13" t="s">
        <v>3318</v>
      </c>
      <c r="F32" s="12"/>
      <c r="G32" s="12"/>
      <c r="H32" s="13"/>
      <c r="I32" s="12"/>
      <c r="J32" s="12"/>
      <c r="K32" s="12"/>
      <c r="L32" s="12">
        <v>201562220</v>
      </c>
      <c r="M32" s="12">
        <v>201562220</v>
      </c>
      <c r="N32" s="12"/>
      <c r="O32" s="13"/>
      <c r="P32" s="12">
        <v>10</v>
      </c>
      <c r="Q32" s="13" t="s">
        <v>3339</v>
      </c>
      <c r="R32" s="12">
        <v>985</v>
      </c>
      <c r="S32" s="12">
        <v>3272596</v>
      </c>
      <c r="T32" s="12"/>
      <c r="U32" s="13"/>
      <c r="V32" s="12" t="s">
        <v>3321</v>
      </c>
      <c r="W32" s="13" t="s">
        <v>3322</v>
      </c>
      <c r="X32" s="12"/>
      <c r="Y32" s="13"/>
      <c r="Z32" s="12"/>
      <c r="AA32" s="13"/>
      <c r="AB32" s="12"/>
      <c r="AC32" s="12"/>
      <c r="AD32" s="14"/>
      <c r="AE32" s="12"/>
      <c r="AF32" s="13"/>
      <c r="AG32" s="12"/>
      <c r="AH32" s="12"/>
      <c r="AI32" s="13"/>
      <c r="AJ32" s="13" t="s">
        <v>3328</v>
      </c>
      <c r="AK32" s="13" t="s">
        <v>3324</v>
      </c>
      <c r="AL32" s="12"/>
      <c r="AM32" s="13"/>
      <c r="AN32" s="12"/>
      <c r="AO32" s="12" t="s">
        <v>1235</v>
      </c>
      <c r="AP32" s="13"/>
      <c r="AQ32" s="12" t="s">
        <v>1233</v>
      </c>
      <c r="AR32" s="13"/>
      <c r="AS32" s="13" t="s">
        <v>71</v>
      </c>
      <c r="AT32" s="13" t="s">
        <v>71</v>
      </c>
      <c r="AU32" s="14">
        <v>100</v>
      </c>
      <c r="AV32" s="14"/>
      <c r="AW32" s="14">
        <v>5.75</v>
      </c>
      <c r="AX32" s="15">
        <v>45900</v>
      </c>
      <c r="AY32" s="15"/>
    </row>
    <row r="33" spans="1:52">
      <c r="A33" s="12">
        <v>8906142</v>
      </c>
      <c r="B33" s="13" t="s">
        <v>1239</v>
      </c>
      <c r="C33" s="13" t="s">
        <v>3342</v>
      </c>
      <c r="D33" s="13"/>
      <c r="E33" s="13" t="s">
        <v>3318</v>
      </c>
      <c r="F33" s="12"/>
      <c r="G33" s="12"/>
      <c r="H33" s="13"/>
      <c r="I33" s="12"/>
      <c r="J33" s="12"/>
      <c r="K33" s="12"/>
      <c r="L33" s="12">
        <v>305580342</v>
      </c>
      <c r="M33" s="12">
        <v>305580342</v>
      </c>
      <c r="N33" s="12"/>
      <c r="O33" s="13"/>
      <c r="P33" s="12">
        <v>10</v>
      </c>
      <c r="Q33" s="13" t="s">
        <v>3339</v>
      </c>
      <c r="R33" s="12">
        <v>985</v>
      </c>
      <c r="S33" s="12">
        <v>3272596</v>
      </c>
      <c r="T33" s="12"/>
      <c r="U33" s="13"/>
      <c r="V33" s="12" t="s">
        <v>3321</v>
      </c>
      <c r="W33" s="13" t="s">
        <v>3322</v>
      </c>
      <c r="X33" s="12"/>
      <c r="Y33" s="13"/>
      <c r="Z33" s="12"/>
      <c r="AA33" s="13"/>
      <c r="AB33" s="12"/>
      <c r="AC33" s="12"/>
      <c r="AD33" s="14"/>
      <c r="AE33" s="12"/>
      <c r="AF33" s="13"/>
      <c r="AG33" s="12"/>
      <c r="AH33" s="12"/>
      <c r="AI33" s="13"/>
      <c r="AJ33" s="13" t="s">
        <v>3328</v>
      </c>
      <c r="AK33" s="13" t="s">
        <v>3324</v>
      </c>
      <c r="AL33" s="12"/>
      <c r="AM33" s="13"/>
      <c r="AN33" s="12"/>
      <c r="AO33" s="12" t="s">
        <v>1235</v>
      </c>
      <c r="AP33" s="13"/>
      <c r="AQ33" s="12" t="s">
        <v>1238</v>
      </c>
      <c r="AR33" s="13"/>
      <c r="AS33" s="13" t="s">
        <v>71</v>
      </c>
      <c r="AT33" s="13" t="s">
        <v>71</v>
      </c>
      <c r="AU33" s="14">
        <v>100</v>
      </c>
      <c r="AV33" s="14"/>
      <c r="AW33" s="14">
        <v>5.75</v>
      </c>
      <c r="AX33" s="15">
        <v>45900</v>
      </c>
      <c r="AY33" s="15"/>
    </row>
    <row r="34" spans="1:52">
      <c r="A34" s="12">
        <v>8921211</v>
      </c>
      <c r="B34" s="13" t="s">
        <v>3080</v>
      </c>
      <c r="C34" s="13" t="s">
        <v>3342</v>
      </c>
      <c r="D34" s="13"/>
      <c r="E34" s="13" t="s">
        <v>3318</v>
      </c>
      <c r="F34" s="12"/>
      <c r="G34" s="12"/>
      <c r="H34" s="13"/>
      <c r="I34" s="12"/>
      <c r="J34" s="12"/>
      <c r="K34" s="12"/>
      <c r="L34" s="12">
        <v>305049892</v>
      </c>
      <c r="M34" s="12">
        <v>305049892</v>
      </c>
      <c r="N34" s="12"/>
      <c r="O34" s="13"/>
      <c r="P34" s="12">
        <v>12</v>
      </c>
      <c r="Q34" s="13" t="s">
        <v>3378</v>
      </c>
      <c r="R34" s="12">
        <v>702</v>
      </c>
      <c r="S34" s="12">
        <v>643092</v>
      </c>
      <c r="T34" s="12"/>
      <c r="U34" s="13"/>
      <c r="V34" s="12" t="s">
        <v>3321</v>
      </c>
      <c r="W34" s="13" t="s">
        <v>3322</v>
      </c>
      <c r="X34" s="12"/>
      <c r="Y34" s="13"/>
      <c r="Z34" s="12"/>
      <c r="AA34" s="13"/>
      <c r="AB34" s="12"/>
      <c r="AC34" s="12"/>
      <c r="AD34" s="14"/>
      <c r="AE34" s="12"/>
      <c r="AF34" s="13"/>
      <c r="AG34" s="12"/>
      <c r="AH34" s="12"/>
      <c r="AI34" s="13"/>
      <c r="AJ34" s="13" t="s">
        <v>3328</v>
      </c>
      <c r="AK34" s="13" t="s">
        <v>3324</v>
      </c>
      <c r="AL34" s="12"/>
      <c r="AM34" s="13"/>
      <c r="AN34" s="12"/>
      <c r="AO34" s="12">
        <v>2121</v>
      </c>
      <c r="AP34" s="13"/>
      <c r="AQ34" s="12">
        <v>21211</v>
      </c>
      <c r="AR34" s="13"/>
      <c r="AS34" s="13" t="s">
        <v>71</v>
      </c>
      <c r="AT34" s="13" t="s">
        <v>71</v>
      </c>
      <c r="AU34" s="14">
        <v>100</v>
      </c>
      <c r="AV34" s="14"/>
      <c r="AW34" s="14">
        <v>6</v>
      </c>
      <c r="AX34" s="15">
        <v>45900</v>
      </c>
      <c r="AY34" s="15"/>
    </row>
    <row r="35" spans="1:52">
      <c r="A35" s="12">
        <v>8921212</v>
      </c>
      <c r="B35" s="13" t="s">
        <v>3087</v>
      </c>
      <c r="C35" s="13" t="s">
        <v>3342</v>
      </c>
      <c r="D35" s="13"/>
      <c r="E35" s="13" t="s">
        <v>3318</v>
      </c>
      <c r="F35" s="12"/>
      <c r="G35" s="12"/>
      <c r="H35" s="13"/>
      <c r="I35" s="12"/>
      <c r="J35" s="12"/>
      <c r="K35" s="12"/>
      <c r="L35" s="12">
        <v>303024723</v>
      </c>
      <c r="M35" s="12">
        <v>303024723</v>
      </c>
      <c r="N35" s="12"/>
      <c r="O35" s="13"/>
      <c r="P35" s="12">
        <v>12</v>
      </c>
      <c r="Q35" s="13" t="s">
        <v>3378</v>
      </c>
      <c r="R35" s="12">
        <v>702</v>
      </c>
      <c r="S35" s="12">
        <v>643092</v>
      </c>
      <c r="T35" s="12"/>
      <c r="U35" s="13"/>
      <c r="V35" s="12" t="s">
        <v>3321</v>
      </c>
      <c r="W35" s="13" t="s">
        <v>3322</v>
      </c>
      <c r="X35" s="12"/>
      <c r="Y35" s="13"/>
      <c r="Z35" s="12"/>
      <c r="AA35" s="13"/>
      <c r="AB35" s="12"/>
      <c r="AC35" s="12"/>
      <c r="AD35" s="14"/>
      <c r="AE35" s="12"/>
      <c r="AF35" s="13"/>
      <c r="AG35" s="12"/>
      <c r="AH35" s="12"/>
      <c r="AI35" s="13"/>
      <c r="AJ35" s="13" t="s">
        <v>3328</v>
      </c>
      <c r="AK35" s="13" t="s">
        <v>3324</v>
      </c>
      <c r="AL35" s="12"/>
      <c r="AM35" s="13"/>
      <c r="AN35" s="12"/>
      <c r="AO35" s="12">
        <v>2121</v>
      </c>
      <c r="AP35" s="13"/>
      <c r="AQ35" s="12">
        <v>21212</v>
      </c>
      <c r="AR35" s="13"/>
      <c r="AS35" s="13" t="s">
        <v>71</v>
      </c>
      <c r="AT35" s="13" t="s">
        <v>71</v>
      </c>
      <c r="AU35" s="14">
        <v>100</v>
      </c>
      <c r="AV35" s="14"/>
      <c r="AW35" s="14">
        <v>6</v>
      </c>
      <c r="AX35" s="15">
        <v>45900</v>
      </c>
      <c r="AY35" s="15"/>
    </row>
    <row r="36" spans="1:52">
      <c r="A36" s="12">
        <v>8915061</v>
      </c>
      <c r="B36" s="13" t="s">
        <v>3611</v>
      </c>
      <c r="C36" s="13" t="s">
        <v>3342</v>
      </c>
      <c r="D36" s="13"/>
      <c r="E36" s="13" t="s">
        <v>3318</v>
      </c>
      <c r="F36" s="12"/>
      <c r="G36" s="12"/>
      <c r="H36" s="13"/>
      <c r="I36" s="12"/>
      <c r="J36" s="12"/>
      <c r="K36" s="12"/>
      <c r="L36" s="12">
        <v>302664552</v>
      </c>
      <c r="M36" s="12"/>
      <c r="N36" s="12"/>
      <c r="O36" s="13"/>
      <c r="P36" s="12">
        <v>10</v>
      </c>
      <c r="Q36" s="13" t="s">
        <v>3339</v>
      </c>
      <c r="R36" s="12">
        <v>927</v>
      </c>
      <c r="S36" s="12">
        <v>33769277</v>
      </c>
      <c r="T36" s="12"/>
      <c r="U36" s="13"/>
      <c r="V36" s="12" t="s">
        <v>3321</v>
      </c>
      <c r="W36" s="13" t="s">
        <v>3322</v>
      </c>
      <c r="X36" s="12"/>
      <c r="Y36" s="13"/>
      <c r="Z36" s="12"/>
      <c r="AA36" s="13"/>
      <c r="AB36" s="12"/>
      <c r="AC36" s="12"/>
      <c r="AD36" s="14"/>
      <c r="AE36" s="12"/>
      <c r="AF36" s="13"/>
      <c r="AG36" s="12"/>
      <c r="AH36" s="12"/>
      <c r="AI36" s="13"/>
      <c r="AJ36" s="13" t="s">
        <v>3328</v>
      </c>
      <c r="AK36" s="13" t="s">
        <v>3324</v>
      </c>
      <c r="AL36" s="12"/>
      <c r="AM36" s="13"/>
      <c r="AN36" s="12"/>
      <c r="AO36" s="12">
        <v>1506</v>
      </c>
      <c r="AP36" s="13"/>
      <c r="AQ36" s="12">
        <v>15061</v>
      </c>
      <c r="AR36" s="13"/>
      <c r="AS36" s="13" t="s">
        <v>71</v>
      </c>
      <c r="AT36" s="13" t="s">
        <v>71</v>
      </c>
      <c r="AU36" s="14">
        <v>100</v>
      </c>
      <c r="AV36" s="14"/>
      <c r="AW36" s="14">
        <v>6.5</v>
      </c>
      <c r="AX36" s="15">
        <v>45900</v>
      </c>
      <c r="AY36" s="15"/>
    </row>
    <row r="37" spans="1:52">
      <c r="A37" s="12">
        <v>8915062</v>
      </c>
      <c r="B37" s="13" t="s">
        <v>3612</v>
      </c>
      <c r="C37" s="13" t="s">
        <v>3342</v>
      </c>
      <c r="D37" s="13"/>
      <c r="E37" s="13" t="s">
        <v>3318</v>
      </c>
      <c r="F37" s="12"/>
      <c r="G37" s="12"/>
      <c r="H37" s="13"/>
      <c r="I37" s="12"/>
      <c r="J37" s="12"/>
      <c r="K37" s="12"/>
      <c r="L37" s="12">
        <v>301769295</v>
      </c>
      <c r="M37" s="12"/>
      <c r="N37" s="12"/>
      <c r="O37" s="13"/>
      <c r="P37" s="12">
        <v>10</v>
      </c>
      <c r="Q37" s="13" t="s">
        <v>3339</v>
      </c>
      <c r="R37" s="12">
        <v>927</v>
      </c>
      <c r="S37" s="12">
        <v>33769277</v>
      </c>
      <c r="T37" s="12"/>
      <c r="U37" s="13"/>
      <c r="V37" s="12" t="s">
        <v>3321</v>
      </c>
      <c r="W37" s="13" t="s">
        <v>3322</v>
      </c>
      <c r="X37" s="12"/>
      <c r="Y37" s="13"/>
      <c r="Z37" s="12"/>
      <c r="AA37" s="13"/>
      <c r="AB37" s="12"/>
      <c r="AC37" s="12"/>
      <c r="AD37" s="14"/>
      <c r="AE37" s="12"/>
      <c r="AF37" s="13"/>
      <c r="AG37" s="12"/>
      <c r="AH37" s="12"/>
      <c r="AI37" s="13"/>
      <c r="AJ37" s="13" t="s">
        <v>3328</v>
      </c>
      <c r="AK37" s="13" t="s">
        <v>3324</v>
      </c>
      <c r="AL37" s="12"/>
      <c r="AM37" s="13"/>
      <c r="AN37" s="12"/>
      <c r="AO37" s="12">
        <v>1506</v>
      </c>
      <c r="AP37" s="13"/>
      <c r="AQ37" s="12">
        <v>15062</v>
      </c>
      <c r="AR37" s="13"/>
      <c r="AS37" s="13" t="s">
        <v>71</v>
      </c>
      <c r="AT37" s="13" t="s">
        <v>71</v>
      </c>
      <c r="AU37" s="14">
        <v>100</v>
      </c>
      <c r="AV37" s="14"/>
      <c r="AW37" s="14">
        <v>6.5</v>
      </c>
      <c r="AX37" s="15">
        <v>45900</v>
      </c>
      <c r="AY37" s="15"/>
    </row>
    <row r="38" spans="1:52">
      <c r="A38" s="12">
        <v>8903171</v>
      </c>
      <c r="B38" s="13" t="s">
        <v>3448</v>
      </c>
      <c r="C38" s="13" t="s">
        <v>3342</v>
      </c>
      <c r="D38" s="13"/>
      <c r="E38" s="13" t="s">
        <v>3318</v>
      </c>
      <c r="F38" s="12"/>
      <c r="G38" s="12"/>
      <c r="H38" s="13"/>
      <c r="I38" s="12"/>
      <c r="J38" s="12"/>
      <c r="K38" s="12" t="s">
        <v>3449</v>
      </c>
      <c r="L38" s="12" t="s">
        <v>871</v>
      </c>
      <c r="M38" s="12"/>
      <c r="N38" s="12"/>
      <c r="O38" s="13"/>
      <c r="P38" s="12">
        <v>12</v>
      </c>
      <c r="Q38" s="13" t="s">
        <v>3378</v>
      </c>
      <c r="R38" s="12">
        <v>782</v>
      </c>
      <c r="S38" s="12">
        <v>279386</v>
      </c>
      <c r="T38" s="12"/>
      <c r="U38" s="13"/>
      <c r="V38" s="12" t="s">
        <v>3321</v>
      </c>
      <c r="W38" s="13" t="s">
        <v>3322</v>
      </c>
      <c r="X38" s="12"/>
      <c r="Y38" s="13"/>
      <c r="Z38" s="12"/>
      <c r="AA38" s="13"/>
      <c r="AB38" s="12"/>
      <c r="AC38" s="12"/>
      <c r="AD38" s="14"/>
      <c r="AE38" s="12"/>
      <c r="AF38" s="13"/>
      <c r="AG38" s="12"/>
      <c r="AH38" s="12"/>
      <c r="AI38" s="13"/>
      <c r="AJ38" s="13" t="s">
        <v>3328</v>
      </c>
      <c r="AK38" s="13" t="s">
        <v>3324</v>
      </c>
      <c r="AL38" s="12"/>
      <c r="AM38" s="13"/>
      <c r="AN38" s="12"/>
      <c r="AO38" s="12" t="s">
        <v>869</v>
      </c>
      <c r="AP38" s="13"/>
      <c r="AQ38" s="12" t="s">
        <v>865</v>
      </c>
      <c r="AR38" s="13"/>
      <c r="AS38" s="13" t="s">
        <v>71</v>
      </c>
      <c r="AT38" s="13" t="s">
        <v>71</v>
      </c>
      <c r="AU38" s="14">
        <v>100</v>
      </c>
      <c r="AV38" s="14"/>
      <c r="AW38" s="14">
        <v>6.84</v>
      </c>
      <c r="AX38" s="15">
        <v>45900</v>
      </c>
      <c r="AY38" s="15"/>
    </row>
    <row r="39" spans="1:52">
      <c r="A39" s="12">
        <v>8903172</v>
      </c>
      <c r="B39" s="13" t="s">
        <v>3450</v>
      </c>
      <c r="C39" s="13" t="s">
        <v>3342</v>
      </c>
      <c r="D39" s="13"/>
      <c r="E39" s="13" t="s">
        <v>3318</v>
      </c>
      <c r="F39" s="12"/>
      <c r="G39" s="12"/>
      <c r="H39" s="13"/>
      <c r="I39" s="12"/>
      <c r="J39" s="12"/>
      <c r="K39" s="12" t="s">
        <v>3449</v>
      </c>
      <c r="L39" s="12" t="s">
        <v>874</v>
      </c>
      <c r="M39" s="12"/>
      <c r="N39" s="12"/>
      <c r="O39" s="13"/>
      <c r="P39" s="12">
        <v>12</v>
      </c>
      <c r="Q39" s="13" t="s">
        <v>3378</v>
      </c>
      <c r="R39" s="12">
        <v>782</v>
      </c>
      <c r="S39" s="12">
        <v>279386</v>
      </c>
      <c r="T39" s="12"/>
      <c r="U39" s="13"/>
      <c r="V39" s="12"/>
      <c r="W39" s="13"/>
      <c r="X39" s="12"/>
      <c r="Y39" s="13"/>
      <c r="Z39" s="12"/>
      <c r="AA39" s="13"/>
      <c r="AB39" s="12"/>
      <c r="AC39" s="12"/>
      <c r="AD39" s="14"/>
      <c r="AE39" s="12"/>
      <c r="AF39" s="13"/>
      <c r="AG39" s="12"/>
      <c r="AH39" s="12"/>
      <c r="AI39" s="13"/>
      <c r="AJ39" s="13" t="s">
        <v>3328</v>
      </c>
      <c r="AK39" s="13" t="s">
        <v>3324</v>
      </c>
      <c r="AL39" s="12"/>
      <c r="AM39" s="13"/>
      <c r="AN39" s="12"/>
      <c r="AO39" s="12" t="s">
        <v>869</v>
      </c>
      <c r="AP39" s="13"/>
      <c r="AQ39" s="12" t="s">
        <v>872</v>
      </c>
      <c r="AR39" s="13"/>
      <c r="AS39" s="13" t="s">
        <v>71</v>
      </c>
      <c r="AT39" s="13" t="s">
        <v>71</v>
      </c>
      <c r="AU39" s="14">
        <v>100</v>
      </c>
      <c r="AV39" s="14"/>
      <c r="AW39" s="14">
        <v>6.84</v>
      </c>
      <c r="AX39" s="15">
        <v>45900</v>
      </c>
      <c r="AY39" s="15"/>
    </row>
    <row r="40" spans="1:52">
      <c r="A40" s="12">
        <v>8921011</v>
      </c>
      <c r="B40" s="13" t="s">
        <v>3698</v>
      </c>
      <c r="C40" s="13" t="s">
        <v>3342</v>
      </c>
      <c r="D40" s="13"/>
      <c r="E40" s="13" t="s">
        <v>3318</v>
      </c>
      <c r="F40" s="12" t="s">
        <v>3699</v>
      </c>
      <c r="G40" s="12"/>
      <c r="H40" s="13"/>
      <c r="I40" s="12"/>
      <c r="J40" s="12"/>
      <c r="K40" s="12"/>
      <c r="L40" s="12" t="s">
        <v>2899</v>
      </c>
      <c r="M40" s="12" t="s">
        <v>2899</v>
      </c>
      <c r="N40" s="12"/>
      <c r="O40" s="13"/>
      <c r="P40" s="12">
        <v>12</v>
      </c>
      <c r="Q40" s="13" t="s">
        <v>3378</v>
      </c>
      <c r="R40" s="12">
        <v>699</v>
      </c>
      <c r="S40" s="12">
        <v>419247</v>
      </c>
      <c r="T40" s="12"/>
      <c r="U40" s="13"/>
      <c r="V40" s="12" t="s">
        <v>3321</v>
      </c>
      <c r="W40" s="13" t="s">
        <v>3322</v>
      </c>
      <c r="X40" s="12"/>
      <c r="Y40" s="13"/>
      <c r="Z40" s="12"/>
      <c r="AA40" s="13"/>
      <c r="AB40" s="12"/>
      <c r="AC40" s="12"/>
      <c r="AD40" s="14"/>
      <c r="AE40" s="12"/>
      <c r="AF40" s="13"/>
      <c r="AG40" s="12"/>
      <c r="AH40" s="12"/>
      <c r="AI40" s="13"/>
      <c r="AJ40" s="13" t="s">
        <v>3328</v>
      </c>
      <c r="AK40" s="13" t="s">
        <v>3324</v>
      </c>
      <c r="AL40" s="12"/>
      <c r="AM40" s="13"/>
      <c r="AN40" s="12"/>
      <c r="AO40" s="12">
        <v>2101</v>
      </c>
      <c r="AP40" s="13"/>
      <c r="AQ40" s="12">
        <v>21011</v>
      </c>
      <c r="AR40" s="13"/>
      <c r="AS40" s="13" t="s">
        <v>71</v>
      </c>
      <c r="AT40" s="13" t="s">
        <v>71</v>
      </c>
      <c r="AU40" s="14">
        <v>100</v>
      </c>
      <c r="AV40" s="14"/>
      <c r="AW40" s="14">
        <v>7.06</v>
      </c>
      <c r="AX40" s="15">
        <v>45900</v>
      </c>
      <c r="AY40" s="15"/>
    </row>
    <row r="41" spans="1:52">
      <c r="A41" s="12">
        <v>8917122</v>
      </c>
      <c r="B41" s="13" t="s">
        <v>3631</v>
      </c>
      <c r="C41" s="13" t="s">
        <v>3342</v>
      </c>
      <c r="D41" s="13"/>
      <c r="E41" s="13" t="s">
        <v>3318</v>
      </c>
      <c r="F41" s="12"/>
      <c r="G41" s="12"/>
      <c r="H41" s="13"/>
      <c r="I41" s="12"/>
      <c r="J41" s="12"/>
      <c r="K41" s="12"/>
      <c r="L41" s="12">
        <v>300005386</v>
      </c>
      <c r="M41" s="12">
        <v>300005386</v>
      </c>
      <c r="N41" s="12"/>
      <c r="O41" s="13"/>
      <c r="P41" s="12">
        <v>20</v>
      </c>
      <c r="Q41" s="13" t="s">
        <v>3320</v>
      </c>
      <c r="R41" s="12">
        <v>577</v>
      </c>
      <c r="S41" s="12">
        <v>144025</v>
      </c>
      <c r="T41" s="12"/>
      <c r="U41" s="13"/>
      <c r="V41" s="12" t="s">
        <v>3321</v>
      </c>
      <c r="W41" s="13" t="s">
        <v>3322</v>
      </c>
      <c r="X41" s="12"/>
      <c r="Y41" s="13"/>
      <c r="Z41" s="12"/>
      <c r="AA41" s="13"/>
      <c r="AB41" s="12"/>
      <c r="AC41" s="12"/>
      <c r="AD41" s="14"/>
      <c r="AE41" s="12"/>
      <c r="AF41" s="13"/>
      <c r="AG41" s="12"/>
      <c r="AH41" s="12"/>
      <c r="AI41" s="13"/>
      <c r="AJ41" s="13" t="s">
        <v>3328</v>
      </c>
      <c r="AK41" s="13" t="s">
        <v>3324</v>
      </c>
      <c r="AL41" s="12"/>
      <c r="AM41" s="13"/>
      <c r="AN41" s="12"/>
      <c r="AO41" s="12">
        <v>1712</v>
      </c>
      <c r="AP41" s="13"/>
      <c r="AQ41" s="12">
        <v>17122</v>
      </c>
      <c r="AR41" s="13"/>
      <c r="AS41" s="13" t="s">
        <v>71</v>
      </c>
      <c r="AT41" s="13" t="s">
        <v>71</v>
      </c>
      <c r="AU41" s="14">
        <v>100</v>
      </c>
      <c r="AV41" s="14"/>
      <c r="AW41" s="14">
        <v>7.25</v>
      </c>
      <c r="AX41" s="15">
        <v>45900</v>
      </c>
      <c r="AY41" s="15"/>
    </row>
    <row r="42" spans="1:52">
      <c r="A42" s="12">
        <v>8901341</v>
      </c>
      <c r="B42" s="13" t="s">
        <v>3366</v>
      </c>
      <c r="C42" s="13" t="s">
        <v>3342</v>
      </c>
      <c r="D42" s="13"/>
      <c r="E42" s="13" t="s">
        <v>3318</v>
      </c>
      <c r="F42" s="12"/>
      <c r="G42" s="12"/>
      <c r="H42" s="13"/>
      <c r="I42" s="12"/>
      <c r="J42" s="12"/>
      <c r="K42" s="12"/>
      <c r="L42" s="12">
        <v>301088449</v>
      </c>
      <c r="M42" s="12"/>
      <c r="N42" s="12"/>
      <c r="O42" s="13"/>
      <c r="P42" s="12">
        <v>20</v>
      </c>
      <c r="Q42" s="13" t="s">
        <v>3320</v>
      </c>
      <c r="R42" s="12">
        <v>577</v>
      </c>
      <c r="S42" s="12">
        <v>357800</v>
      </c>
      <c r="T42" s="12"/>
      <c r="U42" s="13"/>
      <c r="V42" s="12" t="s">
        <v>3321</v>
      </c>
      <c r="W42" s="13" t="s">
        <v>3322</v>
      </c>
      <c r="X42" s="12"/>
      <c r="Y42" s="13"/>
      <c r="Z42" s="12"/>
      <c r="AA42" s="13"/>
      <c r="AB42" s="12"/>
      <c r="AC42" s="12"/>
      <c r="AD42" s="14"/>
      <c r="AE42" s="12"/>
      <c r="AF42" s="13"/>
      <c r="AG42" s="12"/>
      <c r="AH42" s="12"/>
      <c r="AI42" s="13"/>
      <c r="AJ42" s="13" t="s">
        <v>3328</v>
      </c>
      <c r="AK42" s="13" t="s">
        <v>3324</v>
      </c>
      <c r="AL42" s="12"/>
      <c r="AM42" s="13"/>
      <c r="AN42" s="12"/>
      <c r="AO42" s="12" t="s">
        <v>316</v>
      </c>
      <c r="AP42" s="13"/>
      <c r="AQ42" s="12" t="s">
        <v>313</v>
      </c>
      <c r="AR42" s="13"/>
      <c r="AS42" s="13" t="s">
        <v>71</v>
      </c>
      <c r="AT42" s="13" t="s">
        <v>71</v>
      </c>
      <c r="AU42" s="14">
        <v>100</v>
      </c>
      <c r="AV42" s="14"/>
      <c r="AW42" s="14">
        <v>7.58</v>
      </c>
      <c r="AX42" s="15">
        <v>45900</v>
      </c>
      <c r="AY42" s="15">
        <v>43132</v>
      </c>
      <c r="AZ42" s="87">
        <f t="shared" ref="AZ42:AZ57" si="0">(AX42-AY42)/365</f>
        <v>7.5835616438356164</v>
      </c>
    </row>
    <row r="43" spans="1:52">
      <c r="A43" s="12">
        <v>8901342</v>
      </c>
      <c r="B43" s="13" t="s">
        <v>3367</v>
      </c>
      <c r="C43" s="13" t="s">
        <v>3342</v>
      </c>
      <c r="D43" s="13"/>
      <c r="E43" s="13" t="s">
        <v>3318</v>
      </c>
      <c r="F43" s="12"/>
      <c r="G43" s="12"/>
      <c r="H43" s="13"/>
      <c r="I43" s="12"/>
      <c r="J43" s="12"/>
      <c r="K43" s="12"/>
      <c r="L43" s="12">
        <v>305596322</v>
      </c>
      <c r="M43" s="12"/>
      <c r="N43" s="12"/>
      <c r="O43" s="13"/>
      <c r="P43" s="12">
        <v>20</v>
      </c>
      <c r="Q43" s="13" t="s">
        <v>3320</v>
      </c>
      <c r="R43" s="12">
        <v>577</v>
      </c>
      <c r="S43" s="12">
        <v>357800</v>
      </c>
      <c r="T43" s="12"/>
      <c r="U43" s="13"/>
      <c r="V43" s="12" t="s">
        <v>3321</v>
      </c>
      <c r="W43" s="13" t="s">
        <v>3322</v>
      </c>
      <c r="X43" s="12"/>
      <c r="Y43" s="13"/>
      <c r="Z43" s="12"/>
      <c r="AA43" s="13"/>
      <c r="AB43" s="12"/>
      <c r="AC43" s="12"/>
      <c r="AD43" s="14"/>
      <c r="AE43" s="12"/>
      <c r="AF43" s="13"/>
      <c r="AG43" s="12"/>
      <c r="AH43" s="12"/>
      <c r="AI43" s="13"/>
      <c r="AJ43" s="13" t="s">
        <v>3328</v>
      </c>
      <c r="AK43" s="13" t="s">
        <v>3324</v>
      </c>
      <c r="AL43" s="12"/>
      <c r="AM43" s="13"/>
      <c r="AN43" s="12"/>
      <c r="AO43" s="12" t="s">
        <v>316</v>
      </c>
      <c r="AP43" s="13"/>
      <c r="AQ43" s="12" t="s">
        <v>319</v>
      </c>
      <c r="AR43" s="13"/>
      <c r="AS43" s="13" t="s">
        <v>71</v>
      </c>
      <c r="AT43" s="13" t="s">
        <v>71</v>
      </c>
      <c r="AU43" s="14">
        <v>100</v>
      </c>
      <c r="AV43" s="14"/>
      <c r="AW43" s="14">
        <v>7.58</v>
      </c>
      <c r="AX43" s="15">
        <v>45900</v>
      </c>
      <c r="AY43" s="15">
        <v>43132</v>
      </c>
      <c r="AZ43" s="87">
        <f t="shared" si="0"/>
        <v>7.5835616438356164</v>
      </c>
    </row>
    <row r="44" spans="1:52">
      <c r="A44" s="12">
        <v>8907051</v>
      </c>
      <c r="B44" s="13" t="s">
        <v>1293</v>
      </c>
      <c r="C44" s="13" t="s">
        <v>3342</v>
      </c>
      <c r="D44" s="13"/>
      <c r="E44" s="13" t="s">
        <v>3318</v>
      </c>
      <c r="F44" s="12"/>
      <c r="G44" s="12"/>
      <c r="H44" s="13"/>
      <c r="I44" s="12"/>
      <c r="J44" s="12"/>
      <c r="K44" s="12"/>
      <c r="L44" s="12">
        <v>300945557</v>
      </c>
      <c r="M44" s="12"/>
      <c r="N44" s="12"/>
      <c r="O44" s="13"/>
      <c r="P44" s="12">
        <v>12</v>
      </c>
      <c r="Q44" s="13" t="s">
        <v>3378</v>
      </c>
      <c r="R44" s="12">
        <v>650</v>
      </c>
      <c r="S44" s="12">
        <v>559888</v>
      </c>
      <c r="T44" s="12"/>
      <c r="U44" s="13"/>
      <c r="V44" s="12" t="s">
        <v>3321</v>
      </c>
      <c r="W44" s="13" t="s">
        <v>3322</v>
      </c>
      <c r="X44" s="12"/>
      <c r="Y44" s="13"/>
      <c r="Z44" s="12"/>
      <c r="AA44" s="13"/>
      <c r="AB44" s="12"/>
      <c r="AC44" s="12"/>
      <c r="AD44" s="14"/>
      <c r="AE44" s="12"/>
      <c r="AF44" s="13"/>
      <c r="AG44" s="12"/>
      <c r="AH44" s="12"/>
      <c r="AI44" s="13"/>
      <c r="AJ44" s="13" t="s">
        <v>3328</v>
      </c>
      <c r="AK44" s="13" t="s">
        <v>3324</v>
      </c>
      <c r="AL44" s="12"/>
      <c r="AM44" s="13"/>
      <c r="AN44" s="12"/>
      <c r="AO44" s="12" t="s">
        <v>1296</v>
      </c>
      <c r="AP44" s="13"/>
      <c r="AQ44" s="12" t="s">
        <v>1292</v>
      </c>
      <c r="AR44" s="13"/>
      <c r="AS44" s="13" t="s">
        <v>71</v>
      </c>
      <c r="AT44" s="13" t="s">
        <v>71</v>
      </c>
      <c r="AU44" s="14">
        <v>100</v>
      </c>
      <c r="AV44" s="14"/>
      <c r="AW44" s="14">
        <v>8</v>
      </c>
      <c r="AX44" s="15">
        <v>45900</v>
      </c>
      <c r="AY44" s="15">
        <v>42979</v>
      </c>
      <c r="AZ44" s="87">
        <f t="shared" si="0"/>
        <v>8.0027397260273965</v>
      </c>
    </row>
    <row r="45" spans="1:52">
      <c r="A45" s="12">
        <v>8907052</v>
      </c>
      <c r="B45" s="13" t="s">
        <v>1300</v>
      </c>
      <c r="C45" s="13" t="s">
        <v>3342</v>
      </c>
      <c r="D45" s="13"/>
      <c r="E45" s="13" t="s">
        <v>3318</v>
      </c>
      <c r="F45" s="12"/>
      <c r="G45" s="12"/>
      <c r="H45" s="13"/>
      <c r="I45" s="12"/>
      <c r="J45" s="12"/>
      <c r="K45" s="12"/>
      <c r="L45" s="12">
        <v>302640248</v>
      </c>
      <c r="M45" s="12"/>
      <c r="N45" s="12"/>
      <c r="O45" s="13"/>
      <c r="P45" s="12">
        <v>12</v>
      </c>
      <c r="Q45" s="13" t="s">
        <v>3378</v>
      </c>
      <c r="R45" s="12">
        <v>650</v>
      </c>
      <c r="S45" s="12">
        <v>559888</v>
      </c>
      <c r="T45" s="12"/>
      <c r="U45" s="13"/>
      <c r="V45" s="12" t="s">
        <v>3321</v>
      </c>
      <c r="W45" s="13" t="s">
        <v>3322</v>
      </c>
      <c r="X45" s="12"/>
      <c r="Y45" s="13"/>
      <c r="Z45" s="12"/>
      <c r="AA45" s="13"/>
      <c r="AB45" s="12"/>
      <c r="AC45" s="12"/>
      <c r="AD45" s="14"/>
      <c r="AE45" s="12"/>
      <c r="AF45" s="13"/>
      <c r="AG45" s="12"/>
      <c r="AH45" s="12"/>
      <c r="AI45" s="13"/>
      <c r="AJ45" s="13" t="s">
        <v>3328</v>
      </c>
      <c r="AK45" s="13" t="s">
        <v>3324</v>
      </c>
      <c r="AL45" s="12"/>
      <c r="AM45" s="13"/>
      <c r="AN45" s="12"/>
      <c r="AO45" s="12" t="s">
        <v>1296</v>
      </c>
      <c r="AP45" s="13"/>
      <c r="AQ45" s="12" t="s">
        <v>1299</v>
      </c>
      <c r="AR45" s="13"/>
      <c r="AS45" s="13" t="s">
        <v>71</v>
      </c>
      <c r="AT45" s="13" t="s">
        <v>71</v>
      </c>
      <c r="AU45" s="14">
        <v>100</v>
      </c>
      <c r="AV45" s="14"/>
      <c r="AW45" s="14">
        <v>8</v>
      </c>
      <c r="AX45" s="15">
        <v>45900</v>
      </c>
      <c r="AY45" s="15">
        <v>42979</v>
      </c>
      <c r="AZ45" s="87">
        <f t="shared" si="0"/>
        <v>8.0027397260273965</v>
      </c>
    </row>
    <row r="46" spans="1:52">
      <c r="A46" s="12">
        <v>8919221</v>
      </c>
      <c r="B46" s="13" t="s">
        <v>2427</v>
      </c>
      <c r="C46" s="13" t="s">
        <v>3342</v>
      </c>
      <c r="D46" s="13"/>
      <c r="E46" s="13" t="s">
        <v>3318</v>
      </c>
      <c r="F46" s="12"/>
      <c r="G46" s="12"/>
      <c r="H46" s="13"/>
      <c r="I46" s="12"/>
      <c r="J46" s="12"/>
      <c r="K46" s="12"/>
      <c r="L46" s="12" t="s">
        <v>2430</v>
      </c>
      <c r="M46" s="12" t="s">
        <v>2430</v>
      </c>
      <c r="N46" s="12"/>
      <c r="O46" s="13"/>
      <c r="P46" s="12">
        <v>14</v>
      </c>
      <c r="Q46" s="13" t="s">
        <v>3364</v>
      </c>
      <c r="R46" s="12">
        <v>348</v>
      </c>
      <c r="S46" s="12">
        <v>226225</v>
      </c>
      <c r="T46" s="12"/>
      <c r="U46" s="13"/>
      <c r="V46" s="12" t="s">
        <v>3321</v>
      </c>
      <c r="W46" s="13" t="s">
        <v>3322</v>
      </c>
      <c r="X46" s="12"/>
      <c r="Y46" s="13"/>
      <c r="Z46" s="12"/>
      <c r="AA46" s="13"/>
      <c r="AB46" s="12"/>
      <c r="AC46" s="12"/>
      <c r="AD46" s="14"/>
      <c r="AE46" s="12"/>
      <c r="AF46" s="13"/>
      <c r="AG46" s="12"/>
      <c r="AH46" s="12"/>
      <c r="AI46" s="13"/>
      <c r="AJ46" s="13" t="s">
        <v>3328</v>
      </c>
      <c r="AK46" s="13" t="s">
        <v>3324</v>
      </c>
      <c r="AL46" s="12"/>
      <c r="AM46" s="13"/>
      <c r="AN46" s="12"/>
      <c r="AO46" s="12">
        <v>1922</v>
      </c>
      <c r="AP46" s="13"/>
      <c r="AQ46" s="12">
        <v>19221</v>
      </c>
      <c r="AR46" s="13"/>
      <c r="AS46" s="13" t="s">
        <v>71</v>
      </c>
      <c r="AT46" s="13" t="s">
        <v>71</v>
      </c>
      <c r="AU46" s="14">
        <v>100</v>
      </c>
      <c r="AV46" s="14"/>
      <c r="AW46" s="14">
        <v>8.0500000000000007</v>
      </c>
      <c r="AX46" s="15">
        <v>45900</v>
      </c>
      <c r="AY46" s="15">
        <v>42962</v>
      </c>
      <c r="AZ46" s="87">
        <f t="shared" si="0"/>
        <v>8.0493150684931507</v>
      </c>
    </row>
    <row r="47" spans="1:52">
      <c r="A47" s="12">
        <v>8919222</v>
      </c>
      <c r="B47" s="13" t="s">
        <v>3651</v>
      </c>
      <c r="C47" s="13" t="s">
        <v>3342</v>
      </c>
      <c r="D47" s="13"/>
      <c r="E47" s="13" t="s">
        <v>3318</v>
      </c>
      <c r="F47" s="12"/>
      <c r="G47" s="12"/>
      <c r="H47" s="13"/>
      <c r="I47" s="12"/>
      <c r="J47" s="12"/>
      <c r="K47" s="12"/>
      <c r="L47" s="12" t="s">
        <v>2434</v>
      </c>
      <c r="M47" s="12" t="s">
        <v>2434</v>
      </c>
      <c r="N47" s="12"/>
      <c r="O47" s="13"/>
      <c r="P47" s="12">
        <v>14</v>
      </c>
      <c r="Q47" s="13" t="s">
        <v>3364</v>
      </c>
      <c r="R47" s="12">
        <v>348</v>
      </c>
      <c r="S47" s="12">
        <v>226225</v>
      </c>
      <c r="T47" s="12"/>
      <c r="U47" s="13"/>
      <c r="V47" s="12" t="s">
        <v>3321</v>
      </c>
      <c r="W47" s="13" t="s">
        <v>3322</v>
      </c>
      <c r="X47" s="12"/>
      <c r="Y47" s="13"/>
      <c r="Z47" s="12"/>
      <c r="AA47" s="13"/>
      <c r="AB47" s="12"/>
      <c r="AC47" s="12"/>
      <c r="AD47" s="14"/>
      <c r="AE47" s="12"/>
      <c r="AF47" s="13"/>
      <c r="AG47" s="12"/>
      <c r="AH47" s="12"/>
      <c r="AI47" s="13"/>
      <c r="AJ47" s="13" t="s">
        <v>3328</v>
      </c>
      <c r="AK47" s="13" t="s">
        <v>3324</v>
      </c>
      <c r="AL47" s="12"/>
      <c r="AM47" s="13"/>
      <c r="AN47" s="12"/>
      <c r="AO47" s="12">
        <v>1922</v>
      </c>
      <c r="AP47" s="13"/>
      <c r="AQ47" s="12">
        <v>19222</v>
      </c>
      <c r="AR47" s="13"/>
      <c r="AS47" s="13" t="s">
        <v>71</v>
      </c>
      <c r="AT47" s="13" t="s">
        <v>71</v>
      </c>
      <c r="AU47" s="14">
        <v>100</v>
      </c>
      <c r="AV47" s="14"/>
      <c r="AW47" s="14">
        <v>8.0500000000000007</v>
      </c>
      <c r="AX47" s="15">
        <v>45900</v>
      </c>
      <c r="AY47" s="15">
        <v>42962</v>
      </c>
      <c r="AZ47" s="87">
        <f t="shared" si="0"/>
        <v>8.0493150684931507</v>
      </c>
    </row>
    <row r="48" spans="1:52">
      <c r="A48" s="12">
        <v>8917121</v>
      </c>
      <c r="B48" s="13" t="s">
        <v>3630</v>
      </c>
      <c r="C48" s="13" t="s">
        <v>3342</v>
      </c>
      <c r="D48" s="13"/>
      <c r="E48" s="13" t="s">
        <v>3318</v>
      </c>
      <c r="F48" s="12"/>
      <c r="G48" s="12"/>
      <c r="H48" s="13"/>
      <c r="I48" s="12"/>
      <c r="J48" s="12"/>
      <c r="K48" s="12"/>
      <c r="L48" s="12" t="s">
        <v>2253</v>
      </c>
      <c r="M48" s="12" t="s">
        <v>2253</v>
      </c>
      <c r="N48" s="12"/>
      <c r="O48" s="13"/>
      <c r="P48" s="12">
        <v>20</v>
      </c>
      <c r="Q48" s="13" t="s">
        <v>3320</v>
      </c>
      <c r="R48" s="12">
        <v>577</v>
      </c>
      <c r="S48" s="12">
        <v>144025</v>
      </c>
      <c r="T48" s="12"/>
      <c r="U48" s="13"/>
      <c r="V48" s="12" t="s">
        <v>3321</v>
      </c>
      <c r="W48" s="13" t="s">
        <v>3322</v>
      </c>
      <c r="X48" s="12"/>
      <c r="Y48" s="13"/>
      <c r="Z48" s="12"/>
      <c r="AA48" s="13"/>
      <c r="AB48" s="12"/>
      <c r="AC48" s="12"/>
      <c r="AD48" s="14"/>
      <c r="AE48" s="12"/>
      <c r="AF48" s="13"/>
      <c r="AG48" s="12"/>
      <c r="AH48" s="12"/>
      <c r="AI48" s="13"/>
      <c r="AJ48" s="13" t="s">
        <v>3328</v>
      </c>
      <c r="AK48" s="13" t="s">
        <v>3324</v>
      </c>
      <c r="AL48" s="12"/>
      <c r="AM48" s="13"/>
      <c r="AN48" s="12"/>
      <c r="AO48" s="12">
        <v>1712</v>
      </c>
      <c r="AP48" s="13"/>
      <c r="AQ48" s="12">
        <v>17121</v>
      </c>
      <c r="AR48" s="13"/>
      <c r="AS48" s="13" t="s">
        <v>71</v>
      </c>
      <c r="AT48" s="13" t="s">
        <v>71</v>
      </c>
      <c r="AU48" s="14">
        <v>100</v>
      </c>
      <c r="AV48" s="14"/>
      <c r="AW48" s="14">
        <v>8.2100000000000009</v>
      </c>
      <c r="AX48" s="15">
        <v>45900</v>
      </c>
      <c r="AY48" s="15"/>
      <c r="AZ48" s="87"/>
    </row>
    <row r="49" spans="1:52">
      <c r="A49" s="12">
        <v>8921131</v>
      </c>
      <c r="B49" s="13" t="s">
        <v>3723</v>
      </c>
      <c r="C49" s="13" t="s">
        <v>3342</v>
      </c>
      <c r="D49" s="13"/>
      <c r="E49" s="13" t="s">
        <v>3318</v>
      </c>
      <c r="F49" s="12"/>
      <c r="G49" s="12"/>
      <c r="H49" s="13"/>
      <c r="I49" s="12"/>
      <c r="J49" s="12"/>
      <c r="K49" s="12"/>
      <c r="L49" s="12" t="s">
        <v>2969</v>
      </c>
      <c r="M49" s="12"/>
      <c r="N49" s="12"/>
      <c r="O49" s="13"/>
      <c r="P49" s="12">
        <v>12</v>
      </c>
      <c r="Q49" s="13" t="s">
        <v>3378</v>
      </c>
      <c r="R49" s="12">
        <v>648</v>
      </c>
      <c r="S49" s="12">
        <v>687716</v>
      </c>
      <c r="T49" s="12"/>
      <c r="U49" s="13"/>
      <c r="V49" s="12" t="s">
        <v>3321</v>
      </c>
      <c r="W49" s="13" t="s">
        <v>3322</v>
      </c>
      <c r="X49" s="12"/>
      <c r="Y49" s="13"/>
      <c r="Z49" s="12"/>
      <c r="AA49" s="13"/>
      <c r="AB49" s="12"/>
      <c r="AC49" s="12"/>
      <c r="AD49" s="14"/>
      <c r="AE49" s="12"/>
      <c r="AF49" s="13"/>
      <c r="AG49" s="12"/>
      <c r="AH49" s="12"/>
      <c r="AI49" s="13"/>
      <c r="AJ49" s="13" t="s">
        <v>3328</v>
      </c>
      <c r="AK49" s="13" t="s">
        <v>3324</v>
      </c>
      <c r="AL49" s="12"/>
      <c r="AM49" s="13"/>
      <c r="AN49" s="12"/>
      <c r="AO49" s="12">
        <v>2113</v>
      </c>
      <c r="AP49" s="13"/>
      <c r="AQ49" s="12">
        <v>21131</v>
      </c>
      <c r="AR49" s="13"/>
      <c r="AS49" s="13" t="s">
        <v>71</v>
      </c>
      <c r="AT49" s="13" t="s">
        <v>71</v>
      </c>
      <c r="AU49" s="14">
        <v>100</v>
      </c>
      <c r="AV49" s="14"/>
      <c r="AW49" s="14">
        <v>8.56</v>
      </c>
      <c r="AX49" s="15">
        <v>45900</v>
      </c>
      <c r="AY49" s="15"/>
      <c r="AZ49" s="87"/>
    </row>
    <row r="50" spans="1:52">
      <c r="A50" s="12">
        <v>8921132</v>
      </c>
      <c r="B50" s="13" t="s">
        <v>3724</v>
      </c>
      <c r="C50" s="13" t="s">
        <v>3342</v>
      </c>
      <c r="D50" s="13"/>
      <c r="E50" s="13" t="s">
        <v>3318</v>
      </c>
      <c r="F50" s="12"/>
      <c r="G50" s="12"/>
      <c r="H50" s="13"/>
      <c r="I50" s="12"/>
      <c r="J50" s="12"/>
      <c r="K50" s="12"/>
      <c r="L50" s="12" t="s">
        <v>2972</v>
      </c>
      <c r="M50" s="12"/>
      <c r="N50" s="12"/>
      <c r="O50" s="13"/>
      <c r="P50" s="12">
        <v>12</v>
      </c>
      <c r="Q50" s="13" t="s">
        <v>3378</v>
      </c>
      <c r="R50" s="12">
        <v>648</v>
      </c>
      <c r="S50" s="12">
        <v>687716</v>
      </c>
      <c r="T50" s="12"/>
      <c r="U50" s="13"/>
      <c r="V50" s="12" t="s">
        <v>3321</v>
      </c>
      <c r="W50" s="13" t="s">
        <v>3322</v>
      </c>
      <c r="X50" s="12"/>
      <c r="Y50" s="13"/>
      <c r="Z50" s="12"/>
      <c r="AA50" s="13"/>
      <c r="AB50" s="12"/>
      <c r="AC50" s="12"/>
      <c r="AD50" s="14"/>
      <c r="AE50" s="12"/>
      <c r="AF50" s="13"/>
      <c r="AG50" s="12"/>
      <c r="AH50" s="12"/>
      <c r="AI50" s="13"/>
      <c r="AJ50" s="13" t="s">
        <v>3328</v>
      </c>
      <c r="AK50" s="13" t="s">
        <v>3324</v>
      </c>
      <c r="AL50" s="12"/>
      <c r="AM50" s="13"/>
      <c r="AN50" s="12"/>
      <c r="AO50" s="12">
        <v>2113</v>
      </c>
      <c r="AP50" s="13"/>
      <c r="AQ50" s="12">
        <v>21132</v>
      </c>
      <c r="AR50" s="13"/>
      <c r="AS50" s="13" t="s">
        <v>71</v>
      </c>
      <c r="AT50" s="13" t="s">
        <v>71</v>
      </c>
      <c r="AU50" s="14">
        <v>100</v>
      </c>
      <c r="AV50" s="14"/>
      <c r="AW50" s="14">
        <v>8.56</v>
      </c>
      <c r="AX50" s="15">
        <v>45900</v>
      </c>
      <c r="AY50" s="15"/>
      <c r="AZ50" s="87"/>
    </row>
    <row r="51" spans="1:52">
      <c r="A51" s="12">
        <v>8917141</v>
      </c>
      <c r="B51" s="13" t="s">
        <v>2266</v>
      </c>
      <c r="C51" s="13" t="s">
        <v>3342</v>
      </c>
      <c r="D51" s="13"/>
      <c r="E51" s="13" t="s">
        <v>3318</v>
      </c>
      <c r="F51" s="12"/>
      <c r="G51" s="12"/>
      <c r="H51" s="13"/>
      <c r="I51" s="12"/>
      <c r="J51" s="12"/>
      <c r="K51" s="12"/>
      <c r="L51" s="12" t="s">
        <v>2270</v>
      </c>
      <c r="M51" s="12"/>
      <c r="N51" s="12"/>
      <c r="O51" s="13"/>
      <c r="P51" s="12">
        <v>17</v>
      </c>
      <c r="Q51" s="13" t="s">
        <v>3632</v>
      </c>
      <c r="R51" s="12">
        <v>635</v>
      </c>
      <c r="S51" s="12">
        <v>30531</v>
      </c>
      <c r="T51" s="12"/>
      <c r="U51" s="13"/>
      <c r="V51" s="12" t="s">
        <v>3321</v>
      </c>
      <c r="W51" s="13" t="s">
        <v>3322</v>
      </c>
      <c r="X51" s="12"/>
      <c r="Y51" s="13"/>
      <c r="Z51" s="12"/>
      <c r="AA51" s="13"/>
      <c r="AB51" s="12"/>
      <c r="AC51" s="12"/>
      <c r="AD51" s="14"/>
      <c r="AE51" s="12"/>
      <c r="AF51" s="13"/>
      <c r="AG51" s="12"/>
      <c r="AH51" s="12"/>
      <c r="AI51" s="13"/>
      <c r="AJ51" s="13" t="s">
        <v>3328</v>
      </c>
      <c r="AK51" s="13" t="s">
        <v>3324</v>
      </c>
      <c r="AL51" s="12"/>
      <c r="AM51" s="13"/>
      <c r="AN51" s="12"/>
      <c r="AO51" s="12">
        <v>1714</v>
      </c>
      <c r="AP51" s="13"/>
      <c r="AQ51" s="12">
        <v>17141</v>
      </c>
      <c r="AR51" s="13"/>
      <c r="AS51" s="13" t="s">
        <v>71</v>
      </c>
      <c r="AT51" s="13" t="s">
        <v>71</v>
      </c>
      <c r="AU51" s="14">
        <v>100</v>
      </c>
      <c r="AV51" s="14"/>
      <c r="AW51" s="14">
        <v>8.59</v>
      </c>
      <c r="AX51" s="15">
        <v>45900</v>
      </c>
      <c r="AY51" s="15"/>
      <c r="AZ51" s="87"/>
    </row>
    <row r="52" spans="1:52">
      <c r="A52" s="12">
        <v>8921012</v>
      </c>
      <c r="B52" s="13" t="s">
        <v>3700</v>
      </c>
      <c r="C52" s="13" t="s">
        <v>3342</v>
      </c>
      <c r="D52" s="13"/>
      <c r="E52" s="13" t="s">
        <v>3318</v>
      </c>
      <c r="F52" s="12"/>
      <c r="G52" s="12"/>
      <c r="H52" s="13"/>
      <c r="I52" s="12"/>
      <c r="J52" s="12"/>
      <c r="K52" s="12"/>
      <c r="L52" s="12" t="s">
        <v>2902</v>
      </c>
      <c r="M52" s="12" t="s">
        <v>2902</v>
      </c>
      <c r="N52" s="12"/>
      <c r="O52" s="13"/>
      <c r="P52" s="12">
        <v>12</v>
      </c>
      <c r="Q52" s="13" t="s">
        <v>3378</v>
      </c>
      <c r="R52" s="12">
        <v>699</v>
      </c>
      <c r="S52" s="12">
        <v>419247</v>
      </c>
      <c r="T52" s="12"/>
      <c r="U52" s="13"/>
      <c r="V52" s="12" t="s">
        <v>3321</v>
      </c>
      <c r="W52" s="13" t="s">
        <v>3322</v>
      </c>
      <c r="X52" s="12"/>
      <c r="Y52" s="13"/>
      <c r="Z52" s="12"/>
      <c r="AA52" s="13"/>
      <c r="AB52" s="12"/>
      <c r="AC52" s="12"/>
      <c r="AD52" s="14"/>
      <c r="AE52" s="12"/>
      <c r="AF52" s="13"/>
      <c r="AG52" s="12"/>
      <c r="AH52" s="12"/>
      <c r="AI52" s="13"/>
      <c r="AJ52" s="13" t="s">
        <v>3328</v>
      </c>
      <c r="AK52" s="13" t="s">
        <v>3324</v>
      </c>
      <c r="AL52" s="12"/>
      <c r="AM52" s="13"/>
      <c r="AN52" s="12"/>
      <c r="AO52" s="12">
        <v>2101</v>
      </c>
      <c r="AP52" s="13"/>
      <c r="AQ52" s="12">
        <v>21012</v>
      </c>
      <c r="AR52" s="13"/>
      <c r="AS52" s="13" t="s">
        <v>71</v>
      </c>
      <c r="AT52" s="13" t="s">
        <v>71</v>
      </c>
      <c r="AU52" s="14">
        <v>100</v>
      </c>
      <c r="AV52" s="14"/>
      <c r="AW52" s="14">
        <v>8.69</v>
      </c>
      <c r="AX52" s="15">
        <v>45900</v>
      </c>
      <c r="AY52" s="15"/>
      <c r="AZ52" s="87"/>
    </row>
    <row r="53" spans="1:52">
      <c r="A53" s="12">
        <v>8901441</v>
      </c>
      <c r="B53" s="13" t="s">
        <v>363</v>
      </c>
      <c r="C53" s="13" t="s">
        <v>3342</v>
      </c>
      <c r="D53" s="13"/>
      <c r="E53" s="13" t="s">
        <v>3318</v>
      </c>
      <c r="F53" s="12"/>
      <c r="G53" s="12"/>
      <c r="H53" s="13"/>
      <c r="I53" s="12"/>
      <c r="J53" s="12"/>
      <c r="K53" s="12"/>
      <c r="L53" s="12">
        <v>200617793</v>
      </c>
      <c r="M53" s="12"/>
      <c r="N53" s="12"/>
      <c r="O53" s="13"/>
      <c r="P53" s="12">
        <v>10</v>
      </c>
      <c r="Q53" s="13" t="s">
        <v>3339</v>
      </c>
      <c r="R53" s="12">
        <v>985</v>
      </c>
      <c r="S53" s="12">
        <v>2897451</v>
      </c>
      <c r="T53" s="12"/>
      <c r="U53" s="13"/>
      <c r="V53" s="12" t="s">
        <v>3321</v>
      </c>
      <c r="W53" s="13" t="s">
        <v>3322</v>
      </c>
      <c r="X53" s="12"/>
      <c r="Y53" s="13"/>
      <c r="Z53" s="12"/>
      <c r="AA53" s="13"/>
      <c r="AB53" s="12"/>
      <c r="AC53" s="12"/>
      <c r="AD53" s="14"/>
      <c r="AE53" s="12"/>
      <c r="AF53" s="13"/>
      <c r="AG53" s="12"/>
      <c r="AH53" s="12"/>
      <c r="AI53" s="13"/>
      <c r="AJ53" s="13" t="s">
        <v>3328</v>
      </c>
      <c r="AK53" s="13" t="s">
        <v>3324</v>
      </c>
      <c r="AL53" s="12"/>
      <c r="AM53" s="13"/>
      <c r="AN53" s="12"/>
      <c r="AO53" s="12" t="s">
        <v>366</v>
      </c>
      <c r="AP53" s="13"/>
      <c r="AQ53" s="12" t="s">
        <v>362</v>
      </c>
      <c r="AR53" s="13"/>
      <c r="AS53" s="13" t="s">
        <v>71</v>
      </c>
      <c r="AT53" s="13" t="s">
        <v>71</v>
      </c>
      <c r="AU53" s="14">
        <v>100</v>
      </c>
      <c r="AV53" s="14"/>
      <c r="AW53" s="14">
        <v>8.84</v>
      </c>
      <c r="AX53" s="15">
        <v>45900</v>
      </c>
      <c r="AY53" s="15">
        <v>42675</v>
      </c>
      <c r="AZ53" s="87">
        <f t="shared" si="0"/>
        <v>8.8356164383561637</v>
      </c>
    </row>
    <row r="54" spans="1:52">
      <c r="A54" s="12">
        <v>8901442</v>
      </c>
      <c r="B54" s="13" t="s">
        <v>370</v>
      </c>
      <c r="C54" s="13" t="s">
        <v>3342</v>
      </c>
      <c r="D54" s="13"/>
      <c r="E54" s="13" t="s">
        <v>3318</v>
      </c>
      <c r="F54" s="12"/>
      <c r="G54" s="12"/>
      <c r="H54" s="13"/>
      <c r="I54" s="12"/>
      <c r="J54" s="12"/>
      <c r="K54" s="12"/>
      <c r="L54" s="12">
        <v>201307246</v>
      </c>
      <c r="M54" s="12"/>
      <c r="N54" s="12"/>
      <c r="O54" s="13"/>
      <c r="P54" s="12">
        <v>10</v>
      </c>
      <c r="Q54" s="13" t="s">
        <v>3339</v>
      </c>
      <c r="R54" s="12">
        <v>985</v>
      </c>
      <c r="S54" s="12">
        <v>2897451</v>
      </c>
      <c r="T54" s="12"/>
      <c r="U54" s="13"/>
      <c r="V54" s="12" t="s">
        <v>3321</v>
      </c>
      <c r="W54" s="13" t="s">
        <v>3322</v>
      </c>
      <c r="X54" s="12"/>
      <c r="Y54" s="13"/>
      <c r="Z54" s="12"/>
      <c r="AA54" s="13"/>
      <c r="AB54" s="12"/>
      <c r="AC54" s="12"/>
      <c r="AD54" s="14"/>
      <c r="AE54" s="12"/>
      <c r="AF54" s="13"/>
      <c r="AG54" s="12"/>
      <c r="AH54" s="12"/>
      <c r="AI54" s="13"/>
      <c r="AJ54" s="13" t="s">
        <v>3328</v>
      </c>
      <c r="AK54" s="13" t="s">
        <v>3324</v>
      </c>
      <c r="AL54" s="12"/>
      <c r="AM54" s="13"/>
      <c r="AN54" s="12"/>
      <c r="AO54" s="12" t="s">
        <v>366</v>
      </c>
      <c r="AP54" s="13"/>
      <c r="AQ54" s="12" t="s">
        <v>369</v>
      </c>
      <c r="AR54" s="13"/>
      <c r="AS54" s="13" t="s">
        <v>71</v>
      </c>
      <c r="AT54" s="13" t="s">
        <v>71</v>
      </c>
      <c r="AU54" s="14">
        <v>100</v>
      </c>
      <c r="AV54" s="14"/>
      <c r="AW54" s="14">
        <v>8.84</v>
      </c>
      <c r="AX54" s="15">
        <v>45900</v>
      </c>
      <c r="AY54" s="15">
        <v>42675</v>
      </c>
      <c r="AZ54" s="87">
        <f t="shared" si="0"/>
        <v>8.8356164383561637</v>
      </c>
    </row>
    <row r="55" spans="1:52">
      <c r="A55" s="12">
        <v>8912131</v>
      </c>
      <c r="B55" s="13" t="s">
        <v>3570</v>
      </c>
      <c r="C55" s="13" t="s">
        <v>3342</v>
      </c>
      <c r="D55" s="13"/>
      <c r="E55" s="13" t="s">
        <v>3318</v>
      </c>
      <c r="F55" s="12"/>
      <c r="G55" s="12"/>
      <c r="H55" s="13"/>
      <c r="I55" s="12"/>
      <c r="J55" s="12"/>
      <c r="K55" s="12"/>
      <c r="L55" s="12">
        <v>300349404</v>
      </c>
      <c r="M55" s="12"/>
      <c r="N55" s="12"/>
      <c r="O55" s="13"/>
      <c r="P55" s="12">
        <v>20</v>
      </c>
      <c r="Q55" s="13" t="s">
        <v>3320</v>
      </c>
      <c r="R55" s="12">
        <v>574</v>
      </c>
      <c r="S55" s="12">
        <v>135874</v>
      </c>
      <c r="T55" s="12"/>
      <c r="U55" s="13"/>
      <c r="V55" s="12" t="s">
        <v>3321</v>
      </c>
      <c r="W55" s="13" t="s">
        <v>3322</v>
      </c>
      <c r="X55" s="12"/>
      <c r="Y55" s="13"/>
      <c r="Z55" s="12"/>
      <c r="AA55" s="13"/>
      <c r="AB55" s="12"/>
      <c r="AC55" s="12"/>
      <c r="AD55" s="14"/>
      <c r="AE55" s="12"/>
      <c r="AF55" s="13"/>
      <c r="AG55" s="12"/>
      <c r="AH55" s="12"/>
      <c r="AI55" s="13"/>
      <c r="AJ55" s="13" t="s">
        <v>3328</v>
      </c>
      <c r="AK55" s="13" t="s">
        <v>3324</v>
      </c>
      <c r="AL55" s="12"/>
      <c r="AM55" s="13"/>
      <c r="AN55" s="12"/>
      <c r="AO55" s="12">
        <v>1213</v>
      </c>
      <c r="AP55" s="13"/>
      <c r="AQ55" s="12">
        <v>12131</v>
      </c>
      <c r="AR55" s="13"/>
      <c r="AS55" s="13" t="s">
        <v>71</v>
      </c>
      <c r="AT55" s="13" t="s">
        <v>71</v>
      </c>
      <c r="AU55" s="14">
        <v>100</v>
      </c>
      <c r="AV55" s="14"/>
      <c r="AW55" s="14">
        <v>9.17</v>
      </c>
      <c r="AX55" s="15">
        <v>45900</v>
      </c>
      <c r="AY55" s="15">
        <v>42552</v>
      </c>
      <c r="AZ55" s="87">
        <f t="shared" si="0"/>
        <v>9.1726027397260275</v>
      </c>
    </row>
    <row r="56" spans="1:52">
      <c r="A56" s="12">
        <v>8912132</v>
      </c>
      <c r="B56" s="13" t="s">
        <v>1770</v>
      </c>
      <c r="C56" s="13" t="s">
        <v>3342</v>
      </c>
      <c r="D56" s="13"/>
      <c r="E56" s="13" t="s">
        <v>3318</v>
      </c>
      <c r="F56" s="12"/>
      <c r="G56" s="12"/>
      <c r="H56" s="13"/>
      <c r="I56" s="12"/>
      <c r="J56" s="12"/>
      <c r="K56" s="12"/>
      <c r="L56" s="12" t="s">
        <v>1772</v>
      </c>
      <c r="M56" s="12"/>
      <c r="N56" s="12"/>
      <c r="O56" s="13"/>
      <c r="P56" s="12">
        <v>20</v>
      </c>
      <c r="Q56" s="13" t="s">
        <v>3320</v>
      </c>
      <c r="R56" s="12">
        <v>574</v>
      </c>
      <c r="S56" s="12">
        <v>135874</v>
      </c>
      <c r="T56" s="12"/>
      <c r="U56" s="13"/>
      <c r="V56" s="12" t="s">
        <v>3321</v>
      </c>
      <c r="W56" s="13" t="s">
        <v>3322</v>
      </c>
      <c r="X56" s="12"/>
      <c r="Y56" s="13"/>
      <c r="Z56" s="12"/>
      <c r="AA56" s="13"/>
      <c r="AB56" s="12"/>
      <c r="AC56" s="12"/>
      <c r="AD56" s="14"/>
      <c r="AE56" s="12"/>
      <c r="AF56" s="13"/>
      <c r="AG56" s="12"/>
      <c r="AH56" s="12"/>
      <c r="AI56" s="13"/>
      <c r="AJ56" s="13" t="s">
        <v>3328</v>
      </c>
      <c r="AK56" s="13" t="s">
        <v>3324</v>
      </c>
      <c r="AL56" s="12"/>
      <c r="AM56" s="13"/>
      <c r="AN56" s="12"/>
      <c r="AO56" s="12">
        <v>1213</v>
      </c>
      <c r="AP56" s="13"/>
      <c r="AQ56" s="12">
        <v>12132</v>
      </c>
      <c r="AR56" s="13"/>
      <c r="AS56" s="13" t="s">
        <v>71</v>
      </c>
      <c r="AT56" s="13" t="s">
        <v>71</v>
      </c>
      <c r="AU56" s="14">
        <v>100</v>
      </c>
      <c r="AV56" s="14"/>
      <c r="AW56" s="14">
        <v>9.17</v>
      </c>
      <c r="AX56" s="15">
        <v>45900</v>
      </c>
      <c r="AY56" s="15">
        <v>42552</v>
      </c>
      <c r="AZ56" s="87">
        <f t="shared" si="0"/>
        <v>9.1726027397260275</v>
      </c>
    </row>
    <row r="57" spans="1:52">
      <c r="A57" s="12">
        <v>8919351</v>
      </c>
      <c r="B57" s="13" t="s">
        <v>2509</v>
      </c>
      <c r="C57" s="13" t="s">
        <v>3342</v>
      </c>
      <c r="D57" s="13"/>
      <c r="E57" s="13" t="s">
        <v>3318</v>
      </c>
      <c r="F57" s="12"/>
      <c r="G57" s="12"/>
      <c r="H57" s="13"/>
      <c r="I57" s="12"/>
      <c r="J57" s="12"/>
      <c r="K57" s="12"/>
      <c r="L57" s="12" t="s">
        <v>2513</v>
      </c>
      <c r="M57" s="12"/>
      <c r="N57" s="12"/>
      <c r="O57" s="13"/>
      <c r="P57" s="12">
        <v>10</v>
      </c>
      <c r="Q57" s="13" t="s">
        <v>3339</v>
      </c>
      <c r="R57" s="12">
        <v>985</v>
      </c>
      <c r="S57" s="12">
        <v>3239413</v>
      </c>
      <c r="T57" s="12"/>
      <c r="U57" s="13"/>
      <c r="V57" s="12" t="s">
        <v>3321</v>
      </c>
      <c r="W57" s="13" t="s">
        <v>3322</v>
      </c>
      <c r="X57" s="12"/>
      <c r="Y57" s="13"/>
      <c r="Z57" s="12"/>
      <c r="AA57" s="13"/>
      <c r="AB57" s="12"/>
      <c r="AC57" s="12"/>
      <c r="AD57" s="14"/>
      <c r="AE57" s="12"/>
      <c r="AF57" s="13"/>
      <c r="AG57" s="12"/>
      <c r="AH57" s="12"/>
      <c r="AI57" s="13"/>
      <c r="AJ57" s="13" t="s">
        <v>3328</v>
      </c>
      <c r="AK57" s="13" t="s">
        <v>3324</v>
      </c>
      <c r="AL57" s="12"/>
      <c r="AM57" s="13"/>
      <c r="AN57" s="12"/>
      <c r="AO57" s="12">
        <v>1935</v>
      </c>
      <c r="AP57" s="13"/>
      <c r="AQ57" s="12">
        <v>19351</v>
      </c>
      <c r="AR57" s="13"/>
      <c r="AS57" s="13" t="s">
        <v>71</v>
      </c>
      <c r="AT57" s="13" t="s">
        <v>71</v>
      </c>
      <c r="AU57" s="14">
        <v>100</v>
      </c>
      <c r="AV57" s="14"/>
      <c r="AW57" s="14">
        <v>10.01</v>
      </c>
      <c r="AX57" s="15">
        <v>45900</v>
      </c>
      <c r="AY57" s="15">
        <v>42248</v>
      </c>
      <c r="AZ57" s="87">
        <f t="shared" si="0"/>
        <v>10.005479452054795</v>
      </c>
    </row>
    <row r="58" spans="1:52">
      <c r="A58" s="12">
        <v>8919352</v>
      </c>
      <c r="B58" s="13" t="s">
        <v>2515</v>
      </c>
      <c r="C58" s="13" t="s">
        <v>3342</v>
      </c>
      <c r="D58" s="13"/>
      <c r="E58" s="13" t="s">
        <v>3318</v>
      </c>
      <c r="F58" s="12"/>
      <c r="G58" s="12"/>
      <c r="H58" s="13"/>
      <c r="I58" s="12"/>
      <c r="J58" s="12"/>
      <c r="K58" s="12"/>
      <c r="L58" s="12" t="s">
        <v>2516</v>
      </c>
      <c r="M58" s="12"/>
      <c r="N58" s="12"/>
      <c r="O58" s="13"/>
      <c r="P58" s="12">
        <v>10</v>
      </c>
      <c r="Q58" s="13" t="s">
        <v>3339</v>
      </c>
      <c r="R58" s="12">
        <v>985</v>
      </c>
      <c r="S58" s="12">
        <v>3239413</v>
      </c>
      <c r="T58" s="12"/>
      <c r="U58" s="13"/>
      <c r="V58" s="12" t="s">
        <v>3321</v>
      </c>
      <c r="W58" s="13" t="s">
        <v>3322</v>
      </c>
      <c r="X58" s="12"/>
      <c r="Y58" s="13"/>
      <c r="Z58" s="12"/>
      <c r="AA58" s="13"/>
      <c r="AB58" s="12"/>
      <c r="AC58" s="12"/>
      <c r="AD58" s="14"/>
      <c r="AE58" s="12"/>
      <c r="AF58" s="13"/>
      <c r="AG58" s="12"/>
      <c r="AH58" s="12"/>
      <c r="AI58" s="13"/>
      <c r="AJ58" s="13" t="s">
        <v>3328</v>
      </c>
      <c r="AK58" s="13" t="s">
        <v>3324</v>
      </c>
      <c r="AL58" s="12"/>
      <c r="AM58" s="13"/>
      <c r="AN58" s="12"/>
      <c r="AO58" s="12">
        <v>1935</v>
      </c>
      <c r="AP58" s="13"/>
      <c r="AQ58" s="12">
        <v>19352</v>
      </c>
      <c r="AR58" s="13"/>
      <c r="AS58" s="13" t="s">
        <v>71</v>
      </c>
      <c r="AT58" s="13" t="s">
        <v>71</v>
      </c>
      <c r="AU58" s="14">
        <v>100</v>
      </c>
      <c r="AV58" s="14"/>
      <c r="AW58" s="14">
        <v>10.01</v>
      </c>
      <c r="AX58" s="15">
        <v>45900</v>
      </c>
      <c r="AY58" s="15">
        <v>42248</v>
      </c>
      <c r="AZ58" s="87">
        <f>(AX58-AY58)/365</f>
        <v>10.005479452054795</v>
      </c>
    </row>
    <row r="59" spans="1:52">
      <c r="A59" s="12">
        <v>8908152</v>
      </c>
      <c r="B59" s="13" t="s">
        <v>1423</v>
      </c>
      <c r="C59" s="13" t="s">
        <v>3342</v>
      </c>
      <c r="D59" s="13"/>
      <c r="E59" s="13" t="s">
        <v>3318</v>
      </c>
      <c r="F59" s="12"/>
      <c r="G59" s="12"/>
      <c r="H59" s="13"/>
      <c r="I59" s="12"/>
      <c r="J59" s="12"/>
      <c r="K59" s="12"/>
      <c r="L59" s="12">
        <v>301077376</v>
      </c>
      <c r="M59" s="12"/>
      <c r="N59" s="12"/>
      <c r="O59" s="13"/>
      <c r="P59" s="12">
        <v>31</v>
      </c>
      <c r="Q59" s="13" t="s">
        <v>3492</v>
      </c>
      <c r="R59" s="12">
        <v>109</v>
      </c>
      <c r="S59" s="12">
        <v>549393</v>
      </c>
      <c r="T59" s="12"/>
      <c r="U59" s="13"/>
      <c r="V59" s="12" t="s">
        <v>3321</v>
      </c>
      <c r="W59" s="13" t="s">
        <v>3322</v>
      </c>
      <c r="X59" s="12"/>
      <c r="Y59" s="13"/>
      <c r="Z59" s="12"/>
      <c r="AA59" s="13"/>
      <c r="AB59" s="12"/>
      <c r="AC59" s="12"/>
      <c r="AD59" s="14"/>
      <c r="AE59" s="12"/>
      <c r="AF59" s="13"/>
      <c r="AG59" s="12"/>
      <c r="AH59" s="12"/>
      <c r="AI59" s="13"/>
      <c r="AJ59" s="13" t="s">
        <v>3328</v>
      </c>
      <c r="AK59" s="13" t="s">
        <v>3324</v>
      </c>
      <c r="AL59" s="12"/>
      <c r="AM59" s="13"/>
      <c r="AN59" s="12"/>
      <c r="AO59" s="12" t="s">
        <v>1426</v>
      </c>
      <c r="AP59" s="13"/>
      <c r="AQ59" s="12" t="s">
        <v>1422</v>
      </c>
      <c r="AR59" s="13"/>
      <c r="AS59" s="13" t="s">
        <v>71</v>
      </c>
      <c r="AT59" s="13" t="s">
        <v>71</v>
      </c>
      <c r="AU59" s="14">
        <v>100</v>
      </c>
      <c r="AV59" s="14"/>
      <c r="AW59" s="14">
        <v>10.26</v>
      </c>
      <c r="AX59" s="15">
        <v>45900</v>
      </c>
      <c r="AY59" s="15"/>
    </row>
    <row r="60" spans="1:52">
      <c r="A60" s="12">
        <v>8903121</v>
      </c>
      <c r="B60" s="13" t="s">
        <v>3446</v>
      </c>
      <c r="C60" s="13" t="s">
        <v>3342</v>
      </c>
      <c r="D60" s="13"/>
      <c r="E60" s="13" t="s">
        <v>3318</v>
      </c>
      <c r="F60" s="12"/>
      <c r="G60" s="12"/>
      <c r="H60" s="13"/>
      <c r="I60" s="12"/>
      <c r="J60" s="12"/>
      <c r="K60" s="12"/>
      <c r="L60" s="12" t="s">
        <v>829</v>
      </c>
      <c r="M60" s="12"/>
      <c r="N60" s="12"/>
      <c r="O60" s="13"/>
      <c r="P60" s="12">
        <v>11</v>
      </c>
      <c r="Q60" s="13" t="s">
        <v>3413</v>
      </c>
      <c r="R60" s="12">
        <v>153</v>
      </c>
      <c r="S60" s="12">
        <v>83781627</v>
      </c>
      <c r="T60" s="12"/>
      <c r="U60" s="13"/>
      <c r="V60" s="12" t="s">
        <v>3321</v>
      </c>
      <c r="W60" s="13" t="s">
        <v>3322</v>
      </c>
      <c r="X60" s="12"/>
      <c r="Y60" s="13"/>
      <c r="Z60" s="12"/>
      <c r="AA60" s="13"/>
      <c r="AB60" s="12"/>
      <c r="AC60" s="12"/>
      <c r="AD60" s="14"/>
      <c r="AE60" s="12"/>
      <c r="AF60" s="13"/>
      <c r="AG60" s="12"/>
      <c r="AH60" s="12"/>
      <c r="AI60" s="13"/>
      <c r="AJ60" s="13" t="s">
        <v>3328</v>
      </c>
      <c r="AK60" s="13" t="s">
        <v>3324</v>
      </c>
      <c r="AL60" s="12"/>
      <c r="AM60" s="13"/>
      <c r="AN60" s="12"/>
      <c r="AO60" s="12" t="s">
        <v>827</v>
      </c>
      <c r="AP60" s="13"/>
      <c r="AQ60" s="12" t="s">
        <v>824</v>
      </c>
      <c r="AR60" s="13"/>
      <c r="AS60" s="13" t="s">
        <v>71</v>
      </c>
      <c r="AT60" s="13" t="s">
        <v>71</v>
      </c>
      <c r="AU60" s="14">
        <v>100</v>
      </c>
      <c r="AV60" s="14"/>
      <c r="AW60" s="14">
        <v>10.43</v>
      </c>
      <c r="AX60" s="15">
        <v>45900</v>
      </c>
      <c r="AY60" s="15"/>
    </row>
    <row r="61" spans="1:52">
      <c r="A61" s="12">
        <v>8904051</v>
      </c>
      <c r="B61" s="13" t="s">
        <v>917</v>
      </c>
      <c r="C61" s="13" t="s">
        <v>3342</v>
      </c>
      <c r="D61" s="13"/>
      <c r="E61" s="13" t="s">
        <v>3318</v>
      </c>
      <c r="F61" s="12"/>
      <c r="G61" s="12"/>
      <c r="H61" s="13"/>
      <c r="I61" s="12"/>
      <c r="J61" s="12"/>
      <c r="K61" s="12"/>
      <c r="L61" s="12" t="s">
        <v>921</v>
      </c>
      <c r="M61" s="12"/>
      <c r="N61" s="12"/>
      <c r="O61" s="13"/>
      <c r="P61" s="12">
        <v>14</v>
      </c>
      <c r="Q61" s="13" t="s">
        <v>3364</v>
      </c>
      <c r="R61" s="12">
        <v>349</v>
      </c>
      <c r="S61" s="12">
        <v>88926</v>
      </c>
      <c r="T61" s="12"/>
      <c r="U61" s="13"/>
      <c r="V61" s="12" t="s">
        <v>3321</v>
      </c>
      <c r="W61" s="13" t="s">
        <v>3322</v>
      </c>
      <c r="X61" s="12"/>
      <c r="Y61" s="13"/>
      <c r="Z61" s="12"/>
      <c r="AA61" s="13"/>
      <c r="AB61" s="12"/>
      <c r="AC61" s="12"/>
      <c r="AD61" s="14"/>
      <c r="AE61" s="12"/>
      <c r="AF61" s="13"/>
      <c r="AG61" s="12"/>
      <c r="AH61" s="12"/>
      <c r="AI61" s="13"/>
      <c r="AJ61" s="13" t="s">
        <v>3328</v>
      </c>
      <c r="AK61" s="13" t="s">
        <v>3324</v>
      </c>
      <c r="AL61" s="12"/>
      <c r="AM61" s="13"/>
      <c r="AN61" s="12"/>
      <c r="AO61" s="12" t="s">
        <v>919</v>
      </c>
      <c r="AP61" s="13"/>
      <c r="AQ61" s="12" t="s">
        <v>916</v>
      </c>
      <c r="AR61" s="13"/>
      <c r="AS61" s="13" t="s">
        <v>71</v>
      </c>
      <c r="AT61" s="13" t="s">
        <v>71</v>
      </c>
      <c r="AU61" s="14">
        <v>100</v>
      </c>
      <c r="AV61" s="14"/>
      <c r="AW61" s="14">
        <v>10.59</v>
      </c>
      <c r="AX61" s="15">
        <v>45900</v>
      </c>
      <c r="AY61" s="15"/>
    </row>
    <row r="62" spans="1:52">
      <c r="A62" s="12">
        <v>8904052</v>
      </c>
      <c r="B62" s="13" t="s">
        <v>3459</v>
      </c>
      <c r="C62" s="13" t="s">
        <v>3342</v>
      </c>
      <c r="D62" s="13"/>
      <c r="E62" s="13" t="s">
        <v>3318</v>
      </c>
      <c r="F62" s="12"/>
      <c r="G62" s="12"/>
      <c r="H62" s="13"/>
      <c r="I62" s="12"/>
      <c r="J62" s="12"/>
      <c r="K62" s="12"/>
      <c r="L62" s="12">
        <v>300810801</v>
      </c>
      <c r="M62" s="12"/>
      <c r="N62" s="12"/>
      <c r="O62" s="13"/>
      <c r="P62" s="12">
        <v>14</v>
      </c>
      <c r="Q62" s="13" t="s">
        <v>3364</v>
      </c>
      <c r="R62" s="12">
        <v>349</v>
      </c>
      <c r="S62" s="12">
        <v>88926</v>
      </c>
      <c r="T62" s="12"/>
      <c r="U62" s="13"/>
      <c r="V62" s="12" t="s">
        <v>3321</v>
      </c>
      <c r="W62" s="13" t="s">
        <v>3322</v>
      </c>
      <c r="X62" s="12"/>
      <c r="Y62" s="13"/>
      <c r="Z62" s="12"/>
      <c r="AA62" s="13"/>
      <c r="AB62" s="12"/>
      <c r="AC62" s="12"/>
      <c r="AD62" s="14"/>
      <c r="AE62" s="12"/>
      <c r="AF62" s="13"/>
      <c r="AG62" s="12"/>
      <c r="AH62" s="12"/>
      <c r="AI62" s="13"/>
      <c r="AJ62" s="13" t="s">
        <v>3328</v>
      </c>
      <c r="AK62" s="13" t="s">
        <v>3324</v>
      </c>
      <c r="AL62" s="12"/>
      <c r="AM62" s="13"/>
      <c r="AN62" s="12"/>
      <c r="AO62" s="12" t="s">
        <v>919</v>
      </c>
      <c r="AP62" s="13"/>
      <c r="AQ62" s="12" t="s">
        <v>922</v>
      </c>
      <c r="AR62" s="13"/>
      <c r="AS62" s="13" t="s">
        <v>71</v>
      </c>
      <c r="AT62" s="13" t="s">
        <v>71</v>
      </c>
      <c r="AU62" s="14">
        <v>100</v>
      </c>
      <c r="AV62" s="14"/>
      <c r="AW62" s="14">
        <v>10.59</v>
      </c>
      <c r="AX62" s="15">
        <v>45900</v>
      </c>
      <c r="AY62" s="15"/>
    </row>
    <row r="63" spans="1:52">
      <c r="A63" s="12">
        <v>8903122</v>
      </c>
      <c r="B63" s="13" t="s">
        <v>3447</v>
      </c>
      <c r="C63" s="13" t="s">
        <v>3342</v>
      </c>
      <c r="D63" s="13"/>
      <c r="E63" s="13" t="s">
        <v>3318</v>
      </c>
      <c r="F63" s="12"/>
      <c r="G63" s="12"/>
      <c r="H63" s="13"/>
      <c r="I63" s="12"/>
      <c r="J63" s="12"/>
      <c r="K63" s="12"/>
      <c r="L63" s="12" t="s">
        <v>833</v>
      </c>
      <c r="M63" s="12"/>
      <c r="N63" s="12"/>
      <c r="O63" s="13"/>
      <c r="P63" s="12">
        <v>11</v>
      </c>
      <c r="Q63" s="13" t="s">
        <v>3413</v>
      </c>
      <c r="R63" s="12">
        <v>153</v>
      </c>
      <c r="S63" s="12">
        <v>83781627</v>
      </c>
      <c r="T63" s="12"/>
      <c r="U63" s="13"/>
      <c r="V63" s="12" t="s">
        <v>3321</v>
      </c>
      <c r="W63" s="13" t="s">
        <v>3322</v>
      </c>
      <c r="X63" s="12"/>
      <c r="Y63" s="13"/>
      <c r="Z63" s="12"/>
      <c r="AA63" s="13"/>
      <c r="AB63" s="12"/>
      <c r="AC63" s="12"/>
      <c r="AD63" s="14"/>
      <c r="AE63" s="12"/>
      <c r="AF63" s="13"/>
      <c r="AG63" s="12"/>
      <c r="AH63" s="12"/>
      <c r="AI63" s="13"/>
      <c r="AJ63" s="13" t="s">
        <v>3328</v>
      </c>
      <c r="AK63" s="13" t="s">
        <v>3324</v>
      </c>
      <c r="AL63" s="12"/>
      <c r="AM63" s="13"/>
      <c r="AN63" s="12"/>
      <c r="AO63" s="12" t="s">
        <v>827</v>
      </c>
      <c r="AP63" s="13"/>
      <c r="AQ63" s="12" t="s">
        <v>830</v>
      </c>
      <c r="AR63" s="13"/>
      <c r="AS63" s="13" t="s">
        <v>71</v>
      </c>
      <c r="AT63" s="13" t="s">
        <v>71</v>
      </c>
      <c r="AU63" s="14">
        <v>100</v>
      </c>
      <c r="AV63" s="14"/>
      <c r="AW63" s="14">
        <v>11.17</v>
      </c>
      <c r="AX63" s="15">
        <v>45900</v>
      </c>
      <c r="AY63" s="15"/>
    </row>
    <row r="64" spans="1:52">
      <c r="A64" s="12">
        <v>8912611</v>
      </c>
      <c r="B64" s="13" t="s">
        <v>3596</v>
      </c>
      <c r="C64" s="13" t="s">
        <v>3342</v>
      </c>
      <c r="D64" s="13"/>
      <c r="E64" s="13" t="s">
        <v>3318</v>
      </c>
      <c r="F64" s="12"/>
      <c r="G64" s="12"/>
      <c r="H64" s="13"/>
      <c r="I64" s="12"/>
      <c r="J64" s="12"/>
      <c r="K64" s="12" t="s">
        <v>3597</v>
      </c>
      <c r="L64" s="12" t="s">
        <v>1983</v>
      </c>
      <c r="M64" s="12"/>
      <c r="N64" s="12"/>
      <c r="O64" s="13"/>
      <c r="P64" s="12">
        <v>20</v>
      </c>
      <c r="Q64" s="13" t="s">
        <v>3320</v>
      </c>
      <c r="R64" s="12">
        <v>434</v>
      </c>
      <c r="S64" s="12">
        <v>266496</v>
      </c>
      <c r="T64" s="12"/>
      <c r="U64" s="13"/>
      <c r="V64" s="12" t="s">
        <v>3321</v>
      </c>
      <c r="W64" s="13" t="s">
        <v>3322</v>
      </c>
      <c r="X64" s="12"/>
      <c r="Y64" s="13"/>
      <c r="Z64" s="12"/>
      <c r="AA64" s="13"/>
      <c r="AB64" s="12"/>
      <c r="AC64" s="12"/>
      <c r="AD64" s="14"/>
      <c r="AE64" s="12"/>
      <c r="AF64" s="13"/>
      <c r="AG64" s="12"/>
      <c r="AH64" s="12"/>
      <c r="AI64" s="13"/>
      <c r="AJ64" s="13" t="s">
        <v>3328</v>
      </c>
      <c r="AK64" s="13" t="s">
        <v>3324</v>
      </c>
      <c r="AL64" s="12"/>
      <c r="AM64" s="13"/>
      <c r="AN64" s="12"/>
      <c r="AO64" s="12">
        <v>1261</v>
      </c>
      <c r="AP64" s="13"/>
      <c r="AQ64" s="12">
        <v>12611</v>
      </c>
      <c r="AR64" s="13"/>
      <c r="AS64" s="13" t="s">
        <v>71</v>
      </c>
      <c r="AT64" s="13" t="s">
        <v>71</v>
      </c>
      <c r="AU64" s="14">
        <v>100</v>
      </c>
      <c r="AV64" s="14"/>
      <c r="AW64" s="14">
        <v>12.01</v>
      </c>
      <c r="AX64" s="15">
        <v>45900</v>
      </c>
      <c r="AY64" s="15"/>
    </row>
    <row r="65" spans="1:51">
      <c r="A65" s="12">
        <v>8912612</v>
      </c>
      <c r="B65" s="13" t="s">
        <v>3598</v>
      </c>
      <c r="C65" s="13" t="s">
        <v>3342</v>
      </c>
      <c r="D65" s="13"/>
      <c r="E65" s="13" t="s">
        <v>3318</v>
      </c>
      <c r="F65" s="12"/>
      <c r="G65" s="12"/>
      <c r="H65" s="13"/>
      <c r="I65" s="12"/>
      <c r="J65" s="12"/>
      <c r="K65" s="12" t="s">
        <v>3599</v>
      </c>
      <c r="L65" s="12" t="s">
        <v>1986</v>
      </c>
      <c r="M65" s="12"/>
      <c r="N65" s="12"/>
      <c r="O65" s="13"/>
      <c r="P65" s="12">
        <v>20</v>
      </c>
      <c r="Q65" s="13" t="s">
        <v>3320</v>
      </c>
      <c r="R65" s="12">
        <v>434</v>
      </c>
      <c r="S65" s="12">
        <v>266496</v>
      </c>
      <c r="T65" s="12"/>
      <c r="U65" s="13"/>
      <c r="V65" s="12" t="s">
        <v>3321</v>
      </c>
      <c r="W65" s="13" t="s">
        <v>3322</v>
      </c>
      <c r="X65" s="12"/>
      <c r="Y65" s="13"/>
      <c r="Z65" s="12"/>
      <c r="AA65" s="13"/>
      <c r="AB65" s="12"/>
      <c r="AC65" s="12"/>
      <c r="AD65" s="14"/>
      <c r="AE65" s="12"/>
      <c r="AF65" s="13"/>
      <c r="AG65" s="12"/>
      <c r="AH65" s="12"/>
      <c r="AI65" s="13"/>
      <c r="AJ65" s="13" t="s">
        <v>3328</v>
      </c>
      <c r="AK65" s="13" t="s">
        <v>3324</v>
      </c>
      <c r="AL65" s="12"/>
      <c r="AM65" s="13"/>
      <c r="AN65" s="12"/>
      <c r="AO65" s="12">
        <v>1261</v>
      </c>
      <c r="AP65" s="13"/>
      <c r="AQ65" s="12">
        <v>12612</v>
      </c>
      <c r="AR65" s="13"/>
      <c r="AS65" s="13" t="s">
        <v>71</v>
      </c>
      <c r="AT65" s="13" t="s">
        <v>71</v>
      </c>
      <c r="AU65" s="14">
        <v>100</v>
      </c>
      <c r="AV65" s="14"/>
      <c r="AW65" s="14">
        <v>12.01</v>
      </c>
      <c r="AX65" s="15">
        <v>45900</v>
      </c>
      <c r="AY65" s="15"/>
    </row>
    <row r="66" spans="1:51">
      <c r="A66" s="12">
        <v>8902272</v>
      </c>
      <c r="B66" s="13" t="s">
        <v>3411</v>
      </c>
      <c r="C66" s="13" t="s">
        <v>3342</v>
      </c>
      <c r="D66" s="13"/>
      <c r="E66" s="13" t="s">
        <v>3318</v>
      </c>
      <c r="F66" s="12"/>
      <c r="G66" s="12"/>
      <c r="H66" s="13"/>
      <c r="I66" s="12"/>
      <c r="J66" s="12"/>
      <c r="K66" s="12"/>
      <c r="L66" s="12">
        <v>200539450</v>
      </c>
      <c r="M66" s="12"/>
      <c r="N66" s="12"/>
      <c r="O66" s="13"/>
      <c r="P66" s="12">
        <v>20</v>
      </c>
      <c r="Q66" s="13" t="s">
        <v>3320</v>
      </c>
      <c r="R66" s="12">
        <v>450</v>
      </c>
      <c r="S66" s="12">
        <v>246356</v>
      </c>
      <c r="T66" s="12"/>
      <c r="U66" s="13"/>
      <c r="V66" s="12" t="s">
        <v>3321</v>
      </c>
      <c r="W66" s="13" t="s">
        <v>3322</v>
      </c>
      <c r="X66" s="12"/>
      <c r="Y66" s="13"/>
      <c r="Z66" s="12"/>
      <c r="AA66" s="13"/>
      <c r="AB66" s="12"/>
      <c r="AC66" s="12"/>
      <c r="AD66" s="14"/>
      <c r="AE66" s="12"/>
      <c r="AF66" s="13"/>
      <c r="AG66" s="12"/>
      <c r="AH66" s="12"/>
      <c r="AI66" s="13"/>
      <c r="AJ66" s="13" t="s">
        <v>3328</v>
      </c>
      <c r="AK66" s="13" t="s">
        <v>3324</v>
      </c>
      <c r="AL66" s="12"/>
      <c r="AM66" s="13"/>
      <c r="AN66" s="12"/>
      <c r="AO66" s="12" t="s">
        <v>575</v>
      </c>
      <c r="AP66" s="13"/>
      <c r="AQ66" s="12" t="s">
        <v>578</v>
      </c>
      <c r="AR66" s="13"/>
      <c r="AS66" s="13" t="s">
        <v>71</v>
      </c>
      <c r="AT66" s="13" t="s">
        <v>71</v>
      </c>
      <c r="AU66" s="14">
        <v>100</v>
      </c>
      <c r="AV66" s="14"/>
      <c r="AW66" s="14">
        <v>12.43</v>
      </c>
      <c r="AX66" s="15">
        <v>45900</v>
      </c>
      <c r="AY66" s="15"/>
    </row>
    <row r="67" spans="1:51">
      <c r="A67" s="12">
        <v>8912242</v>
      </c>
      <c r="B67" s="13" t="s">
        <v>3592</v>
      </c>
      <c r="C67" s="13" t="s">
        <v>3342</v>
      </c>
      <c r="D67" s="13"/>
      <c r="E67" s="13" t="s">
        <v>3318</v>
      </c>
      <c r="F67" s="12"/>
      <c r="G67" s="12"/>
      <c r="H67" s="13"/>
      <c r="I67" s="12"/>
      <c r="J67" s="12"/>
      <c r="K67" s="12" t="s">
        <v>3593</v>
      </c>
      <c r="L67" s="12" t="s">
        <v>1896</v>
      </c>
      <c r="M67" s="12"/>
      <c r="N67" s="12"/>
      <c r="O67" s="13"/>
      <c r="P67" s="12">
        <v>46</v>
      </c>
      <c r="Q67" s="13" t="s">
        <v>3591</v>
      </c>
      <c r="R67" s="12">
        <v>511</v>
      </c>
      <c r="S67" s="12">
        <v>157878</v>
      </c>
      <c r="T67" s="12"/>
      <c r="U67" s="13"/>
      <c r="V67" s="12" t="s">
        <v>3321</v>
      </c>
      <c r="W67" s="13" t="s">
        <v>3322</v>
      </c>
      <c r="X67" s="12"/>
      <c r="Y67" s="13"/>
      <c r="Z67" s="12"/>
      <c r="AA67" s="13"/>
      <c r="AB67" s="12"/>
      <c r="AC67" s="12"/>
      <c r="AD67" s="14"/>
      <c r="AE67" s="12"/>
      <c r="AF67" s="13"/>
      <c r="AG67" s="12"/>
      <c r="AH67" s="12"/>
      <c r="AI67" s="13"/>
      <c r="AJ67" s="13" t="s">
        <v>3328</v>
      </c>
      <c r="AK67" s="13" t="s">
        <v>3324</v>
      </c>
      <c r="AL67" s="12"/>
      <c r="AM67" s="13"/>
      <c r="AN67" s="12"/>
      <c r="AO67" s="12">
        <v>1224</v>
      </c>
      <c r="AP67" s="13"/>
      <c r="AQ67" s="12">
        <v>12242</v>
      </c>
      <c r="AR67" s="13"/>
      <c r="AS67" s="13" t="s">
        <v>71</v>
      </c>
      <c r="AT67" s="13" t="s">
        <v>71</v>
      </c>
      <c r="AU67" s="14">
        <v>100</v>
      </c>
      <c r="AV67" s="14"/>
      <c r="AW67" s="14">
        <v>12.51</v>
      </c>
      <c r="AX67" s="15">
        <v>45900</v>
      </c>
      <c r="AY67" s="15"/>
    </row>
    <row r="68" spans="1:51">
      <c r="A68" s="12">
        <v>8905112</v>
      </c>
      <c r="B68" s="13" t="s">
        <v>3490</v>
      </c>
      <c r="C68" s="13" t="s">
        <v>3342</v>
      </c>
      <c r="D68" s="13"/>
      <c r="E68" s="13" t="s">
        <v>3318</v>
      </c>
      <c r="F68" s="12"/>
      <c r="G68" s="12"/>
      <c r="H68" s="13"/>
      <c r="I68" s="12"/>
      <c r="J68" s="12"/>
      <c r="K68" s="12"/>
      <c r="L68" s="12" t="s">
        <v>1072</v>
      </c>
      <c r="M68" s="12"/>
      <c r="N68" s="12"/>
      <c r="O68" s="13"/>
      <c r="P68" s="12">
        <v>10</v>
      </c>
      <c r="Q68" s="13" t="s">
        <v>3339</v>
      </c>
      <c r="R68" s="12">
        <v>985</v>
      </c>
      <c r="S68" s="12">
        <v>3271205</v>
      </c>
      <c r="T68" s="12"/>
      <c r="U68" s="13"/>
      <c r="V68" s="12" t="s">
        <v>3321</v>
      </c>
      <c r="W68" s="13" t="s">
        <v>3322</v>
      </c>
      <c r="X68" s="12"/>
      <c r="Y68" s="13"/>
      <c r="Z68" s="12"/>
      <c r="AA68" s="13"/>
      <c r="AB68" s="12"/>
      <c r="AC68" s="12"/>
      <c r="AD68" s="14"/>
      <c r="AE68" s="12"/>
      <c r="AF68" s="13"/>
      <c r="AG68" s="12"/>
      <c r="AH68" s="12"/>
      <c r="AI68" s="13"/>
      <c r="AJ68" s="13" t="s">
        <v>3328</v>
      </c>
      <c r="AK68" s="13" t="s">
        <v>3324</v>
      </c>
      <c r="AL68" s="12"/>
      <c r="AM68" s="13"/>
      <c r="AN68" s="12"/>
      <c r="AO68" s="12" t="s">
        <v>1066</v>
      </c>
      <c r="AP68" s="13"/>
      <c r="AQ68" s="12" t="s">
        <v>1069</v>
      </c>
      <c r="AR68" s="13"/>
      <c r="AS68" s="13" t="s">
        <v>71</v>
      </c>
      <c r="AT68" s="13" t="s">
        <v>71</v>
      </c>
      <c r="AU68" s="14">
        <v>100</v>
      </c>
      <c r="AV68" s="14"/>
      <c r="AW68" s="14">
        <v>13</v>
      </c>
      <c r="AX68" s="15">
        <v>45900</v>
      </c>
      <c r="AY68" s="15"/>
    </row>
    <row r="69" spans="1:51">
      <c r="A69" s="12">
        <v>8921221</v>
      </c>
      <c r="B69" s="13" t="s">
        <v>3100</v>
      </c>
      <c r="C69" s="13" t="s">
        <v>3342</v>
      </c>
      <c r="D69" s="13"/>
      <c r="E69" s="13" t="s">
        <v>3318</v>
      </c>
      <c r="F69" s="12"/>
      <c r="G69" s="12"/>
      <c r="H69" s="13"/>
      <c r="I69" s="12"/>
      <c r="J69" s="12"/>
      <c r="K69" s="12"/>
      <c r="L69" s="12" t="s">
        <v>3105</v>
      </c>
      <c r="M69" s="12"/>
      <c r="N69" s="12"/>
      <c r="O69" s="13"/>
      <c r="P69" s="12">
        <v>10</v>
      </c>
      <c r="Q69" s="13" t="s">
        <v>3339</v>
      </c>
      <c r="R69" s="12">
        <v>928</v>
      </c>
      <c r="S69" s="12">
        <v>1361834</v>
      </c>
      <c r="T69" s="12"/>
      <c r="U69" s="13"/>
      <c r="V69" s="12" t="s">
        <v>3321</v>
      </c>
      <c r="W69" s="13" t="s">
        <v>3322</v>
      </c>
      <c r="X69" s="12"/>
      <c r="Y69" s="13"/>
      <c r="Z69" s="12"/>
      <c r="AA69" s="13"/>
      <c r="AB69" s="12"/>
      <c r="AC69" s="12"/>
      <c r="AD69" s="14"/>
      <c r="AE69" s="12"/>
      <c r="AF69" s="13"/>
      <c r="AG69" s="12"/>
      <c r="AH69" s="12"/>
      <c r="AI69" s="13"/>
      <c r="AJ69" s="13" t="s">
        <v>3328</v>
      </c>
      <c r="AK69" s="13" t="s">
        <v>3324</v>
      </c>
      <c r="AL69" s="12"/>
      <c r="AM69" s="13"/>
      <c r="AN69" s="12"/>
      <c r="AO69" s="12">
        <v>2122</v>
      </c>
      <c r="AP69" s="13"/>
      <c r="AQ69" s="12">
        <v>21221</v>
      </c>
      <c r="AR69" s="13"/>
      <c r="AS69" s="13" t="s">
        <v>71</v>
      </c>
      <c r="AT69" s="13" t="s">
        <v>71</v>
      </c>
      <c r="AU69" s="14">
        <v>100</v>
      </c>
      <c r="AV69" s="14"/>
      <c r="AW69" s="14">
        <v>13.13</v>
      </c>
      <c r="AX69" s="15">
        <v>45900</v>
      </c>
      <c r="AY69" s="15"/>
    </row>
    <row r="70" spans="1:51">
      <c r="A70" s="12">
        <v>8921222</v>
      </c>
      <c r="B70" s="13" t="s">
        <v>3107</v>
      </c>
      <c r="C70" s="13" t="s">
        <v>3342</v>
      </c>
      <c r="D70" s="13"/>
      <c r="E70" s="13" t="s">
        <v>3318</v>
      </c>
      <c r="F70" s="12"/>
      <c r="G70" s="12"/>
      <c r="H70" s="13"/>
      <c r="I70" s="12"/>
      <c r="J70" s="12"/>
      <c r="K70" s="12"/>
      <c r="L70" s="12" t="s">
        <v>3108</v>
      </c>
      <c r="M70" s="12"/>
      <c r="N70" s="12"/>
      <c r="O70" s="13"/>
      <c r="P70" s="12">
        <v>10</v>
      </c>
      <c r="Q70" s="13" t="s">
        <v>3339</v>
      </c>
      <c r="R70" s="12">
        <v>928</v>
      </c>
      <c r="S70" s="12">
        <v>1361834</v>
      </c>
      <c r="T70" s="12"/>
      <c r="U70" s="13"/>
      <c r="V70" s="12" t="s">
        <v>3321</v>
      </c>
      <c r="W70" s="13" t="s">
        <v>3322</v>
      </c>
      <c r="X70" s="12"/>
      <c r="Y70" s="13"/>
      <c r="Z70" s="12"/>
      <c r="AA70" s="13"/>
      <c r="AB70" s="12"/>
      <c r="AC70" s="12"/>
      <c r="AD70" s="14"/>
      <c r="AE70" s="12"/>
      <c r="AF70" s="13"/>
      <c r="AG70" s="12"/>
      <c r="AH70" s="12"/>
      <c r="AI70" s="13"/>
      <c r="AJ70" s="13" t="s">
        <v>3328</v>
      </c>
      <c r="AK70" s="13" t="s">
        <v>3324</v>
      </c>
      <c r="AL70" s="12"/>
      <c r="AM70" s="13"/>
      <c r="AN70" s="12"/>
      <c r="AO70" s="12">
        <v>2122</v>
      </c>
      <c r="AP70" s="13"/>
      <c r="AQ70" s="12">
        <v>21222</v>
      </c>
      <c r="AR70" s="13"/>
      <c r="AS70" s="13" t="s">
        <v>71</v>
      </c>
      <c r="AT70" s="13" t="s">
        <v>71</v>
      </c>
      <c r="AU70" s="14">
        <v>100</v>
      </c>
      <c r="AV70" s="14"/>
      <c r="AW70" s="14">
        <v>13.13</v>
      </c>
      <c r="AX70" s="15">
        <v>45900</v>
      </c>
      <c r="AY70" s="15"/>
    </row>
    <row r="71" spans="1:51">
      <c r="A71" s="12">
        <v>8919231</v>
      </c>
      <c r="B71" s="13" t="s">
        <v>3652</v>
      </c>
      <c r="C71" s="13" t="s">
        <v>3342</v>
      </c>
      <c r="D71" s="13"/>
      <c r="E71" s="13" t="s">
        <v>3318</v>
      </c>
      <c r="F71" s="12"/>
      <c r="G71" s="12"/>
      <c r="H71" s="13"/>
      <c r="I71" s="12"/>
      <c r="J71" s="12"/>
      <c r="K71" s="12"/>
      <c r="L71" s="12" t="s">
        <v>2459</v>
      </c>
      <c r="M71" s="12"/>
      <c r="N71" s="12"/>
      <c r="O71" s="13"/>
      <c r="P71" s="12">
        <v>14</v>
      </c>
      <c r="Q71" s="13" t="s">
        <v>3364</v>
      </c>
      <c r="R71" s="12">
        <v>349</v>
      </c>
      <c r="S71" s="12">
        <v>271305</v>
      </c>
      <c r="T71" s="12"/>
      <c r="U71" s="13"/>
      <c r="V71" s="12" t="s">
        <v>3321</v>
      </c>
      <c r="W71" s="13" t="s">
        <v>3322</v>
      </c>
      <c r="X71" s="12"/>
      <c r="Y71" s="13"/>
      <c r="Z71" s="12"/>
      <c r="AA71" s="13"/>
      <c r="AB71" s="12"/>
      <c r="AC71" s="12"/>
      <c r="AD71" s="14"/>
      <c r="AE71" s="12"/>
      <c r="AF71" s="13"/>
      <c r="AG71" s="12"/>
      <c r="AH71" s="12"/>
      <c r="AI71" s="13"/>
      <c r="AJ71" s="13" t="s">
        <v>3328</v>
      </c>
      <c r="AK71" s="13" t="s">
        <v>3324</v>
      </c>
      <c r="AL71" s="12"/>
      <c r="AM71" s="13"/>
      <c r="AN71" s="12"/>
      <c r="AO71" s="12">
        <v>1923</v>
      </c>
      <c r="AP71" s="13"/>
      <c r="AQ71" s="12">
        <v>19231</v>
      </c>
      <c r="AR71" s="13"/>
      <c r="AS71" s="13" t="s">
        <v>71</v>
      </c>
      <c r="AT71" s="13" t="s">
        <v>71</v>
      </c>
      <c r="AU71" s="14">
        <v>100</v>
      </c>
      <c r="AV71" s="14"/>
      <c r="AW71" s="14">
        <v>13.18</v>
      </c>
      <c r="AX71" s="15">
        <v>45900</v>
      </c>
      <c r="AY71" s="15"/>
    </row>
    <row r="72" spans="1:51">
      <c r="A72" s="12">
        <v>8919232</v>
      </c>
      <c r="B72" s="13" t="s">
        <v>3653</v>
      </c>
      <c r="C72" s="13" t="s">
        <v>3342</v>
      </c>
      <c r="D72" s="13"/>
      <c r="E72" s="13" t="s">
        <v>3318</v>
      </c>
      <c r="F72" s="12"/>
      <c r="G72" s="12"/>
      <c r="H72" s="13"/>
      <c r="I72" s="12"/>
      <c r="J72" s="12"/>
      <c r="K72" s="12"/>
      <c r="L72" s="12">
        <v>300902509</v>
      </c>
      <c r="M72" s="12"/>
      <c r="N72" s="12"/>
      <c r="O72" s="13"/>
      <c r="P72" s="12">
        <v>14</v>
      </c>
      <c r="Q72" s="13" t="s">
        <v>3364</v>
      </c>
      <c r="R72" s="12">
        <v>349</v>
      </c>
      <c r="S72" s="12">
        <v>271305</v>
      </c>
      <c r="T72" s="12"/>
      <c r="U72" s="13"/>
      <c r="V72" s="12" t="s">
        <v>3321</v>
      </c>
      <c r="W72" s="13" t="s">
        <v>3322</v>
      </c>
      <c r="X72" s="12"/>
      <c r="Y72" s="13"/>
      <c r="Z72" s="12"/>
      <c r="AA72" s="13"/>
      <c r="AB72" s="12"/>
      <c r="AC72" s="12"/>
      <c r="AD72" s="14"/>
      <c r="AE72" s="12"/>
      <c r="AF72" s="13"/>
      <c r="AG72" s="12"/>
      <c r="AH72" s="12"/>
      <c r="AI72" s="13"/>
      <c r="AJ72" s="13" t="s">
        <v>3328</v>
      </c>
      <c r="AK72" s="13" t="s">
        <v>3324</v>
      </c>
      <c r="AL72" s="12"/>
      <c r="AM72" s="13"/>
      <c r="AN72" s="12"/>
      <c r="AO72" s="12">
        <v>1923</v>
      </c>
      <c r="AP72" s="13"/>
      <c r="AQ72" s="12">
        <v>19232</v>
      </c>
      <c r="AR72" s="13"/>
      <c r="AS72" s="13" t="s">
        <v>71</v>
      </c>
      <c r="AT72" s="13" t="s">
        <v>71</v>
      </c>
      <c r="AU72" s="14">
        <v>100</v>
      </c>
      <c r="AV72" s="14"/>
      <c r="AW72" s="14">
        <v>13.18</v>
      </c>
      <c r="AX72" s="15">
        <v>45900</v>
      </c>
      <c r="AY72" s="15"/>
    </row>
    <row r="73" spans="1:51">
      <c r="A73" s="12">
        <v>8911071</v>
      </c>
      <c r="B73" s="13" t="s">
        <v>3542</v>
      </c>
      <c r="C73" s="13" t="s">
        <v>3342</v>
      </c>
      <c r="D73" s="13"/>
      <c r="E73" s="13" t="s">
        <v>3318</v>
      </c>
      <c r="F73" s="12"/>
      <c r="G73" s="12"/>
      <c r="H73" s="13"/>
      <c r="I73" s="12"/>
      <c r="J73" s="12"/>
      <c r="K73" s="12"/>
      <c r="L73" s="12" t="s">
        <v>3321</v>
      </c>
      <c r="M73" s="12"/>
      <c r="N73" s="12"/>
      <c r="O73" s="13"/>
      <c r="P73" s="12">
        <v>10</v>
      </c>
      <c r="Q73" s="13" t="s">
        <v>3339</v>
      </c>
      <c r="R73" s="12">
        <v>985</v>
      </c>
      <c r="S73" s="12">
        <v>3270798</v>
      </c>
      <c r="T73" s="12"/>
      <c r="U73" s="13"/>
      <c r="V73" s="12" t="s">
        <v>3321</v>
      </c>
      <c r="W73" s="13" t="s">
        <v>3322</v>
      </c>
      <c r="X73" s="12"/>
      <c r="Y73" s="13"/>
      <c r="Z73" s="12"/>
      <c r="AA73" s="13"/>
      <c r="AB73" s="12"/>
      <c r="AC73" s="12"/>
      <c r="AD73" s="14"/>
      <c r="AE73" s="12"/>
      <c r="AF73" s="13"/>
      <c r="AG73" s="12"/>
      <c r="AH73" s="12"/>
      <c r="AI73" s="13"/>
      <c r="AJ73" s="13" t="s">
        <v>3328</v>
      </c>
      <c r="AK73" s="13" t="s">
        <v>3324</v>
      </c>
      <c r="AL73" s="12"/>
      <c r="AM73" s="13"/>
      <c r="AN73" s="12"/>
      <c r="AO73" s="12">
        <v>1107</v>
      </c>
      <c r="AP73" s="13"/>
      <c r="AQ73" s="12">
        <v>11071</v>
      </c>
      <c r="AR73" s="13"/>
      <c r="AS73" s="13" t="s">
        <v>71</v>
      </c>
      <c r="AT73" s="13" t="s">
        <v>71</v>
      </c>
      <c r="AU73" s="14">
        <v>100</v>
      </c>
      <c r="AV73" s="14"/>
      <c r="AW73" s="14">
        <v>13.73</v>
      </c>
      <c r="AX73" s="15">
        <v>45900</v>
      </c>
      <c r="AY73" s="15"/>
    </row>
    <row r="74" spans="1:51">
      <c r="A74" s="12">
        <v>8901301</v>
      </c>
      <c r="B74" s="13" t="s">
        <v>3363</v>
      </c>
      <c r="C74" s="13" t="s">
        <v>3342</v>
      </c>
      <c r="D74" s="13"/>
      <c r="E74" s="13" t="s">
        <v>3318</v>
      </c>
      <c r="F74" s="12"/>
      <c r="G74" s="12"/>
      <c r="H74" s="13"/>
      <c r="I74" s="12"/>
      <c r="J74" s="12"/>
      <c r="K74" s="12"/>
      <c r="L74" s="12" t="s">
        <v>292</v>
      </c>
      <c r="M74" s="12"/>
      <c r="N74" s="12"/>
      <c r="O74" s="13"/>
      <c r="P74" s="12">
        <v>14</v>
      </c>
      <c r="Q74" s="13" t="s">
        <v>3364</v>
      </c>
      <c r="R74" s="12">
        <v>349</v>
      </c>
      <c r="S74" s="12">
        <v>339961</v>
      </c>
      <c r="T74" s="12"/>
      <c r="U74" s="13"/>
      <c r="V74" s="12" t="s">
        <v>3321</v>
      </c>
      <c r="W74" s="13" t="s">
        <v>3322</v>
      </c>
      <c r="X74" s="12"/>
      <c r="Y74" s="13"/>
      <c r="Z74" s="12"/>
      <c r="AA74" s="13"/>
      <c r="AB74" s="12"/>
      <c r="AC74" s="12"/>
      <c r="AD74" s="14"/>
      <c r="AE74" s="12"/>
      <c r="AF74" s="13"/>
      <c r="AG74" s="12"/>
      <c r="AH74" s="12"/>
      <c r="AI74" s="13"/>
      <c r="AJ74" s="13" t="s">
        <v>3328</v>
      </c>
      <c r="AK74" s="13" t="s">
        <v>3324</v>
      </c>
      <c r="AL74" s="12"/>
      <c r="AM74" s="13"/>
      <c r="AN74" s="12"/>
      <c r="AO74" s="12" t="s">
        <v>290</v>
      </c>
      <c r="AP74" s="13"/>
      <c r="AQ74" s="12" t="s">
        <v>287</v>
      </c>
      <c r="AR74" s="13"/>
      <c r="AS74" s="13" t="s">
        <v>71</v>
      </c>
      <c r="AT74" s="13" t="s">
        <v>71</v>
      </c>
      <c r="AU74" s="14">
        <v>100</v>
      </c>
      <c r="AV74" s="14"/>
      <c r="AW74" s="14">
        <v>13.76</v>
      </c>
      <c r="AX74" s="15">
        <v>45900</v>
      </c>
      <c r="AY74" s="15"/>
    </row>
    <row r="75" spans="1:51">
      <c r="A75" s="12">
        <v>8901302</v>
      </c>
      <c r="B75" s="13" t="s">
        <v>3365</v>
      </c>
      <c r="C75" s="13" t="s">
        <v>3342</v>
      </c>
      <c r="D75" s="13"/>
      <c r="E75" s="13" t="s">
        <v>3318</v>
      </c>
      <c r="F75" s="12"/>
      <c r="G75" s="12"/>
      <c r="H75" s="13"/>
      <c r="I75" s="12"/>
      <c r="J75" s="12"/>
      <c r="K75" s="12"/>
      <c r="L75" s="12" t="s">
        <v>296</v>
      </c>
      <c r="M75" s="12"/>
      <c r="N75" s="12"/>
      <c r="O75" s="13"/>
      <c r="P75" s="12">
        <v>14</v>
      </c>
      <c r="Q75" s="13" t="s">
        <v>3364</v>
      </c>
      <c r="R75" s="12">
        <v>349</v>
      </c>
      <c r="S75" s="12">
        <v>339961</v>
      </c>
      <c r="T75" s="12"/>
      <c r="U75" s="13"/>
      <c r="V75" s="12" t="s">
        <v>3321</v>
      </c>
      <c r="W75" s="13" t="s">
        <v>3322</v>
      </c>
      <c r="X75" s="12"/>
      <c r="Y75" s="13"/>
      <c r="Z75" s="12"/>
      <c r="AA75" s="13"/>
      <c r="AB75" s="12"/>
      <c r="AC75" s="12"/>
      <c r="AD75" s="14"/>
      <c r="AE75" s="12"/>
      <c r="AF75" s="13"/>
      <c r="AG75" s="12"/>
      <c r="AH75" s="12"/>
      <c r="AI75" s="13"/>
      <c r="AJ75" s="13" t="s">
        <v>3328</v>
      </c>
      <c r="AK75" s="13" t="s">
        <v>3324</v>
      </c>
      <c r="AL75" s="12"/>
      <c r="AM75" s="13"/>
      <c r="AN75" s="12"/>
      <c r="AO75" s="12" t="s">
        <v>290</v>
      </c>
      <c r="AP75" s="13"/>
      <c r="AQ75" s="12" t="s">
        <v>293</v>
      </c>
      <c r="AR75" s="13"/>
      <c r="AS75" s="13" t="s">
        <v>71</v>
      </c>
      <c r="AT75" s="13" t="s">
        <v>71</v>
      </c>
      <c r="AU75" s="14">
        <v>100</v>
      </c>
      <c r="AV75" s="14"/>
      <c r="AW75" s="14">
        <v>13.76</v>
      </c>
      <c r="AX75" s="15">
        <v>45900</v>
      </c>
      <c r="AY75" s="15"/>
    </row>
    <row r="76" spans="1:51">
      <c r="A76" s="12">
        <v>8902261</v>
      </c>
      <c r="B76" s="13" t="s">
        <v>3407</v>
      </c>
      <c r="C76" s="13" t="s">
        <v>3342</v>
      </c>
      <c r="D76" s="13"/>
      <c r="E76" s="13" t="s">
        <v>3318</v>
      </c>
      <c r="F76" s="12"/>
      <c r="G76" s="12"/>
      <c r="H76" s="13"/>
      <c r="I76" s="12"/>
      <c r="J76" s="12"/>
      <c r="K76" s="12"/>
      <c r="L76" s="12" t="s">
        <v>559</v>
      </c>
      <c r="M76" s="12"/>
      <c r="N76" s="12"/>
      <c r="O76" s="13"/>
      <c r="P76" s="12">
        <v>10</v>
      </c>
      <c r="Q76" s="13" t="s">
        <v>3339</v>
      </c>
      <c r="R76" s="12">
        <v>985</v>
      </c>
      <c r="S76" s="12" t="s">
        <v>3408</v>
      </c>
      <c r="T76" s="12"/>
      <c r="U76" s="13"/>
      <c r="V76" s="12" t="s">
        <v>3321</v>
      </c>
      <c r="W76" s="13" t="s">
        <v>3322</v>
      </c>
      <c r="X76" s="12"/>
      <c r="Y76" s="13"/>
      <c r="Z76" s="12"/>
      <c r="AA76" s="13"/>
      <c r="AB76" s="12"/>
      <c r="AC76" s="12"/>
      <c r="AD76" s="14"/>
      <c r="AE76" s="12"/>
      <c r="AF76" s="13"/>
      <c r="AG76" s="12"/>
      <c r="AH76" s="12"/>
      <c r="AI76" s="13"/>
      <c r="AJ76" s="13" t="s">
        <v>3328</v>
      </c>
      <c r="AK76" s="13" t="s">
        <v>3324</v>
      </c>
      <c r="AL76" s="12"/>
      <c r="AM76" s="13"/>
      <c r="AN76" s="12"/>
      <c r="AO76" s="12" t="s">
        <v>540</v>
      </c>
      <c r="AP76" s="13"/>
      <c r="AQ76" s="12" t="s">
        <v>543</v>
      </c>
      <c r="AR76" s="13"/>
      <c r="AS76" s="13" t="s">
        <v>71</v>
      </c>
      <c r="AT76" s="13" t="s">
        <v>71</v>
      </c>
      <c r="AU76" s="14">
        <v>100</v>
      </c>
      <c r="AV76" s="14"/>
      <c r="AW76" s="14">
        <v>14.01</v>
      </c>
      <c r="AX76" s="15">
        <v>45900</v>
      </c>
      <c r="AY76" s="15"/>
    </row>
    <row r="77" spans="1:51">
      <c r="A77" s="12">
        <v>8902262</v>
      </c>
      <c r="B77" s="13" t="s">
        <v>3409</v>
      </c>
      <c r="C77" s="13" t="s">
        <v>3342</v>
      </c>
      <c r="D77" s="13"/>
      <c r="E77" s="13" t="s">
        <v>3318</v>
      </c>
      <c r="F77" s="12"/>
      <c r="G77" s="12"/>
      <c r="H77" s="13"/>
      <c r="I77" s="12"/>
      <c r="J77" s="12"/>
      <c r="K77" s="12"/>
      <c r="L77" s="12" t="s">
        <v>563</v>
      </c>
      <c r="M77" s="12"/>
      <c r="N77" s="12"/>
      <c r="O77" s="13"/>
      <c r="P77" s="12">
        <v>10</v>
      </c>
      <c r="Q77" s="13" t="s">
        <v>3339</v>
      </c>
      <c r="R77" s="12">
        <v>985</v>
      </c>
      <c r="S77" s="12" t="s">
        <v>3408</v>
      </c>
      <c r="T77" s="12"/>
      <c r="U77" s="13"/>
      <c r="V77" s="12" t="s">
        <v>3321</v>
      </c>
      <c r="W77" s="13" t="s">
        <v>3322</v>
      </c>
      <c r="X77" s="12"/>
      <c r="Y77" s="13"/>
      <c r="Z77" s="12"/>
      <c r="AA77" s="13"/>
      <c r="AB77" s="12"/>
      <c r="AC77" s="12"/>
      <c r="AD77" s="14"/>
      <c r="AE77" s="12"/>
      <c r="AF77" s="13"/>
      <c r="AG77" s="12"/>
      <c r="AH77" s="12"/>
      <c r="AI77" s="13"/>
      <c r="AJ77" s="13" t="s">
        <v>3328</v>
      </c>
      <c r="AK77" s="13" t="s">
        <v>3324</v>
      </c>
      <c r="AL77" s="12"/>
      <c r="AM77" s="13"/>
      <c r="AN77" s="12"/>
      <c r="AO77" s="12" t="s">
        <v>540</v>
      </c>
      <c r="AP77" s="13"/>
      <c r="AQ77" s="12" t="s">
        <v>560</v>
      </c>
      <c r="AR77" s="13"/>
      <c r="AS77" s="13" t="s">
        <v>71</v>
      </c>
      <c r="AT77" s="13" t="s">
        <v>71</v>
      </c>
      <c r="AU77" s="14">
        <v>100</v>
      </c>
      <c r="AV77" s="14"/>
      <c r="AW77" s="14">
        <v>14.01</v>
      </c>
      <c r="AX77" s="15">
        <v>45900</v>
      </c>
      <c r="AY77" s="15"/>
    </row>
    <row r="78" spans="1:51">
      <c r="A78" s="12">
        <v>8906131</v>
      </c>
      <c r="B78" s="13" t="s">
        <v>3507</v>
      </c>
      <c r="C78" s="13" t="s">
        <v>3342</v>
      </c>
      <c r="D78" s="13"/>
      <c r="E78" s="13" t="s">
        <v>3318</v>
      </c>
      <c r="F78" s="12"/>
      <c r="G78" s="12"/>
      <c r="H78" s="13"/>
      <c r="I78" s="12"/>
      <c r="J78" s="12"/>
      <c r="K78" s="12"/>
      <c r="L78" s="12" t="s">
        <v>1206</v>
      </c>
      <c r="M78" s="12"/>
      <c r="N78" s="12"/>
      <c r="O78" s="13"/>
      <c r="P78" s="12">
        <v>12</v>
      </c>
      <c r="Q78" s="13" t="s">
        <v>3378</v>
      </c>
      <c r="R78" s="12">
        <v>648</v>
      </c>
      <c r="S78" s="12">
        <v>656020</v>
      </c>
      <c r="T78" s="12"/>
      <c r="U78" s="13"/>
      <c r="V78" s="12" t="s">
        <v>3321</v>
      </c>
      <c r="W78" s="13" t="s">
        <v>3322</v>
      </c>
      <c r="X78" s="12"/>
      <c r="Y78" s="13"/>
      <c r="Z78" s="12"/>
      <c r="AA78" s="13"/>
      <c r="AB78" s="12"/>
      <c r="AC78" s="12"/>
      <c r="AD78" s="14"/>
      <c r="AE78" s="12"/>
      <c r="AF78" s="13"/>
      <c r="AG78" s="12"/>
      <c r="AH78" s="12"/>
      <c r="AI78" s="13"/>
      <c r="AJ78" s="13" t="s">
        <v>3328</v>
      </c>
      <c r="AK78" s="13" t="s">
        <v>3324</v>
      </c>
      <c r="AL78" s="12"/>
      <c r="AM78" s="13"/>
      <c r="AN78" s="12"/>
      <c r="AO78" s="12" t="s">
        <v>1204</v>
      </c>
      <c r="AP78" s="13"/>
      <c r="AQ78" s="12" t="s">
        <v>1201</v>
      </c>
      <c r="AR78" s="13"/>
      <c r="AS78" s="13" t="s">
        <v>71</v>
      </c>
      <c r="AT78" s="13" t="s">
        <v>71</v>
      </c>
      <c r="AU78" s="14">
        <v>100</v>
      </c>
      <c r="AV78" s="14"/>
      <c r="AW78" s="14">
        <v>14.18</v>
      </c>
      <c r="AX78" s="15">
        <v>45900</v>
      </c>
      <c r="AY78" s="15"/>
    </row>
    <row r="79" spans="1:51">
      <c r="A79" s="12">
        <v>8921151</v>
      </c>
      <c r="B79" s="13" t="s">
        <v>3725</v>
      </c>
      <c r="C79" s="13" t="s">
        <v>3342</v>
      </c>
      <c r="D79" s="13" t="s">
        <v>3318</v>
      </c>
      <c r="E79" s="13" t="s">
        <v>3318</v>
      </c>
      <c r="F79" s="12"/>
      <c r="G79" s="12"/>
      <c r="H79" s="13"/>
      <c r="I79" s="12"/>
      <c r="J79" s="12"/>
      <c r="K79" s="12"/>
      <c r="L79" s="12" t="s">
        <v>2993</v>
      </c>
      <c r="M79" s="12"/>
      <c r="N79" s="12"/>
      <c r="O79" s="13"/>
      <c r="P79" s="12">
        <v>20</v>
      </c>
      <c r="Q79" s="13" t="s">
        <v>3320</v>
      </c>
      <c r="R79" s="12">
        <v>455</v>
      </c>
      <c r="S79" s="12">
        <v>585957</v>
      </c>
      <c r="T79" s="12"/>
      <c r="U79" s="13"/>
      <c r="V79" s="12" t="s">
        <v>3321</v>
      </c>
      <c r="W79" s="13" t="s">
        <v>3322</v>
      </c>
      <c r="X79" s="12"/>
      <c r="Y79" s="13"/>
      <c r="Z79" s="12"/>
      <c r="AA79" s="13"/>
      <c r="AB79" s="12"/>
      <c r="AC79" s="12"/>
      <c r="AD79" s="14"/>
      <c r="AE79" s="12"/>
      <c r="AF79" s="13"/>
      <c r="AG79" s="12"/>
      <c r="AH79" s="12"/>
      <c r="AI79" s="13"/>
      <c r="AJ79" s="13" t="s">
        <v>3328</v>
      </c>
      <c r="AK79" s="13" t="s">
        <v>3324</v>
      </c>
      <c r="AL79" s="12"/>
      <c r="AM79" s="13"/>
      <c r="AN79" s="12"/>
      <c r="AO79" s="12">
        <v>2115</v>
      </c>
      <c r="AP79" s="13"/>
      <c r="AQ79" s="12">
        <v>21151</v>
      </c>
      <c r="AR79" s="13"/>
      <c r="AS79" s="13" t="s">
        <v>71</v>
      </c>
      <c r="AT79" s="13" t="s">
        <v>71</v>
      </c>
      <c r="AU79" s="14">
        <v>100</v>
      </c>
      <c r="AV79" s="14"/>
      <c r="AW79" s="14">
        <v>14.76</v>
      </c>
      <c r="AX79" s="15">
        <v>45900</v>
      </c>
      <c r="AY79" s="15"/>
    </row>
    <row r="80" spans="1:51">
      <c r="A80" s="12">
        <v>8901231</v>
      </c>
      <c r="B80" s="13" t="s">
        <v>3360</v>
      </c>
      <c r="C80" s="13" t="s">
        <v>3342</v>
      </c>
      <c r="D80" s="13"/>
      <c r="E80" s="13" t="s">
        <v>3318</v>
      </c>
      <c r="F80" s="12"/>
      <c r="G80" s="12"/>
      <c r="H80" s="13"/>
      <c r="I80" s="12"/>
      <c r="J80" s="12"/>
      <c r="K80" s="12"/>
      <c r="L80" s="12" t="s">
        <v>246</v>
      </c>
      <c r="M80" s="12"/>
      <c r="N80" s="12"/>
      <c r="O80" s="13"/>
      <c r="P80" s="12">
        <v>20</v>
      </c>
      <c r="Q80" s="13" t="s">
        <v>3320</v>
      </c>
      <c r="R80" s="12">
        <v>430</v>
      </c>
      <c r="S80" s="12">
        <v>197236</v>
      </c>
      <c r="T80" s="12"/>
      <c r="U80" s="13"/>
      <c r="V80" s="12" t="s">
        <v>3321</v>
      </c>
      <c r="W80" s="13" t="s">
        <v>3322</v>
      </c>
      <c r="X80" s="12"/>
      <c r="Y80" s="13"/>
      <c r="Z80" s="12"/>
      <c r="AA80" s="13"/>
      <c r="AB80" s="12"/>
      <c r="AC80" s="12"/>
      <c r="AD80" s="14"/>
      <c r="AE80" s="12"/>
      <c r="AF80" s="13"/>
      <c r="AG80" s="12"/>
      <c r="AH80" s="12"/>
      <c r="AI80" s="13"/>
      <c r="AJ80" s="13" t="s">
        <v>3328</v>
      </c>
      <c r="AK80" s="13" t="s">
        <v>3324</v>
      </c>
      <c r="AL80" s="12"/>
      <c r="AM80" s="13"/>
      <c r="AN80" s="12"/>
      <c r="AO80" s="12" t="s">
        <v>244</v>
      </c>
      <c r="AP80" s="13"/>
      <c r="AQ80" s="12" t="s">
        <v>240</v>
      </c>
      <c r="AR80" s="13"/>
      <c r="AS80" s="13" t="s">
        <v>71</v>
      </c>
      <c r="AT80" s="13" t="s">
        <v>71</v>
      </c>
      <c r="AU80" s="14">
        <v>100</v>
      </c>
      <c r="AV80" s="14"/>
      <c r="AW80" s="14">
        <v>14.8</v>
      </c>
      <c r="AX80" s="15">
        <v>45900</v>
      </c>
      <c r="AY80" s="15"/>
    </row>
    <row r="81" spans="1:56">
      <c r="A81" s="12">
        <v>8912241</v>
      </c>
      <c r="B81" s="13" t="s">
        <v>3589</v>
      </c>
      <c r="C81" s="13" t="s">
        <v>3342</v>
      </c>
      <c r="D81" s="13"/>
      <c r="E81" s="13" t="s">
        <v>3318</v>
      </c>
      <c r="F81" s="12"/>
      <c r="G81" s="12"/>
      <c r="H81" s="13"/>
      <c r="I81" s="12"/>
      <c r="J81" s="12"/>
      <c r="K81" s="12" t="s">
        <v>3590</v>
      </c>
      <c r="L81" s="12" t="s">
        <v>1892</v>
      </c>
      <c r="M81" s="12"/>
      <c r="N81" s="12"/>
      <c r="O81" s="13"/>
      <c r="P81" s="12">
        <v>46</v>
      </c>
      <c r="Q81" s="13" t="s">
        <v>3591</v>
      </c>
      <c r="R81" s="12">
        <v>511</v>
      </c>
      <c r="S81" s="12">
        <v>157878</v>
      </c>
      <c r="T81" s="12"/>
      <c r="U81" s="13"/>
      <c r="V81" s="12" t="s">
        <v>3321</v>
      </c>
      <c r="W81" s="13" t="s">
        <v>3322</v>
      </c>
      <c r="X81" s="12"/>
      <c r="Y81" s="13"/>
      <c r="Z81" s="12"/>
      <c r="AA81" s="13"/>
      <c r="AB81" s="12"/>
      <c r="AC81" s="12"/>
      <c r="AD81" s="14"/>
      <c r="AE81" s="12"/>
      <c r="AF81" s="13"/>
      <c r="AG81" s="12"/>
      <c r="AH81" s="12"/>
      <c r="AI81" s="13"/>
      <c r="AJ81" s="13" t="s">
        <v>3328</v>
      </c>
      <c r="AK81" s="13" t="s">
        <v>3324</v>
      </c>
      <c r="AL81" s="12"/>
      <c r="AM81" s="13"/>
      <c r="AN81" s="12"/>
      <c r="AO81" s="12">
        <v>1224</v>
      </c>
      <c r="AP81" s="13"/>
      <c r="AQ81" s="12">
        <v>12241</v>
      </c>
      <c r="AR81" s="13"/>
      <c r="AS81" s="13" t="s">
        <v>71</v>
      </c>
      <c r="AT81" s="13" t="s">
        <v>71</v>
      </c>
      <c r="AU81" s="14">
        <v>100</v>
      </c>
      <c r="AV81" s="14"/>
      <c r="AW81" s="14">
        <v>15.51</v>
      </c>
      <c r="AX81" s="15">
        <v>45900</v>
      </c>
      <c r="AY81" s="15"/>
    </row>
    <row r="82" spans="1:56">
      <c r="A82" s="12">
        <v>8902111</v>
      </c>
      <c r="B82" s="13" t="s">
        <v>3391</v>
      </c>
      <c r="C82" s="13" t="s">
        <v>3342</v>
      </c>
      <c r="D82" s="13"/>
      <c r="E82" s="13" t="s">
        <v>3318</v>
      </c>
      <c r="F82" s="12"/>
      <c r="G82" s="12"/>
      <c r="H82" s="13"/>
      <c r="I82" s="12"/>
      <c r="J82" s="12"/>
      <c r="K82" s="12"/>
      <c r="L82" s="12" t="s">
        <v>455</v>
      </c>
      <c r="M82" s="12"/>
      <c r="N82" s="12"/>
      <c r="O82" s="13"/>
      <c r="P82" s="12">
        <v>10</v>
      </c>
      <c r="Q82" s="13" t="s">
        <v>3339</v>
      </c>
      <c r="R82" s="12">
        <v>985</v>
      </c>
      <c r="S82" s="12">
        <v>3284390</v>
      </c>
      <c r="T82" s="12"/>
      <c r="U82" s="13"/>
      <c r="V82" s="12" t="s">
        <v>3321</v>
      </c>
      <c r="W82" s="13" t="s">
        <v>3322</v>
      </c>
      <c r="X82" s="12"/>
      <c r="Y82" s="13"/>
      <c r="Z82" s="12"/>
      <c r="AA82" s="13"/>
      <c r="AB82" s="12"/>
      <c r="AC82" s="12"/>
      <c r="AD82" s="14"/>
      <c r="AE82" s="12"/>
      <c r="AF82" s="13"/>
      <c r="AG82" s="12"/>
      <c r="AH82" s="12"/>
      <c r="AI82" s="13"/>
      <c r="AJ82" s="13" t="s">
        <v>3328</v>
      </c>
      <c r="AK82" s="13" t="s">
        <v>3324</v>
      </c>
      <c r="AL82" s="12"/>
      <c r="AM82" s="13"/>
      <c r="AN82" s="12"/>
      <c r="AO82" s="12" t="s">
        <v>452</v>
      </c>
      <c r="AP82" s="13"/>
      <c r="AQ82" s="12" t="s">
        <v>450</v>
      </c>
      <c r="AR82" s="13"/>
      <c r="AS82" s="13" t="s">
        <v>71</v>
      </c>
      <c r="AT82" s="13" t="s">
        <v>71</v>
      </c>
      <c r="AU82" s="14">
        <v>100</v>
      </c>
      <c r="AV82" s="14"/>
      <c r="AW82" s="14">
        <v>15.68</v>
      </c>
      <c r="AX82" s="15">
        <v>45900</v>
      </c>
      <c r="AY82" s="15"/>
    </row>
    <row r="83" spans="1:56">
      <c r="A83" s="12">
        <v>8902112</v>
      </c>
      <c r="B83" s="13" t="s">
        <v>3392</v>
      </c>
      <c r="C83" s="13" t="s">
        <v>3342</v>
      </c>
      <c r="D83" s="13"/>
      <c r="E83" s="13" t="s">
        <v>3318</v>
      </c>
      <c r="F83" s="12"/>
      <c r="G83" s="12"/>
      <c r="H83" s="13"/>
      <c r="I83" s="12"/>
      <c r="J83" s="12"/>
      <c r="K83" s="12"/>
      <c r="L83" s="12" t="s">
        <v>459</v>
      </c>
      <c r="M83" s="12"/>
      <c r="N83" s="12"/>
      <c r="O83" s="13"/>
      <c r="P83" s="12">
        <v>10</v>
      </c>
      <c r="Q83" s="13" t="s">
        <v>3339</v>
      </c>
      <c r="R83" s="12">
        <v>985</v>
      </c>
      <c r="S83" s="12">
        <v>3284390</v>
      </c>
      <c r="T83" s="12"/>
      <c r="U83" s="13"/>
      <c r="V83" s="12" t="s">
        <v>3321</v>
      </c>
      <c r="W83" s="13" t="s">
        <v>3322</v>
      </c>
      <c r="X83" s="12"/>
      <c r="Y83" s="13"/>
      <c r="Z83" s="12"/>
      <c r="AA83" s="13"/>
      <c r="AB83" s="12"/>
      <c r="AC83" s="12"/>
      <c r="AD83" s="14"/>
      <c r="AE83" s="12"/>
      <c r="AF83" s="13"/>
      <c r="AG83" s="12"/>
      <c r="AH83" s="12"/>
      <c r="AI83" s="13"/>
      <c r="AJ83" s="13" t="s">
        <v>3328</v>
      </c>
      <c r="AK83" s="13" t="s">
        <v>3324</v>
      </c>
      <c r="AL83" s="12"/>
      <c r="AM83" s="13"/>
      <c r="AN83" s="12"/>
      <c r="AO83" s="12" t="s">
        <v>452</v>
      </c>
      <c r="AP83" s="13"/>
      <c r="AQ83" s="12" t="s">
        <v>456</v>
      </c>
      <c r="AR83" s="13"/>
      <c r="AS83" s="13" t="s">
        <v>71</v>
      </c>
      <c r="AT83" s="13" t="s">
        <v>71</v>
      </c>
      <c r="AU83" s="14">
        <v>100</v>
      </c>
      <c r="AV83" s="14"/>
      <c r="AW83" s="14">
        <v>15.68</v>
      </c>
      <c r="AX83" s="15">
        <v>45900</v>
      </c>
      <c r="AY83" s="15"/>
    </row>
    <row r="84" spans="1:56">
      <c r="A84" s="12">
        <v>8902271</v>
      </c>
      <c r="B84" s="13" t="s">
        <v>3410</v>
      </c>
      <c r="C84" s="13" t="s">
        <v>3342</v>
      </c>
      <c r="D84" s="13"/>
      <c r="E84" s="13" t="s">
        <v>3318</v>
      </c>
      <c r="F84" s="12"/>
      <c r="G84" s="12"/>
      <c r="H84" s="13"/>
      <c r="I84" s="12"/>
      <c r="J84" s="12"/>
      <c r="K84" s="12"/>
      <c r="L84" s="12" t="s">
        <v>577</v>
      </c>
      <c r="M84" s="12"/>
      <c r="N84" s="12"/>
      <c r="O84" s="13"/>
      <c r="P84" s="12">
        <v>20</v>
      </c>
      <c r="Q84" s="13" t="s">
        <v>3320</v>
      </c>
      <c r="R84" s="12">
        <v>450</v>
      </c>
      <c r="S84" s="12">
        <v>246356</v>
      </c>
      <c r="T84" s="12"/>
      <c r="U84" s="13"/>
      <c r="V84" s="12" t="s">
        <v>3321</v>
      </c>
      <c r="W84" s="13" t="s">
        <v>3322</v>
      </c>
      <c r="X84" s="12"/>
      <c r="Y84" s="13"/>
      <c r="Z84" s="12"/>
      <c r="AA84" s="13"/>
      <c r="AB84" s="12"/>
      <c r="AC84" s="12"/>
      <c r="AD84" s="14"/>
      <c r="AE84" s="12"/>
      <c r="AF84" s="13"/>
      <c r="AG84" s="12"/>
      <c r="AH84" s="12"/>
      <c r="AI84" s="13"/>
      <c r="AJ84" s="13" t="s">
        <v>3328</v>
      </c>
      <c r="AK84" s="13" t="s">
        <v>3324</v>
      </c>
      <c r="AL84" s="12"/>
      <c r="AM84" s="13"/>
      <c r="AN84" s="12"/>
      <c r="AO84" s="12" t="s">
        <v>575</v>
      </c>
      <c r="AP84" s="13"/>
      <c r="AQ84" s="12" t="s">
        <v>572</v>
      </c>
      <c r="AR84" s="13"/>
      <c r="AS84" s="13" t="s">
        <v>71</v>
      </c>
      <c r="AT84" s="13" t="s">
        <v>71</v>
      </c>
      <c r="AU84" s="14">
        <v>100</v>
      </c>
      <c r="AV84" s="14"/>
      <c r="AW84" s="14">
        <v>15.81</v>
      </c>
      <c r="AX84" s="15">
        <v>45900</v>
      </c>
      <c r="AY84" s="15"/>
    </row>
    <row r="85" spans="1:56">
      <c r="A85" s="12">
        <v>8917142</v>
      </c>
      <c r="B85" s="13" t="s">
        <v>3633</v>
      </c>
      <c r="C85" s="13" t="s">
        <v>3342</v>
      </c>
      <c r="D85" s="13"/>
      <c r="E85" s="13" t="s">
        <v>3318</v>
      </c>
      <c r="F85" s="12"/>
      <c r="G85" s="12"/>
      <c r="H85" s="13"/>
      <c r="I85" s="12"/>
      <c r="J85" s="12"/>
      <c r="K85" s="12"/>
      <c r="L85" s="12" t="s">
        <v>2273</v>
      </c>
      <c r="M85" s="12"/>
      <c r="N85" s="12"/>
      <c r="O85" s="13"/>
      <c r="P85" s="12">
        <v>17</v>
      </c>
      <c r="Q85" s="13" t="s">
        <v>3632</v>
      </c>
      <c r="R85" s="12">
        <v>635</v>
      </c>
      <c r="S85" s="12">
        <v>30531</v>
      </c>
      <c r="T85" s="12"/>
      <c r="U85" s="13"/>
      <c r="V85" s="12" t="s">
        <v>3321</v>
      </c>
      <c r="W85" s="13" t="s">
        <v>3322</v>
      </c>
      <c r="X85" s="12"/>
      <c r="Y85" s="13"/>
      <c r="Z85" s="12"/>
      <c r="AA85" s="13"/>
      <c r="AB85" s="12"/>
      <c r="AC85" s="12"/>
      <c r="AD85" s="14"/>
      <c r="AE85" s="12"/>
      <c r="AF85" s="13"/>
      <c r="AG85" s="12"/>
      <c r="AH85" s="12"/>
      <c r="AI85" s="13"/>
      <c r="AJ85" s="13" t="s">
        <v>3328</v>
      </c>
      <c r="AK85" s="13" t="s">
        <v>3324</v>
      </c>
      <c r="AL85" s="12"/>
      <c r="AM85" s="13"/>
      <c r="AN85" s="12"/>
      <c r="AO85" s="12">
        <v>1714</v>
      </c>
      <c r="AP85" s="13"/>
      <c r="AQ85" s="12">
        <v>17142</v>
      </c>
      <c r="AR85" s="13"/>
      <c r="AS85" s="13" t="s">
        <v>71</v>
      </c>
      <c r="AT85" s="13" t="s">
        <v>71</v>
      </c>
      <c r="AU85" s="14">
        <v>100</v>
      </c>
      <c r="AV85" s="14"/>
      <c r="AW85" s="14">
        <v>15.93</v>
      </c>
      <c r="AX85" s="15">
        <v>45900</v>
      </c>
      <c r="AY85" s="15"/>
    </row>
    <row r="86" spans="1:56">
      <c r="A86" s="12">
        <v>8902521</v>
      </c>
      <c r="B86" s="13" t="s">
        <v>3420</v>
      </c>
      <c r="C86" s="13" t="s">
        <v>3342</v>
      </c>
      <c r="D86" s="13"/>
      <c r="E86" s="13" t="s">
        <v>3318</v>
      </c>
      <c r="F86" s="12"/>
      <c r="G86" s="12"/>
      <c r="H86" s="13"/>
      <c r="I86" s="12"/>
      <c r="J86" s="12"/>
      <c r="K86" s="12"/>
      <c r="L86" s="12" t="s">
        <v>652</v>
      </c>
      <c r="M86" s="12"/>
      <c r="N86" s="12"/>
      <c r="O86" s="13"/>
      <c r="P86" s="12">
        <v>13</v>
      </c>
      <c r="Q86" s="13" t="s">
        <v>3421</v>
      </c>
      <c r="R86" s="12">
        <v>192</v>
      </c>
      <c r="S86" s="12" t="s">
        <v>3422</v>
      </c>
      <c r="T86" s="12"/>
      <c r="U86" s="13"/>
      <c r="V86" s="12" t="s">
        <v>3321</v>
      </c>
      <c r="W86" s="13" t="s">
        <v>3322</v>
      </c>
      <c r="X86" s="12"/>
      <c r="Y86" s="13"/>
      <c r="Z86" s="12"/>
      <c r="AA86" s="13"/>
      <c r="AB86" s="12"/>
      <c r="AC86" s="12"/>
      <c r="AD86" s="14"/>
      <c r="AE86" s="12"/>
      <c r="AF86" s="13"/>
      <c r="AG86" s="12"/>
      <c r="AH86" s="12"/>
      <c r="AI86" s="13"/>
      <c r="AJ86" s="13" t="s">
        <v>3328</v>
      </c>
      <c r="AK86" s="13" t="s">
        <v>3324</v>
      </c>
      <c r="AL86" s="12"/>
      <c r="AM86" s="13"/>
      <c r="AN86" s="12"/>
      <c r="AO86" s="12" t="s">
        <v>646</v>
      </c>
      <c r="AP86" s="13"/>
      <c r="AQ86" s="12" t="s">
        <v>642</v>
      </c>
      <c r="AR86" s="13"/>
      <c r="AS86" s="13" t="s">
        <v>71</v>
      </c>
      <c r="AT86" s="13" t="s">
        <v>71</v>
      </c>
      <c r="AU86" s="14">
        <v>100</v>
      </c>
      <c r="AV86" s="14"/>
      <c r="AW86" s="14">
        <v>15.99</v>
      </c>
      <c r="AX86" s="15">
        <v>45900</v>
      </c>
      <c r="AY86" s="15"/>
    </row>
    <row r="87" spans="1:56">
      <c r="A87" s="12">
        <v>8913011</v>
      </c>
      <c r="B87" s="13" t="s">
        <v>3600</v>
      </c>
      <c r="C87" s="13" t="s">
        <v>3342</v>
      </c>
      <c r="D87" s="13"/>
      <c r="E87" s="13" t="s">
        <v>3318</v>
      </c>
      <c r="F87" s="12"/>
      <c r="G87" s="12"/>
      <c r="H87" s="13"/>
      <c r="I87" s="12"/>
      <c r="J87" s="12"/>
      <c r="K87" s="12" t="s">
        <v>3601</v>
      </c>
      <c r="L87" s="12" t="s">
        <v>3321</v>
      </c>
      <c r="M87" s="12"/>
      <c r="N87" s="12"/>
      <c r="O87" s="13"/>
      <c r="P87" s="12">
        <v>10</v>
      </c>
      <c r="Q87" s="13" t="s">
        <v>3339</v>
      </c>
      <c r="R87" s="12">
        <v>985</v>
      </c>
      <c r="S87" s="12">
        <v>3272006</v>
      </c>
      <c r="T87" s="12"/>
      <c r="U87" s="13"/>
      <c r="V87" s="12" t="s">
        <v>3321</v>
      </c>
      <c r="W87" s="13" t="s">
        <v>3322</v>
      </c>
      <c r="X87" s="12"/>
      <c r="Y87" s="13"/>
      <c r="Z87" s="12"/>
      <c r="AA87" s="13"/>
      <c r="AB87" s="12"/>
      <c r="AC87" s="12"/>
      <c r="AD87" s="14"/>
      <c r="AE87" s="12"/>
      <c r="AF87" s="13"/>
      <c r="AG87" s="12"/>
      <c r="AH87" s="12"/>
      <c r="AI87" s="13"/>
      <c r="AJ87" s="13" t="s">
        <v>3328</v>
      </c>
      <c r="AK87" s="13" t="s">
        <v>3324</v>
      </c>
      <c r="AL87" s="12"/>
      <c r="AM87" s="13"/>
      <c r="AN87" s="12"/>
      <c r="AO87" s="12">
        <v>1301</v>
      </c>
      <c r="AP87" s="13"/>
      <c r="AQ87" s="12">
        <v>13011</v>
      </c>
      <c r="AR87" s="13"/>
      <c r="AS87" s="13" t="s">
        <v>71</v>
      </c>
      <c r="AT87" s="13" t="s">
        <v>71</v>
      </c>
      <c r="AU87" s="14">
        <v>100</v>
      </c>
      <c r="AV87" s="14"/>
      <c r="AW87" s="14">
        <v>16.18</v>
      </c>
      <c r="AX87" s="15">
        <v>45900</v>
      </c>
      <c r="AY87" s="15"/>
    </row>
    <row r="88" spans="1:56">
      <c r="A88" s="12">
        <v>8913012</v>
      </c>
      <c r="B88" s="13" t="s">
        <v>3602</v>
      </c>
      <c r="C88" s="13" t="s">
        <v>3342</v>
      </c>
      <c r="D88" s="13"/>
      <c r="E88" s="13" t="s">
        <v>3318</v>
      </c>
      <c r="F88" s="12"/>
      <c r="G88" s="12"/>
      <c r="H88" s="13"/>
      <c r="I88" s="12"/>
      <c r="J88" s="12"/>
      <c r="K88" s="12" t="s">
        <v>3601</v>
      </c>
      <c r="L88" s="12" t="s">
        <v>3321</v>
      </c>
      <c r="M88" s="12"/>
      <c r="N88" s="12"/>
      <c r="O88" s="13"/>
      <c r="P88" s="12">
        <v>10</v>
      </c>
      <c r="Q88" s="13" t="s">
        <v>3339</v>
      </c>
      <c r="R88" s="12">
        <v>985</v>
      </c>
      <c r="S88" s="12">
        <v>3272006</v>
      </c>
      <c r="T88" s="12"/>
      <c r="U88" s="13"/>
      <c r="V88" s="12" t="s">
        <v>3321</v>
      </c>
      <c r="W88" s="13" t="s">
        <v>3322</v>
      </c>
      <c r="X88" s="12"/>
      <c r="Y88" s="13"/>
      <c r="Z88" s="12"/>
      <c r="AA88" s="13"/>
      <c r="AB88" s="12"/>
      <c r="AC88" s="12"/>
      <c r="AD88" s="14"/>
      <c r="AE88" s="12"/>
      <c r="AF88" s="13"/>
      <c r="AG88" s="12"/>
      <c r="AH88" s="12"/>
      <c r="AI88" s="13"/>
      <c r="AJ88" s="13" t="s">
        <v>3328</v>
      </c>
      <c r="AK88" s="13" t="s">
        <v>3324</v>
      </c>
      <c r="AL88" s="12"/>
      <c r="AM88" s="13"/>
      <c r="AN88" s="12"/>
      <c r="AO88" s="12">
        <v>1301</v>
      </c>
      <c r="AP88" s="13"/>
      <c r="AQ88" s="12">
        <v>13012</v>
      </c>
      <c r="AR88" s="13"/>
      <c r="AS88" s="13" t="s">
        <v>71</v>
      </c>
      <c r="AT88" s="13" t="s">
        <v>71</v>
      </c>
      <c r="AU88" s="14">
        <v>100</v>
      </c>
      <c r="AV88" s="14"/>
      <c r="AW88" s="14">
        <v>16.18</v>
      </c>
      <c r="AX88" s="15">
        <v>45900</v>
      </c>
      <c r="AY88" s="15"/>
    </row>
    <row r="89" spans="1:56">
      <c r="A89" s="12">
        <v>8902492</v>
      </c>
      <c r="B89" s="13" t="s">
        <v>3418</v>
      </c>
      <c r="C89" s="13" t="s">
        <v>3342</v>
      </c>
      <c r="D89" s="13" t="s">
        <v>3318</v>
      </c>
      <c r="E89" s="13" t="s">
        <v>3318</v>
      </c>
      <c r="F89" s="12"/>
      <c r="G89" s="12"/>
      <c r="H89" s="13"/>
      <c r="I89" s="12"/>
      <c r="J89" s="12"/>
      <c r="K89" s="12"/>
      <c r="L89" s="12" t="s">
        <v>3321</v>
      </c>
      <c r="M89" s="12"/>
      <c r="N89" s="12"/>
      <c r="O89" s="13"/>
      <c r="P89" s="12">
        <v>10</v>
      </c>
      <c r="Q89" s="13" t="s">
        <v>3339</v>
      </c>
      <c r="R89" s="12">
        <v>985</v>
      </c>
      <c r="S89" s="12">
        <v>3272890</v>
      </c>
      <c r="T89" s="12"/>
      <c r="U89" s="13"/>
      <c r="V89" s="12" t="s">
        <v>3321</v>
      </c>
      <c r="W89" s="13" t="s">
        <v>3322</v>
      </c>
      <c r="X89" s="12"/>
      <c r="Y89" s="13"/>
      <c r="Z89" s="12"/>
      <c r="AA89" s="13"/>
      <c r="AB89" s="12"/>
      <c r="AC89" s="12"/>
      <c r="AD89" s="14"/>
      <c r="AE89" s="12"/>
      <c r="AF89" s="13"/>
      <c r="AG89" s="12"/>
      <c r="AH89" s="12"/>
      <c r="AI89" s="13"/>
      <c r="AJ89" s="13" t="s">
        <v>3328</v>
      </c>
      <c r="AK89" s="13" t="s">
        <v>3324</v>
      </c>
      <c r="AL89" s="12"/>
      <c r="AM89" s="13"/>
      <c r="AN89" s="12"/>
      <c r="AO89" s="12" t="s">
        <v>611</v>
      </c>
      <c r="AP89" s="13"/>
      <c r="AQ89" s="12" t="s">
        <v>607</v>
      </c>
      <c r="AR89" s="13"/>
      <c r="AS89" s="13" t="s">
        <v>71</v>
      </c>
      <c r="AT89" s="13" t="s">
        <v>71</v>
      </c>
      <c r="AU89" s="14">
        <v>100</v>
      </c>
      <c r="AV89" s="14"/>
      <c r="AW89" s="14">
        <v>16.28</v>
      </c>
      <c r="AX89" s="15">
        <v>45900</v>
      </c>
      <c r="AY89" s="15"/>
    </row>
    <row r="90" spans="1:56">
      <c r="A90" s="12">
        <v>8921182</v>
      </c>
      <c r="B90" s="13" t="s">
        <v>3727</v>
      </c>
      <c r="C90" s="13" t="s">
        <v>3342</v>
      </c>
      <c r="D90" s="13"/>
      <c r="E90" s="13" t="s">
        <v>3318</v>
      </c>
      <c r="F90" s="12"/>
      <c r="G90" s="12"/>
      <c r="H90" s="13"/>
      <c r="I90" s="12"/>
      <c r="J90" s="12"/>
      <c r="K90" s="12" t="s">
        <v>3728</v>
      </c>
      <c r="L90" s="12">
        <v>300740602</v>
      </c>
      <c r="M90" s="12"/>
      <c r="N90" s="12"/>
      <c r="O90" s="13"/>
      <c r="P90" s="12">
        <v>20</v>
      </c>
      <c r="Q90" s="13" t="s">
        <v>3320</v>
      </c>
      <c r="R90" s="12">
        <v>450</v>
      </c>
      <c r="S90" s="12">
        <v>317113</v>
      </c>
      <c r="T90" s="12"/>
      <c r="U90" s="13"/>
      <c r="V90" s="12" t="s">
        <v>3321</v>
      </c>
      <c r="W90" s="13" t="s">
        <v>3322</v>
      </c>
      <c r="X90" s="12"/>
      <c r="Y90" s="13"/>
      <c r="Z90" s="12"/>
      <c r="AA90" s="13"/>
      <c r="AB90" s="12"/>
      <c r="AC90" s="12"/>
      <c r="AD90" s="14"/>
      <c r="AE90" s="12"/>
      <c r="AF90" s="13"/>
      <c r="AG90" s="12"/>
      <c r="AH90" s="12"/>
      <c r="AI90" s="13"/>
      <c r="AJ90" s="13" t="s">
        <v>3328</v>
      </c>
      <c r="AK90" s="13" t="s">
        <v>3324</v>
      </c>
      <c r="AL90" s="12"/>
      <c r="AM90" s="13"/>
      <c r="AN90" s="12"/>
      <c r="AO90" s="12">
        <v>2118</v>
      </c>
      <c r="AP90" s="13"/>
      <c r="AQ90" s="12">
        <v>21182</v>
      </c>
      <c r="AR90" s="13"/>
      <c r="AS90" s="13" t="s">
        <v>71</v>
      </c>
      <c r="AT90" s="13" t="s">
        <v>71</v>
      </c>
      <c r="AU90" s="14">
        <v>100</v>
      </c>
      <c r="AV90" s="14"/>
      <c r="AW90" s="14">
        <v>16.739999999999998</v>
      </c>
      <c r="AX90" s="15">
        <v>45900</v>
      </c>
      <c r="AY90" s="15"/>
    </row>
    <row r="91" spans="1:56">
      <c r="A91" s="12">
        <v>8920301</v>
      </c>
      <c r="B91" s="13" t="s">
        <v>3687</v>
      </c>
      <c r="C91" s="13" t="s">
        <v>3342</v>
      </c>
      <c r="D91" s="13"/>
      <c r="E91" s="13" t="s">
        <v>3318</v>
      </c>
      <c r="F91" s="12"/>
      <c r="G91" s="12"/>
      <c r="H91" s="13"/>
      <c r="I91" s="12"/>
      <c r="J91" s="12"/>
      <c r="K91" s="12"/>
      <c r="L91" s="12" t="s">
        <v>2730</v>
      </c>
      <c r="M91" s="12"/>
      <c r="N91" s="12"/>
      <c r="O91" s="13"/>
      <c r="P91" s="12">
        <v>10</v>
      </c>
      <c r="Q91" s="13" t="s">
        <v>3339</v>
      </c>
      <c r="R91" s="12">
        <v>985</v>
      </c>
      <c r="S91" s="12">
        <v>3281693</v>
      </c>
      <c r="T91" s="12"/>
      <c r="U91" s="13"/>
      <c r="V91" s="12" t="s">
        <v>3321</v>
      </c>
      <c r="W91" s="13" t="s">
        <v>3322</v>
      </c>
      <c r="X91" s="12"/>
      <c r="Y91" s="13"/>
      <c r="Z91" s="12"/>
      <c r="AA91" s="13"/>
      <c r="AB91" s="12"/>
      <c r="AC91" s="12"/>
      <c r="AD91" s="14"/>
      <c r="AE91" s="12"/>
      <c r="AF91" s="13"/>
      <c r="AG91" s="12"/>
      <c r="AH91" s="12"/>
      <c r="AI91" s="13"/>
      <c r="AJ91" s="13" t="s">
        <v>3328</v>
      </c>
      <c r="AK91" s="13" t="s">
        <v>3324</v>
      </c>
      <c r="AL91" s="12"/>
      <c r="AM91" s="13"/>
      <c r="AN91" s="12"/>
      <c r="AO91" s="12">
        <v>2030</v>
      </c>
      <c r="AP91" s="13"/>
      <c r="AQ91" s="12">
        <v>20301</v>
      </c>
      <c r="AR91" s="13"/>
      <c r="AS91" s="13" t="s">
        <v>71</v>
      </c>
      <c r="AT91" s="13" t="s">
        <v>71</v>
      </c>
      <c r="AU91" s="14">
        <v>100</v>
      </c>
      <c r="AV91" s="14"/>
      <c r="AW91" s="14">
        <v>16.760000000000002</v>
      </c>
      <c r="AX91" s="15">
        <v>45900</v>
      </c>
      <c r="AY91" s="15"/>
    </row>
    <row r="92" spans="1:56">
      <c r="A92" s="12">
        <v>8905022</v>
      </c>
      <c r="B92" s="13" t="s">
        <v>3478</v>
      </c>
      <c r="C92" s="13" t="s">
        <v>3342</v>
      </c>
      <c r="D92" s="13"/>
      <c r="E92" s="13" t="s">
        <v>3318</v>
      </c>
      <c r="F92" s="12"/>
      <c r="G92" s="12"/>
      <c r="H92" s="13"/>
      <c r="I92" s="12"/>
      <c r="J92" s="12"/>
      <c r="K92" s="12"/>
      <c r="L92" s="12" t="s">
        <v>991</v>
      </c>
      <c r="M92" s="12"/>
      <c r="N92" s="12"/>
      <c r="O92" s="13"/>
      <c r="P92" s="12">
        <v>20</v>
      </c>
      <c r="Q92" s="13" t="s">
        <v>3320</v>
      </c>
      <c r="R92" s="12">
        <v>427</v>
      </c>
      <c r="S92" s="12">
        <v>268527</v>
      </c>
      <c r="T92" s="12"/>
      <c r="U92" s="13"/>
      <c r="V92" s="12" t="s">
        <v>3321</v>
      </c>
      <c r="W92" s="13" t="s">
        <v>3322</v>
      </c>
      <c r="X92" s="12"/>
      <c r="Y92" s="13"/>
      <c r="Z92" s="12"/>
      <c r="AA92" s="13"/>
      <c r="AB92" s="12"/>
      <c r="AC92" s="12"/>
      <c r="AD92" s="14"/>
      <c r="AE92" s="12"/>
      <c r="AF92" s="13"/>
      <c r="AG92" s="12"/>
      <c r="AH92" s="12"/>
      <c r="AI92" s="13"/>
      <c r="AJ92" s="13" t="s">
        <v>3328</v>
      </c>
      <c r="AK92" s="13" t="s">
        <v>3324</v>
      </c>
      <c r="AL92" s="12"/>
      <c r="AM92" s="13"/>
      <c r="AN92" s="12"/>
      <c r="AO92" s="12" t="s">
        <v>990</v>
      </c>
      <c r="AP92" s="13"/>
      <c r="AQ92" s="12" t="s">
        <v>986</v>
      </c>
      <c r="AR92" s="13"/>
      <c r="AS92" s="13" t="s">
        <v>71</v>
      </c>
      <c r="AT92" s="13" t="s">
        <v>71</v>
      </c>
      <c r="AU92" s="14">
        <v>100</v>
      </c>
      <c r="AV92" s="14"/>
      <c r="AW92" s="14">
        <v>17.27</v>
      </c>
      <c r="AX92" s="15">
        <v>45900</v>
      </c>
      <c r="AY92" s="15"/>
    </row>
    <row r="93" spans="1:56">
      <c r="A93" s="12">
        <v>8902522</v>
      </c>
      <c r="B93" s="13" t="s">
        <v>3423</v>
      </c>
      <c r="C93" s="13" t="s">
        <v>3342</v>
      </c>
      <c r="D93" s="13"/>
      <c r="E93" s="13" t="s">
        <v>3318</v>
      </c>
      <c r="F93" s="12"/>
      <c r="G93" s="12"/>
      <c r="H93" s="13"/>
      <c r="I93" s="12"/>
      <c r="J93" s="12"/>
      <c r="K93" s="12"/>
      <c r="L93" s="12" t="s">
        <v>648</v>
      </c>
      <c r="M93" s="12"/>
      <c r="N93" s="12"/>
      <c r="O93" s="13"/>
      <c r="P93" s="12">
        <v>13</v>
      </c>
      <c r="Q93" s="13" t="s">
        <v>3421</v>
      </c>
      <c r="R93" s="12">
        <v>192</v>
      </c>
      <c r="S93" s="12" t="s">
        <v>3422</v>
      </c>
      <c r="T93" s="12"/>
      <c r="U93" s="13"/>
      <c r="V93" s="12" t="s">
        <v>3321</v>
      </c>
      <c r="W93" s="13" t="s">
        <v>3322</v>
      </c>
      <c r="X93" s="12"/>
      <c r="Y93" s="13"/>
      <c r="Z93" s="12"/>
      <c r="AA93" s="13"/>
      <c r="AB93" s="12"/>
      <c r="AC93" s="12"/>
      <c r="AD93" s="14"/>
      <c r="AE93" s="12"/>
      <c r="AF93" s="13"/>
      <c r="AG93" s="12"/>
      <c r="AH93" s="12"/>
      <c r="AI93" s="13"/>
      <c r="AJ93" s="13" t="s">
        <v>3328</v>
      </c>
      <c r="AK93" s="13" t="s">
        <v>3324</v>
      </c>
      <c r="AL93" s="12"/>
      <c r="AM93" s="13"/>
      <c r="AN93" s="12"/>
      <c r="AO93" s="12" t="s">
        <v>646</v>
      </c>
      <c r="AP93" s="13"/>
      <c r="AQ93" s="12" t="s">
        <v>649</v>
      </c>
      <c r="AR93" s="13"/>
      <c r="AS93" s="13" t="s">
        <v>71</v>
      </c>
      <c r="AT93" s="13" t="s">
        <v>71</v>
      </c>
      <c r="AU93" s="14">
        <v>100</v>
      </c>
      <c r="AV93" s="14"/>
      <c r="AW93" s="14">
        <v>17.52</v>
      </c>
      <c r="AX93" s="15">
        <v>45900</v>
      </c>
      <c r="AY93" s="15"/>
      <c r="AZ93" s="108"/>
      <c r="BA93" s="4">
        <v>45839</v>
      </c>
      <c r="BB93" s="108">
        <v>44562</v>
      </c>
    </row>
    <row r="94" spans="1:56">
      <c r="A94" s="12">
        <v>8905101</v>
      </c>
      <c r="B94" s="13" t="s">
        <v>3487</v>
      </c>
      <c r="C94" s="13" t="s">
        <v>3342</v>
      </c>
      <c r="D94" s="13"/>
      <c r="E94" s="13" t="s">
        <v>3318</v>
      </c>
      <c r="F94" s="12"/>
      <c r="G94" s="12"/>
      <c r="H94" s="13"/>
      <c r="I94" s="12"/>
      <c r="J94" s="12"/>
      <c r="K94" s="12"/>
      <c r="L94" s="12" t="s">
        <v>1046</v>
      </c>
      <c r="M94" s="12"/>
      <c r="N94" s="12"/>
      <c r="O94" s="13"/>
      <c r="P94" s="12">
        <v>12</v>
      </c>
      <c r="Q94" s="13" t="s">
        <v>3378</v>
      </c>
      <c r="R94" s="12">
        <v>648</v>
      </c>
      <c r="S94" s="12">
        <v>662810</v>
      </c>
      <c r="T94" s="12"/>
      <c r="U94" s="13"/>
      <c r="V94" s="12" t="s">
        <v>3321</v>
      </c>
      <c r="W94" s="13" t="s">
        <v>3322</v>
      </c>
      <c r="X94" s="12"/>
      <c r="Y94" s="13"/>
      <c r="Z94" s="12"/>
      <c r="AA94" s="13"/>
      <c r="AB94" s="12"/>
      <c r="AC94" s="12"/>
      <c r="AD94" s="14"/>
      <c r="AE94" s="12"/>
      <c r="AF94" s="13"/>
      <c r="AG94" s="12"/>
      <c r="AH94" s="12"/>
      <c r="AI94" s="13"/>
      <c r="AJ94" s="13" t="s">
        <v>3328</v>
      </c>
      <c r="AK94" s="13" t="s">
        <v>3324</v>
      </c>
      <c r="AL94" s="12"/>
      <c r="AM94" s="13"/>
      <c r="AN94" s="12"/>
      <c r="AO94" s="12" t="s">
        <v>1044</v>
      </c>
      <c r="AP94" s="13"/>
      <c r="AQ94" s="12" t="s">
        <v>1041</v>
      </c>
      <c r="AR94" s="13"/>
      <c r="AS94" s="13" t="s">
        <v>71</v>
      </c>
      <c r="AT94" s="13" t="s">
        <v>71</v>
      </c>
      <c r="AU94" s="14">
        <v>100</v>
      </c>
      <c r="AV94" s="14"/>
      <c r="AW94" s="14">
        <v>17.82</v>
      </c>
      <c r="AX94" s="15">
        <v>45900</v>
      </c>
      <c r="AY94" s="15"/>
      <c r="AZ94" s="14"/>
      <c r="BA94" s="14">
        <f>AW94+AW95</f>
        <v>35.64</v>
      </c>
      <c r="BB94">
        <v>13.8</v>
      </c>
      <c r="BC94">
        <f>(BA93-BB93)/365</f>
        <v>3.4986301369863013</v>
      </c>
      <c r="BD94">
        <f>BB94+BC94</f>
        <v>17.298630136986301</v>
      </c>
    </row>
    <row r="95" spans="1:56">
      <c r="A95" s="12">
        <v>8905102</v>
      </c>
      <c r="B95" s="13" t="s">
        <v>3488</v>
      </c>
      <c r="C95" s="13" t="s">
        <v>3342</v>
      </c>
      <c r="D95" s="13"/>
      <c r="E95" s="13" t="s">
        <v>3318</v>
      </c>
      <c r="F95" s="12"/>
      <c r="G95" s="12"/>
      <c r="H95" s="13"/>
      <c r="I95" s="12"/>
      <c r="J95" s="12"/>
      <c r="K95" s="12"/>
      <c r="L95" s="12" t="s">
        <v>1050</v>
      </c>
      <c r="M95" s="12"/>
      <c r="N95" s="12"/>
      <c r="O95" s="13"/>
      <c r="P95" s="12">
        <v>12</v>
      </c>
      <c r="Q95" s="13" t="s">
        <v>3378</v>
      </c>
      <c r="R95" s="12">
        <v>648</v>
      </c>
      <c r="S95" s="12">
        <v>662810</v>
      </c>
      <c r="T95" s="12"/>
      <c r="U95" s="13"/>
      <c r="V95" s="12" t="s">
        <v>3321</v>
      </c>
      <c r="W95" s="13" t="s">
        <v>3322</v>
      </c>
      <c r="X95" s="12"/>
      <c r="Y95" s="13"/>
      <c r="Z95" s="12"/>
      <c r="AA95" s="13"/>
      <c r="AB95" s="12"/>
      <c r="AC95" s="12"/>
      <c r="AD95" s="14"/>
      <c r="AE95" s="12"/>
      <c r="AF95" s="13"/>
      <c r="AG95" s="12"/>
      <c r="AH95" s="12"/>
      <c r="AI95" s="13"/>
      <c r="AJ95" s="13" t="s">
        <v>3328</v>
      </c>
      <c r="AK95" s="13" t="s">
        <v>3324</v>
      </c>
      <c r="AL95" s="12"/>
      <c r="AM95" s="13"/>
      <c r="AN95" s="12"/>
      <c r="AO95" s="12" t="s">
        <v>1044</v>
      </c>
      <c r="AP95" s="13"/>
      <c r="AQ95" s="12" t="s">
        <v>1047</v>
      </c>
      <c r="AR95" s="13"/>
      <c r="AS95" s="13" t="s">
        <v>71</v>
      </c>
      <c r="AT95" s="13" t="s">
        <v>71</v>
      </c>
      <c r="AU95" s="14">
        <v>100</v>
      </c>
      <c r="AV95" s="14"/>
      <c r="AW95" s="14">
        <v>17.82</v>
      </c>
      <c r="AX95" s="15">
        <v>45900</v>
      </c>
      <c r="AY95" s="15"/>
    </row>
    <row r="96" spans="1:56">
      <c r="A96" s="12">
        <v>8920302</v>
      </c>
      <c r="B96" s="13" t="s">
        <v>3688</v>
      </c>
      <c r="C96" s="13" t="s">
        <v>3342</v>
      </c>
      <c r="D96" s="13"/>
      <c r="E96" s="13" t="s">
        <v>3318</v>
      </c>
      <c r="F96" s="12"/>
      <c r="G96" s="12"/>
      <c r="H96" s="13"/>
      <c r="I96" s="12"/>
      <c r="J96" s="12"/>
      <c r="K96" s="12"/>
      <c r="L96" s="12" t="s">
        <v>2734</v>
      </c>
      <c r="M96" s="12"/>
      <c r="N96" s="12"/>
      <c r="O96" s="13"/>
      <c r="P96" s="12">
        <v>10</v>
      </c>
      <c r="Q96" s="13" t="s">
        <v>3339</v>
      </c>
      <c r="R96" s="12">
        <v>985</v>
      </c>
      <c r="S96" s="12">
        <v>3281693</v>
      </c>
      <c r="T96" s="12"/>
      <c r="U96" s="13"/>
      <c r="V96" s="12" t="s">
        <v>3321</v>
      </c>
      <c r="W96" s="13" t="s">
        <v>3322</v>
      </c>
      <c r="X96" s="12"/>
      <c r="Y96" s="13"/>
      <c r="Z96" s="12"/>
      <c r="AA96" s="13"/>
      <c r="AB96" s="12"/>
      <c r="AC96" s="12"/>
      <c r="AD96" s="14"/>
      <c r="AE96" s="12"/>
      <c r="AF96" s="13"/>
      <c r="AG96" s="12"/>
      <c r="AH96" s="12"/>
      <c r="AI96" s="13"/>
      <c r="AJ96" s="13" t="s">
        <v>3328</v>
      </c>
      <c r="AK96" s="13" t="s">
        <v>3324</v>
      </c>
      <c r="AL96" s="12"/>
      <c r="AM96" s="13"/>
      <c r="AN96" s="12"/>
      <c r="AO96" s="12">
        <v>2030</v>
      </c>
      <c r="AP96" s="13"/>
      <c r="AQ96" s="12">
        <v>20302</v>
      </c>
      <c r="AR96" s="13"/>
      <c r="AS96" s="13" t="s">
        <v>71</v>
      </c>
      <c r="AT96" s="13" t="s">
        <v>71</v>
      </c>
      <c r="AU96" s="14">
        <v>100</v>
      </c>
      <c r="AV96" s="14"/>
      <c r="AW96" s="14">
        <v>18.079999999999998</v>
      </c>
      <c r="AX96" s="15">
        <v>45900</v>
      </c>
      <c r="AY96" s="15"/>
    </row>
    <row r="97" spans="1:51">
      <c r="A97" s="12">
        <v>8905132</v>
      </c>
      <c r="B97" s="13" t="s">
        <v>3491</v>
      </c>
      <c r="C97" s="13" t="s">
        <v>3342</v>
      </c>
      <c r="D97" s="13"/>
      <c r="E97" s="13" t="s">
        <v>3318</v>
      </c>
      <c r="F97" s="12"/>
      <c r="G97" s="12"/>
      <c r="H97" s="13"/>
      <c r="I97" s="12"/>
      <c r="J97" s="12"/>
      <c r="K97" s="12"/>
      <c r="L97" s="12" t="s">
        <v>1432</v>
      </c>
      <c r="M97" s="12"/>
      <c r="N97" s="12"/>
      <c r="O97" s="13"/>
      <c r="P97" s="12">
        <v>31</v>
      </c>
      <c r="Q97" s="13" t="s">
        <v>3492</v>
      </c>
      <c r="R97" s="12">
        <v>109</v>
      </c>
      <c r="S97" s="12">
        <v>549393</v>
      </c>
      <c r="T97" s="12"/>
      <c r="U97" s="13"/>
      <c r="V97" s="12" t="s">
        <v>3321</v>
      </c>
      <c r="W97" s="13" t="s">
        <v>3322</v>
      </c>
      <c r="X97" s="12"/>
      <c r="Y97" s="13"/>
      <c r="Z97" s="12"/>
      <c r="AA97" s="13"/>
      <c r="AB97" s="12"/>
      <c r="AC97" s="12"/>
      <c r="AD97" s="14"/>
      <c r="AE97" s="12"/>
      <c r="AF97" s="13"/>
      <c r="AG97" s="12"/>
      <c r="AH97" s="12"/>
      <c r="AI97" s="13"/>
      <c r="AJ97" s="13" t="s">
        <v>3328</v>
      </c>
      <c r="AK97" s="13" t="s">
        <v>3324</v>
      </c>
      <c r="AL97" s="12"/>
      <c r="AM97" s="13"/>
      <c r="AN97" s="12"/>
      <c r="AO97" s="12" t="s">
        <v>1426</v>
      </c>
      <c r="AP97" s="13"/>
      <c r="AQ97" s="12" t="s">
        <v>1429</v>
      </c>
      <c r="AR97" s="13"/>
      <c r="AS97" s="13" t="s">
        <v>71</v>
      </c>
      <c r="AT97" s="13" t="s">
        <v>71</v>
      </c>
      <c r="AU97" s="14">
        <v>100</v>
      </c>
      <c r="AV97" s="14"/>
      <c r="AW97" s="14">
        <v>18.100000000000001</v>
      </c>
      <c r="AX97" s="15">
        <v>45900</v>
      </c>
      <c r="AY97" s="15"/>
    </row>
    <row r="98" spans="1:51">
      <c r="A98" s="12">
        <v>8901232</v>
      </c>
      <c r="B98" s="13" t="s">
        <v>3361</v>
      </c>
      <c r="C98" s="13" t="s">
        <v>3342</v>
      </c>
      <c r="D98" s="13"/>
      <c r="E98" s="13" t="s">
        <v>3318</v>
      </c>
      <c r="F98" s="12"/>
      <c r="G98" s="12"/>
      <c r="H98" s="13"/>
      <c r="I98" s="12"/>
      <c r="J98" s="12"/>
      <c r="K98" s="12"/>
      <c r="L98" s="12" t="s">
        <v>418</v>
      </c>
      <c r="M98" s="12"/>
      <c r="N98" s="12"/>
      <c r="O98" s="13"/>
      <c r="P98" s="12">
        <v>10</v>
      </c>
      <c r="Q98" s="13" t="s">
        <v>3339</v>
      </c>
      <c r="R98" s="12">
        <v>985</v>
      </c>
      <c r="S98" s="12">
        <v>3285485</v>
      </c>
      <c r="T98" s="12"/>
      <c r="U98" s="13"/>
      <c r="V98" s="12" t="s">
        <v>3321</v>
      </c>
      <c r="W98" s="13" t="s">
        <v>3322</v>
      </c>
      <c r="X98" s="12"/>
      <c r="Y98" s="13"/>
      <c r="Z98" s="12"/>
      <c r="AA98" s="13"/>
      <c r="AB98" s="12"/>
      <c r="AC98" s="12"/>
      <c r="AD98" s="14"/>
      <c r="AE98" s="12"/>
      <c r="AF98" s="13"/>
      <c r="AG98" s="12"/>
      <c r="AH98" s="12"/>
      <c r="AI98" s="13"/>
      <c r="AJ98" s="13" t="s">
        <v>3328</v>
      </c>
      <c r="AK98" s="13" t="s">
        <v>3324</v>
      </c>
      <c r="AL98" s="12"/>
      <c r="AM98" s="13"/>
      <c r="AN98" s="12"/>
      <c r="AO98" s="12" t="s">
        <v>250</v>
      </c>
      <c r="AP98" s="13"/>
      <c r="AQ98" s="12" t="s">
        <v>253</v>
      </c>
      <c r="AR98" s="13"/>
      <c r="AS98" s="13" t="s">
        <v>71</v>
      </c>
      <c r="AT98" s="13" t="s">
        <v>71</v>
      </c>
      <c r="AU98" s="14">
        <v>100</v>
      </c>
      <c r="AV98" s="14"/>
      <c r="AW98" s="14">
        <v>18.18</v>
      </c>
      <c r="AX98" s="15">
        <v>45900</v>
      </c>
      <c r="AY98" s="15"/>
    </row>
    <row r="99" spans="1:51">
      <c r="A99" s="12">
        <v>8911072</v>
      </c>
      <c r="B99" s="13" t="s">
        <v>3543</v>
      </c>
      <c r="C99" s="13" t="s">
        <v>3342</v>
      </c>
      <c r="D99" s="13"/>
      <c r="E99" s="13" t="s">
        <v>3318</v>
      </c>
      <c r="F99" s="12"/>
      <c r="G99" s="12"/>
      <c r="H99" s="13"/>
      <c r="I99" s="12"/>
      <c r="J99" s="12"/>
      <c r="K99" s="12"/>
      <c r="L99" s="12" t="s">
        <v>3321</v>
      </c>
      <c r="M99" s="12"/>
      <c r="N99" s="12"/>
      <c r="O99" s="13"/>
      <c r="P99" s="12">
        <v>10</v>
      </c>
      <c r="Q99" s="13" t="s">
        <v>3339</v>
      </c>
      <c r="R99" s="12">
        <v>985</v>
      </c>
      <c r="S99" s="12">
        <v>3270798</v>
      </c>
      <c r="T99" s="12"/>
      <c r="U99" s="13"/>
      <c r="V99" s="12" t="s">
        <v>3321</v>
      </c>
      <c r="W99" s="13" t="s">
        <v>3322</v>
      </c>
      <c r="X99" s="12"/>
      <c r="Y99" s="13"/>
      <c r="Z99" s="12"/>
      <c r="AA99" s="13"/>
      <c r="AB99" s="12"/>
      <c r="AC99" s="12"/>
      <c r="AD99" s="14"/>
      <c r="AE99" s="12"/>
      <c r="AF99" s="13"/>
      <c r="AG99" s="12"/>
      <c r="AH99" s="12"/>
      <c r="AI99" s="13"/>
      <c r="AJ99" s="13" t="s">
        <v>3328</v>
      </c>
      <c r="AK99" s="13" t="s">
        <v>3324</v>
      </c>
      <c r="AL99" s="12"/>
      <c r="AM99" s="13"/>
      <c r="AN99" s="12"/>
      <c r="AO99" s="12">
        <v>1107</v>
      </c>
      <c r="AP99" s="13"/>
      <c r="AQ99" s="12">
        <v>11072</v>
      </c>
      <c r="AR99" s="13"/>
      <c r="AS99" s="13" t="s">
        <v>71</v>
      </c>
      <c r="AT99" s="13" t="s">
        <v>71</v>
      </c>
      <c r="AU99" s="14">
        <v>100</v>
      </c>
      <c r="AV99" s="14"/>
      <c r="AW99" s="14">
        <v>18.489999999999998</v>
      </c>
      <c r="AX99" s="15">
        <v>45900</v>
      </c>
      <c r="AY99" s="15"/>
    </row>
    <row r="100" spans="1:51">
      <c r="A100" s="12">
        <v>8903061</v>
      </c>
      <c r="B100" s="13" t="s">
        <v>3439</v>
      </c>
      <c r="C100" s="13" t="s">
        <v>3342</v>
      </c>
      <c r="D100" s="13"/>
      <c r="E100" s="13" t="s">
        <v>3318</v>
      </c>
      <c r="F100" s="12"/>
      <c r="G100" s="12"/>
      <c r="H100" s="13"/>
      <c r="I100" s="12"/>
      <c r="J100" s="12"/>
      <c r="K100" s="12" t="s">
        <v>3440</v>
      </c>
      <c r="L100" s="12" t="s">
        <v>731</v>
      </c>
      <c r="M100" s="12"/>
      <c r="N100" s="12"/>
      <c r="O100" s="13"/>
      <c r="P100" s="12">
        <v>10</v>
      </c>
      <c r="Q100" s="13" t="s">
        <v>3339</v>
      </c>
      <c r="R100" s="12">
        <v>985</v>
      </c>
      <c r="S100" s="12">
        <v>3273003</v>
      </c>
      <c r="T100" s="12"/>
      <c r="U100" s="13"/>
      <c r="V100" s="12" t="s">
        <v>3321</v>
      </c>
      <c r="W100" s="13" t="s">
        <v>3322</v>
      </c>
      <c r="X100" s="12"/>
      <c r="Y100" s="13"/>
      <c r="Z100" s="12"/>
      <c r="AA100" s="13"/>
      <c r="AB100" s="12"/>
      <c r="AC100" s="12"/>
      <c r="AD100" s="14"/>
      <c r="AE100" s="12"/>
      <c r="AF100" s="13"/>
      <c r="AG100" s="12"/>
      <c r="AH100" s="12"/>
      <c r="AI100" s="13"/>
      <c r="AJ100" s="13" t="s">
        <v>3328</v>
      </c>
      <c r="AK100" s="13" t="s">
        <v>3324</v>
      </c>
      <c r="AL100" s="12"/>
      <c r="AM100" s="13"/>
      <c r="AN100" s="12"/>
      <c r="AO100" s="12" t="s">
        <v>729</v>
      </c>
      <c r="AP100" s="13"/>
      <c r="AQ100" s="12" t="s">
        <v>725</v>
      </c>
      <c r="AR100" s="13"/>
      <c r="AS100" s="13" t="s">
        <v>71</v>
      </c>
      <c r="AT100" s="13" t="s">
        <v>71</v>
      </c>
      <c r="AU100" s="14">
        <v>100</v>
      </c>
      <c r="AV100" s="14"/>
      <c r="AW100" s="14">
        <v>18.52</v>
      </c>
      <c r="AX100" s="15">
        <v>45900</v>
      </c>
      <c r="AY100" s="15"/>
    </row>
    <row r="101" spans="1:51">
      <c r="A101" s="12">
        <v>8903091</v>
      </c>
      <c r="B101" s="13" t="s">
        <v>3444</v>
      </c>
      <c r="C101" s="13" t="s">
        <v>3342</v>
      </c>
      <c r="D101" s="13"/>
      <c r="E101" s="13" t="s">
        <v>3318</v>
      </c>
      <c r="F101" s="12"/>
      <c r="G101" s="12"/>
      <c r="H101" s="13"/>
      <c r="I101" s="12"/>
      <c r="J101" s="12"/>
      <c r="K101" s="12"/>
      <c r="L101" s="12" t="s">
        <v>3321</v>
      </c>
      <c r="M101" s="12"/>
      <c r="N101" s="12"/>
      <c r="O101" s="13"/>
      <c r="P101" s="12">
        <v>10</v>
      </c>
      <c r="Q101" s="13" t="s">
        <v>3339</v>
      </c>
      <c r="R101" s="12">
        <v>985</v>
      </c>
      <c r="S101" s="12">
        <v>3272104</v>
      </c>
      <c r="T101" s="12"/>
      <c r="U101" s="13"/>
      <c r="V101" s="12" t="s">
        <v>3321</v>
      </c>
      <c r="W101" s="13" t="s">
        <v>3322</v>
      </c>
      <c r="X101" s="12"/>
      <c r="Y101" s="13"/>
      <c r="Z101" s="12"/>
      <c r="AA101" s="13"/>
      <c r="AB101" s="12"/>
      <c r="AC101" s="12"/>
      <c r="AD101" s="14"/>
      <c r="AE101" s="12"/>
      <c r="AF101" s="13"/>
      <c r="AG101" s="12"/>
      <c r="AH101" s="12"/>
      <c r="AI101" s="13"/>
      <c r="AJ101" s="13" t="s">
        <v>3328</v>
      </c>
      <c r="AK101" s="13" t="s">
        <v>3324</v>
      </c>
      <c r="AL101" s="12"/>
      <c r="AM101" s="13"/>
      <c r="AN101" s="12"/>
      <c r="AO101" s="12" t="s">
        <v>790</v>
      </c>
      <c r="AP101" s="13"/>
      <c r="AQ101" s="12" t="s">
        <v>787</v>
      </c>
      <c r="AR101" s="13"/>
      <c r="AS101" s="13" t="s">
        <v>71</v>
      </c>
      <c r="AT101" s="13" t="s">
        <v>71</v>
      </c>
      <c r="AU101" s="14">
        <v>100</v>
      </c>
      <c r="AV101" s="14"/>
      <c r="AW101" s="14">
        <v>18.93</v>
      </c>
      <c r="AX101" s="15">
        <v>45900</v>
      </c>
      <c r="AY101" s="15"/>
    </row>
    <row r="102" spans="1:51">
      <c r="A102" s="12">
        <v>8903092</v>
      </c>
      <c r="B102" s="13" t="s">
        <v>3445</v>
      </c>
      <c r="C102" s="13" t="s">
        <v>3342</v>
      </c>
      <c r="D102" s="13"/>
      <c r="E102" s="13" t="s">
        <v>3318</v>
      </c>
      <c r="F102" s="12"/>
      <c r="G102" s="12"/>
      <c r="H102" s="13"/>
      <c r="I102" s="12"/>
      <c r="J102" s="12"/>
      <c r="K102" s="12"/>
      <c r="L102" s="12" t="s">
        <v>3321</v>
      </c>
      <c r="M102" s="12"/>
      <c r="N102" s="12"/>
      <c r="O102" s="13"/>
      <c r="P102" s="12">
        <v>10</v>
      </c>
      <c r="Q102" s="13" t="s">
        <v>3339</v>
      </c>
      <c r="R102" s="12">
        <v>985</v>
      </c>
      <c r="S102" s="12">
        <v>3272104</v>
      </c>
      <c r="T102" s="12"/>
      <c r="U102" s="13"/>
      <c r="V102" s="12" t="s">
        <v>3321</v>
      </c>
      <c r="W102" s="13" t="s">
        <v>3322</v>
      </c>
      <c r="X102" s="12"/>
      <c r="Y102" s="13"/>
      <c r="Z102" s="12"/>
      <c r="AA102" s="13"/>
      <c r="AB102" s="12"/>
      <c r="AC102" s="12"/>
      <c r="AD102" s="14"/>
      <c r="AE102" s="12"/>
      <c r="AF102" s="13"/>
      <c r="AG102" s="12"/>
      <c r="AH102" s="12"/>
      <c r="AI102" s="13"/>
      <c r="AJ102" s="13" t="s">
        <v>3328</v>
      </c>
      <c r="AK102" s="13" t="s">
        <v>3324</v>
      </c>
      <c r="AL102" s="12"/>
      <c r="AM102" s="13"/>
      <c r="AN102" s="12"/>
      <c r="AO102" s="12" t="s">
        <v>796</v>
      </c>
      <c r="AP102" s="13"/>
      <c r="AQ102" s="12" t="s">
        <v>793</v>
      </c>
      <c r="AR102" s="13"/>
      <c r="AS102" s="13" t="s">
        <v>71</v>
      </c>
      <c r="AT102" s="13" t="s">
        <v>71</v>
      </c>
      <c r="AU102" s="14">
        <v>100</v>
      </c>
      <c r="AV102" s="14"/>
      <c r="AW102" s="14">
        <v>18.93</v>
      </c>
      <c r="AX102" s="15">
        <v>45900</v>
      </c>
      <c r="AY102" s="15"/>
    </row>
    <row r="103" spans="1:51">
      <c r="A103" s="12">
        <v>8921152</v>
      </c>
      <c r="B103" s="13" t="s">
        <v>3726</v>
      </c>
      <c r="C103" s="13" t="s">
        <v>3342</v>
      </c>
      <c r="D103" s="13" t="s">
        <v>3318</v>
      </c>
      <c r="E103" s="13" t="s">
        <v>3318</v>
      </c>
      <c r="F103" s="12"/>
      <c r="G103" s="12"/>
      <c r="H103" s="13"/>
      <c r="I103" s="12"/>
      <c r="J103" s="12"/>
      <c r="K103" s="12"/>
      <c r="L103" s="12" t="s">
        <v>2997</v>
      </c>
      <c r="M103" s="12"/>
      <c r="N103" s="12"/>
      <c r="O103" s="13"/>
      <c r="P103" s="12">
        <v>20</v>
      </c>
      <c r="Q103" s="13" t="s">
        <v>3320</v>
      </c>
      <c r="R103" s="12">
        <v>455</v>
      </c>
      <c r="S103" s="12">
        <v>585957</v>
      </c>
      <c r="T103" s="12"/>
      <c r="U103" s="13"/>
      <c r="V103" s="12" t="s">
        <v>3321</v>
      </c>
      <c r="W103" s="13" t="s">
        <v>3322</v>
      </c>
      <c r="X103" s="12"/>
      <c r="Y103" s="13"/>
      <c r="Z103" s="12"/>
      <c r="AA103" s="13"/>
      <c r="AB103" s="12"/>
      <c r="AC103" s="12"/>
      <c r="AD103" s="14"/>
      <c r="AE103" s="12"/>
      <c r="AF103" s="13"/>
      <c r="AG103" s="12"/>
      <c r="AH103" s="12"/>
      <c r="AI103" s="13"/>
      <c r="AJ103" s="13" t="s">
        <v>3328</v>
      </c>
      <c r="AK103" s="13" t="s">
        <v>3324</v>
      </c>
      <c r="AL103" s="12"/>
      <c r="AM103" s="13"/>
      <c r="AN103" s="12"/>
      <c r="AO103" s="12">
        <v>2115</v>
      </c>
      <c r="AP103" s="13"/>
      <c r="AQ103" s="12">
        <v>21152</v>
      </c>
      <c r="AR103" s="13"/>
      <c r="AS103" s="13" t="s">
        <v>71</v>
      </c>
      <c r="AT103" s="13" t="s">
        <v>71</v>
      </c>
      <c r="AU103" s="14">
        <v>100</v>
      </c>
      <c r="AV103" s="14"/>
      <c r="AW103" s="14">
        <v>19.03</v>
      </c>
      <c r="AX103" s="15">
        <v>45900</v>
      </c>
      <c r="AY103" s="15"/>
    </row>
    <row r="104" spans="1:51">
      <c r="A104" s="12">
        <v>8908052</v>
      </c>
      <c r="B104" s="13" t="s">
        <v>3522</v>
      </c>
      <c r="C104" s="13" t="s">
        <v>3342</v>
      </c>
      <c r="D104" s="13"/>
      <c r="E104" s="13" t="s">
        <v>3318</v>
      </c>
      <c r="F104" s="12"/>
      <c r="G104" s="12"/>
      <c r="H104" s="13"/>
      <c r="I104" s="12"/>
      <c r="J104" s="12"/>
      <c r="K104" s="12"/>
      <c r="L104" s="12" t="s">
        <v>1373</v>
      </c>
      <c r="M104" s="12"/>
      <c r="N104" s="12"/>
      <c r="O104" s="13"/>
      <c r="P104" s="12">
        <v>10</v>
      </c>
      <c r="Q104" s="13" t="s">
        <v>3339</v>
      </c>
      <c r="R104" s="12">
        <v>985</v>
      </c>
      <c r="S104" s="12">
        <v>3279085</v>
      </c>
      <c r="T104" s="12"/>
      <c r="U104" s="13"/>
      <c r="V104" s="12" t="s">
        <v>3321</v>
      </c>
      <c r="W104" s="13" t="s">
        <v>3322</v>
      </c>
      <c r="X104" s="12"/>
      <c r="Y104" s="13"/>
      <c r="Z104" s="12"/>
      <c r="AA104" s="13"/>
      <c r="AB104" s="12"/>
      <c r="AC104" s="12"/>
      <c r="AD104" s="14"/>
      <c r="AE104" s="12"/>
      <c r="AF104" s="13"/>
      <c r="AG104" s="12"/>
      <c r="AH104" s="12"/>
      <c r="AI104" s="13"/>
      <c r="AJ104" s="13" t="s">
        <v>3328</v>
      </c>
      <c r="AK104" s="13" t="s">
        <v>3324</v>
      </c>
      <c r="AL104" s="12"/>
      <c r="AM104" s="13"/>
      <c r="AN104" s="12"/>
      <c r="AO104" s="12" t="s">
        <v>1367</v>
      </c>
      <c r="AP104" s="13"/>
      <c r="AQ104" s="12" t="s">
        <v>1370</v>
      </c>
      <c r="AR104" s="13"/>
      <c r="AS104" s="13" t="s">
        <v>71</v>
      </c>
      <c r="AT104" s="13" t="s">
        <v>71</v>
      </c>
      <c r="AU104" s="14">
        <v>100</v>
      </c>
      <c r="AV104" s="14"/>
      <c r="AW104" s="14">
        <v>19.23</v>
      </c>
      <c r="AX104" s="15">
        <v>45900</v>
      </c>
      <c r="AY104" s="15"/>
    </row>
    <row r="105" spans="1:51">
      <c r="A105" s="12">
        <v>8905111</v>
      </c>
      <c r="B105" s="13" t="s">
        <v>3489</v>
      </c>
      <c r="C105" s="13" t="s">
        <v>3342</v>
      </c>
      <c r="D105" s="13"/>
      <c r="E105" s="13" t="s">
        <v>3318</v>
      </c>
      <c r="F105" s="12"/>
      <c r="G105" s="12"/>
      <c r="H105" s="13"/>
      <c r="I105" s="12"/>
      <c r="J105" s="12"/>
      <c r="K105" s="12"/>
      <c r="L105" s="12" t="s">
        <v>3321</v>
      </c>
      <c r="M105" s="12"/>
      <c r="N105" s="12"/>
      <c r="O105" s="13"/>
      <c r="P105" s="12">
        <v>10</v>
      </c>
      <c r="Q105" s="13" t="s">
        <v>3339</v>
      </c>
      <c r="R105" s="12">
        <v>985</v>
      </c>
      <c r="S105" s="12">
        <v>3271205</v>
      </c>
      <c r="T105" s="12"/>
      <c r="U105" s="13"/>
      <c r="V105" s="12" t="s">
        <v>3321</v>
      </c>
      <c r="W105" s="13" t="s">
        <v>3322</v>
      </c>
      <c r="X105" s="12"/>
      <c r="Y105" s="13"/>
      <c r="Z105" s="12"/>
      <c r="AA105" s="13"/>
      <c r="AB105" s="12"/>
      <c r="AC105" s="12"/>
      <c r="AD105" s="14"/>
      <c r="AE105" s="12"/>
      <c r="AF105" s="13"/>
      <c r="AG105" s="12"/>
      <c r="AH105" s="12"/>
      <c r="AI105" s="13"/>
      <c r="AJ105" s="13" t="s">
        <v>3328</v>
      </c>
      <c r="AK105" s="13" t="s">
        <v>3324</v>
      </c>
      <c r="AL105" s="12"/>
      <c r="AM105" s="13"/>
      <c r="AN105" s="12"/>
      <c r="AO105" s="12" t="s">
        <v>1066</v>
      </c>
      <c r="AP105" s="13"/>
      <c r="AQ105" s="12" t="s">
        <v>1063</v>
      </c>
      <c r="AR105" s="13"/>
      <c r="AS105" s="13" t="s">
        <v>71</v>
      </c>
      <c r="AT105" s="13" t="s">
        <v>71</v>
      </c>
      <c r="AU105" s="14">
        <v>100</v>
      </c>
      <c r="AV105" s="14"/>
      <c r="AW105" s="14">
        <v>19.79</v>
      </c>
      <c r="AX105" s="15">
        <v>45900</v>
      </c>
      <c r="AY105" s="15"/>
    </row>
    <row r="106" spans="1:51">
      <c r="A106" s="12">
        <v>8911191</v>
      </c>
      <c r="B106" s="13" t="s">
        <v>3546</v>
      </c>
      <c r="C106" s="13" t="s">
        <v>3342</v>
      </c>
      <c r="D106" s="13"/>
      <c r="E106" s="13" t="s">
        <v>3318</v>
      </c>
      <c r="F106" s="12"/>
      <c r="G106" s="12"/>
      <c r="H106" s="13"/>
      <c r="I106" s="12"/>
      <c r="J106" s="12"/>
      <c r="K106" s="12" t="s">
        <v>3547</v>
      </c>
      <c r="L106" s="12" t="s">
        <v>1675</v>
      </c>
      <c r="M106" s="12"/>
      <c r="N106" s="12"/>
      <c r="O106" s="13"/>
      <c r="P106" s="12">
        <v>10</v>
      </c>
      <c r="Q106" s="13" t="s">
        <v>3339</v>
      </c>
      <c r="R106" s="12">
        <v>985</v>
      </c>
      <c r="S106" s="12">
        <v>3282298</v>
      </c>
      <c r="T106" s="12"/>
      <c r="U106" s="13"/>
      <c r="V106" s="12" t="s">
        <v>3321</v>
      </c>
      <c r="W106" s="13" t="s">
        <v>3322</v>
      </c>
      <c r="X106" s="12"/>
      <c r="Y106" s="13"/>
      <c r="Z106" s="12"/>
      <c r="AA106" s="13"/>
      <c r="AB106" s="12"/>
      <c r="AC106" s="12"/>
      <c r="AD106" s="14"/>
      <c r="AE106" s="12"/>
      <c r="AF106" s="13"/>
      <c r="AG106" s="12"/>
      <c r="AH106" s="12"/>
      <c r="AI106" s="13"/>
      <c r="AJ106" s="13" t="s">
        <v>3328</v>
      </c>
      <c r="AK106" s="13" t="s">
        <v>3324</v>
      </c>
      <c r="AL106" s="12"/>
      <c r="AM106" s="13"/>
      <c r="AN106" s="12"/>
      <c r="AO106" s="12">
        <v>1119</v>
      </c>
      <c r="AP106" s="13"/>
      <c r="AQ106" s="12">
        <v>11191</v>
      </c>
      <c r="AR106" s="13"/>
      <c r="AS106" s="13" t="s">
        <v>71</v>
      </c>
      <c r="AT106" s="13" t="s">
        <v>71</v>
      </c>
      <c r="AU106" s="14">
        <v>100</v>
      </c>
      <c r="AV106" s="14"/>
      <c r="AW106" s="14">
        <v>20.010000000000002</v>
      </c>
      <c r="AX106" s="15">
        <v>45900</v>
      </c>
      <c r="AY106" s="15"/>
    </row>
    <row r="107" spans="1:51">
      <c r="A107" s="12">
        <v>8906132</v>
      </c>
      <c r="B107" s="13" t="s">
        <v>3508</v>
      </c>
      <c r="C107" s="13" t="s">
        <v>3342</v>
      </c>
      <c r="D107" s="13"/>
      <c r="E107" s="13" t="s">
        <v>3318</v>
      </c>
      <c r="F107" s="12"/>
      <c r="G107" s="12"/>
      <c r="H107" s="13"/>
      <c r="I107" s="12"/>
      <c r="J107" s="12"/>
      <c r="K107" s="12"/>
      <c r="L107" s="12" t="s">
        <v>1210</v>
      </c>
      <c r="M107" s="12"/>
      <c r="N107" s="12"/>
      <c r="O107" s="13"/>
      <c r="P107" s="12">
        <v>12</v>
      </c>
      <c r="Q107" s="13" t="s">
        <v>3378</v>
      </c>
      <c r="R107" s="12">
        <v>648</v>
      </c>
      <c r="S107" s="12">
        <v>656020</v>
      </c>
      <c r="T107" s="12"/>
      <c r="U107" s="13"/>
      <c r="V107" s="12" t="s">
        <v>3321</v>
      </c>
      <c r="W107" s="13" t="s">
        <v>3322</v>
      </c>
      <c r="X107" s="12"/>
      <c r="Y107" s="13"/>
      <c r="Z107" s="12"/>
      <c r="AA107" s="13"/>
      <c r="AB107" s="12"/>
      <c r="AC107" s="12"/>
      <c r="AD107" s="14"/>
      <c r="AE107" s="12"/>
      <c r="AF107" s="13"/>
      <c r="AG107" s="12"/>
      <c r="AH107" s="12"/>
      <c r="AI107" s="13"/>
      <c r="AJ107" s="13" t="s">
        <v>3328</v>
      </c>
      <c r="AK107" s="13" t="s">
        <v>3324</v>
      </c>
      <c r="AL107" s="12"/>
      <c r="AM107" s="13"/>
      <c r="AN107" s="12"/>
      <c r="AO107" s="12" t="s">
        <v>1204</v>
      </c>
      <c r="AP107" s="13"/>
      <c r="AQ107" s="12" t="s">
        <v>1207</v>
      </c>
      <c r="AR107" s="13"/>
      <c r="AS107" s="13" t="s">
        <v>71</v>
      </c>
      <c r="AT107" s="13" t="s">
        <v>71</v>
      </c>
      <c r="AU107" s="14">
        <v>100</v>
      </c>
      <c r="AV107" s="14"/>
      <c r="AW107" s="14">
        <v>20.059999999999999</v>
      </c>
      <c r="AX107" s="15">
        <v>45900</v>
      </c>
      <c r="AY107" s="15"/>
    </row>
    <row r="108" spans="1:51">
      <c r="A108" s="12">
        <v>8912192</v>
      </c>
      <c r="B108" s="13" t="s">
        <v>3583</v>
      </c>
      <c r="C108" s="13" t="s">
        <v>3342</v>
      </c>
      <c r="D108" s="13"/>
      <c r="E108" s="13" t="s">
        <v>3318</v>
      </c>
      <c r="F108" s="12"/>
      <c r="G108" s="12"/>
      <c r="H108" s="13"/>
      <c r="I108" s="12"/>
      <c r="J108" s="12"/>
      <c r="K108" s="12" t="s">
        <v>3581</v>
      </c>
      <c r="L108" s="12" t="s">
        <v>1855</v>
      </c>
      <c r="M108" s="12"/>
      <c r="N108" s="12"/>
      <c r="O108" s="13"/>
      <c r="P108" s="12">
        <v>13</v>
      </c>
      <c r="Q108" s="13" t="s">
        <v>3421</v>
      </c>
      <c r="R108" s="12" t="s">
        <v>3582</v>
      </c>
      <c r="S108" s="12">
        <v>1461412</v>
      </c>
      <c r="T108" s="12"/>
      <c r="U108" s="13"/>
      <c r="V108" s="12" t="s">
        <v>3321</v>
      </c>
      <c r="W108" s="13" t="s">
        <v>3322</v>
      </c>
      <c r="X108" s="12"/>
      <c r="Y108" s="13"/>
      <c r="Z108" s="12"/>
      <c r="AA108" s="13"/>
      <c r="AB108" s="12"/>
      <c r="AC108" s="12"/>
      <c r="AD108" s="14"/>
      <c r="AE108" s="12"/>
      <c r="AF108" s="13"/>
      <c r="AG108" s="12"/>
      <c r="AH108" s="12"/>
      <c r="AI108" s="13"/>
      <c r="AJ108" s="13" t="s">
        <v>3328</v>
      </c>
      <c r="AK108" s="13" t="s">
        <v>3324</v>
      </c>
      <c r="AL108" s="12"/>
      <c r="AM108" s="13"/>
      <c r="AN108" s="12"/>
      <c r="AO108" s="12">
        <v>1219</v>
      </c>
      <c r="AP108" s="13"/>
      <c r="AQ108" s="12">
        <v>12192</v>
      </c>
      <c r="AR108" s="13"/>
      <c r="AS108" s="13" t="s">
        <v>71</v>
      </c>
      <c r="AT108" s="13" t="s">
        <v>71</v>
      </c>
      <c r="AU108" s="14">
        <v>100</v>
      </c>
      <c r="AV108" s="14"/>
      <c r="AW108" s="14">
        <v>20.93</v>
      </c>
      <c r="AX108" s="15">
        <v>45900</v>
      </c>
      <c r="AY108" s="15"/>
    </row>
    <row r="109" spans="1:51">
      <c r="A109" s="12">
        <v>8920281</v>
      </c>
      <c r="B109" s="13" t="s">
        <v>3684</v>
      </c>
      <c r="C109" s="13" t="s">
        <v>3342</v>
      </c>
      <c r="D109" s="13"/>
      <c r="E109" s="13" t="s">
        <v>3318</v>
      </c>
      <c r="F109" s="12"/>
      <c r="G109" s="12"/>
      <c r="H109" s="13"/>
      <c r="I109" s="12"/>
      <c r="J109" s="12"/>
      <c r="K109" s="12" t="s">
        <v>3685</v>
      </c>
      <c r="L109" s="12" t="s">
        <v>2721</v>
      </c>
      <c r="M109" s="12" t="s">
        <v>2721</v>
      </c>
      <c r="N109" s="12"/>
      <c r="O109" s="13"/>
      <c r="P109" s="12">
        <v>20</v>
      </c>
      <c r="Q109" s="13" t="s">
        <v>3320</v>
      </c>
      <c r="R109" s="12">
        <v>450</v>
      </c>
      <c r="S109" s="12">
        <v>150898</v>
      </c>
      <c r="T109" s="12"/>
      <c r="U109" s="13"/>
      <c r="V109" s="12" t="s">
        <v>3321</v>
      </c>
      <c r="W109" s="13" t="s">
        <v>3322</v>
      </c>
      <c r="X109" s="12"/>
      <c r="Y109" s="13"/>
      <c r="Z109" s="12"/>
      <c r="AA109" s="13"/>
      <c r="AB109" s="12"/>
      <c r="AC109" s="12"/>
      <c r="AD109" s="14"/>
      <c r="AE109" s="12"/>
      <c r="AF109" s="13"/>
      <c r="AG109" s="12"/>
      <c r="AH109" s="12"/>
      <c r="AI109" s="13"/>
      <c r="AJ109" s="13" t="s">
        <v>3328</v>
      </c>
      <c r="AK109" s="13" t="s">
        <v>3324</v>
      </c>
      <c r="AL109" s="12"/>
      <c r="AM109" s="13"/>
      <c r="AN109" s="12"/>
      <c r="AO109" s="12">
        <v>2028</v>
      </c>
      <c r="AP109" s="13"/>
      <c r="AQ109" s="12">
        <v>20281</v>
      </c>
      <c r="AR109" s="13"/>
      <c r="AS109" s="13" t="s">
        <v>71</v>
      </c>
      <c r="AT109" s="13" t="s">
        <v>71</v>
      </c>
      <c r="AU109" s="14">
        <v>100</v>
      </c>
      <c r="AV109" s="14"/>
      <c r="AW109" s="14">
        <v>21.01</v>
      </c>
      <c r="AX109" s="15">
        <v>45900</v>
      </c>
      <c r="AY109" s="15"/>
    </row>
    <row r="110" spans="1:51">
      <c r="A110" s="12">
        <v>8920282</v>
      </c>
      <c r="B110" s="13" t="s">
        <v>3686</v>
      </c>
      <c r="C110" s="13" t="s">
        <v>3342</v>
      </c>
      <c r="D110" s="13"/>
      <c r="E110" s="13" t="s">
        <v>3318</v>
      </c>
      <c r="F110" s="12"/>
      <c r="G110" s="12"/>
      <c r="H110" s="13"/>
      <c r="I110" s="12"/>
      <c r="J110" s="12"/>
      <c r="K110" s="12" t="s">
        <v>3685</v>
      </c>
      <c r="L110" s="12" t="s">
        <v>2724</v>
      </c>
      <c r="M110" s="12" t="s">
        <v>2724</v>
      </c>
      <c r="N110" s="12"/>
      <c r="O110" s="13"/>
      <c r="P110" s="12">
        <v>20</v>
      </c>
      <c r="Q110" s="13" t="s">
        <v>3320</v>
      </c>
      <c r="R110" s="12">
        <v>450</v>
      </c>
      <c r="S110" s="12">
        <v>150898</v>
      </c>
      <c r="T110" s="12"/>
      <c r="U110" s="13"/>
      <c r="V110" s="12" t="s">
        <v>3321</v>
      </c>
      <c r="W110" s="13" t="s">
        <v>3322</v>
      </c>
      <c r="X110" s="12"/>
      <c r="Y110" s="13"/>
      <c r="Z110" s="12"/>
      <c r="AA110" s="13"/>
      <c r="AB110" s="12"/>
      <c r="AC110" s="12"/>
      <c r="AD110" s="14"/>
      <c r="AE110" s="12"/>
      <c r="AF110" s="13"/>
      <c r="AG110" s="12"/>
      <c r="AH110" s="12"/>
      <c r="AI110" s="13"/>
      <c r="AJ110" s="13" t="s">
        <v>3328</v>
      </c>
      <c r="AK110" s="13" t="s">
        <v>3324</v>
      </c>
      <c r="AL110" s="12"/>
      <c r="AM110" s="13"/>
      <c r="AN110" s="12"/>
      <c r="AO110" s="12">
        <v>2028</v>
      </c>
      <c r="AP110" s="13"/>
      <c r="AQ110" s="12">
        <v>20282</v>
      </c>
      <c r="AR110" s="13"/>
      <c r="AS110" s="13" t="s">
        <v>71</v>
      </c>
      <c r="AT110" s="13" t="s">
        <v>71</v>
      </c>
      <c r="AU110" s="14">
        <v>100</v>
      </c>
      <c r="AV110" s="14"/>
      <c r="AW110" s="14">
        <v>21.01</v>
      </c>
      <c r="AX110" s="15">
        <v>45900</v>
      </c>
      <c r="AY110" s="15"/>
    </row>
    <row r="111" spans="1:51">
      <c r="A111" s="12">
        <v>8921192</v>
      </c>
      <c r="B111" s="13" t="s">
        <v>3730</v>
      </c>
      <c r="C111" s="13" t="s">
        <v>3342</v>
      </c>
      <c r="D111" s="13"/>
      <c r="E111" s="13" t="s">
        <v>3318</v>
      </c>
      <c r="F111" s="12"/>
      <c r="G111" s="12"/>
      <c r="H111" s="13"/>
      <c r="I111" s="12"/>
      <c r="J111" s="12"/>
      <c r="K111" s="12"/>
      <c r="L111" s="12" t="s">
        <v>3032</v>
      </c>
      <c r="M111" s="12"/>
      <c r="N111" s="12"/>
      <c r="O111" s="13"/>
      <c r="P111" s="12">
        <v>10</v>
      </c>
      <c r="Q111" s="13" t="s">
        <v>3339</v>
      </c>
      <c r="R111" s="12">
        <v>985</v>
      </c>
      <c r="S111" s="12">
        <v>3281987</v>
      </c>
      <c r="T111" s="12"/>
      <c r="U111" s="13"/>
      <c r="V111" s="12" t="s">
        <v>3321</v>
      </c>
      <c r="W111" s="13" t="s">
        <v>3322</v>
      </c>
      <c r="X111" s="12"/>
      <c r="Y111" s="13"/>
      <c r="Z111" s="12"/>
      <c r="AA111" s="13"/>
      <c r="AB111" s="12"/>
      <c r="AC111" s="12"/>
      <c r="AD111" s="14"/>
      <c r="AE111" s="12"/>
      <c r="AF111" s="13"/>
      <c r="AG111" s="12"/>
      <c r="AH111" s="12"/>
      <c r="AI111" s="13"/>
      <c r="AJ111" s="13" t="s">
        <v>3328</v>
      </c>
      <c r="AK111" s="13" t="s">
        <v>3324</v>
      </c>
      <c r="AL111" s="12"/>
      <c r="AM111" s="13"/>
      <c r="AN111" s="12"/>
      <c r="AO111" s="12">
        <v>2119</v>
      </c>
      <c r="AP111" s="13"/>
      <c r="AQ111" s="12">
        <v>21192</v>
      </c>
      <c r="AR111" s="13"/>
      <c r="AS111" s="13" t="s">
        <v>71</v>
      </c>
      <c r="AT111" s="13" t="s">
        <v>71</v>
      </c>
      <c r="AU111" s="14">
        <v>100</v>
      </c>
      <c r="AV111" s="14"/>
      <c r="AW111" s="14">
        <v>21.01</v>
      </c>
      <c r="AX111" s="15">
        <v>45900</v>
      </c>
      <c r="AY111" s="15"/>
    </row>
    <row r="112" spans="1:51">
      <c r="A112" s="12">
        <v>8911121</v>
      </c>
      <c r="B112" s="13" t="s">
        <v>3544</v>
      </c>
      <c r="C112" s="13" t="s">
        <v>3342</v>
      </c>
      <c r="D112" s="13"/>
      <c r="E112" s="13" t="s">
        <v>3318</v>
      </c>
      <c r="F112" s="12"/>
      <c r="G112" s="12"/>
      <c r="H112" s="13"/>
      <c r="I112" s="12"/>
      <c r="J112" s="12"/>
      <c r="K112" s="12"/>
      <c r="L112" s="12" t="s">
        <v>1644</v>
      </c>
      <c r="M112" s="12"/>
      <c r="N112" s="12"/>
      <c r="O112" s="13"/>
      <c r="P112" s="12">
        <v>12</v>
      </c>
      <c r="Q112" s="13" t="s">
        <v>3378</v>
      </c>
      <c r="R112" s="12">
        <v>615</v>
      </c>
      <c r="S112" s="12">
        <v>492640</v>
      </c>
      <c r="T112" s="12"/>
      <c r="U112" s="13"/>
      <c r="V112" s="12" t="s">
        <v>3321</v>
      </c>
      <c r="W112" s="13" t="s">
        <v>3322</v>
      </c>
      <c r="X112" s="12"/>
      <c r="Y112" s="13"/>
      <c r="Z112" s="12"/>
      <c r="AA112" s="13"/>
      <c r="AB112" s="12"/>
      <c r="AC112" s="12"/>
      <c r="AD112" s="14"/>
      <c r="AE112" s="12"/>
      <c r="AF112" s="13"/>
      <c r="AG112" s="12"/>
      <c r="AH112" s="12"/>
      <c r="AI112" s="13"/>
      <c r="AJ112" s="13" t="s">
        <v>3328</v>
      </c>
      <c r="AK112" s="13" t="s">
        <v>3324</v>
      </c>
      <c r="AL112" s="12"/>
      <c r="AM112" s="13"/>
      <c r="AN112" s="12"/>
      <c r="AO112" s="12">
        <v>1112</v>
      </c>
      <c r="AP112" s="13"/>
      <c r="AQ112" s="12">
        <v>11121</v>
      </c>
      <c r="AR112" s="13"/>
      <c r="AS112" s="13" t="s">
        <v>71</v>
      </c>
      <c r="AT112" s="13" t="s">
        <v>71</v>
      </c>
      <c r="AU112" s="14">
        <v>100</v>
      </c>
      <c r="AV112" s="14"/>
      <c r="AW112" s="14">
        <v>21.1</v>
      </c>
      <c r="AX112" s="15">
        <v>45900</v>
      </c>
      <c r="AY112" s="15"/>
    </row>
    <row r="113" spans="1:51">
      <c r="A113" s="12">
        <v>8911122</v>
      </c>
      <c r="B113" s="13" t="s">
        <v>3545</v>
      </c>
      <c r="C113" s="13" t="s">
        <v>3342</v>
      </c>
      <c r="D113" s="13"/>
      <c r="E113" s="13" t="s">
        <v>3318</v>
      </c>
      <c r="F113" s="12"/>
      <c r="G113" s="12"/>
      <c r="H113" s="13"/>
      <c r="I113" s="12"/>
      <c r="J113" s="12"/>
      <c r="K113" s="12"/>
      <c r="L113" s="12" t="s">
        <v>1647</v>
      </c>
      <c r="M113" s="12"/>
      <c r="N113" s="12"/>
      <c r="O113" s="13"/>
      <c r="P113" s="12">
        <v>12</v>
      </c>
      <c r="Q113" s="13" t="s">
        <v>3378</v>
      </c>
      <c r="R113" s="12">
        <v>615</v>
      </c>
      <c r="S113" s="12">
        <v>492640</v>
      </c>
      <c r="T113" s="12"/>
      <c r="U113" s="13"/>
      <c r="V113" s="12" t="s">
        <v>3321</v>
      </c>
      <c r="W113" s="13" t="s">
        <v>3322</v>
      </c>
      <c r="X113" s="12"/>
      <c r="Y113" s="13"/>
      <c r="Z113" s="12"/>
      <c r="AA113" s="13"/>
      <c r="AB113" s="12"/>
      <c r="AC113" s="12"/>
      <c r="AD113" s="14"/>
      <c r="AE113" s="12"/>
      <c r="AF113" s="13"/>
      <c r="AG113" s="12"/>
      <c r="AH113" s="12"/>
      <c r="AI113" s="13"/>
      <c r="AJ113" s="13" t="s">
        <v>3328</v>
      </c>
      <c r="AK113" s="13" t="s">
        <v>3324</v>
      </c>
      <c r="AL113" s="12"/>
      <c r="AM113" s="13"/>
      <c r="AN113" s="12"/>
      <c r="AO113" s="12">
        <v>1112</v>
      </c>
      <c r="AP113" s="13"/>
      <c r="AQ113" s="12">
        <v>11122</v>
      </c>
      <c r="AR113" s="13"/>
      <c r="AS113" s="13" t="s">
        <v>71</v>
      </c>
      <c r="AT113" s="13" t="s">
        <v>71</v>
      </c>
      <c r="AU113" s="14">
        <v>100</v>
      </c>
      <c r="AV113" s="14"/>
      <c r="AW113" s="14">
        <v>21.1</v>
      </c>
      <c r="AX113" s="15">
        <v>45900</v>
      </c>
      <c r="AY113" s="15"/>
    </row>
    <row r="114" spans="1:51">
      <c r="A114" s="12">
        <v>8902371</v>
      </c>
      <c r="B114" s="13" t="s">
        <v>3412</v>
      </c>
      <c r="C114" s="13" t="s">
        <v>3342</v>
      </c>
      <c r="D114" s="13"/>
      <c r="E114" s="13" t="s">
        <v>3318</v>
      </c>
      <c r="F114" s="12"/>
      <c r="G114" s="12"/>
      <c r="H114" s="13"/>
      <c r="I114" s="12"/>
      <c r="J114" s="12"/>
      <c r="K114" s="12"/>
      <c r="L114" s="12" t="s">
        <v>599</v>
      </c>
      <c r="M114" s="12"/>
      <c r="N114" s="12"/>
      <c r="O114" s="13"/>
      <c r="P114" s="12">
        <v>11</v>
      </c>
      <c r="Q114" s="13" t="s">
        <v>3413</v>
      </c>
      <c r="R114" s="12">
        <v>153</v>
      </c>
      <c r="S114" s="12">
        <v>5156833</v>
      </c>
      <c r="T114" s="12"/>
      <c r="U114" s="13"/>
      <c r="V114" s="12" t="s">
        <v>3321</v>
      </c>
      <c r="W114" s="13" t="s">
        <v>3322</v>
      </c>
      <c r="X114" s="12"/>
      <c r="Y114" s="13"/>
      <c r="Z114" s="12"/>
      <c r="AA114" s="13"/>
      <c r="AB114" s="12"/>
      <c r="AC114" s="12"/>
      <c r="AD114" s="14"/>
      <c r="AE114" s="12"/>
      <c r="AF114" s="13"/>
      <c r="AG114" s="12"/>
      <c r="AH114" s="12"/>
      <c r="AI114" s="13"/>
      <c r="AJ114" s="13" t="s">
        <v>3328</v>
      </c>
      <c r="AK114" s="13" t="s">
        <v>3324</v>
      </c>
      <c r="AL114" s="12"/>
      <c r="AM114" s="13"/>
      <c r="AN114" s="12"/>
      <c r="AO114" s="12" t="s">
        <v>549</v>
      </c>
      <c r="AP114" s="13"/>
      <c r="AQ114" s="12" t="s">
        <v>552</v>
      </c>
      <c r="AR114" s="13"/>
      <c r="AS114" s="13" t="s">
        <v>71</v>
      </c>
      <c r="AT114" s="13" t="s">
        <v>71</v>
      </c>
      <c r="AU114" s="14">
        <v>100</v>
      </c>
      <c r="AV114" s="14"/>
      <c r="AW114" s="14">
        <v>21.35</v>
      </c>
      <c r="AX114" s="15">
        <v>45900</v>
      </c>
      <c r="AY114" s="15"/>
    </row>
    <row r="115" spans="1:51">
      <c r="A115" s="12">
        <v>8902372</v>
      </c>
      <c r="B115" s="13" t="s">
        <v>3414</v>
      </c>
      <c r="C115" s="13" t="s">
        <v>3342</v>
      </c>
      <c r="D115" s="13"/>
      <c r="E115" s="13" t="s">
        <v>3318</v>
      </c>
      <c r="F115" s="12"/>
      <c r="G115" s="12"/>
      <c r="H115" s="13"/>
      <c r="I115" s="12"/>
      <c r="J115" s="12"/>
      <c r="K115" s="12"/>
      <c r="L115" s="12" t="s">
        <v>602</v>
      </c>
      <c r="M115" s="12"/>
      <c r="N115" s="12"/>
      <c r="O115" s="13"/>
      <c r="P115" s="12">
        <v>11</v>
      </c>
      <c r="Q115" s="13" t="s">
        <v>3413</v>
      </c>
      <c r="R115" s="12">
        <v>153</v>
      </c>
      <c r="S115" s="12">
        <v>5156833</v>
      </c>
      <c r="T115" s="12"/>
      <c r="U115" s="13"/>
      <c r="V115" s="12" t="s">
        <v>3321</v>
      </c>
      <c r="W115" s="13" t="s">
        <v>3322</v>
      </c>
      <c r="X115" s="12"/>
      <c r="Y115" s="13"/>
      <c r="Z115" s="12"/>
      <c r="AA115" s="13"/>
      <c r="AB115" s="12"/>
      <c r="AC115" s="12"/>
      <c r="AD115" s="14"/>
      <c r="AE115" s="12"/>
      <c r="AF115" s="13"/>
      <c r="AG115" s="12"/>
      <c r="AH115" s="12"/>
      <c r="AI115" s="13"/>
      <c r="AJ115" s="13" t="s">
        <v>3328</v>
      </c>
      <c r="AK115" s="13" t="s">
        <v>3324</v>
      </c>
      <c r="AL115" s="12"/>
      <c r="AM115" s="13"/>
      <c r="AN115" s="12"/>
      <c r="AO115" s="12" t="s">
        <v>549</v>
      </c>
      <c r="AP115" s="13"/>
      <c r="AQ115" s="12" t="s">
        <v>600</v>
      </c>
      <c r="AR115" s="13"/>
      <c r="AS115" s="13" t="s">
        <v>71</v>
      </c>
      <c r="AT115" s="13" t="s">
        <v>71</v>
      </c>
      <c r="AU115" s="14">
        <v>100</v>
      </c>
      <c r="AV115" s="14"/>
      <c r="AW115" s="14">
        <v>21.35</v>
      </c>
      <c r="AX115" s="15">
        <v>45900</v>
      </c>
      <c r="AY115" s="15"/>
    </row>
    <row r="116" spans="1:51">
      <c r="A116" s="12">
        <v>8922011</v>
      </c>
      <c r="B116" s="13" t="s">
        <v>3732</v>
      </c>
      <c r="C116" s="13" t="s">
        <v>3342</v>
      </c>
      <c r="D116" s="13"/>
      <c r="E116" s="13" t="s">
        <v>3318</v>
      </c>
      <c r="F116" s="12"/>
      <c r="G116" s="12"/>
      <c r="H116" s="13"/>
      <c r="I116" s="12"/>
      <c r="J116" s="12"/>
      <c r="K116" s="12"/>
      <c r="L116" s="12">
        <v>317033454</v>
      </c>
      <c r="M116" s="12"/>
      <c r="N116" s="12"/>
      <c r="O116" s="13"/>
      <c r="P116" s="12">
        <v>31</v>
      </c>
      <c r="Q116" s="13" t="s">
        <v>3492</v>
      </c>
      <c r="R116" s="12">
        <v>109</v>
      </c>
      <c r="S116" s="12">
        <v>443077</v>
      </c>
      <c r="T116" s="12"/>
      <c r="U116" s="13"/>
      <c r="V116" s="12" t="s">
        <v>3321</v>
      </c>
      <c r="W116" s="13" t="s">
        <v>3322</v>
      </c>
      <c r="X116" s="12"/>
      <c r="Y116" s="13"/>
      <c r="Z116" s="12"/>
      <c r="AA116" s="13"/>
      <c r="AB116" s="12"/>
      <c r="AC116" s="12"/>
      <c r="AD116" s="14"/>
      <c r="AE116" s="12"/>
      <c r="AF116" s="13"/>
      <c r="AG116" s="12"/>
      <c r="AH116" s="12"/>
      <c r="AI116" s="13"/>
      <c r="AJ116" s="13" t="s">
        <v>3328</v>
      </c>
      <c r="AK116" s="13" t="s">
        <v>3324</v>
      </c>
      <c r="AL116" s="12"/>
      <c r="AM116" s="13"/>
      <c r="AN116" s="12"/>
      <c r="AO116" s="12">
        <v>2201</v>
      </c>
      <c r="AP116" s="13"/>
      <c r="AQ116" s="12">
        <v>22011</v>
      </c>
      <c r="AR116" s="13"/>
      <c r="AS116" s="13" t="s">
        <v>71</v>
      </c>
      <c r="AT116" s="13" t="s">
        <v>71</v>
      </c>
      <c r="AU116" s="14">
        <v>100</v>
      </c>
      <c r="AV116" s="14"/>
      <c r="AW116" s="14">
        <v>21.77</v>
      </c>
      <c r="AX116" s="15">
        <v>45900</v>
      </c>
      <c r="AY116" s="15"/>
    </row>
    <row r="117" spans="1:51">
      <c r="A117" s="12">
        <v>8922012</v>
      </c>
      <c r="B117" s="13" t="s">
        <v>3733</v>
      </c>
      <c r="C117" s="13" t="s">
        <v>3342</v>
      </c>
      <c r="D117" s="13"/>
      <c r="E117" s="13" t="s">
        <v>3318</v>
      </c>
      <c r="F117" s="12"/>
      <c r="G117" s="12"/>
      <c r="H117" s="13"/>
      <c r="I117" s="12"/>
      <c r="J117" s="12"/>
      <c r="K117" s="12"/>
      <c r="L117" s="12">
        <v>317033504</v>
      </c>
      <c r="M117" s="12"/>
      <c r="N117" s="12"/>
      <c r="O117" s="13"/>
      <c r="P117" s="12">
        <v>31</v>
      </c>
      <c r="Q117" s="13" t="s">
        <v>3492</v>
      </c>
      <c r="R117" s="12">
        <v>109</v>
      </c>
      <c r="S117" s="12">
        <v>443077</v>
      </c>
      <c r="T117" s="12"/>
      <c r="U117" s="13"/>
      <c r="V117" s="12" t="s">
        <v>3321</v>
      </c>
      <c r="W117" s="13" t="s">
        <v>3322</v>
      </c>
      <c r="X117" s="12"/>
      <c r="Y117" s="13"/>
      <c r="Z117" s="12"/>
      <c r="AA117" s="13"/>
      <c r="AB117" s="12"/>
      <c r="AC117" s="12"/>
      <c r="AD117" s="14"/>
      <c r="AE117" s="12"/>
      <c r="AF117" s="13"/>
      <c r="AG117" s="12"/>
      <c r="AH117" s="12"/>
      <c r="AI117" s="13"/>
      <c r="AJ117" s="13" t="s">
        <v>3328</v>
      </c>
      <c r="AK117" s="13" t="s">
        <v>3324</v>
      </c>
      <c r="AL117" s="12"/>
      <c r="AM117" s="13"/>
      <c r="AN117" s="12"/>
      <c r="AO117" s="12">
        <v>2201</v>
      </c>
      <c r="AP117" s="13"/>
      <c r="AQ117" s="12">
        <v>22012</v>
      </c>
      <c r="AR117" s="13"/>
      <c r="AS117" s="13" t="s">
        <v>71</v>
      </c>
      <c r="AT117" s="13" t="s">
        <v>71</v>
      </c>
      <c r="AU117" s="14">
        <v>100</v>
      </c>
      <c r="AV117" s="14"/>
      <c r="AW117" s="14">
        <v>21.77</v>
      </c>
      <c r="AX117" s="15">
        <v>45900</v>
      </c>
      <c r="AY117" s="15"/>
    </row>
    <row r="118" spans="1:51">
      <c r="A118" s="12">
        <v>8910052</v>
      </c>
      <c r="B118" s="13" t="s">
        <v>3530</v>
      </c>
      <c r="C118" s="13" t="s">
        <v>3342</v>
      </c>
      <c r="D118" s="13"/>
      <c r="E118" s="13" t="s">
        <v>3318</v>
      </c>
      <c r="F118" s="12"/>
      <c r="G118" s="12"/>
      <c r="H118" s="13"/>
      <c r="I118" s="12"/>
      <c r="J118" s="12"/>
      <c r="K118" s="12"/>
      <c r="L118" s="12" t="s">
        <v>1523</v>
      </c>
      <c r="M118" s="12"/>
      <c r="N118" s="12"/>
      <c r="O118" s="13"/>
      <c r="P118" s="12">
        <v>10</v>
      </c>
      <c r="Q118" s="13" t="s">
        <v>3339</v>
      </c>
      <c r="R118" s="12">
        <v>985</v>
      </c>
      <c r="S118" s="12">
        <v>3279281</v>
      </c>
      <c r="T118" s="12"/>
      <c r="U118" s="13"/>
      <c r="V118" s="12" t="s">
        <v>3321</v>
      </c>
      <c r="W118" s="13" t="s">
        <v>3322</v>
      </c>
      <c r="X118" s="12"/>
      <c r="Y118" s="13"/>
      <c r="Z118" s="12"/>
      <c r="AA118" s="13"/>
      <c r="AB118" s="12"/>
      <c r="AC118" s="12"/>
      <c r="AD118" s="14"/>
      <c r="AE118" s="12"/>
      <c r="AF118" s="13"/>
      <c r="AG118" s="12"/>
      <c r="AH118" s="12"/>
      <c r="AI118" s="13"/>
      <c r="AJ118" s="13" t="s">
        <v>3328</v>
      </c>
      <c r="AK118" s="13" t="s">
        <v>3324</v>
      </c>
      <c r="AL118" s="12"/>
      <c r="AM118" s="13"/>
      <c r="AN118" s="12"/>
      <c r="AO118" s="12">
        <v>1005</v>
      </c>
      <c r="AP118" s="13"/>
      <c r="AQ118" s="12">
        <v>10052</v>
      </c>
      <c r="AR118" s="13"/>
      <c r="AS118" s="13" t="s">
        <v>71</v>
      </c>
      <c r="AT118" s="13" t="s">
        <v>71</v>
      </c>
      <c r="AU118" s="14">
        <v>100</v>
      </c>
      <c r="AV118" s="14"/>
      <c r="AW118" s="14">
        <v>22.02</v>
      </c>
      <c r="AX118" s="15">
        <v>45900</v>
      </c>
      <c r="AY118" s="15"/>
    </row>
    <row r="119" spans="1:51">
      <c r="A119" s="12">
        <v>8912182</v>
      </c>
      <c r="B119" s="13" t="s">
        <v>3579</v>
      </c>
      <c r="C119" s="13" t="s">
        <v>3342</v>
      </c>
      <c r="D119" s="13"/>
      <c r="E119" s="13" t="s">
        <v>3318</v>
      </c>
      <c r="F119" s="12"/>
      <c r="G119" s="12"/>
      <c r="H119" s="13"/>
      <c r="I119" s="12"/>
      <c r="J119" s="12"/>
      <c r="K119" s="12"/>
      <c r="L119" s="12" t="s">
        <v>1835</v>
      </c>
      <c r="M119" s="12"/>
      <c r="N119" s="12"/>
      <c r="O119" s="13"/>
      <c r="P119" s="12">
        <v>10</v>
      </c>
      <c r="Q119" s="13" t="s">
        <v>3339</v>
      </c>
      <c r="R119" s="12">
        <v>985</v>
      </c>
      <c r="S119" s="12">
        <v>3284978</v>
      </c>
      <c r="T119" s="12"/>
      <c r="U119" s="13"/>
      <c r="V119" s="12" t="s">
        <v>3321</v>
      </c>
      <c r="W119" s="13" t="s">
        <v>3322</v>
      </c>
      <c r="X119" s="12"/>
      <c r="Y119" s="13"/>
      <c r="Z119" s="12"/>
      <c r="AA119" s="13"/>
      <c r="AB119" s="12"/>
      <c r="AC119" s="12"/>
      <c r="AD119" s="14"/>
      <c r="AE119" s="12"/>
      <c r="AF119" s="13"/>
      <c r="AG119" s="12"/>
      <c r="AH119" s="12"/>
      <c r="AI119" s="13"/>
      <c r="AJ119" s="13" t="s">
        <v>3328</v>
      </c>
      <c r="AK119" s="13" t="s">
        <v>3324</v>
      </c>
      <c r="AL119" s="12"/>
      <c r="AM119" s="13"/>
      <c r="AN119" s="12"/>
      <c r="AO119" s="12">
        <v>1218</v>
      </c>
      <c r="AP119" s="13"/>
      <c r="AQ119" s="12">
        <v>12182</v>
      </c>
      <c r="AR119" s="13"/>
      <c r="AS119" s="13" t="s">
        <v>71</v>
      </c>
      <c r="AT119" s="13" t="s">
        <v>71</v>
      </c>
      <c r="AU119" s="14">
        <v>100</v>
      </c>
      <c r="AV119" s="14"/>
      <c r="AW119" s="14">
        <v>22.06</v>
      </c>
      <c r="AX119" s="15">
        <v>45900</v>
      </c>
      <c r="AY119" s="15"/>
    </row>
    <row r="120" spans="1:51">
      <c r="A120" s="12">
        <v>8912191</v>
      </c>
      <c r="B120" s="13" t="s">
        <v>3580</v>
      </c>
      <c r="C120" s="13" t="s">
        <v>3342</v>
      </c>
      <c r="D120" s="13"/>
      <c r="E120" s="13" t="s">
        <v>3318</v>
      </c>
      <c r="F120" s="12"/>
      <c r="G120" s="12"/>
      <c r="H120" s="13"/>
      <c r="I120" s="12"/>
      <c r="J120" s="12"/>
      <c r="K120" s="12" t="s">
        <v>3581</v>
      </c>
      <c r="L120" s="12" t="s">
        <v>1851</v>
      </c>
      <c r="M120" s="12"/>
      <c r="N120" s="12"/>
      <c r="O120" s="13"/>
      <c r="P120" s="12">
        <v>13</v>
      </c>
      <c r="Q120" s="13" t="s">
        <v>3421</v>
      </c>
      <c r="R120" s="12" t="s">
        <v>3582</v>
      </c>
      <c r="S120" s="12">
        <v>1461412</v>
      </c>
      <c r="T120" s="12"/>
      <c r="U120" s="13"/>
      <c r="V120" s="12" t="s">
        <v>3321</v>
      </c>
      <c r="W120" s="13" t="s">
        <v>3322</v>
      </c>
      <c r="X120" s="12"/>
      <c r="Y120" s="13"/>
      <c r="Z120" s="12"/>
      <c r="AA120" s="13"/>
      <c r="AB120" s="12"/>
      <c r="AC120" s="12"/>
      <c r="AD120" s="14"/>
      <c r="AE120" s="12"/>
      <c r="AF120" s="13"/>
      <c r="AG120" s="12"/>
      <c r="AH120" s="12"/>
      <c r="AI120" s="13"/>
      <c r="AJ120" s="13" t="s">
        <v>3328</v>
      </c>
      <c r="AK120" s="13" t="s">
        <v>3324</v>
      </c>
      <c r="AL120" s="12"/>
      <c r="AM120" s="13"/>
      <c r="AN120" s="12"/>
      <c r="AO120" s="12">
        <v>1219</v>
      </c>
      <c r="AP120" s="13"/>
      <c r="AQ120" s="12">
        <v>12191</v>
      </c>
      <c r="AR120" s="13"/>
      <c r="AS120" s="13" t="s">
        <v>71</v>
      </c>
      <c r="AT120" s="13" t="s">
        <v>71</v>
      </c>
      <c r="AU120" s="14">
        <v>100</v>
      </c>
      <c r="AV120" s="14"/>
      <c r="AW120" s="14">
        <v>22.94</v>
      </c>
      <c r="AX120" s="15">
        <v>45900</v>
      </c>
      <c r="AY120" s="15"/>
    </row>
    <row r="121" spans="1:51">
      <c r="A121" s="12">
        <v>8903062</v>
      </c>
      <c r="B121" s="13" t="s">
        <v>3441</v>
      </c>
      <c r="C121" s="13" t="s">
        <v>3342</v>
      </c>
      <c r="D121" s="13"/>
      <c r="E121" s="13" t="s">
        <v>3318</v>
      </c>
      <c r="F121" s="12"/>
      <c r="G121" s="12"/>
      <c r="H121" s="13"/>
      <c r="I121" s="12"/>
      <c r="J121" s="12"/>
      <c r="K121" s="12"/>
      <c r="L121" s="12" t="s">
        <v>735</v>
      </c>
      <c r="M121" s="12"/>
      <c r="N121" s="12"/>
      <c r="O121" s="13"/>
      <c r="P121" s="12">
        <v>10</v>
      </c>
      <c r="Q121" s="13" t="s">
        <v>3339</v>
      </c>
      <c r="R121" s="12">
        <v>985</v>
      </c>
      <c r="S121" s="12">
        <v>3273003</v>
      </c>
      <c r="T121" s="12"/>
      <c r="U121" s="13"/>
      <c r="V121" s="12" t="s">
        <v>3321</v>
      </c>
      <c r="W121" s="13" t="s">
        <v>3322</v>
      </c>
      <c r="X121" s="12"/>
      <c r="Y121" s="13"/>
      <c r="Z121" s="12"/>
      <c r="AA121" s="13"/>
      <c r="AB121" s="12"/>
      <c r="AC121" s="12"/>
      <c r="AD121" s="14"/>
      <c r="AE121" s="12"/>
      <c r="AF121" s="13"/>
      <c r="AG121" s="12"/>
      <c r="AH121" s="12"/>
      <c r="AI121" s="13"/>
      <c r="AJ121" s="13" t="s">
        <v>3328</v>
      </c>
      <c r="AK121" s="13" t="s">
        <v>3324</v>
      </c>
      <c r="AL121" s="12"/>
      <c r="AM121" s="13"/>
      <c r="AN121" s="12"/>
      <c r="AO121" s="12" t="s">
        <v>729</v>
      </c>
      <c r="AP121" s="13"/>
      <c r="AQ121" s="12" t="s">
        <v>732</v>
      </c>
      <c r="AR121" s="13"/>
      <c r="AS121" s="13" t="s">
        <v>71</v>
      </c>
      <c r="AT121" s="13" t="s">
        <v>71</v>
      </c>
      <c r="AU121" s="14">
        <v>100</v>
      </c>
      <c r="AV121" s="14"/>
      <c r="AW121" s="14">
        <v>23.48</v>
      </c>
      <c r="AX121" s="15">
        <v>45900</v>
      </c>
      <c r="AY121" s="15"/>
    </row>
    <row r="122" spans="1:51">
      <c r="A122" s="12">
        <v>8908051</v>
      </c>
      <c r="B122" s="13" t="s">
        <v>3521</v>
      </c>
      <c r="C122" s="13" t="s">
        <v>3342</v>
      </c>
      <c r="D122" s="13"/>
      <c r="E122" s="13" t="s">
        <v>3318</v>
      </c>
      <c r="F122" s="12"/>
      <c r="G122" s="12"/>
      <c r="H122" s="13"/>
      <c r="I122" s="12"/>
      <c r="J122" s="12"/>
      <c r="K122" s="12"/>
      <c r="L122" s="12" t="s">
        <v>1369</v>
      </c>
      <c r="M122" s="12"/>
      <c r="N122" s="12"/>
      <c r="O122" s="13"/>
      <c r="P122" s="12">
        <v>10</v>
      </c>
      <c r="Q122" s="13" t="s">
        <v>3339</v>
      </c>
      <c r="R122" s="12">
        <v>985</v>
      </c>
      <c r="S122" s="12">
        <v>3279085</v>
      </c>
      <c r="T122" s="12"/>
      <c r="U122" s="13"/>
      <c r="V122" s="12" t="s">
        <v>3321</v>
      </c>
      <c r="W122" s="13" t="s">
        <v>3322</v>
      </c>
      <c r="X122" s="12"/>
      <c r="Y122" s="13"/>
      <c r="Z122" s="12"/>
      <c r="AA122" s="13"/>
      <c r="AB122" s="12"/>
      <c r="AC122" s="12"/>
      <c r="AD122" s="14"/>
      <c r="AE122" s="12"/>
      <c r="AF122" s="13"/>
      <c r="AG122" s="12"/>
      <c r="AH122" s="12"/>
      <c r="AI122" s="13"/>
      <c r="AJ122" s="13" t="s">
        <v>3328</v>
      </c>
      <c r="AK122" s="13" t="s">
        <v>3324</v>
      </c>
      <c r="AL122" s="12"/>
      <c r="AM122" s="13"/>
      <c r="AN122" s="12"/>
      <c r="AO122" s="12" t="s">
        <v>1367</v>
      </c>
      <c r="AP122" s="13"/>
      <c r="AQ122" s="12" t="s">
        <v>1364</v>
      </c>
      <c r="AR122" s="13"/>
      <c r="AS122" s="13" t="s">
        <v>71</v>
      </c>
      <c r="AT122" s="13" t="s">
        <v>71</v>
      </c>
      <c r="AU122" s="14">
        <v>100</v>
      </c>
      <c r="AV122" s="14"/>
      <c r="AW122" s="14">
        <v>23.73</v>
      </c>
      <c r="AX122" s="15">
        <v>45900</v>
      </c>
      <c r="AY122" s="15"/>
    </row>
    <row r="123" spans="1:51">
      <c r="A123" s="12">
        <v>8912232</v>
      </c>
      <c r="B123" s="13" t="s">
        <v>3588</v>
      </c>
      <c r="C123" s="13" t="s">
        <v>3342</v>
      </c>
      <c r="D123" s="13"/>
      <c r="E123" s="13" t="s">
        <v>3318</v>
      </c>
      <c r="F123" s="12"/>
      <c r="G123" s="12"/>
      <c r="H123" s="13"/>
      <c r="I123" s="12"/>
      <c r="J123" s="12"/>
      <c r="K123" s="12"/>
      <c r="L123" s="12" t="s">
        <v>1883</v>
      </c>
      <c r="M123" s="12"/>
      <c r="N123" s="12"/>
      <c r="O123" s="13"/>
      <c r="P123" s="12">
        <v>10</v>
      </c>
      <c r="Q123" s="13" t="s">
        <v>3339</v>
      </c>
      <c r="R123" s="12">
        <v>985</v>
      </c>
      <c r="S123" s="12">
        <v>3273593</v>
      </c>
      <c r="T123" s="12"/>
      <c r="U123" s="13"/>
      <c r="V123" s="12" t="s">
        <v>3321</v>
      </c>
      <c r="W123" s="13" t="s">
        <v>3322</v>
      </c>
      <c r="X123" s="12"/>
      <c r="Y123" s="13"/>
      <c r="Z123" s="12"/>
      <c r="AA123" s="13"/>
      <c r="AB123" s="12"/>
      <c r="AC123" s="12"/>
      <c r="AD123" s="14"/>
      <c r="AE123" s="12"/>
      <c r="AF123" s="13"/>
      <c r="AG123" s="12"/>
      <c r="AH123" s="12"/>
      <c r="AI123" s="13"/>
      <c r="AJ123" s="13" t="s">
        <v>3328</v>
      </c>
      <c r="AK123" s="13" t="s">
        <v>3324</v>
      </c>
      <c r="AL123" s="12"/>
      <c r="AM123" s="13"/>
      <c r="AN123" s="12"/>
      <c r="AO123" s="12">
        <v>1223</v>
      </c>
      <c r="AP123" s="13"/>
      <c r="AQ123" s="12">
        <v>12232</v>
      </c>
      <c r="AR123" s="13"/>
      <c r="AS123" s="13" t="s">
        <v>71</v>
      </c>
      <c r="AT123" s="13" t="s">
        <v>71</v>
      </c>
      <c r="AU123" s="14">
        <v>100</v>
      </c>
      <c r="AV123" s="14"/>
      <c r="AW123" s="14">
        <v>24.02</v>
      </c>
      <c r="AX123" s="15">
        <v>45900</v>
      </c>
      <c r="AY123" s="15"/>
    </row>
    <row r="124" spans="1:51">
      <c r="A124" s="12">
        <v>8910041</v>
      </c>
      <c r="B124" s="13" t="s">
        <v>3527</v>
      </c>
      <c r="C124" s="13" t="s">
        <v>3342</v>
      </c>
      <c r="D124" s="13"/>
      <c r="E124" s="13" t="s">
        <v>3318</v>
      </c>
      <c r="F124" s="12"/>
      <c r="G124" s="12"/>
      <c r="H124" s="13"/>
      <c r="I124" s="12"/>
      <c r="J124" s="12"/>
      <c r="K124" s="12"/>
      <c r="L124" s="12" t="s">
        <v>1546</v>
      </c>
      <c r="M124" s="12"/>
      <c r="N124" s="12"/>
      <c r="O124" s="13"/>
      <c r="P124" s="12">
        <v>10</v>
      </c>
      <c r="Q124" s="13" t="s">
        <v>3339</v>
      </c>
      <c r="R124" s="12">
        <v>985</v>
      </c>
      <c r="S124" s="12">
        <v>3800992</v>
      </c>
      <c r="T124" s="12"/>
      <c r="U124" s="13"/>
      <c r="V124" s="12" t="s">
        <v>3321</v>
      </c>
      <c r="W124" s="13" t="s">
        <v>3322</v>
      </c>
      <c r="X124" s="12"/>
      <c r="Y124" s="13"/>
      <c r="Z124" s="12"/>
      <c r="AA124" s="13"/>
      <c r="AB124" s="12"/>
      <c r="AC124" s="12"/>
      <c r="AD124" s="14"/>
      <c r="AE124" s="12"/>
      <c r="AF124" s="13"/>
      <c r="AG124" s="12"/>
      <c r="AH124" s="12"/>
      <c r="AI124" s="13"/>
      <c r="AJ124" s="13" t="s">
        <v>3328</v>
      </c>
      <c r="AK124" s="13" t="s">
        <v>3324</v>
      </c>
      <c r="AL124" s="12"/>
      <c r="AM124" s="13"/>
      <c r="AN124" s="12"/>
      <c r="AO124" s="12">
        <v>1011</v>
      </c>
      <c r="AP124" s="13"/>
      <c r="AQ124" s="12">
        <v>10111</v>
      </c>
      <c r="AR124" s="13"/>
      <c r="AS124" s="13" t="s">
        <v>71</v>
      </c>
      <c r="AT124" s="13" t="s">
        <v>71</v>
      </c>
      <c r="AU124" s="14">
        <v>100</v>
      </c>
      <c r="AV124" s="14"/>
      <c r="AW124" s="14">
        <v>24.9</v>
      </c>
      <c r="AX124" s="15">
        <v>45900</v>
      </c>
      <c r="AY124" s="15"/>
    </row>
    <row r="125" spans="1:51">
      <c r="A125" s="12">
        <v>8919142</v>
      </c>
      <c r="B125" s="13" t="s">
        <v>3650</v>
      </c>
      <c r="C125" s="13" t="s">
        <v>3342</v>
      </c>
      <c r="D125" s="13"/>
      <c r="E125" s="13" t="s">
        <v>3318</v>
      </c>
      <c r="F125" s="12"/>
      <c r="G125" s="12"/>
      <c r="H125" s="13"/>
      <c r="I125" s="12"/>
      <c r="J125" s="12"/>
      <c r="K125" s="12"/>
      <c r="L125" s="12" t="s">
        <v>2405</v>
      </c>
      <c r="M125" s="12"/>
      <c r="N125" s="12"/>
      <c r="O125" s="13"/>
      <c r="P125" s="12">
        <v>11</v>
      </c>
      <c r="Q125" s="13" t="s">
        <v>3413</v>
      </c>
      <c r="R125" s="12" t="s">
        <v>3649</v>
      </c>
      <c r="S125" s="12">
        <v>399744</v>
      </c>
      <c r="T125" s="12"/>
      <c r="U125" s="13"/>
      <c r="V125" s="12" t="s">
        <v>3321</v>
      </c>
      <c r="W125" s="13" t="s">
        <v>3322</v>
      </c>
      <c r="X125" s="12"/>
      <c r="Y125" s="13"/>
      <c r="Z125" s="12"/>
      <c r="AA125" s="13"/>
      <c r="AB125" s="12"/>
      <c r="AC125" s="12"/>
      <c r="AD125" s="14"/>
      <c r="AE125" s="12"/>
      <c r="AF125" s="13"/>
      <c r="AG125" s="12"/>
      <c r="AH125" s="12"/>
      <c r="AI125" s="13"/>
      <c r="AJ125" s="13" t="s">
        <v>3328</v>
      </c>
      <c r="AK125" s="13" t="s">
        <v>3324</v>
      </c>
      <c r="AL125" s="12"/>
      <c r="AM125" s="13"/>
      <c r="AN125" s="12"/>
      <c r="AO125" s="12">
        <v>1914</v>
      </c>
      <c r="AP125" s="13"/>
      <c r="AQ125" s="12">
        <v>19142</v>
      </c>
      <c r="AR125" s="13"/>
      <c r="AS125" s="13" t="s">
        <v>71</v>
      </c>
      <c r="AT125" s="13" t="s">
        <v>71</v>
      </c>
      <c r="AU125" s="14">
        <v>100</v>
      </c>
      <c r="AV125" s="14"/>
      <c r="AW125" s="14">
        <v>24.98</v>
      </c>
      <c r="AX125" s="15">
        <v>45900</v>
      </c>
      <c r="AY125" s="15"/>
    </row>
    <row r="126" spans="1:51">
      <c r="A126" s="12">
        <v>8920202</v>
      </c>
      <c r="B126" s="13" t="s">
        <v>3682</v>
      </c>
      <c r="C126" s="13" t="s">
        <v>3342</v>
      </c>
      <c r="D126" s="13"/>
      <c r="E126" s="13" t="s">
        <v>3318</v>
      </c>
      <c r="F126" s="12"/>
      <c r="G126" s="12"/>
      <c r="H126" s="13"/>
      <c r="I126" s="12"/>
      <c r="J126" s="12"/>
      <c r="K126" s="12"/>
      <c r="L126" s="12" t="s">
        <v>2671</v>
      </c>
      <c r="M126" s="12"/>
      <c r="N126" s="12"/>
      <c r="O126" s="13"/>
      <c r="P126" s="12">
        <v>10</v>
      </c>
      <c r="Q126" s="13" t="s">
        <v>3339</v>
      </c>
      <c r="R126" s="12">
        <v>985</v>
      </c>
      <c r="S126" s="12">
        <v>3271991</v>
      </c>
      <c r="T126" s="12"/>
      <c r="U126" s="13"/>
      <c r="V126" s="12" t="s">
        <v>3321</v>
      </c>
      <c r="W126" s="13" t="s">
        <v>3322</v>
      </c>
      <c r="X126" s="12"/>
      <c r="Y126" s="13"/>
      <c r="Z126" s="12"/>
      <c r="AA126" s="13"/>
      <c r="AB126" s="12"/>
      <c r="AC126" s="12"/>
      <c r="AD126" s="14"/>
      <c r="AE126" s="12"/>
      <c r="AF126" s="13"/>
      <c r="AG126" s="12"/>
      <c r="AH126" s="12"/>
      <c r="AI126" s="13"/>
      <c r="AJ126" s="13" t="s">
        <v>3328</v>
      </c>
      <c r="AK126" s="13" t="s">
        <v>3324</v>
      </c>
      <c r="AL126" s="12"/>
      <c r="AM126" s="13"/>
      <c r="AN126" s="12"/>
      <c r="AO126" s="12">
        <v>2020</v>
      </c>
      <c r="AP126" s="13"/>
      <c r="AQ126" s="12">
        <v>20202</v>
      </c>
      <c r="AR126" s="13"/>
      <c r="AS126" s="13" t="s">
        <v>71</v>
      </c>
      <c r="AT126" s="13" t="s">
        <v>71</v>
      </c>
      <c r="AU126" s="14">
        <v>100</v>
      </c>
      <c r="AV126" s="14"/>
      <c r="AW126" s="14">
        <v>25.48</v>
      </c>
      <c r="AX126" s="15">
        <v>45900</v>
      </c>
      <c r="AY126" s="15"/>
    </row>
    <row r="127" spans="1:51">
      <c r="A127" s="12">
        <v>8912302</v>
      </c>
      <c r="B127" s="13" t="s">
        <v>3594</v>
      </c>
      <c r="C127" s="13" t="s">
        <v>3342</v>
      </c>
      <c r="D127" s="13"/>
      <c r="E127" s="13" t="s">
        <v>3318</v>
      </c>
      <c r="F127" s="12"/>
      <c r="G127" s="12"/>
      <c r="H127" s="13"/>
      <c r="I127" s="12"/>
      <c r="J127" s="12"/>
      <c r="K127" s="12"/>
      <c r="L127" s="12" t="s">
        <v>1926</v>
      </c>
      <c r="M127" s="12" t="s">
        <v>1926</v>
      </c>
      <c r="N127" s="12"/>
      <c r="O127" s="13"/>
      <c r="P127" s="12"/>
      <c r="Q127" s="13"/>
      <c r="R127" s="12"/>
      <c r="S127" s="12"/>
      <c r="T127" s="12"/>
      <c r="U127" s="13"/>
      <c r="V127" s="12" t="s">
        <v>3321</v>
      </c>
      <c r="W127" s="13" t="s">
        <v>3322</v>
      </c>
      <c r="X127" s="12"/>
      <c r="Y127" s="13"/>
      <c r="Z127" s="12"/>
      <c r="AA127" s="13"/>
      <c r="AB127" s="12"/>
      <c r="AC127" s="12"/>
      <c r="AD127" s="14"/>
      <c r="AE127" s="12"/>
      <c r="AF127" s="13"/>
      <c r="AG127" s="12"/>
      <c r="AH127" s="12"/>
      <c r="AI127" s="13"/>
      <c r="AJ127" s="13" t="s">
        <v>3328</v>
      </c>
      <c r="AK127" s="13" t="s">
        <v>3324</v>
      </c>
      <c r="AL127" s="12"/>
      <c r="AM127" s="13"/>
      <c r="AN127" s="12"/>
      <c r="AO127" s="12">
        <v>1230</v>
      </c>
      <c r="AP127" s="13"/>
      <c r="AQ127" s="12">
        <v>12302</v>
      </c>
      <c r="AR127" s="13"/>
      <c r="AS127" s="13" t="s">
        <v>71</v>
      </c>
      <c r="AT127" s="13" t="s">
        <v>71</v>
      </c>
      <c r="AU127" s="14">
        <v>100</v>
      </c>
      <c r="AV127" s="14"/>
      <c r="AW127" s="14">
        <v>25.56</v>
      </c>
      <c r="AX127" s="15">
        <v>45900</v>
      </c>
      <c r="AY127" s="15"/>
    </row>
    <row r="128" spans="1:51">
      <c r="A128" s="12">
        <v>8921191</v>
      </c>
      <c r="B128" s="13" t="s">
        <v>3729</v>
      </c>
      <c r="C128" s="13" t="s">
        <v>3342</v>
      </c>
      <c r="D128" s="13"/>
      <c r="E128" s="13" t="s">
        <v>3318</v>
      </c>
      <c r="F128" s="12"/>
      <c r="G128" s="12"/>
      <c r="H128" s="13"/>
      <c r="I128" s="12"/>
      <c r="J128" s="12"/>
      <c r="K128" s="12"/>
      <c r="L128" s="12" t="s">
        <v>3028</v>
      </c>
      <c r="M128" s="12"/>
      <c r="N128" s="12"/>
      <c r="O128" s="13"/>
      <c r="P128" s="12">
        <v>10</v>
      </c>
      <c r="Q128" s="13" t="s">
        <v>3339</v>
      </c>
      <c r="R128" s="12">
        <v>985</v>
      </c>
      <c r="S128" s="12">
        <v>3281987</v>
      </c>
      <c r="T128" s="12"/>
      <c r="U128" s="13"/>
      <c r="V128" s="12" t="s">
        <v>3321</v>
      </c>
      <c r="W128" s="13" t="s">
        <v>3322</v>
      </c>
      <c r="X128" s="12"/>
      <c r="Y128" s="13"/>
      <c r="Z128" s="12"/>
      <c r="AA128" s="13"/>
      <c r="AB128" s="12"/>
      <c r="AC128" s="12"/>
      <c r="AD128" s="14"/>
      <c r="AE128" s="12"/>
      <c r="AF128" s="13"/>
      <c r="AG128" s="12"/>
      <c r="AH128" s="12"/>
      <c r="AI128" s="13"/>
      <c r="AJ128" s="13" t="s">
        <v>3328</v>
      </c>
      <c r="AK128" s="13" t="s">
        <v>3324</v>
      </c>
      <c r="AL128" s="12"/>
      <c r="AM128" s="13"/>
      <c r="AN128" s="12"/>
      <c r="AO128" s="12">
        <v>2119</v>
      </c>
      <c r="AP128" s="13"/>
      <c r="AQ128" s="12">
        <v>21191</v>
      </c>
      <c r="AR128" s="13"/>
      <c r="AS128" s="13" t="s">
        <v>71</v>
      </c>
      <c r="AT128" s="13" t="s">
        <v>71</v>
      </c>
      <c r="AU128" s="14">
        <v>100</v>
      </c>
      <c r="AV128" s="14"/>
      <c r="AW128" s="14">
        <v>26.56</v>
      </c>
      <c r="AX128" s="15">
        <v>45900</v>
      </c>
      <c r="AY128" s="15"/>
    </row>
    <row r="129" spans="1:51">
      <c r="A129" s="12">
        <v>8903072</v>
      </c>
      <c r="B129" s="13" t="s">
        <v>3443</v>
      </c>
      <c r="C129" s="13" t="s">
        <v>3342</v>
      </c>
      <c r="D129" s="13"/>
      <c r="E129" s="13" t="s">
        <v>3318</v>
      </c>
      <c r="F129" s="12"/>
      <c r="G129" s="12"/>
      <c r="H129" s="13"/>
      <c r="I129" s="12"/>
      <c r="J129" s="12"/>
      <c r="K129" s="12"/>
      <c r="L129" s="12" t="s">
        <v>3321</v>
      </c>
      <c r="M129" s="12"/>
      <c r="N129" s="12"/>
      <c r="O129" s="13"/>
      <c r="P129" s="12">
        <v>10</v>
      </c>
      <c r="Q129" s="13" t="s">
        <v>3339</v>
      </c>
      <c r="R129" s="12">
        <v>985</v>
      </c>
      <c r="S129" s="12">
        <v>3270994</v>
      </c>
      <c r="T129" s="12"/>
      <c r="U129" s="13"/>
      <c r="V129" s="12" t="s">
        <v>3321</v>
      </c>
      <c r="W129" s="13" t="s">
        <v>3322</v>
      </c>
      <c r="X129" s="12"/>
      <c r="Y129" s="13"/>
      <c r="Z129" s="12"/>
      <c r="AA129" s="13"/>
      <c r="AB129" s="12"/>
      <c r="AC129" s="12"/>
      <c r="AD129" s="14"/>
      <c r="AE129" s="12"/>
      <c r="AF129" s="13"/>
      <c r="AG129" s="12"/>
      <c r="AH129" s="12"/>
      <c r="AI129" s="13"/>
      <c r="AJ129" s="13" t="s">
        <v>3328</v>
      </c>
      <c r="AK129" s="13" t="s">
        <v>3324</v>
      </c>
      <c r="AL129" s="12"/>
      <c r="AM129" s="13"/>
      <c r="AN129" s="12"/>
      <c r="AO129" s="12" t="s">
        <v>755</v>
      </c>
      <c r="AP129" s="13"/>
      <c r="AQ129" s="12" t="s">
        <v>758</v>
      </c>
      <c r="AR129" s="13"/>
      <c r="AS129" s="13" t="s">
        <v>71</v>
      </c>
      <c r="AT129" s="13" t="s">
        <v>71</v>
      </c>
      <c r="AU129" s="14">
        <v>100</v>
      </c>
      <c r="AV129" s="14"/>
      <c r="AW129" s="14">
        <v>27.77</v>
      </c>
      <c r="AX129" s="15">
        <v>45900</v>
      </c>
      <c r="AY129" s="15"/>
    </row>
    <row r="130" spans="1:51">
      <c r="A130" s="12">
        <v>8915031</v>
      </c>
      <c r="B130" s="13" t="s">
        <v>3608</v>
      </c>
      <c r="C130" s="13" t="s">
        <v>3342</v>
      </c>
      <c r="D130" s="13"/>
      <c r="E130" s="13" t="s">
        <v>3318</v>
      </c>
      <c r="F130" s="12"/>
      <c r="G130" s="12"/>
      <c r="H130" s="13"/>
      <c r="I130" s="12"/>
      <c r="J130" s="12"/>
      <c r="K130" s="12" t="s">
        <v>3609</v>
      </c>
      <c r="L130" s="12" t="s">
        <v>3321</v>
      </c>
      <c r="M130" s="12"/>
      <c r="N130" s="12"/>
      <c r="O130" s="13"/>
      <c r="P130" s="12">
        <v>10</v>
      </c>
      <c r="Q130" s="13" t="s">
        <v>3339</v>
      </c>
      <c r="R130" s="12">
        <v>985</v>
      </c>
      <c r="S130" s="12">
        <v>3271893</v>
      </c>
      <c r="T130" s="12"/>
      <c r="U130" s="13"/>
      <c r="V130" s="12" t="s">
        <v>3321</v>
      </c>
      <c r="W130" s="13" t="s">
        <v>3322</v>
      </c>
      <c r="X130" s="12"/>
      <c r="Y130" s="13"/>
      <c r="Z130" s="12"/>
      <c r="AA130" s="13"/>
      <c r="AB130" s="12"/>
      <c r="AC130" s="12"/>
      <c r="AD130" s="14"/>
      <c r="AE130" s="12"/>
      <c r="AF130" s="13"/>
      <c r="AG130" s="12"/>
      <c r="AH130" s="12"/>
      <c r="AI130" s="13"/>
      <c r="AJ130" s="13" t="s">
        <v>3328</v>
      </c>
      <c r="AK130" s="13" t="s">
        <v>3324</v>
      </c>
      <c r="AL130" s="12"/>
      <c r="AM130" s="13"/>
      <c r="AN130" s="12"/>
      <c r="AO130" s="12">
        <v>1503</v>
      </c>
      <c r="AP130" s="13"/>
      <c r="AQ130" s="12">
        <v>15031</v>
      </c>
      <c r="AR130" s="13"/>
      <c r="AS130" s="13" t="s">
        <v>71</v>
      </c>
      <c r="AT130" s="13" t="s">
        <v>71</v>
      </c>
      <c r="AU130" s="14">
        <v>100</v>
      </c>
      <c r="AV130" s="14"/>
      <c r="AW130" s="14">
        <v>28.24</v>
      </c>
      <c r="AX130" s="15">
        <v>45900</v>
      </c>
      <c r="AY130" s="15"/>
    </row>
    <row r="131" spans="1:51">
      <c r="A131" s="12">
        <v>8903071</v>
      </c>
      <c r="B131" s="13" t="s">
        <v>3442</v>
      </c>
      <c r="C131" s="13" t="s">
        <v>3342</v>
      </c>
      <c r="D131" s="13"/>
      <c r="E131" s="13" t="s">
        <v>3318</v>
      </c>
      <c r="F131" s="12"/>
      <c r="G131" s="12"/>
      <c r="H131" s="13"/>
      <c r="I131" s="12"/>
      <c r="J131" s="12"/>
      <c r="K131" s="12"/>
      <c r="L131" s="12" t="s">
        <v>3321</v>
      </c>
      <c r="M131" s="12"/>
      <c r="N131" s="12"/>
      <c r="O131" s="13"/>
      <c r="P131" s="12">
        <v>10</v>
      </c>
      <c r="Q131" s="13" t="s">
        <v>3339</v>
      </c>
      <c r="R131" s="12">
        <v>985</v>
      </c>
      <c r="S131" s="12">
        <v>3270994</v>
      </c>
      <c r="T131" s="12"/>
      <c r="U131" s="13"/>
      <c r="V131" s="12" t="s">
        <v>3321</v>
      </c>
      <c r="W131" s="13" t="s">
        <v>3322</v>
      </c>
      <c r="X131" s="12"/>
      <c r="Y131" s="13"/>
      <c r="Z131" s="12"/>
      <c r="AA131" s="13"/>
      <c r="AB131" s="12"/>
      <c r="AC131" s="12"/>
      <c r="AD131" s="14"/>
      <c r="AE131" s="12"/>
      <c r="AF131" s="13"/>
      <c r="AG131" s="12"/>
      <c r="AH131" s="12"/>
      <c r="AI131" s="13"/>
      <c r="AJ131" s="13" t="s">
        <v>3328</v>
      </c>
      <c r="AK131" s="13" t="s">
        <v>3324</v>
      </c>
      <c r="AL131" s="12"/>
      <c r="AM131" s="13"/>
      <c r="AN131" s="12"/>
      <c r="AO131" s="12" t="s">
        <v>755</v>
      </c>
      <c r="AP131" s="13"/>
      <c r="AQ131" s="12" t="s">
        <v>752</v>
      </c>
      <c r="AR131" s="13"/>
      <c r="AS131" s="13" t="s">
        <v>71</v>
      </c>
      <c r="AT131" s="13" t="s">
        <v>71</v>
      </c>
      <c r="AU131" s="14">
        <v>100</v>
      </c>
      <c r="AV131" s="14"/>
      <c r="AW131" s="14">
        <v>28.4</v>
      </c>
      <c r="AX131" s="15">
        <v>45900</v>
      </c>
      <c r="AY131" s="15"/>
    </row>
    <row r="132" spans="1:51">
      <c r="A132" s="12">
        <v>8920201</v>
      </c>
      <c r="B132" s="13" t="s">
        <v>3681</v>
      </c>
      <c r="C132" s="13" t="s">
        <v>3342</v>
      </c>
      <c r="D132" s="13"/>
      <c r="E132" s="13" t="s">
        <v>3318</v>
      </c>
      <c r="F132" s="12"/>
      <c r="G132" s="12"/>
      <c r="H132" s="13"/>
      <c r="I132" s="12"/>
      <c r="J132" s="12"/>
      <c r="K132" s="12"/>
      <c r="L132" s="12" t="s">
        <v>2667</v>
      </c>
      <c r="M132" s="12"/>
      <c r="N132" s="12"/>
      <c r="O132" s="13"/>
      <c r="P132" s="12">
        <v>10</v>
      </c>
      <c r="Q132" s="13" t="s">
        <v>3339</v>
      </c>
      <c r="R132" s="12">
        <v>985</v>
      </c>
      <c r="S132" s="12">
        <v>3271991</v>
      </c>
      <c r="T132" s="12"/>
      <c r="U132" s="13"/>
      <c r="V132" s="12" t="s">
        <v>3321</v>
      </c>
      <c r="W132" s="13" t="s">
        <v>3322</v>
      </c>
      <c r="X132" s="12"/>
      <c r="Y132" s="13"/>
      <c r="Z132" s="12"/>
      <c r="AA132" s="13"/>
      <c r="AB132" s="12"/>
      <c r="AC132" s="12"/>
      <c r="AD132" s="14"/>
      <c r="AE132" s="12"/>
      <c r="AF132" s="13"/>
      <c r="AG132" s="12"/>
      <c r="AH132" s="12"/>
      <c r="AI132" s="13"/>
      <c r="AJ132" s="13" t="s">
        <v>3328</v>
      </c>
      <c r="AK132" s="13" t="s">
        <v>3324</v>
      </c>
      <c r="AL132" s="12"/>
      <c r="AM132" s="13"/>
      <c r="AN132" s="12"/>
      <c r="AO132" s="12">
        <v>2020</v>
      </c>
      <c r="AP132" s="13"/>
      <c r="AQ132" s="12">
        <v>20201</v>
      </c>
      <c r="AR132" s="13"/>
      <c r="AS132" s="13" t="s">
        <v>71</v>
      </c>
      <c r="AT132" s="13" t="s">
        <v>71</v>
      </c>
      <c r="AU132" s="14">
        <v>100</v>
      </c>
      <c r="AV132" s="14"/>
      <c r="AW132" s="14">
        <v>28.9</v>
      </c>
      <c r="AX132" s="15">
        <v>45900</v>
      </c>
      <c r="AY132" s="15"/>
    </row>
    <row r="133" spans="1:51">
      <c r="A133" s="12">
        <v>8919132</v>
      </c>
      <c r="B133" s="13" t="s">
        <v>3646</v>
      </c>
      <c r="C133" s="13" t="s">
        <v>3342</v>
      </c>
      <c r="D133" s="13"/>
      <c r="E133" s="13" t="s">
        <v>3318</v>
      </c>
      <c r="F133" s="12"/>
      <c r="G133" s="12"/>
      <c r="H133" s="13"/>
      <c r="I133" s="12"/>
      <c r="J133" s="12"/>
      <c r="K133" s="12"/>
      <c r="L133" s="12" t="s">
        <v>2392</v>
      </c>
      <c r="M133" s="12"/>
      <c r="N133" s="12"/>
      <c r="O133" s="13"/>
      <c r="P133" s="12">
        <v>10</v>
      </c>
      <c r="Q133" s="13" t="s">
        <v>3339</v>
      </c>
      <c r="R133" s="12">
        <v>985</v>
      </c>
      <c r="S133" s="12">
        <v>3280990</v>
      </c>
      <c r="T133" s="12"/>
      <c r="U133" s="13"/>
      <c r="V133" s="12" t="s">
        <v>3321</v>
      </c>
      <c r="W133" s="13" t="s">
        <v>3322</v>
      </c>
      <c r="X133" s="12"/>
      <c r="Y133" s="13"/>
      <c r="Z133" s="12"/>
      <c r="AA133" s="13"/>
      <c r="AB133" s="12"/>
      <c r="AC133" s="12"/>
      <c r="AD133" s="14"/>
      <c r="AE133" s="12"/>
      <c r="AF133" s="13"/>
      <c r="AG133" s="12"/>
      <c r="AH133" s="12"/>
      <c r="AI133" s="13"/>
      <c r="AJ133" s="13" t="s">
        <v>3328</v>
      </c>
      <c r="AK133" s="13" t="s">
        <v>3324</v>
      </c>
      <c r="AL133" s="12"/>
      <c r="AM133" s="13"/>
      <c r="AN133" s="12"/>
      <c r="AO133" s="12">
        <v>1913</v>
      </c>
      <c r="AP133" s="13"/>
      <c r="AQ133" s="12">
        <v>19132</v>
      </c>
      <c r="AR133" s="13"/>
      <c r="AS133" s="13" t="s">
        <v>71</v>
      </c>
      <c r="AT133" s="13" t="s">
        <v>71</v>
      </c>
      <c r="AU133" s="14">
        <v>100</v>
      </c>
      <c r="AV133" s="14"/>
      <c r="AW133" s="14">
        <v>28.94</v>
      </c>
      <c r="AX133" s="15">
        <v>45900</v>
      </c>
      <c r="AY133" s="15"/>
    </row>
    <row r="134" spans="1:51">
      <c r="A134" s="12">
        <v>8903041</v>
      </c>
      <c r="B134" s="13" t="s">
        <v>3432</v>
      </c>
      <c r="C134" s="13" t="s">
        <v>3342</v>
      </c>
      <c r="D134" s="13"/>
      <c r="E134" s="13" t="s">
        <v>3318</v>
      </c>
      <c r="F134" s="12"/>
      <c r="G134" s="12"/>
      <c r="H134" s="13"/>
      <c r="I134" s="12"/>
      <c r="J134" s="12"/>
      <c r="K134" s="12" t="s">
        <v>3433</v>
      </c>
      <c r="L134" s="12" t="s">
        <v>712</v>
      </c>
      <c r="M134" s="12"/>
      <c r="N134" s="12"/>
      <c r="O134" s="13"/>
      <c r="P134" s="12">
        <v>10</v>
      </c>
      <c r="Q134" s="13" t="s">
        <v>3339</v>
      </c>
      <c r="R134" s="12">
        <v>985</v>
      </c>
      <c r="S134" s="12">
        <v>3282100</v>
      </c>
      <c r="T134" s="12"/>
      <c r="U134" s="13"/>
      <c r="V134" s="12" t="s">
        <v>3321</v>
      </c>
      <c r="W134" s="13" t="s">
        <v>3322</v>
      </c>
      <c r="X134" s="12"/>
      <c r="Y134" s="13"/>
      <c r="Z134" s="12"/>
      <c r="AA134" s="13"/>
      <c r="AB134" s="12"/>
      <c r="AC134" s="12"/>
      <c r="AD134" s="14"/>
      <c r="AE134" s="12"/>
      <c r="AF134" s="13"/>
      <c r="AG134" s="12"/>
      <c r="AH134" s="12"/>
      <c r="AI134" s="13"/>
      <c r="AJ134" s="13" t="s">
        <v>3328</v>
      </c>
      <c r="AK134" s="13" t="s">
        <v>3324</v>
      </c>
      <c r="AL134" s="12"/>
      <c r="AM134" s="13"/>
      <c r="AN134" s="12"/>
      <c r="AO134" s="12" t="s">
        <v>710</v>
      </c>
      <c r="AP134" s="13"/>
      <c r="AQ134" s="12" t="s">
        <v>707</v>
      </c>
      <c r="AR134" s="13"/>
      <c r="AS134" s="13" t="s">
        <v>71</v>
      </c>
      <c r="AT134" s="13" t="s">
        <v>71</v>
      </c>
      <c r="AU134" s="14">
        <v>100</v>
      </c>
      <c r="AV134" s="14"/>
      <c r="AW134" s="14">
        <v>29.1</v>
      </c>
      <c r="AX134" s="15">
        <v>45900</v>
      </c>
      <c r="AY134" s="15"/>
    </row>
    <row r="135" spans="1:51">
      <c r="A135" s="12">
        <v>8901192</v>
      </c>
      <c r="B135" s="13" t="s">
        <v>3357</v>
      </c>
      <c r="C135" s="13" t="s">
        <v>3342</v>
      </c>
      <c r="D135" s="13" t="s">
        <v>3358</v>
      </c>
      <c r="E135" s="13" t="s">
        <v>3318</v>
      </c>
      <c r="F135" s="12"/>
      <c r="G135" s="12"/>
      <c r="H135" s="13"/>
      <c r="I135" s="12"/>
      <c r="J135" s="12"/>
      <c r="K135" s="12"/>
      <c r="L135" s="12">
        <v>200123792</v>
      </c>
      <c r="M135" s="12"/>
      <c r="N135" s="12"/>
      <c r="O135" s="13"/>
      <c r="P135" s="12">
        <v>10</v>
      </c>
      <c r="Q135" s="13" t="s">
        <v>3339</v>
      </c>
      <c r="R135" s="12">
        <v>985</v>
      </c>
      <c r="S135" s="12">
        <v>3271009</v>
      </c>
      <c r="T135" s="12"/>
      <c r="U135" s="13"/>
      <c r="V135" s="12" t="s">
        <v>3321</v>
      </c>
      <c r="W135" s="13" t="s">
        <v>3322</v>
      </c>
      <c r="X135" s="12"/>
      <c r="Y135" s="13"/>
      <c r="Z135" s="12"/>
      <c r="AA135" s="13"/>
      <c r="AB135" s="12"/>
      <c r="AC135" s="12"/>
      <c r="AD135" s="14"/>
      <c r="AE135" s="12"/>
      <c r="AF135" s="13"/>
      <c r="AG135" s="12"/>
      <c r="AH135" s="12"/>
      <c r="AI135" s="13"/>
      <c r="AJ135" s="13" t="s">
        <v>3328</v>
      </c>
      <c r="AK135" s="13" t="s">
        <v>3324</v>
      </c>
      <c r="AL135" s="12"/>
      <c r="AM135" s="13"/>
      <c r="AN135" s="12"/>
      <c r="AO135" s="12" t="s">
        <v>215</v>
      </c>
      <c r="AP135" s="13"/>
      <c r="AQ135" s="12" t="s">
        <v>218</v>
      </c>
      <c r="AR135" s="13"/>
      <c r="AS135" s="13" t="s">
        <v>71</v>
      </c>
      <c r="AT135" s="13" t="s">
        <v>71</v>
      </c>
      <c r="AU135" s="14">
        <v>100</v>
      </c>
      <c r="AV135" s="14"/>
      <c r="AW135" s="14">
        <v>29.19</v>
      </c>
      <c r="AX135" s="15">
        <v>45900</v>
      </c>
      <c r="AY135" s="15"/>
    </row>
    <row r="136" spans="1:51">
      <c r="A136" s="12">
        <v>8912231</v>
      </c>
      <c r="B136" s="13" t="s">
        <v>3587</v>
      </c>
      <c r="C136" s="13" t="s">
        <v>3342</v>
      </c>
      <c r="D136" s="13"/>
      <c r="E136" s="13" t="s">
        <v>3318</v>
      </c>
      <c r="F136" s="12"/>
      <c r="G136" s="12"/>
      <c r="H136" s="13"/>
      <c r="I136" s="12"/>
      <c r="J136" s="12"/>
      <c r="K136" s="12"/>
      <c r="L136" s="12" t="s">
        <v>1880</v>
      </c>
      <c r="M136" s="12"/>
      <c r="N136" s="12"/>
      <c r="O136" s="13"/>
      <c r="P136" s="12">
        <v>10</v>
      </c>
      <c r="Q136" s="13" t="s">
        <v>3339</v>
      </c>
      <c r="R136" s="12">
        <v>985</v>
      </c>
      <c r="S136" s="12">
        <v>3273593</v>
      </c>
      <c r="T136" s="12"/>
      <c r="U136" s="13"/>
      <c r="V136" s="12" t="s">
        <v>3321</v>
      </c>
      <c r="W136" s="13" t="s">
        <v>3322</v>
      </c>
      <c r="X136" s="12"/>
      <c r="Y136" s="13"/>
      <c r="Z136" s="12"/>
      <c r="AA136" s="13"/>
      <c r="AB136" s="12"/>
      <c r="AC136" s="12"/>
      <c r="AD136" s="14"/>
      <c r="AE136" s="12"/>
      <c r="AF136" s="13"/>
      <c r="AG136" s="12"/>
      <c r="AH136" s="12"/>
      <c r="AI136" s="13"/>
      <c r="AJ136" s="13" t="s">
        <v>3328</v>
      </c>
      <c r="AK136" s="13" t="s">
        <v>3324</v>
      </c>
      <c r="AL136" s="12"/>
      <c r="AM136" s="13"/>
      <c r="AN136" s="12"/>
      <c r="AO136" s="12">
        <v>1223</v>
      </c>
      <c r="AP136" s="13"/>
      <c r="AQ136" s="12">
        <v>12231</v>
      </c>
      <c r="AR136" s="13"/>
      <c r="AS136" s="13" t="s">
        <v>71</v>
      </c>
      <c r="AT136" s="13" t="s">
        <v>71</v>
      </c>
      <c r="AU136" s="14">
        <v>100</v>
      </c>
      <c r="AV136" s="14"/>
      <c r="AW136" s="14">
        <v>29.82</v>
      </c>
      <c r="AX136" s="15">
        <v>45900</v>
      </c>
      <c r="AY136" s="15"/>
    </row>
    <row r="137" spans="1:51">
      <c r="A137" s="12">
        <v>8917082</v>
      </c>
      <c r="B137" s="13" t="s">
        <v>3627</v>
      </c>
      <c r="C137" s="13" t="s">
        <v>3342</v>
      </c>
      <c r="D137" s="13"/>
      <c r="E137" s="13" t="s">
        <v>3318</v>
      </c>
      <c r="F137" s="12"/>
      <c r="G137" s="12"/>
      <c r="H137" s="13"/>
      <c r="I137" s="12"/>
      <c r="J137" s="12"/>
      <c r="K137" s="12"/>
      <c r="L137" s="12" t="s">
        <v>2237</v>
      </c>
      <c r="M137" s="12"/>
      <c r="N137" s="12"/>
      <c r="O137" s="13"/>
      <c r="P137" s="12">
        <v>20</v>
      </c>
      <c r="Q137" s="13" t="s">
        <v>3320</v>
      </c>
      <c r="R137" s="12">
        <v>450</v>
      </c>
      <c r="S137" s="12">
        <v>326651</v>
      </c>
      <c r="T137" s="12"/>
      <c r="U137" s="13"/>
      <c r="V137" s="12" t="s">
        <v>3321</v>
      </c>
      <c r="W137" s="13" t="s">
        <v>3322</v>
      </c>
      <c r="X137" s="12"/>
      <c r="Y137" s="13"/>
      <c r="Z137" s="12"/>
      <c r="AA137" s="13"/>
      <c r="AB137" s="12"/>
      <c r="AC137" s="12"/>
      <c r="AD137" s="14"/>
      <c r="AE137" s="12"/>
      <c r="AF137" s="13"/>
      <c r="AG137" s="12"/>
      <c r="AH137" s="12"/>
      <c r="AI137" s="13"/>
      <c r="AJ137" s="13" t="s">
        <v>3328</v>
      </c>
      <c r="AK137" s="13" t="s">
        <v>3324</v>
      </c>
      <c r="AL137" s="12"/>
      <c r="AM137" s="13"/>
      <c r="AN137" s="12"/>
      <c r="AO137" s="12">
        <v>1708</v>
      </c>
      <c r="AP137" s="13"/>
      <c r="AQ137" s="12">
        <v>17082</v>
      </c>
      <c r="AR137" s="13"/>
      <c r="AS137" s="13" t="s">
        <v>71</v>
      </c>
      <c r="AT137" s="13" t="s">
        <v>71</v>
      </c>
      <c r="AU137" s="14">
        <v>100</v>
      </c>
      <c r="AV137" s="14"/>
      <c r="AW137" s="14">
        <v>30.02</v>
      </c>
      <c r="AX137" s="15">
        <v>45900</v>
      </c>
      <c r="AY137" s="15"/>
    </row>
    <row r="138" spans="1:51">
      <c r="A138" s="12">
        <v>8920121</v>
      </c>
      <c r="B138" s="13" t="s">
        <v>3675</v>
      </c>
      <c r="C138" s="13" t="s">
        <v>3342</v>
      </c>
      <c r="D138" s="13"/>
      <c r="E138" s="13" t="s">
        <v>3318</v>
      </c>
      <c r="F138" s="12"/>
      <c r="G138" s="12"/>
      <c r="H138" s="13"/>
      <c r="I138" s="12"/>
      <c r="J138" s="12"/>
      <c r="K138" s="12"/>
      <c r="L138" s="12" t="s">
        <v>2624</v>
      </c>
      <c r="M138" s="12"/>
      <c r="N138" s="12"/>
      <c r="O138" s="13"/>
      <c r="P138" s="12">
        <v>20</v>
      </c>
      <c r="Q138" s="13" t="s">
        <v>3320</v>
      </c>
      <c r="R138" s="12">
        <v>450</v>
      </c>
      <c r="S138" s="12">
        <v>150383</v>
      </c>
      <c r="T138" s="12"/>
      <c r="U138" s="13"/>
      <c r="V138" s="12" t="s">
        <v>3321</v>
      </c>
      <c r="W138" s="13" t="s">
        <v>3322</v>
      </c>
      <c r="X138" s="12"/>
      <c r="Y138" s="13"/>
      <c r="Z138" s="12"/>
      <c r="AA138" s="13"/>
      <c r="AB138" s="12"/>
      <c r="AC138" s="12"/>
      <c r="AD138" s="14"/>
      <c r="AE138" s="12"/>
      <c r="AF138" s="13"/>
      <c r="AG138" s="12"/>
      <c r="AH138" s="12"/>
      <c r="AI138" s="13"/>
      <c r="AJ138" s="13" t="s">
        <v>3328</v>
      </c>
      <c r="AK138" s="13" t="s">
        <v>3324</v>
      </c>
      <c r="AL138" s="12"/>
      <c r="AM138" s="13"/>
      <c r="AN138" s="12"/>
      <c r="AO138" s="12">
        <v>2012</v>
      </c>
      <c r="AP138" s="13"/>
      <c r="AQ138" s="12">
        <v>20121</v>
      </c>
      <c r="AR138" s="13"/>
      <c r="AS138" s="13" t="s">
        <v>71</v>
      </c>
      <c r="AT138" s="13" t="s">
        <v>71</v>
      </c>
      <c r="AU138" s="14">
        <v>100</v>
      </c>
      <c r="AV138" s="14"/>
      <c r="AW138" s="14">
        <v>30.05</v>
      </c>
      <c r="AX138" s="15">
        <v>45900</v>
      </c>
      <c r="AY138" s="15"/>
    </row>
    <row r="139" spans="1:51">
      <c r="A139" s="12">
        <v>8920122</v>
      </c>
      <c r="B139" s="13" t="s">
        <v>3676</v>
      </c>
      <c r="C139" s="13" t="s">
        <v>3342</v>
      </c>
      <c r="D139" s="13"/>
      <c r="E139" s="13" t="s">
        <v>3318</v>
      </c>
      <c r="F139" s="12"/>
      <c r="G139" s="12"/>
      <c r="H139" s="13"/>
      <c r="I139" s="12"/>
      <c r="J139" s="12"/>
      <c r="K139" s="12"/>
      <c r="L139" s="12" t="s">
        <v>2628</v>
      </c>
      <c r="M139" s="12"/>
      <c r="N139" s="12"/>
      <c r="O139" s="13"/>
      <c r="P139" s="12">
        <v>20</v>
      </c>
      <c r="Q139" s="13" t="s">
        <v>3320</v>
      </c>
      <c r="R139" s="12">
        <v>450</v>
      </c>
      <c r="S139" s="12">
        <v>150383</v>
      </c>
      <c r="T139" s="12"/>
      <c r="U139" s="13"/>
      <c r="V139" s="12" t="s">
        <v>3321</v>
      </c>
      <c r="W139" s="13" t="s">
        <v>3322</v>
      </c>
      <c r="X139" s="12"/>
      <c r="Y139" s="13"/>
      <c r="Z139" s="12"/>
      <c r="AA139" s="13"/>
      <c r="AB139" s="12"/>
      <c r="AC139" s="12"/>
      <c r="AD139" s="14"/>
      <c r="AE139" s="12"/>
      <c r="AF139" s="13"/>
      <c r="AG139" s="12"/>
      <c r="AH139" s="12"/>
      <c r="AI139" s="13"/>
      <c r="AJ139" s="13" t="s">
        <v>3328</v>
      </c>
      <c r="AK139" s="13" t="s">
        <v>3324</v>
      </c>
      <c r="AL139" s="12"/>
      <c r="AM139" s="13"/>
      <c r="AN139" s="12"/>
      <c r="AO139" s="12">
        <v>2012</v>
      </c>
      <c r="AP139" s="13"/>
      <c r="AQ139" s="12">
        <v>20122</v>
      </c>
      <c r="AR139" s="13"/>
      <c r="AS139" s="13" t="s">
        <v>71</v>
      </c>
      <c r="AT139" s="13" t="s">
        <v>71</v>
      </c>
      <c r="AU139" s="14">
        <v>100</v>
      </c>
      <c r="AV139" s="14"/>
      <c r="AW139" s="14">
        <v>30.05</v>
      </c>
      <c r="AX139" s="15">
        <v>45900</v>
      </c>
      <c r="AY139" s="15"/>
    </row>
    <row r="140" spans="1:51">
      <c r="A140" s="12">
        <v>8907011</v>
      </c>
      <c r="B140" s="13" t="s">
        <v>3509</v>
      </c>
      <c r="C140" s="13" t="s">
        <v>3342</v>
      </c>
      <c r="D140" s="13"/>
      <c r="E140" s="13" t="s">
        <v>3318</v>
      </c>
      <c r="F140" s="12"/>
      <c r="G140" s="12"/>
      <c r="H140" s="13"/>
      <c r="I140" s="12"/>
      <c r="J140" s="12"/>
      <c r="K140" s="12"/>
      <c r="L140" s="12" t="s">
        <v>1263</v>
      </c>
      <c r="M140" s="12"/>
      <c r="N140" s="12"/>
      <c r="O140" s="13"/>
      <c r="P140" s="12">
        <v>10</v>
      </c>
      <c r="Q140" s="13" t="s">
        <v>3339</v>
      </c>
      <c r="R140" s="12">
        <v>985</v>
      </c>
      <c r="S140" s="12">
        <v>3271303</v>
      </c>
      <c r="T140" s="12"/>
      <c r="U140" s="13"/>
      <c r="V140" s="12" t="s">
        <v>3321</v>
      </c>
      <c r="W140" s="13" t="s">
        <v>3322</v>
      </c>
      <c r="X140" s="12"/>
      <c r="Y140" s="13"/>
      <c r="Z140" s="12"/>
      <c r="AA140" s="13"/>
      <c r="AB140" s="12"/>
      <c r="AC140" s="12"/>
      <c r="AD140" s="14"/>
      <c r="AE140" s="12"/>
      <c r="AF140" s="13"/>
      <c r="AG140" s="12"/>
      <c r="AH140" s="12"/>
      <c r="AI140" s="13"/>
      <c r="AJ140" s="13" t="s">
        <v>3328</v>
      </c>
      <c r="AK140" s="13" t="s">
        <v>3324</v>
      </c>
      <c r="AL140" s="12"/>
      <c r="AM140" s="13"/>
      <c r="AN140" s="12"/>
      <c r="AO140" s="12" t="s">
        <v>1261</v>
      </c>
      <c r="AP140" s="13"/>
      <c r="AQ140" s="12" t="s">
        <v>1257</v>
      </c>
      <c r="AR140" s="13"/>
      <c r="AS140" s="13" t="s">
        <v>71</v>
      </c>
      <c r="AT140" s="13" t="s">
        <v>71</v>
      </c>
      <c r="AU140" s="14">
        <v>100</v>
      </c>
      <c r="AV140" s="14"/>
      <c r="AW140" s="14">
        <v>30.36</v>
      </c>
      <c r="AX140" s="15">
        <v>45900</v>
      </c>
      <c r="AY140" s="15"/>
    </row>
    <row r="141" spans="1:51">
      <c r="A141" s="12">
        <v>8910051</v>
      </c>
      <c r="B141" s="13" t="s">
        <v>3529</v>
      </c>
      <c r="C141" s="13" t="s">
        <v>3342</v>
      </c>
      <c r="D141" s="13"/>
      <c r="E141" s="13" t="s">
        <v>3318</v>
      </c>
      <c r="F141" s="12"/>
      <c r="G141" s="12"/>
      <c r="H141" s="13"/>
      <c r="I141" s="12"/>
      <c r="J141" s="12"/>
      <c r="K141" s="12"/>
      <c r="L141" s="12" t="s">
        <v>1519</v>
      </c>
      <c r="M141" s="12"/>
      <c r="N141" s="12"/>
      <c r="O141" s="13"/>
      <c r="P141" s="12">
        <v>10</v>
      </c>
      <c r="Q141" s="13" t="s">
        <v>3339</v>
      </c>
      <c r="R141" s="12">
        <v>985</v>
      </c>
      <c r="S141" s="12">
        <v>3279281</v>
      </c>
      <c r="T141" s="12"/>
      <c r="U141" s="13"/>
      <c r="V141" s="12" t="s">
        <v>3321</v>
      </c>
      <c r="W141" s="13" t="s">
        <v>3322</v>
      </c>
      <c r="X141" s="12"/>
      <c r="Y141" s="13"/>
      <c r="Z141" s="12"/>
      <c r="AA141" s="13"/>
      <c r="AB141" s="12"/>
      <c r="AC141" s="12"/>
      <c r="AD141" s="14"/>
      <c r="AE141" s="12"/>
      <c r="AF141" s="13"/>
      <c r="AG141" s="12"/>
      <c r="AH141" s="12"/>
      <c r="AI141" s="13"/>
      <c r="AJ141" s="13" t="s">
        <v>3328</v>
      </c>
      <c r="AK141" s="13" t="s">
        <v>3324</v>
      </c>
      <c r="AL141" s="12"/>
      <c r="AM141" s="13"/>
      <c r="AN141" s="12"/>
      <c r="AO141" s="12">
        <v>1005</v>
      </c>
      <c r="AP141" s="13"/>
      <c r="AQ141" s="12">
        <v>10051</v>
      </c>
      <c r="AR141" s="13"/>
      <c r="AS141" s="13" t="s">
        <v>71</v>
      </c>
      <c r="AT141" s="13" t="s">
        <v>71</v>
      </c>
      <c r="AU141" s="14">
        <v>100</v>
      </c>
      <c r="AV141" s="14"/>
      <c r="AW141" s="14">
        <v>30.61</v>
      </c>
      <c r="AX141" s="15">
        <v>45900</v>
      </c>
      <c r="AY141" s="15"/>
    </row>
    <row r="142" spans="1:51">
      <c r="A142" s="12">
        <v>8921232</v>
      </c>
      <c r="B142" s="13" t="s">
        <v>3731</v>
      </c>
      <c r="C142" s="13" t="s">
        <v>3342</v>
      </c>
      <c r="D142" s="13"/>
      <c r="E142" s="13" t="s">
        <v>3318</v>
      </c>
      <c r="F142" s="12"/>
      <c r="G142" s="12"/>
      <c r="H142" s="13"/>
      <c r="I142" s="12"/>
      <c r="J142" s="12"/>
      <c r="K142" s="12"/>
      <c r="L142" s="12" t="s">
        <v>3138</v>
      </c>
      <c r="M142" s="12"/>
      <c r="N142" s="12"/>
      <c r="O142" s="13"/>
      <c r="P142" s="12">
        <v>20</v>
      </c>
      <c r="Q142" s="13" t="s">
        <v>3320</v>
      </c>
      <c r="R142" s="12">
        <v>450</v>
      </c>
      <c r="S142" s="12">
        <v>201905</v>
      </c>
      <c r="T142" s="12"/>
      <c r="U142" s="13"/>
      <c r="V142" s="12" t="s">
        <v>3321</v>
      </c>
      <c r="W142" s="13" t="s">
        <v>3322</v>
      </c>
      <c r="X142" s="12"/>
      <c r="Y142" s="13"/>
      <c r="Z142" s="12"/>
      <c r="AA142" s="13"/>
      <c r="AB142" s="12"/>
      <c r="AC142" s="12"/>
      <c r="AD142" s="14"/>
      <c r="AE142" s="12"/>
      <c r="AF142" s="13"/>
      <c r="AG142" s="12"/>
      <c r="AH142" s="12"/>
      <c r="AI142" s="13"/>
      <c r="AJ142" s="13" t="s">
        <v>3328</v>
      </c>
      <c r="AK142" s="13" t="s">
        <v>3324</v>
      </c>
      <c r="AL142" s="12"/>
      <c r="AM142" s="13"/>
      <c r="AN142" s="12"/>
      <c r="AO142" s="12">
        <v>2123</v>
      </c>
      <c r="AP142" s="13"/>
      <c r="AQ142" s="12">
        <v>21232</v>
      </c>
      <c r="AR142" s="13"/>
      <c r="AS142" s="13" t="s">
        <v>71</v>
      </c>
      <c r="AT142" s="13" t="s">
        <v>71</v>
      </c>
      <c r="AU142" s="14">
        <v>100</v>
      </c>
      <c r="AV142" s="14"/>
      <c r="AW142" s="14">
        <v>31.94</v>
      </c>
      <c r="AX142" s="15">
        <v>45900</v>
      </c>
      <c r="AY142" s="15"/>
    </row>
    <row r="143" spans="1:51">
      <c r="A143" s="12">
        <v>8920112</v>
      </c>
      <c r="B143" s="13" t="s">
        <v>3674</v>
      </c>
      <c r="C143" s="13" t="s">
        <v>3342</v>
      </c>
      <c r="D143" s="13"/>
      <c r="E143" s="13" t="s">
        <v>3318</v>
      </c>
      <c r="F143" s="12"/>
      <c r="G143" s="12"/>
      <c r="H143" s="13"/>
      <c r="I143" s="12"/>
      <c r="J143" s="12"/>
      <c r="K143" s="12"/>
      <c r="L143" s="12" t="s">
        <v>2618</v>
      </c>
      <c r="M143" s="12"/>
      <c r="N143" s="12"/>
      <c r="O143" s="13"/>
      <c r="P143" s="12">
        <v>10</v>
      </c>
      <c r="Q143" s="13" t="s">
        <v>3339</v>
      </c>
      <c r="R143" s="12">
        <v>985</v>
      </c>
      <c r="S143" s="12">
        <v>3275783</v>
      </c>
      <c r="T143" s="12"/>
      <c r="U143" s="13"/>
      <c r="V143" s="12" t="s">
        <v>3321</v>
      </c>
      <c r="W143" s="13" t="s">
        <v>3322</v>
      </c>
      <c r="X143" s="12"/>
      <c r="Y143" s="13"/>
      <c r="Z143" s="12"/>
      <c r="AA143" s="13"/>
      <c r="AB143" s="12"/>
      <c r="AC143" s="12"/>
      <c r="AD143" s="14"/>
      <c r="AE143" s="12"/>
      <c r="AF143" s="13"/>
      <c r="AG143" s="12"/>
      <c r="AH143" s="12"/>
      <c r="AI143" s="13"/>
      <c r="AJ143" s="13" t="s">
        <v>3328</v>
      </c>
      <c r="AK143" s="13" t="s">
        <v>3324</v>
      </c>
      <c r="AL143" s="12"/>
      <c r="AM143" s="13"/>
      <c r="AN143" s="12"/>
      <c r="AO143" s="12">
        <v>2011</v>
      </c>
      <c r="AP143" s="13"/>
      <c r="AQ143" s="12">
        <v>20112</v>
      </c>
      <c r="AR143" s="13"/>
      <c r="AS143" s="13" t="s">
        <v>71</v>
      </c>
      <c r="AT143" s="13" t="s">
        <v>71</v>
      </c>
      <c r="AU143" s="14">
        <v>100</v>
      </c>
      <c r="AV143" s="14"/>
      <c r="AW143" s="14">
        <v>32.44</v>
      </c>
      <c r="AX143" s="15">
        <v>45900</v>
      </c>
      <c r="AY143" s="15"/>
    </row>
    <row r="144" spans="1:51">
      <c r="A144" s="12">
        <v>8920222</v>
      </c>
      <c r="B144" s="13" t="s">
        <v>3683</v>
      </c>
      <c r="C144" s="13" t="s">
        <v>3342</v>
      </c>
      <c r="D144" s="13"/>
      <c r="E144" s="13" t="s">
        <v>3318</v>
      </c>
      <c r="F144" s="12"/>
      <c r="G144" s="12"/>
      <c r="H144" s="13"/>
      <c r="I144" s="12"/>
      <c r="J144" s="12"/>
      <c r="K144" s="12"/>
      <c r="L144" s="12" t="s">
        <v>2682</v>
      </c>
      <c r="M144" s="12"/>
      <c r="N144" s="12"/>
      <c r="O144" s="13"/>
      <c r="P144" s="12">
        <v>10</v>
      </c>
      <c r="Q144" s="13" t="s">
        <v>3339</v>
      </c>
      <c r="R144" s="12">
        <v>985</v>
      </c>
      <c r="S144" s="12">
        <v>3271599</v>
      </c>
      <c r="T144" s="12"/>
      <c r="U144" s="13"/>
      <c r="V144" s="12" t="s">
        <v>3321</v>
      </c>
      <c r="W144" s="13" t="s">
        <v>3322</v>
      </c>
      <c r="X144" s="12"/>
      <c r="Y144" s="13"/>
      <c r="Z144" s="12"/>
      <c r="AA144" s="13"/>
      <c r="AB144" s="12"/>
      <c r="AC144" s="12"/>
      <c r="AD144" s="14"/>
      <c r="AE144" s="12"/>
      <c r="AF144" s="13"/>
      <c r="AG144" s="12"/>
      <c r="AH144" s="12"/>
      <c r="AI144" s="13"/>
      <c r="AJ144" s="13" t="s">
        <v>3328</v>
      </c>
      <c r="AK144" s="13" t="s">
        <v>3324</v>
      </c>
      <c r="AL144" s="12"/>
      <c r="AM144" s="13"/>
      <c r="AN144" s="12"/>
      <c r="AO144" s="12">
        <v>2022</v>
      </c>
      <c r="AP144" s="13"/>
      <c r="AQ144" s="12">
        <v>20222</v>
      </c>
      <c r="AR144" s="13"/>
      <c r="AS144" s="13" t="s">
        <v>71</v>
      </c>
      <c r="AT144" s="13" t="s">
        <v>71</v>
      </c>
      <c r="AU144" s="14">
        <v>100</v>
      </c>
      <c r="AV144" s="14"/>
      <c r="AW144" s="14">
        <v>32.94</v>
      </c>
      <c r="AX144" s="15">
        <v>45900</v>
      </c>
      <c r="AY144" s="15"/>
    </row>
    <row r="145" spans="1:51">
      <c r="A145" s="12">
        <v>8920072</v>
      </c>
      <c r="B145" s="13" t="s">
        <v>3664</v>
      </c>
      <c r="C145" s="13" t="s">
        <v>3342</v>
      </c>
      <c r="D145" s="13"/>
      <c r="E145" s="13" t="s">
        <v>3318</v>
      </c>
      <c r="F145" s="12"/>
      <c r="G145" s="12"/>
      <c r="H145" s="13"/>
      <c r="I145" s="12"/>
      <c r="J145" s="12"/>
      <c r="K145" s="12"/>
      <c r="L145" s="12" t="s">
        <v>2583</v>
      </c>
      <c r="M145" s="12"/>
      <c r="N145" s="12"/>
      <c r="O145" s="13"/>
      <c r="P145" s="12">
        <v>12</v>
      </c>
      <c r="Q145" s="13" t="s">
        <v>3378</v>
      </c>
      <c r="R145" s="12">
        <v>648</v>
      </c>
      <c r="S145" s="12">
        <v>655830</v>
      </c>
      <c r="T145" s="12"/>
      <c r="U145" s="13"/>
      <c r="V145" s="12" t="s">
        <v>3321</v>
      </c>
      <c r="W145" s="13" t="s">
        <v>3322</v>
      </c>
      <c r="X145" s="12"/>
      <c r="Y145" s="13"/>
      <c r="Z145" s="12"/>
      <c r="AA145" s="13"/>
      <c r="AB145" s="12"/>
      <c r="AC145" s="12"/>
      <c r="AD145" s="14"/>
      <c r="AE145" s="12"/>
      <c r="AF145" s="13"/>
      <c r="AG145" s="12"/>
      <c r="AH145" s="12"/>
      <c r="AI145" s="13"/>
      <c r="AJ145" s="13" t="s">
        <v>3328</v>
      </c>
      <c r="AK145" s="13" t="s">
        <v>3324</v>
      </c>
      <c r="AL145" s="12"/>
      <c r="AM145" s="13"/>
      <c r="AN145" s="12"/>
      <c r="AO145" s="12">
        <v>2007</v>
      </c>
      <c r="AP145" s="13"/>
      <c r="AQ145" s="12">
        <v>20072</v>
      </c>
      <c r="AR145" s="13"/>
      <c r="AS145" s="13" t="s">
        <v>71</v>
      </c>
      <c r="AT145" s="13" t="s">
        <v>71</v>
      </c>
      <c r="AU145" s="14">
        <v>100</v>
      </c>
      <c r="AV145" s="14"/>
      <c r="AW145" s="14">
        <v>33.06</v>
      </c>
      <c r="AX145" s="15">
        <v>45900</v>
      </c>
      <c r="AY145" s="15"/>
    </row>
    <row r="146" spans="1:51">
      <c r="A146" s="12">
        <v>8912222</v>
      </c>
      <c r="B146" s="13" t="s">
        <v>3586</v>
      </c>
      <c r="C146" s="13" t="s">
        <v>3342</v>
      </c>
      <c r="D146" s="13"/>
      <c r="E146" s="13" t="s">
        <v>3318</v>
      </c>
      <c r="F146" s="12"/>
      <c r="G146" s="12"/>
      <c r="H146" s="13"/>
      <c r="I146" s="12"/>
      <c r="J146" s="12"/>
      <c r="K146" s="12" t="s">
        <v>3585</v>
      </c>
      <c r="L146" s="12" t="s">
        <v>1874</v>
      </c>
      <c r="M146" s="12"/>
      <c r="N146" s="12"/>
      <c r="O146" s="13"/>
      <c r="P146" s="12">
        <v>10</v>
      </c>
      <c r="Q146" s="13" t="s">
        <v>3339</v>
      </c>
      <c r="R146" s="12">
        <v>985</v>
      </c>
      <c r="S146" s="12">
        <v>3285093</v>
      </c>
      <c r="T146" s="12"/>
      <c r="U146" s="13"/>
      <c r="V146" s="12" t="s">
        <v>3321</v>
      </c>
      <c r="W146" s="13" t="s">
        <v>3322</v>
      </c>
      <c r="X146" s="12"/>
      <c r="Y146" s="13"/>
      <c r="Z146" s="12"/>
      <c r="AA146" s="13"/>
      <c r="AB146" s="12"/>
      <c r="AC146" s="12"/>
      <c r="AD146" s="14"/>
      <c r="AE146" s="12"/>
      <c r="AF146" s="13"/>
      <c r="AG146" s="12"/>
      <c r="AH146" s="12"/>
      <c r="AI146" s="13"/>
      <c r="AJ146" s="13" t="s">
        <v>3328</v>
      </c>
      <c r="AK146" s="13" t="s">
        <v>3324</v>
      </c>
      <c r="AL146" s="12"/>
      <c r="AM146" s="13"/>
      <c r="AN146" s="12"/>
      <c r="AO146" s="12">
        <v>1222</v>
      </c>
      <c r="AP146" s="13"/>
      <c r="AQ146" s="12">
        <v>12222</v>
      </c>
      <c r="AR146" s="13"/>
      <c r="AS146" s="13" t="s">
        <v>71</v>
      </c>
      <c r="AT146" s="13" t="s">
        <v>71</v>
      </c>
      <c r="AU146" s="14">
        <v>100</v>
      </c>
      <c r="AV146" s="14"/>
      <c r="AW146" s="14">
        <v>33.15</v>
      </c>
      <c r="AX146" s="15">
        <v>45900</v>
      </c>
      <c r="AY146" s="15"/>
    </row>
    <row r="147" spans="1:51">
      <c r="A147" s="12">
        <v>8911192</v>
      </c>
      <c r="B147" s="13" t="s">
        <v>3548</v>
      </c>
      <c r="C147" s="13" t="s">
        <v>3342</v>
      </c>
      <c r="D147" s="13"/>
      <c r="E147" s="13" t="s">
        <v>3318</v>
      </c>
      <c r="F147" s="12"/>
      <c r="G147" s="12"/>
      <c r="H147" s="13"/>
      <c r="I147" s="12"/>
      <c r="J147" s="12"/>
      <c r="K147" s="12" t="s">
        <v>3547</v>
      </c>
      <c r="L147" s="12" t="s">
        <v>1679</v>
      </c>
      <c r="M147" s="12"/>
      <c r="N147" s="12"/>
      <c r="O147" s="13"/>
      <c r="P147" s="12">
        <v>10</v>
      </c>
      <c r="Q147" s="13" t="s">
        <v>3339</v>
      </c>
      <c r="R147" s="12">
        <v>985</v>
      </c>
      <c r="S147" s="12">
        <v>3282298</v>
      </c>
      <c r="T147" s="12"/>
      <c r="U147" s="13"/>
      <c r="V147" s="12" t="s">
        <v>3321</v>
      </c>
      <c r="W147" s="13" t="s">
        <v>3322</v>
      </c>
      <c r="X147" s="12"/>
      <c r="Y147" s="13"/>
      <c r="Z147" s="12"/>
      <c r="AA147" s="13"/>
      <c r="AB147" s="12"/>
      <c r="AC147" s="12"/>
      <c r="AD147" s="14"/>
      <c r="AE147" s="12"/>
      <c r="AF147" s="13"/>
      <c r="AG147" s="12"/>
      <c r="AH147" s="12"/>
      <c r="AI147" s="13"/>
      <c r="AJ147" s="13" t="s">
        <v>3328</v>
      </c>
      <c r="AK147" s="13" t="s">
        <v>3324</v>
      </c>
      <c r="AL147" s="12"/>
      <c r="AM147" s="13"/>
      <c r="AN147" s="12"/>
      <c r="AO147" s="12">
        <v>1119</v>
      </c>
      <c r="AP147" s="13"/>
      <c r="AQ147" s="12">
        <v>11192</v>
      </c>
      <c r="AR147" s="13"/>
      <c r="AS147" s="13" t="s">
        <v>71</v>
      </c>
      <c r="AT147" s="13" t="s">
        <v>71</v>
      </c>
      <c r="AU147" s="14">
        <v>100</v>
      </c>
      <c r="AV147" s="14"/>
      <c r="AW147" s="14">
        <v>33.57</v>
      </c>
      <c r="AX147" s="15">
        <v>45900</v>
      </c>
      <c r="AY147" s="15"/>
    </row>
    <row r="148" spans="1:51">
      <c r="A148" s="12">
        <v>8919141</v>
      </c>
      <c r="B148" s="13" t="s">
        <v>3648</v>
      </c>
      <c r="C148" s="13" t="s">
        <v>3342</v>
      </c>
      <c r="D148" s="13"/>
      <c r="E148" s="13" t="s">
        <v>3318</v>
      </c>
      <c r="F148" s="12"/>
      <c r="G148" s="12"/>
      <c r="H148" s="13"/>
      <c r="I148" s="12"/>
      <c r="J148" s="12"/>
      <c r="K148" s="12"/>
      <c r="L148" s="12" t="s">
        <v>2401</v>
      </c>
      <c r="M148" s="12" t="s">
        <v>2401</v>
      </c>
      <c r="N148" s="12"/>
      <c r="O148" s="13"/>
      <c r="P148" s="12">
        <v>11</v>
      </c>
      <c r="Q148" s="13" t="s">
        <v>3413</v>
      </c>
      <c r="R148" s="12" t="s">
        <v>3649</v>
      </c>
      <c r="S148" s="12">
        <v>399744</v>
      </c>
      <c r="T148" s="12"/>
      <c r="U148" s="13"/>
      <c r="V148" s="12" t="s">
        <v>3321</v>
      </c>
      <c r="W148" s="13" t="s">
        <v>3322</v>
      </c>
      <c r="X148" s="12"/>
      <c r="Y148" s="13"/>
      <c r="Z148" s="12"/>
      <c r="AA148" s="13"/>
      <c r="AB148" s="12"/>
      <c r="AC148" s="12"/>
      <c r="AD148" s="14"/>
      <c r="AE148" s="12"/>
      <c r="AF148" s="13"/>
      <c r="AG148" s="12"/>
      <c r="AH148" s="12"/>
      <c r="AI148" s="13"/>
      <c r="AJ148" s="13" t="s">
        <v>3328</v>
      </c>
      <c r="AK148" s="13" t="s">
        <v>3324</v>
      </c>
      <c r="AL148" s="12"/>
      <c r="AM148" s="13"/>
      <c r="AN148" s="12"/>
      <c r="AO148" s="12">
        <v>1914</v>
      </c>
      <c r="AP148" s="13"/>
      <c r="AQ148" s="12">
        <v>19141</v>
      </c>
      <c r="AR148" s="13"/>
      <c r="AS148" s="13" t="s">
        <v>71</v>
      </c>
      <c r="AT148" s="13" t="s">
        <v>71</v>
      </c>
      <c r="AU148" s="14">
        <v>100</v>
      </c>
      <c r="AV148" s="14"/>
      <c r="AW148" s="14">
        <v>33.65</v>
      </c>
      <c r="AX148" s="15">
        <v>45900</v>
      </c>
      <c r="AY148" s="15"/>
    </row>
    <row r="149" spans="1:51">
      <c r="A149" s="12">
        <v>8901111</v>
      </c>
      <c r="B149" s="13" t="s">
        <v>3349</v>
      </c>
      <c r="C149" s="13" t="s">
        <v>3342</v>
      </c>
      <c r="D149" s="13"/>
      <c r="E149" s="13" t="s">
        <v>3318</v>
      </c>
      <c r="F149" s="12"/>
      <c r="G149" s="12"/>
      <c r="H149" s="13"/>
      <c r="I149" s="12"/>
      <c r="J149" s="12"/>
      <c r="K149" s="12"/>
      <c r="L149" s="12" t="s">
        <v>152</v>
      </c>
      <c r="M149" s="12"/>
      <c r="N149" s="12"/>
      <c r="O149" s="13"/>
      <c r="P149" s="12">
        <v>10</v>
      </c>
      <c r="Q149" s="13" t="s">
        <v>3339</v>
      </c>
      <c r="R149" s="12">
        <v>985</v>
      </c>
      <c r="S149" s="12">
        <v>3275097</v>
      </c>
      <c r="T149" s="12"/>
      <c r="U149" s="13"/>
      <c r="V149" s="12" t="s">
        <v>3321</v>
      </c>
      <c r="W149" s="13" t="s">
        <v>3322</v>
      </c>
      <c r="X149" s="12"/>
      <c r="Y149" s="13"/>
      <c r="Z149" s="12"/>
      <c r="AA149" s="13"/>
      <c r="AB149" s="12"/>
      <c r="AC149" s="12"/>
      <c r="AD149" s="14"/>
      <c r="AE149" s="12"/>
      <c r="AF149" s="13"/>
      <c r="AG149" s="12"/>
      <c r="AH149" s="12"/>
      <c r="AI149" s="13"/>
      <c r="AJ149" s="13" t="s">
        <v>3328</v>
      </c>
      <c r="AK149" s="13" t="s">
        <v>3324</v>
      </c>
      <c r="AL149" s="12"/>
      <c r="AM149" s="13"/>
      <c r="AN149" s="12"/>
      <c r="AO149" s="12" t="s">
        <v>150</v>
      </c>
      <c r="AP149" s="13"/>
      <c r="AQ149" s="12" t="s">
        <v>146</v>
      </c>
      <c r="AR149" s="13"/>
      <c r="AS149" s="13" t="s">
        <v>71</v>
      </c>
      <c r="AT149" s="13" t="s">
        <v>71</v>
      </c>
      <c r="AU149" s="14">
        <v>100</v>
      </c>
      <c r="AV149" s="14"/>
      <c r="AW149" s="14">
        <v>33.9</v>
      </c>
      <c r="AX149" s="15">
        <v>45900</v>
      </c>
      <c r="AY149" s="15"/>
    </row>
    <row r="150" spans="1:51">
      <c r="A150" s="12">
        <v>8915032</v>
      </c>
      <c r="B150" s="13" t="s">
        <v>3610</v>
      </c>
      <c r="C150" s="13" t="s">
        <v>3342</v>
      </c>
      <c r="D150" s="13"/>
      <c r="E150" s="13" t="s">
        <v>3318</v>
      </c>
      <c r="F150" s="12"/>
      <c r="G150" s="12"/>
      <c r="H150" s="13"/>
      <c r="I150" s="12"/>
      <c r="J150" s="12"/>
      <c r="K150" s="12" t="s">
        <v>3609</v>
      </c>
      <c r="L150" s="12" t="s">
        <v>3321</v>
      </c>
      <c r="M150" s="12"/>
      <c r="N150" s="12"/>
      <c r="O150" s="13"/>
      <c r="P150" s="12">
        <v>10</v>
      </c>
      <c r="Q150" s="13" t="s">
        <v>3339</v>
      </c>
      <c r="R150" s="12">
        <v>985</v>
      </c>
      <c r="S150" s="12">
        <v>3271893</v>
      </c>
      <c r="T150" s="12"/>
      <c r="U150" s="13"/>
      <c r="V150" s="12" t="s">
        <v>3321</v>
      </c>
      <c r="W150" s="13" t="s">
        <v>3322</v>
      </c>
      <c r="X150" s="12"/>
      <c r="Y150" s="13"/>
      <c r="Z150" s="12"/>
      <c r="AA150" s="13"/>
      <c r="AB150" s="12"/>
      <c r="AC150" s="12"/>
      <c r="AD150" s="14"/>
      <c r="AE150" s="12"/>
      <c r="AF150" s="13"/>
      <c r="AG150" s="12"/>
      <c r="AH150" s="12"/>
      <c r="AI150" s="13"/>
      <c r="AJ150" s="13" t="s">
        <v>3328</v>
      </c>
      <c r="AK150" s="13" t="s">
        <v>3324</v>
      </c>
      <c r="AL150" s="12"/>
      <c r="AM150" s="13"/>
      <c r="AN150" s="12"/>
      <c r="AO150" s="12">
        <v>1503</v>
      </c>
      <c r="AP150" s="13"/>
      <c r="AQ150" s="12">
        <v>15032</v>
      </c>
      <c r="AR150" s="13"/>
      <c r="AS150" s="13" t="s">
        <v>71</v>
      </c>
      <c r="AT150" s="13" t="s">
        <v>71</v>
      </c>
      <c r="AU150" s="14">
        <v>100</v>
      </c>
      <c r="AV150" s="14"/>
      <c r="AW150" s="14">
        <v>33.94</v>
      </c>
      <c r="AX150" s="15">
        <v>45900</v>
      </c>
      <c r="AY150" s="15"/>
    </row>
    <row r="151" spans="1:51">
      <c r="A151" s="12">
        <v>8904082</v>
      </c>
      <c r="B151" s="13" t="s">
        <v>3465</v>
      </c>
      <c r="C151" s="13" t="s">
        <v>3342</v>
      </c>
      <c r="D151" s="13"/>
      <c r="E151" s="13" t="s">
        <v>3318</v>
      </c>
      <c r="F151" s="12"/>
      <c r="G151" s="12"/>
      <c r="H151" s="13"/>
      <c r="I151" s="12"/>
      <c r="J151" s="12"/>
      <c r="K151" s="12" t="s">
        <v>3466</v>
      </c>
      <c r="L151" s="12" t="s">
        <v>3321</v>
      </c>
      <c r="M151" s="12"/>
      <c r="N151" s="12"/>
      <c r="O151" s="13"/>
      <c r="P151" s="12">
        <v>10</v>
      </c>
      <c r="Q151" s="13" t="s">
        <v>3339</v>
      </c>
      <c r="R151" s="12">
        <v>985</v>
      </c>
      <c r="S151" s="12">
        <v>3271697</v>
      </c>
      <c r="T151" s="12"/>
      <c r="U151" s="13"/>
      <c r="V151" s="12" t="s">
        <v>3321</v>
      </c>
      <c r="W151" s="13" t="s">
        <v>3322</v>
      </c>
      <c r="X151" s="12"/>
      <c r="Y151" s="13"/>
      <c r="Z151" s="12"/>
      <c r="AA151" s="13"/>
      <c r="AB151" s="12"/>
      <c r="AC151" s="12"/>
      <c r="AD151" s="14"/>
      <c r="AE151" s="12"/>
      <c r="AF151" s="13"/>
      <c r="AG151" s="12"/>
      <c r="AH151" s="12"/>
      <c r="AI151" s="13"/>
      <c r="AJ151" s="13" t="s">
        <v>3328</v>
      </c>
      <c r="AK151" s="13" t="s">
        <v>3324</v>
      </c>
      <c r="AL151" s="12"/>
      <c r="AM151" s="13"/>
      <c r="AN151" s="12"/>
      <c r="AO151" s="12" t="s">
        <v>958</v>
      </c>
      <c r="AP151" s="13"/>
      <c r="AQ151" s="12" t="s">
        <v>955</v>
      </c>
      <c r="AR151" s="13"/>
      <c r="AS151" s="13" t="s">
        <v>71</v>
      </c>
      <c r="AT151" s="13" t="s">
        <v>71</v>
      </c>
      <c r="AU151" s="14">
        <v>100</v>
      </c>
      <c r="AV151" s="14"/>
      <c r="AW151" s="14">
        <v>34.19</v>
      </c>
      <c r="AX151" s="15">
        <v>45900</v>
      </c>
      <c r="AY151" s="15"/>
    </row>
    <row r="152" spans="1:51">
      <c r="A152" s="12">
        <v>8912112</v>
      </c>
      <c r="B152" s="13" t="s">
        <v>3567</v>
      </c>
      <c r="C152" s="13" t="s">
        <v>3342</v>
      </c>
      <c r="D152" s="13"/>
      <c r="E152" s="13" t="s">
        <v>3318</v>
      </c>
      <c r="F152" s="12"/>
      <c r="G152" s="12"/>
      <c r="H152" s="13"/>
      <c r="I152" s="12"/>
      <c r="J152" s="12"/>
      <c r="K152" s="12"/>
      <c r="L152" s="12" t="s">
        <v>1755</v>
      </c>
      <c r="M152" s="12" t="s">
        <v>1755</v>
      </c>
      <c r="N152" s="12"/>
      <c r="O152" s="13"/>
      <c r="P152" s="12"/>
      <c r="Q152" s="13"/>
      <c r="R152" s="12"/>
      <c r="S152" s="12"/>
      <c r="T152" s="12"/>
      <c r="U152" s="13"/>
      <c r="V152" s="12" t="s">
        <v>3321</v>
      </c>
      <c r="W152" s="13" t="s">
        <v>3322</v>
      </c>
      <c r="X152" s="12"/>
      <c r="Y152" s="13"/>
      <c r="Z152" s="12"/>
      <c r="AA152" s="13"/>
      <c r="AB152" s="12"/>
      <c r="AC152" s="12"/>
      <c r="AD152" s="14"/>
      <c r="AE152" s="12"/>
      <c r="AF152" s="13"/>
      <c r="AG152" s="12"/>
      <c r="AH152" s="12"/>
      <c r="AI152" s="13"/>
      <c r="AJ152" s="13" t="s">
        <v>3328</v>
      </c>
      <c r="AK152" s="13" t="s">
        <v>3324</v>
      </c>
      <c r="AL152" s="12"/>
      <c r="AM152" s="13"/>
      <c r="AN152" s="12"/>
      <c r="AO152" s="12">
        <v>1211</v>
      </c>
      <c r="AP152" s="13"/>
      <c r="AQ152" s="12">
        <v>12112</v>
      </c>
      <c r="AR152" s="13"/>
      <c r="AS152" s="13" t="s">
        <v>71</v>
      </c>
      <c r="AT152" s="13" t="s">
        <v>71</v>
      </c>
      <c r="AU152" s="14">
        <v>100</v>
      </c>
      <c r="AV152" s="14"/>
      <c r="AW152" s="14">
        <v>34.229999999999997</v>
      </c>
      <c r="AX152" s="15">
        <v>45900</v>
      </c>
      <c r="AY152" s="15"/>
    </row>
    <row r="153" spans="1:51">
      <c r="A153" s="12">
        <v>8911012</v>
      </c>
      <c r="B153" s="13" t="s">
        <v>3533</v>
      </c>
      <c r="C153" s="13" t="s">
        <v>3317</v>
      </c>
      <c r="D153" s="13"/>
      <c r="E153" s="13" t="s">
        <v>3318</v>
      </c>
      <c r="F153" s="12"/>
      <c r="G153" s="12"/>
      <c r="H153" s="13"/>
      <c r="I153" s="12"/>
      <c r="J153" s="12"/>
      <c r="K153" s="12"/>
      <c r="L153" s="12" t="s">
        <v>3534</v>
      </c>
      <c r="M153" s="12"/>
      <c r="N153" s="12"/>
      <c r="O153" s="13"/>
      <c r="P153" s="12">
        <v>10</v>
      </c>
      <c r="Q153" s="13" t="s">
        <v>3339</v>
      </c>
      <c r="R153" s="12">
        <v>985</v>
      </c>
      <c r="S153" s="12">
        <v>3279379</v>
      </c>
      <c r="T153" s="12"/>
      <c r="U153" s="13"/>
      <c r="V153" s="12" t="s">
        <v>3321</v>
      </c>
      <c r="W153" s="13" t="s">
        <v>3322</v>
      </c>
      <c r="X153" s="12"/>
      <c r="Y153" s="13"/>
      <c r="Z153" s="12"/>
      <c r="AA153" s="13"/>
      <c r="AB153" s="12"/>
      <c r="AC153" s="12"/>
      <c r="AD153" s="14"/>
      <c r="AE153" s="12"/>
      <c r="AF153" s="13"/>
      <c r="AG153" s="12"/>
      <c r="AH153" s="12"/>
      <c r="AI153" s="13"/>
      <c r="AJ153" s="13" t="s">
        <v>3328</v>
      </c>
      <c r="AK153" s="13" t="s">
        <v>3324</v>
      </c>
      <c r="AL153" s="12"/>
      <c r="AM153" s="13"/>
      <c r="AN153" s="12"/>
      <c r="AO153" s="12"/>
      <c r="AP153" s="13"/>
      <c r="AQ153" s="12">
        <v>11012</v>
      </c>
      <c r="AR153" s="13"/>
      <c r="AS153" s="13" t="s">
        <v>71</v>
      </c>
      <c r="AT153" s="13" t="s">
        <v>71</v>
      </c>
      <c r="AU153" s="14">
        <v>100</v>
      </c>
      <c r="AV153" s="14"/>
      <c r="AW153" s="14">
        <v>34.380000000000003</v>
      </c>
      <c r="AX153" s="15">
        <v>44439</v>
      </c>
      <c r="AY153" s="15"/>
    </row>
    <row r="154" spans="1:51">
      <c r="A154" s="12">
        <v>8919062</v>
      </c>
      <c r="B154" s="13" t="s">
        <v>3637</v>
      </c>
      <c r="C154" s="13" t="s">
        <v>3342</v>
      </c>
      <c r="D154" s="13"/>
      <c r="E154" s="13" t="s">
        <v>3318</v>
      </c>
      <c r="F154" s="12"/>
      <c r="G154" s="12"/>
      <c r="H154" s="13"/>
      <c r="I154" s="12"/>
      <c r="J154" s="12"/>
      <c r="K154" s="12"/>
      <c r="L154" s="12" t="s">
        <v>2335</v>
      </c>
      <c r="M154" s="12"/>
      <c r="N154" s="12"/>
      <c r="O154" s="13"/>
      <c r="P154" s="12">
        <v>10</v>
      </c>
      <c r="Q154" s="13" t="s">
        <v>3339</v>
      </c>
      <c r="R154" s="12">
        <v>985</v>
      </c>
      <c r="S154" s="12">
        <v>3281791</v>
      </c>
      <c r="T154" s="12"/>
      <c r="U154" s="13"/>
      <c r="V154" s="12" t="s">
        <v>3321</v>
      </c>
      <c r="W154" s="13" t="s">
        <v>3322</v>
      </c>
      <c r="X154" s="12"/>
      <c r="Y154" s="13"/>
      <c r="Z154" s="12"/>
      <c r="AA154" s="13"/>
      <c r="AB154" s="12"/>
      <c r="AC154" s="12"/>
      <c r="AD154" s="14"/>
      <c r="AE154" s="12"/>
      <c r="AF154" s="13"/>
      <c r="AG154" s="12"/>
      <c r="AH154" s="12"/>
      <c r="AI154" s="13"/>
      <c r="AJ154" s="13" t="s">
        <v>3328</v>
      </c>
      <c r="AK154" s="13" t="s">
        <v>3324</v>
      </c>
      <c r="AL154" s="12"/>
      <c r="AM154" s="13"/>
      <c r="AN154" s="12"/>
      <c r="AO154" s="12">
        <v>1906</v>
      </c>
      <c r="AP154" s="13"/>
      <c r="AQ154" s="12">
        <v>19062</v>
      </c>
      <c r="AR154" s="13"/>
      <c r="AS154" s="13" t="s">
        <v>71</v>
      </c>
      <c r="AT154" s="13" t="s">
        <v>71</v>
      </c>
      <c r="AU154" s="14">
        <v>100</v>
      </c>
      <c r="AV154" s="14"/>
      <c r="AW154" s="14">
        <v>35.19</v>
      </c>
      <c r="AX154" s="15">
        <v>45900</v>
      </c>
      <c r="AY154" s="15"/>
    </row>
    <row r="155" spans="1:51">
      <c r="A155" s="12">
        <v>8901041</v>
      </c>
      <c r="B155" s="13" t="s">
        <v>3330</v>
      </c>
      <c r="C155" s="13" t="s">
        <v>3317</v>
      </c>
      <c r="D155" s="13"/>
      <c r="E155" s="13" t="s">
        <v>3318</v>
      </c>
      <c r="F155" s="12"/>
      <c r="G155" s="12"/>
      <c r="H155" s="13"/>
      <c r="I155" s="12"/>
      <c r="J155" s="12"/>
      <c r="K155" s="12"/>
      <c r="L155" s="12" t="s">
        <v>3331</v>
      </c>
      <c r="M155" s="12"/>
      <c r="N155" s="12"/>
      <c r="O155" s="13"/>
      <c r="P155" s="12"/>
      <c r="Q155" s="13"/>
      <c r="R155" s="12"/>
      <c r="S155" s="12"/>
      <c r="T155" s="12"/>
      <c r="U155" s="13"/>
      <c r="V155" s="12" t="s">
        <v>3321</v>
      </c>
      <c r="W155" s="13" t="s">
        <v>3322</v>
      </c>
      <c r="X155" s="12"/>
      <c r="Y155" s="13"/>
      <c r="Z155" s="12"/>
      <c r="AA155" s="13"/>
      <c r="AB155" s="12"/>
      <c r="AC155" s="12"/>
      <c r="AD155" s="14"/>
      <c r="AE155" s="12"/>
      <c r="AF155" s="13"/>
      <c r="AG155" s="12"/>
      <c r="AH155" s="12"/>
      <c r="AI155" s="13"/>
      <c r="AJ155" s="13" t="s">
        <v>3328</v>
      </c>
      <c r="AK155" s="13" t="s">
        <v>3324</v>
      </c>
      <c r="AL155" s="12"/>
      <c r="AM155" s="13"/>
      <c r="AN155" s="12"/>
      <c r="AO155" s="12"/>
      <c r="AP155" s="13"/>
      <c r="AQ155" s="12" t="s">
        <v>3332</v>
      </c>
      <c r="AR155" s="13"/>
      <c r="AS155" s="13" t="s">
        <v>71</v>
      </c>
      <c r="AT155" s="13" t="s">
        <v>71</v>
      </c>
      <c r="AU155" s="14">
        <v>100</v>
      </c>
      <c r="AV155" s="14"/>
      <c r="AW155" s="14">
        <v>35.4</v>
      </c>
      <c r="AX155" s="15">
        <v>42369</v>
      </c>
      <c r="AY155" s="15"/>
    </row>
    <row r="156" spans="1:51">
      <c r="A156" s="12">
        <v>8921071</v>
      </c>
      <c r="B156" s="13" t="s">
        <v>3713</v>
      </c>
      <c r="C156" s="13" t="s">
        <v>3317</v>
      </c>
      <c r="D156" s="13"/>
      <c r="E156" s="13" t="s">
        <v>3318</v>
      </c>
      <c r="F156" s="12"/>
      <c r="G156" s="12"/>
      <c r="H156" s="13"/>
      <c r="I156" s="12"/>
      <c r="J156" s="12"/>
      <c r="K156" s="12"/>
      <c r="L156" s="12" t="s">
        <v>3714</v>
      </c>
      <c r="M156" s="12"/>
      <c r="N156" s="12"/>
      <c r="O156" s="13"/>
      <c r="P156" s="12">
        <v>10</v>
      </c>
      <c r="Q156" s="13" t="s">
        <v>3339</v>
      </c>
      <c r="R156" s="12">
        <v>985</v>
      </c>
      <c r="S156" s="12">
        <v>20894066</v>
      </c>
      <c r="T156" s="12"/>
      <c r="U156" s="13"/>
      <c r="V156" s="12" t="s">
        <v>3321</v>
      </c>
      <c r="W156" s="13" t="s">
        <v>3322</v>
      </c>
      <c r="X156" s="12"/>
      <c r="Y156" s="13"/>
      <c r="Z156" s="12"/>
      <c r="AA156" s="13"/>
      <c r="AB156" s="12"/>
      <c r="AC156" s="12"/>
      <c r="AD156" s="14"/>
      <c r="AE156" s="12"/>
      <c r="AF156" s="13"/>
      <c r="AG156" s="12"/>
      <c r="AH156" s="12"/>
      <c r="AI156" s="13"/>
      <c r="AJ156" s="13" t="s">
        <v>3328</v>
      </c>
      <c r="AK156" s="13" t="s">
        <v>3324</v>
      </c>
      <c r="AL156" s="12"/>
      <c r="AM156" s="13"/>
      <c r="AN156" s="12"/>
      <c r="AO156" s="12"/>
      <c r="AP156" s="13"/>
      <c r="AQ156" s="12">
        <v>21071</v>
      </c>
      <c r="AR156" s="13"/>
      <c r="AS156" s="13" t="s">
        <v>71</v>
      </c>
      <c r="AT156" s="13" t="s">
        <v>71</v>
      </c>
      <c r="AU156" s="14">
        <v>100</v>
      </c>
      <c r="AV156" s="14"/>
      <c r="AW156" s="14">
        <v>35.76</v>
      </c>
      <c r="AX156" s="15">
        <v>43556</v>
      </c>
      <c r="AY156" s="15"/>
    </row>
    <row r="157" spans="1:51">
      <c r="A157" s="12">
        <v>8901141</v>
      </c>
      <c r="B157" s="13" t="s">
        <v>3353</v>
      </c>
      <c r="C157" s="13" t="s">
        <v>3342</v>
      </c>
      <c r="D157" s="13"/>
      <c r="E157" s="13" t="s">
        <v>3318</v>
      </c>
      <c r="F157" s="12"/>
      <c r="G157" s="12"/>
      <c r="H157" s="13"/>
      <c r="I157" s="12"/>
      <c r="J157" s="12"/>
      <c r="K157" s="12"/>
      <c r="L157" s="12" t="s">
        <v>180</v>
      </c>
      <c r="M157" s="12"/>
      <c r="N157" s="12"/>
      <c r="O157" s="13"/>
      <c r="P157" s="12">
        <v>10</v>
      </c>
      <c r="Q157" s="13" t="s">
        <v>3339</v>
      </c>
      <c r="R157" s="12">
        <v>985</v>
      </c>
      <c r="S157" s="12">
        <v>3277483</v>
      </c>
      <c r="T157" s="12"/>
      <c r="U157" s="13"/>
      <c r="V157" s="12" t="s">
        <v>3321</v>
      </c>
      <c r="W157" s="13" t="s">
        <v>3322</v>
      </c>
      <c r="X157" s="12"/>
      <c r="Y157" s="13"/>
      <c r="Z157" s="12"/>
      <c r="AA157" s="13"/>
      <c r="AB157" s="12"/>
      <c r="AC157" s="12"/>
      <c r="AD157" s="14"/>
      <c r="AE157" s="12"/>
      <c r="AF157" s="13"/>
      <c r="AG157" s="12"/>
      <c r="AH157" s="12"/>
      <c r="AI157" s="13"/>
      <c r="AJ157" s="13" t="s">
        <v>3328</v>
      </c>
      <c r="AK157" s="13" t="s">
        <v>3324</v>
      </c>
      <c r="AL157" s="12"/>
      <c r="AM157" s="13"/>
      <c r="AN157" s="12"/>
      <c r="AO157" s="12" t="s">
        <v>178</v>
      </c>
      <c r="AP157" s="13"/>
      <c r="AQ157" s="12" t="s">
        <v>174</v>
      </c>
      <c r="AR157" s="13"/>
      <c r="AS157" s="13" t="s">
        <v>71</v>
      </c>
      <c r="AT157" s="13" t="s">
        <v>71</v>
      </c>
      <c r="AU157" s="14">
        <v>100</v>
      </c>
      <c r="AV157" s="14"/>
      <c r="AW157" s="14">
        <v>36.04</v>
      </c>
      <c r="AX157" s="15">
        <v>45900</v>
      </c>
      <c r="AY157" s="15"/>
    </row>
    <row r="158" spans="1:51">
      <c r="A158" s="12">
        <v>8901142</v>
      </c>
      <c r="B158" s="13" t="s">
        <v>3354</v>
      </c>
      <c r="C158" s="13" t="s">
        <v>3342</v>
      </c>
      <c r="D158" s="13"/>
      <c r="E158" s="13" t="s">
        <v>3318</v>
      </c>
      <c r="F158" s="12"/>
      <c r="G158" s="12"/>
      <c r="H158" s="13"/>
      <c r="I158" s="12"/>
      <c r="J158" s="12"/>
      <c r="K158" s="12"/>
      <c r="L158" s="12" t="s">
        <v>184</v>
      </c>
      <c r="M158" s="12"/>
      <c r="N158" s="12"/>
      <c r="O158" s="13"/>
      <c r="P158" s="12">
        <v>10</v>
      </c>
      <c r="Q158" s="13" t="s">
        <v>3339</v>
      </c>
      <c r="R158" s="12">
        <v>985</v>
      </c>
      <c r="S158" s="12">
        <v>3277483</v>
      </c>
      <c r="T158" s="12"/>
      <c r="U158" s="13"/>
      <c r="V158" s="12" t="s">
        <v>3321</v>
      </c>
      <c r="W158" s="13" t="s">
        <v>3322</v>
      </c>
      <c r="X158" s="12"/>
      <c r="Y158" s="13"/>
      <c r="Z158" s="12"/>
      <c r="AA158" s="13"/>
      <c r="AB158" s="12"/>
      <c r="AC158" s="12"/>
      <c r="AD158" s="14"/>
      <c r="AE158" s="12"/>
      <c r="AF158" s="13"/>
      <c r="AG158" s="12"/>
      <c r="AH158" s="12"/>
      <c r="AI158" s="13"/>
      <c r="AJ158" s="13" t="s">
        <v>3328</v>
      </c>
      <c r="AK158" s="13" t="s">
        <v>3324</v>
      </c>
      <c r="AL158" s="12"/>
      <c r="AM158" s="13"/>
      <c r="AN158" s="12"/>
      <c r="AO158" s="12" t="s">
        <v>178</v>
      </c>
      <c r="AP158" s="13"/>
      <c r="AQ158" s="12" t="s">
        <v>181</v>
      </c>
      <c r="AR158" s="13"/>
      <c r="AS158" s="13" t="s">
        <v>71</v>
      </c>
      <c r="AT158" s="13" t="s">
        <v>71</v>
      </c>
      <c r="AU158" s="14">
        <v>100</v>
      </c>
      <c r="AV158" s="14"/>
      <c r="AW158" s="14">
        <v>36.04</v>
      </c>
      <c r="AX158" s="15">
        <v>45900</v>
      </c>
      <c r="AY158" s="15"/>
    </row>
    <row r="159" spans="1:51">
      <c r="A159" s="12">
        <v>8917101</v>
      </c>
      <c r="B159" s="13" t="s">
        <v>3628</v>
      </c>
      <c r="C159" s="13" t="s">
        <v>3342</v>
      </c>
      <c r="D159" s="13"/>
      <c r="E159" s="13" t="s">
        <v>3318</v>
      </c>
      <c r="F159" s="12"/>
      <c r="G159" s="12"/>
      <c r="H159" s="13"/>
      <c r="I159" s="12"/>
      <c r="J159" s="12"/>
      <c r="K159" s="12"/>
      <c r="L159" s="12" t="s">
        <v>2243</v>
      </c>
      <c r="M159" s="12"/>
      <c r="N159" s="12"/>
      <c r="O159" s="13"/>
      <c r="P159" s="12">
        <v>10</v>
      </c>
      <c r="Q159" s="13" t="s">
        <v>3339</v>
      </c>
      <c r="R159" s="12">
        <v>985</v>
      </c>
      <c r="S159" s="12">
        <v>3280598</v>
      </c>
      <c r="T159" s="12"/>
      <c r="U159" s="13"/>
      <c r="V159" s="12" t="s">
        <v>3321</v>
      </c>
      <c r="W159" s="13" t="s">
        <v>3322</v>
      </c>
      <c r="X159" s="12"/>
      <c r="Y159" s="13"/>
      <c r="Z159" s="12"/>
      <c r="AA159" s="13"/>
      <c r="AB159" s="12"/>
      <c r="AC159" s="12"/>
      <c r="AD159" s="14"/>
      <c r="AE159" s="12"/>
      <c r="AF159" s="13"/>
      <c r="AG159" s="12"/>
      <c r="AH159" s="12"/>
      <c r="AI159" s="13"/>
      <c r="AJ159" s="13" t="s">
        <v>3328</v>
      </c>
      <c r="AK159" s="13" t="s">
        <v>3324</v>
      </c>
      <c r="AL159" s="12"/>
      <c r="AM159" s="13"/>
      <c r="AN159" s="12"/>
      <c r="AO159" s="12">
        <v>1710</v>
      </c>
      <c r="AP159" s="13"/>
      <c r="AQ159" s="12">
        <v>17101</v>
      </c>
      <c r="AR159" s="13"/>
      <c r="AS159" s="13" t="s">
        <v>71</v>
      </c>
      <c r="AT159" s="13" t="s">
        <v>71</v>
      </c>
      <c r="AU159" s="14">
        <v>100</v>
      </c>
      <c r="AV159" s="14"/>
      <c r="AW159" s="14">
        <v>36.130000000000003</v>
      </c>
      <c r="AX159" s="15">
        <v>45900</v>
      </c>
      <c r="AY159" s="15"/>
    </row>
    <row r="160" spans="1:51">
      <c r="A160" s="12">
        <v>8917102</v>
      </c>
      <c r="B160" s="13" t="s">
        <v>3629</v>
      </c>
      <c r="C160" s="13" t="s">
        <v>3342</v>
      </c>
      <c r="D160" s="13"/>
      <c r="E160" s="13" t="s">
        <v>3318</v>
      </c>
      <c r="F160" s="12"/>
      <c r="G160" s="12"/>
      <c r="H160" s="13"/>
      <c r="I160" s="12"/>
      <c r="J160" s="12"/>
      <c r="K160" s="12"/>
      <c r="L160" s="12" t="s">
        <v>2246</v>
      </c>
      <c r="M160" s="12"/>
      <c r="N160" s="12"/>
      <c r="O160" s="13"/>
      <c r="P160" s="12">
        <v>10</v>
      </c>
      <c r="Q160" s="13" t="s">
        <v>3339</v>
      </c>
      <c r="R160" s="12">
        <v>985</v>
      </c>
      <c r="S160" s="12">
        <v>3280598</v>
      </c>
      <c r="T160" s="12"/>
      <c r="U160" s="13"/>
      <c r="V160" s="12" t="s">
        <v>3321</v>
      </c>
      <c r="W160" s="13" t="s">
        <v>3322</v>
      </c>
      <c r="X160" s="12"/>
      <c r="Y160" s="13"/>
      <c r="Z160" s="12"/>
      <c r="AA160" s="13"/>
      <c r="AB160" s="12"/>
      <c r="AC160" s="12"/>
      <c r="AD160" s="14"/>
      <c r="AE160" s="12"/>
      <c r="AF160" s="13"/>
      <c r="AG160" s="12"/>
      <c r="AH160" s="12"/>
      <c r="AI160" s="13"/>
      <c r="AJ160" s="13" t="s">
        <v>3328</v>
      </c>
      <c r="AK160" s="13" t="s">
        <v>3324</v>
      </c>
      <c r="AL160" s="12"/>
      <c r="AM160" s="13"/>
      <c r="AN160" s="12"/>
      <c r="AO160" s="12">
        <v>1710</v>
      </c>
      <c r="AP160" s="13"/>
      <c r="AQ160" s="12">
        <v>17102</v>
      </c>
      <c r="AR160" s="13"/>
      <c r="AS160" s="13" t="s">
        <v>71</v>
      </c>
      <c r="AT160" s="13" t="s">
        <v>71</v>
      </c>
      <c r="AU160" s="14">
        <v>100</v>
      </c>
      <c r="AV160" s="14"/>
      <c r="AW160" s="14">
        <v>36.130000000000003</v>
      </c>
      <c r="AX160" s="15">
        <v>45900</v>
      </c>
      <c r="AY160" s="15"/>
    </row>
    <row r="161" spans="1:51">
      <c r="A161" s="12">
        <v>8905042</v>
      </c>
      <c r="B161" s="13" t="s">
        <v>3480</v>
      </c>
      <c r="C161" s="13" t="s">
        <v>3342</v>
      </c>
      <c r="D161" s="13"/>
      <c r="E161" s="13" t="s">
        <v>3318</v>
      </c>
      <c r="F161" s="12"/>
      <c r="G161" s="12"/>
      <c r="H161" s="13"/>
      <c r="I161" s="12"/>
      <c r="J161" s="12"/>
      <c r="K161" s="12"/>
      <c r="L161" s="12" t="s">
        <v>3321</v>
      </c>
      <c r="M161" s="12"/>
      <c r="N161" s="12"/>
      <c r="O161" s="13"/>
      <c r="P161" s="12">
        <v>20</v>
      </c>
      <c r="Q161" s="13" t="s">
        <v>3320</v>
      </c>
      <c r="R161" s="12">
        <v>427</v>
      </c>
      <c r="S161" s="12">
        <v>461114</v>
      </c>
      <c r="T161" s="12"/>
      <c r="U161" s="13"/>
      <c r="V161" s="12" t="s">
        <v>3321</v>
      </c>
      <c r="W161" s="13" t="s">
        <v>3322</v>
      </c>
      <c r="X161" s="12"/>
      <c r="Y161" s="13"/>
      <c r="Z161" s="12"/>
      <c r="AA161" s="13"/>
      <c r="AB161" s="12"/>
      <c r="AC161" s="12"/>
      <c r="AD161" s="14"/>
      <c r="AE161" s="12"/>
      <c r="AF161" s="13"/>
      <c r="AG161" s="12"/>
      <c r="AH161" s="12"/>
      <c r="AI161" s="13"/>
      <c r="AJ161" s="13" t="s">
        <v>3328</v>
      </c>
      <c r="AK161" s="13" t="s">
        <v>3324</v>
      </c>
      <c r="AL161" s="12"/>
      <c r="AM161" s="13"/>
      <c r="AN161" s="12"/>
      <c r="AO161" s="12" t="s">
        <v>996</v>
      </c>
      <c r="AP161" s="13"/>
      <c r="AQ161" s="12" t="s">
        <v>999</v>
      </c>
      <c r="AR161" s="13"/>
      <c r="AS161" s="13" t="s">
        <v>71</v>
      </c>
      <c r="AT161" s="13" t="s">
        <v>71</v>
      </c>
      <c r="AU161" s="14">
        <v>100</v>
      </c>
      <c r="AV161" s="14"/>
      <c r="AW161" s="14">
        <v>36.200000000000003</v>
      </c>
      <c r="AX161" s="15">
        <v>45900</v>
      </c>
      <c r="AY161" s="15"/>
    </row>
    <row r="162" spans="1:51">
      <c r="A162" s="12">
        <v>8917032</v>
      </c>
      <c r="B162" s="13" t="s">
        <v>3623</v>
      </c>
      <c r="C162" s="13" t="s">
        <v>3342</v>
      </c>
      <c r="D162" s="13"/>
      <c r="E162" s="13" t="s">
        <v>3318</v>
      </c>
      <c r="F162" s="12"/>
      <c r="G162" s="12"/>
      <c r="H162" s="13"/>
      <c r="I162" s="12"/>
      <c r="J162" s="12"/>
      <c r="K162" s="12"/>
      <c r="L162" s="12" t="s">
        <v>2214</v>
      </c>
      <c r="M162" s="12"/>
      <c r="N162" s="12"/>
      <c r="O162" s="13"/>
      <c r="P162" s="12"/>
      <c r="Q162" s="13"/>
      <c r="R162" s="12"/>
      <c r="S162" s="12"/>
      <c r="T162" s="12"/>
      <c r="U162" s="13"/>
      <c r="V162" s="12" t="s">
        <v>3321</v>
      </c>
      <c r="W162" s="13" t="s">
        <v>3322</v>
      </c>
      <c r="X162" s="12"/>
      <c r="Y162" s="13"/>
      <c r="Z162" s="12"/>
      <c r="AA162" s="13"/>
      <c r="AB162" s="12"/>
      <c r="AC162" s="12"/>
      <c r="AD162" s="14"/>
      <c r="AE162" s="12"/>
      <c r="AF162" s="13"/>
      <c r="AG162" s="12"/>
      <c r="AH162" s="12"/>
      <c r="AI162" s="13"/>
      <c r="AJ162" s="13" t="s">
        <v>3328</v>
      </c>
      <c r="AK162" s="13" t="s">
        <v>3324</v>
      </c>
      <c r="AL162" s="12"/>
      <c r="AM162" s="13"/>
      <c r="AN162" s="12"/>
      <c r="AO162" s="12">
        <v>1703</v>
      </c>
      <c r="AP162" s="13"/>
      <c r="AQ162" s="12">
        <v>17032</v>
      </c>
      <c r="AR162" s="13"/>
      <c r="AS162" s="13" t="s">
        <v>71</v>
      </c>
      <c r="AT162" s="13" t="s">
        <v>71</v>
      </c>
      <c r="AU162" s="14">
        <v>100</v>
      </c>
      <c r="AV162" s="14"/>
      <c r="AW162" s="14">
        <v>36.25</v>
      </c>
      <c r="AX162" s="15">
        <v>45900</v>
      </c>
      <c r="AY162" s="15"/>
    </row>
    <row r="163" spans="1:51">
      <c r="A163" s="12">
        <v>8902141</v>
      </c>
      <c r="B163" s="13" t="s">
        <v>3395</v>
      </c>
      <c r="C163" s="13" t="s">
        <v>3342</v>
      </c>
      <c r="D163" s="13"/>
      <c r="E163" s="13" t="s">
        <v>3318</v>
      </c>
      <c r="F163" s="12"/>
      <c r="G163" s="12"/>
      <c r="H163" s="13"/>
      <c r="I163" s="12"/>
      <c r="J163" s="12"/>
      <c r="K163" s="12"/>
      <c r="L163" s="12" t="s">
        <v>479</v>
      </c>
      <c r="M163" s="12"/>
      <c r="N163" s="12"/>
      <c r="O163" s="13"/>
      <c r="P163" s="12">
        <v>10</v>
      </c>
      <c r="Q163" s="13" t="s">
        <v>3339</v>
      </c>
      <c r="R163" s="12">
        <v>985</v>
      </c>
      <c r="S163" s="12">
        <v>3284488</v>
      </c>
      <c r="T163" s="12"/>
      <c r="U163" s="13"/>
      <c r="V163" s="12" t="s">
        <v>3321</v>
      </c>
      <c r="W163" s="13" t="s">
        <v>3322</v>
      </c>
      <c r="X163" s="12"/>
      <c r="Y163" s="13"/>
      <c r="Z163" s="12"/>
      <c r="AA163" s="13"/>
      <c r="AB163" s="12"/>
      <c r="AC163" s="12"/>
      <c r="AD163" s="14"/>
      <c r="AE163" s="12"/>
      <c r="AF163" s="13"/>
      <c r="AG163" s="12"/>
      <c r="AH163" s="12"/>
      <c r="AI163" s="13"/>
      <c r="AJ163" s="13" t="s">
        <v>3328</v>
      </c>
      <c r="AK163" s="13" t="s">
        <v>3324</v>
      </c>
      <c r="AL163" s="12"/>
      <c r="AM163" s="13"/>
      <c r="AN163" s="12"/>
      <c r="AO163" s="12" t="s">
        <v>477</v>
      </c>
      <c r="AP163" s="13"/>
      <c r="AQ163" s="12" t="s">
        <v>475</v>
      </c>
      <c r="AR163" s="13"/>
      <c r="AS163" s="13" t="s">
        <v>71</v>
      </c>
      <c r="AT163" s="13" t="s">
        <v>71</v>
      </c>
      <c r="AU163" s="14">
        <v>100</v>
      </c>
      <c r="AV163" s="14"/>
      <c r="AW163" s="14">
        <v>36.76</v>
      </c>
      <c r="AX163" s="15">
        <v>45900</v>
      </c>
      <c r="AY163" s="15"/>
    </row>
    <row r="164" spans="1:51">
      <c r="A164" s="12">
        <v>8904131</v>
      </c>
      <c r="B164" s="13" t="s">
        <v>3467</v>
      </c>
      <c r="C164" s="13" t="s">
        <v>3342</v>
      </c>
      <c r="D164" s="13"/>
      <c r="E164" s="13" t="s">
        <v>3318</v>
      </c>
      <c r="F164" s="12"/>
      <c r="G164" s="12"/>
      <c r="H164" s="13"/>
      <c r="I164" s="12"/>
      <c r="J164" s="12"/>
      <c r="K164" s="12" t="s">
        <v>3468</v>
      </c>
      <c r="L164" s="12" t="s">
        <v>3321</v>
      </c>
      <c r="M164" s="12"/>
      <c r="N164" s="12"/>
      <c r="O164" s="13"/>
      <c r="P164" s="12">
        <v>10</v>
      </c>
      <c r="Q164" s="13" t="s">
        <v>3339</v>
      </c>
      <c r="R164" s="12">
        <v>985</v>
      </c>
      <c r="S164" s="12">
        <v>3272300</v>
      </c>
      <c r="T164" s="12"/>
      <c r="U164" s="13"/>
      <c r="V164" s="12" t="s">
        <v>3321</v>
      </c>
      <c r="W164" s="13" t="s">
        <v>3322</v>
      </c>
      <c r="X164" s="12"/>
      <c r="Y164" s="13"/>
      <c r="Z164" s="12"/>
      <c r="AA164" s="13"/>
      <c r="AB164" s="12"/>
      <c r="AC164" s="12"/>
      <c r="AD164" s="14"/>
      <c r="AE164" s="12"/>
      <c r="AF164" s="13"/>
      <c r="AG164" s="12"/>
      <c r="AH164" s="12"/>
      <c r="AI164" s="13"/>
      <c r="AJ164" s="13" t="s">
        <v>3328</v>
      </c>
      <c r="AK164" s="13" t="s">
        <v>3324</v>
      </c>
      <c r="AL164" s="12"/>
      <c r="AM164" s="13"/>
      <c r="AN164" s="12"/>
      <c r="AO164" s="12" t="s">
        <v>984</v>
      </c>
      <c r="AP164" s="13"/>
      <c r="AQ164" s="12" t="s">
        <v>982</v>
      </c>
      <c r="AR164" s="13"/>
      <c r="AS164" s="13" t="s">
        <v>71</v>
      </c>
      <c r="AT164" s="13" t="s">
        <v>71</v>
      </c>
      <c r="AU164" s="14">
        <v>100</v>
      </c>
      <c r="AV164" s="14"/>
      <c r="AW164" s="14">
        <v>36.86</v>
      </c>
      <c r="AX164" s="15">
        <v>45900</v>
      </c>
      <c r="AY164" s="15"/>
    </row>
    <row r="165" spans="1:51">
      <c r="A165" s="12">
        <v>8902142</v>
      </c>
      <c r="B165" s="13" t="s">
        <v>3396</v>
      </c>
      <c r="C165" s="13" t="s">
        <v>3342</v>
      </c>
      <c r="D165" s="13"/>
      <c r="E165" s="13" t="s">
        <v>3318</v>
      </c>
      <c r="F165" s="12"/>
      <c r="G165" s="12"/>
      <c r="H165" s="13"/>
      <c r="I165" s="12"/>
      <c r="J165" s="12"/>
      <c r="K165" s="12"/>
      <c r="L165" s="12" t="s">
        <v>484</v>
      </c>
      <c r="M165" s="12"/>
      <c r="N165" s="12"/>
      <c r="O165" s="13"/>
      <c r="P165" s="12">
        <v>10</v>
      </c>
      <c r="Q165" s="13" t="s">
        <v>3339</v>
      </c>
      <c r="R165" s="12">
        <v>985</v>
      </c>
      <c r="S165" s="12">
        <v>3284488</v>
      </c>
      <c r="T165" s="12"/>
      <c r="U165" s="13"/>
      <c r="V165" s="12" t="s">
        <v>3321</v>
      </c>
      <c r="W165" s="13" t="s">
        <v>3322</v>
      </c>
      <c r="X165" s="12"/>
      <c r="Y165" s="13"/>
      <c r="Z165" s="12"/>
      <c r="AA165" s="13"/>
      <c r="AB165" s="12"/>
      <c r="AC165" s="12"/>
      <c r="AD165" s="14"/>
      <c r="AE165" s="12"/>
      <c r="AF165" s="13"/>
      <c r="AG165" s="12"/>
      <c r="AH165" s="12"/>
      <c r="AI165" s="13"/>
      <c r="AJ165" s="13" t="s">
        <v>3328</v>
      </c>
      <c r="AK165" s="13" t="s">
        <v>3324</v>
      </c>
      <c r="AL165" s="12"/>
      <c r="AM165" s="13"/>
      <c r="AN165" s="12"/>
      <c r="AO165" s="12" t="s">
        <v>477</v>
      </c>
      <c r="AP165" s="13"/>
      <c r="AQ165" s="12" t="s">
        <v>480</v>
      </c>
      <c r="AR165" s="13"/>
      <c r="AS165" s="13" t="s">
        <v>71</v>
      </c>
      <c r="AT165" s="13" t="s">
        <v>71</v>
      </c>
      <c r="AU165" s="14">
        <v>100</v>
      </c>
      <c r="AV165" s="14"/>
      <c r="AW165" s="14">
        <v>36.9</v>
      </c>
      <c r="AX165" s="15">
        <v>45900</v>
      </c>
      <c r="AY165" s="15"/>
    </row>
    <row r="166" spans="1:51">
      <c r="A166" s="12">
        <v>8903042</v>
      </c>
      <c r="B166" s="13" t="s">
        <v>3434</v>
      </c>
      <c r="C166" s="13" t="s">
        <v>3342</v>
      </c>
      <c r="D166" s="13"/>
      <c r="E166" s="13" t="s">
        <v>3318</v>
      </c>
      <c r="F166" s="12"/>
      <c r="G166" s="12"/>
      <c r="H166" s="13"/>
      <c r="I166" s="12"/>
      <c r="J166" s="12"/>
      <c r="K166" s="12" t="s">
        <v>3435</v>
      </c>
      <c r="L166" s="12" t="s">
        <v>715</v>
      </c>
      <c r="M166" s="12"/>
      <c r="N166" s="12"/>
      <c r="O166" s="13"/>
      <c r="P166" s="12">
        <v>10</v>
      </c>
      <c r="Q166" s="13" t="s">
        <v>3339</v>
      </c>
      <c r="R166" s="12">
        <v>985</v>
      </c>
      <c r="S166" s="12">
        <v>3282100</v>
      </c>
      <c r="T166" s="12"/>
      <c r="U166" s="13"/>
      <c r="V166" s="12" t="s">
        <v>3321</v>
      </c>
      <c r="W166" s="13" t="s">
        <v>3322</v>
      </c>
      <c r="X166" s="12"/>
      <c r="Y166" s="13"/>
      <c r="Z166" s="12"/>
      <c r="AA166" s="13"/>
      <c r="AB166" s="12"/>
      <c r="AC166" s="12"/>
      <c r="AD166" s="14"/>
      <c r="AE166" s="12"/>
      <c r="AF166" s="13"/>
      <c r="AG166" s="12"/>
      <c r="AH166" s="12"/>
      <c r="AI166" s="13"/>
      <c r="AJ166" s="13" t="s">
        <v>3328</v>
      </c>
      <c r="AK166" s="13" t="s">
        <v>3324</v>
      </c>
      <c r="AL166" s="12"/>
      <c r="AM166" s="13"/>
      <c r="AN166" s="12"/>
      <c r="AO166" s="12" t="s">
        <v>710</v>
      </c>
      <c r="AP166" s="13"/>
      <c r="AQ166" s="12" t="s">
        <v>713</v>
      </c>
      <c r="AR166" s="13"/>
      <c r="AS166" s="13" t="s">
        <v>71</v>
      </c>
      <c r="AT166" s="13" t="s">
        <v>71</v>
      </c>
      <c r="AU166" s="14">
        <v>100</v>
      </c>
      <c r="AV166" s="14"/>
      <c r="AW166" s="14">
        <v>36.94</v>
      </c>
      <c r="AX166" s="15">
        <v>45900</v>
      </c>
      <c r="AY166" s="15"/>
    </row>
    <row r="167" spans="1:51">
      <c r="A167" s="12">
        <v>8907012</v>
      </c>
      <c r="B167" s="13" t="s">
        <v>3510</v>
      </c>
      <c r="C167" s="13" t="s">
        <v>3342</v>
      </c>
      <c r="D167" s="13"/>
      <c r="E167" s="13" t="s">
        <v>3318</v>
      </c>
      <c r="F167" s="12"/>
      <c r="G167" s="12"/>
      <c r="H167" s="13"/>
      <c r="I167" s="12"/>
      <c r="J167" s="12"/>
      <c r="K167" s="12"/>
      <c r="L167" s="12" t="s">
        <v>1270</v>
      </c>
      <c r="M167" s="12"/>
      <c r="N167" s="12"/>
      <c r="O167" s="13"/>
      <c r="P167" s="12">
        <v>10</v>
      </c>
      <c r="Q167" s="13" t="s">
        <v>3339</v>
      </c>
      <c r="R167" s="12">
        <v>985</v>
      </c>
      <c r="S167" s="12">
        <v>3271303</v>
      </c>
      <c r="T167" s="12"/>
      <c r="U167" s="13"/>
      <c r="V167" s="12" t="s">
        <v>3321</v>
      </c>
      <c r="W167" s="13" t="s">
        <v>3322</v>
      </c>
      <c r="X167" s="12"/>
      <c r="Y167" s="13"/>
      <c r="Z167" s="12"/>
      <c r="AA167" s="13"/>
      <c r="AB167" s="12"/>
      <c r="AC167" s="12"/>
      <c r="AD167" s="14"/>
      <c r="AE167" s="12"/>
      <c r="AF167" s="13"/>
      <c r="AG167" s="12"/>
      <c r="AH167" s="12"/>
      <c r="AI167" s="13"/>
      <c r="AJ167" s="13" t="s">
        <v>3328</v>
      </c>
      <c r="AK167" s="13" t="s">
        <v>3324</v>
      </c>
      <c r="AL167" s="12"/>
      <c r="AM167" s="13"/>
      <c r="AN167" s="12"/>
      <c r="AO167" s="12" t="s">
        <v>1261</v>
      </c>
      <c r="AP167" s="13"/>
      <c r="AQ167" s="12" t="s">
        <v>1267</v>
      </c>
      <c r="AR167" s="13"/>
      <c r="AS167" s="13" t="s">
        <v>71</v>
      </c>
      <c r="AT167" s="13" t="s">
        <v>71</v>
      </c>
      <c r="AU167" s="14">
        <v>100</v>
      </c>
      <c r="AV167" s="14"/>
      <c r="AW167" s="14">
        <v>36.94</v>
      </c>
      <c r="AX167" s="15">
        <v>45900</v>
      </c>
      <c r="AY167" s="15"/>
    </row>
    <row r="168" spans="1:51">
      <c r="A168" s="12">
        <v>8910042</v>
      </c>
      <c r="B168" s="13" t="s">
        <v>3528</v>
      </c>
      <c r="C168" s="13" t="s">
        <v>3342</v>
      </c>
      <c r="D168" s="13"/>
      <c r="E168" s="13" t="s">
        <v>3318</v>
      </c>
      <c r="F168" s="12"/>
      <c r="G168" s="12"/>
      <c r="H168" s="13"/>
      <c r="I168" s="12"/>
      <c r="J168" s="12"/>
      <c r="K168" s="12"/>
      <c r="L168" s="12" t="s">
        <v>1508</v>
      </c>
      <c r="M168" s="12"/>
      <c r="N168" s="12"/>
      <c r="O168" s="13"/>
      <c r="P168" s="12">
        <v>10</v>
      </c>
      <c r="Q168" s="13" t="s">
        <v>3339</v>
      </c>
      <c r="R168" s="12">
        <v>985</v>
      </c>
      <c r="S168" s="12">
        <v>4199762</v>
      </c>
      <c r="T168" s="12"/>
      <c r="U168" s="13"/>
      <c r="V168" s="12" t="s">
        <v>3321</v>
      </c>
      <c r="W168" s="13" t="s">
        <v>3322</v>
      </c>
      <c r="X168" s="12"/>
      <c r="Y168" s="13"/>
      <c r="Z168" s="12"/>
      <c r="AA168" s="13"/>
      <c r="AB168" s="12"/>
      <c r="AC168" s="12"/>
      <c r="AD168" s="14"/>
      <c r="AE168" s="12"/>
      <c r="AF168" s="13"/>
      <c r="AG168" s="12"/>
      <c r="AH168" s="12"/>
      <c r="AI168" s="13"/>
      <c r="AJ168" s="13" t="s">
        <v>3328</v>
      </c>
      <c r="AK168" s="13" t="s">
        <v>3324</v>
      </c>
      <c r="AL168" s="12"/>
      <c r="AM168" s="13"/>
      <c r="AN168" s="12"/>
      <c r="AO168" s="12">
        <v>1004</v>
      </c>
      <c r="AP168" s="13"/>
      <c r="AQ168" s="12">
        <v>10042</v>
      </c>
      <c r="AR168" s="13"/>
      <c r="AS168" s="13" t="s">
        <v>71</v>
      </c>
      <c r="AT168" s="13" t="s">
        <v>71</v>
      </c>
      <c r="AU168" s="14">
        <v>100</v>
      </c>
      <c r="AV168" s="14"/>
      <c r="AW168" s="14">
        <v>36.94</v>
      </c>
      <c r="AX168" s="15">
        <v>45900</v>
      </c>
      <c r="AY168" s="15"/>
    </row>
    <row r="169" spans="1:51">
      <c r="A169" s="12">
        <v>8919111</v>
      </c>
      <c r="B169" s="13" t="s">
        <v>3643</v>
      </c>
      <c r="C169" s="13" t="s">
        <v>3342</v>
      </c>
      <c r="D169" s="13"/>
      <c r="E169" s="13" t="s">
        <v>3318</v>
      </c>
      <c r="F169" s="12"/>
      <c r="G169" s="12"/>
      <c r="H169" s="13"/>
      <c r="I169" s="12"/>
      <c r="J169" s="12"/>
      <c r="K169" s="12"/>
      <c r="L169" s="12" t="s">
        <v>2376</v>
      </c>
      <c r="M169" s="12" t="s">
        <v>2376</v>
      </c>
      <c r="N169" s="12"/>
      <c r="O169" s="13"/>
      <c r="P169" s="12">
        <v>20</v>
      </c>
      <c r="Q169" s="13" t="s">
        <v>3320</v>
      </c>
      <c r="R169" s="12">
        <v>450</v>
      </c>
      <c r="S169" s="12">
        <v>152408</v>
      </c>
      <c r="T169" s="12"/>
      <c r="U169" s="13"/>
      <c r="V169" s="12" t="s">
        <v>3321</v>
      </c>
      <c r="W169" s="13" t="s">
        <v>3322</v>
      </c>
      <c r="X169" s="12"/>
      <c r="Y169" s="13"/>
      <c r="Z169" s="12"/>
      <c r="AA169" s="13"/>
      <c r="AB169" s="12"/>
      <c r="AC169" s="12"/>
      <c r="AD169" s="14"/>
      <c r="AE169" s="12"/>
      <c r="AF169" s="13"/>
      <c r="AG169" s="12"/>
      <c r="AH169" s="12"/>
      <c r="AI169" s="13"/>
      <c r="AJ169" s="13" t="s">
        <v>3328</v>
      </c>
      <c r="AK169" s="13" t="s">
        <v>3324</v>
      </c>
      <c r="AL169" s="12"/>
      <c r="AM169" s="13"/>
      <c r="AN169" s="12"/>
      <c r="AO169" s="12">
        <v>1911</v>
      </c>
      <c r="AP169" s="13"/>
      <c r="AQ169" s="12">
        <v>19111</v>
      </c>
      <c r="AR169" s="13"/>
      <c r="AS169" s="13" t="s">
        <v>71</v>
      </c>
      <c r="AT169" s="13" t="s">
        <v>71</v>
      </c>
      <c r="AU169" s="14">
        <v>100</v>
      </c>
      <c r="AV169" s="14"/>
      <c r="AW169" s="14">
        <v>37.25</v>
      </c>
      <c r="AX169" s="15">
        <v>45900</v>
      </c>
      <c r="AY169" s="15"/>
    </row>
    <row r="170" spans="1:51">
      <c r="A170" s="12">
        <v>8901211</v>
      </c>
      <c r="B170" s="13" t="s">
        <v>3359</v>
      </c>
      <c r="C170" s="13" t="s">
        <v>3342</v>
      </c>
      <c r="D170" s="13"/>
      <c r="E170" s="13" t="s">
        <v>3318</v>
      </c>
      <c r="F170" s="12"/>
      <c r="G170" s="12"/>
      <c r="H170" s="13"/>
      <c r="I170" s="12"/>
      <c r="J170" s="12"/>
      <c r="K170" s="12"/>
      <c r="L170" s="12" t="s">
        <v>239</v>
      </c>
      <c r="M170" s="12"/>
      <c r="N170" s="12"/>
      <c r="O170" s="13"/>
      <c r="P170" s="12">
        <v>10</v>
      </c>
      <c r="Q170" s="13" t="s">
        <v>3339</v>
      </c>
      <c r="R170" s="12">
        <v>985</v>
      </c>
      <c r="S170" s="12">
        <v>3277875</v>
      </c>
      <c r="T170" s="12"/>
      <c r="U170" s="13"/>
      <c r="V170" s="12" t="s">
        <v>3321</v>
      </c>
      <c r="W170" s="13" t="s">
        <v>3322</v>
      </c>
      <c r="X170" s="12"/>
      <c r="Y170" s="13"/>
      <c r="Z170" s="12"/>
      <c r="AA170" s="13"/>
      <c r="AB170" s="12"/>
      <c r="AC170" s="12"/>
      <c r="AD170" s="14"/>
      <c r="AE170" s="12"/>
      <c r="AF170" s="13"/>
      <c r="AG170" s="12"/>
      <c r="AH170" s="12"/>
      <c r="AI170" s="13"/>
      <c r="AJ170" s="13" t="s">
        <v>3328</v>
      </c>
      <c r="AK170" s="13" t="s">
        <v>3324</v>
      </c>
      <c r="AL170" s="12"/>
      <c r="AM170" s="13"/>
      <c r="AN170" s="12"/>
      <c r="AO170" s="12" t="s">
        <v>237</v>
      </c>
      <c r="AP170" s="13"/>
      <c r="AQ170" s="12" t="s">
        <v>234</v>
      </c>
      <c r="AR170" s="13"/>
      <c r="AS170" s="13" t="s">
        <v>71</v>
      </c>
      <c r="AT170" s="13" t="s">
        <v>71</v>
      </c>
      <c r="AU170" s="14">
        <v>100</v>
      </c>
      <c r="AV170" s="14"/>
      <c r="AW170" s="14">
        <v>37.36</v>
      </c>
      <c r="AX170" s="15">
        <v>45900</v>
      </c>
      <c r="AY170" s="15"/>
    </row>
    <row r="171" spans="1:51">
      <c r="A171" s="12">
        <v>8920101</v>
      </c>
      <c r="B171" s="13" t="s">
        <v>3670</v>
      </c>
      <c r="C171" s="13" t="s">
        <v>3342</v>
      </c>
      <c r="D171" s="13"/>
      <c r="E171" s="13" t="s">
        <v>3318</v>
      </c>
      <c r="F171" s="12"/>
      <c r="G171" s="12"/>
      <c r="H171" s="13"/>
      <c r="I171" s="12"/>
      <c r="J171" s="12"/>
      <c r="K171" s="12" t="s">
        <v>3671</v>
      </c>
      <c r="L171" s="12" t="s">
        <v>2606</v>
      </c>
      <c r="M171" s="12"/>
      <c r="N171" s="12"/>
      <c r="O171" s="13"/>
      <c r="P171" s="12">
        <v>10</v>
      </c>
      <c r="Q171" s="13" t="s">
        <v>3339</v>
      </c>
      <c r="R171" s="12">
        <v>678</v>
      </c>
      <c r="S171" s="12">
        <v>8421200</v>
      </c>
      <c r="T171" s="12"/>
      <c r="U171" s="13"/>
      <c r="V171" s="12" t="s">
        <v>3321</v>
      </c>
      <c r="W171" s="13" t="s">
        <v>3322</v>
      </c>
      <c r="X171" s="12"/>
      <c r="Y171" s="13"/>
      <c r="Z171" s="12"/>
      <c r="AA171" s="13"/>
      <c r="AB171" s="12"/>
      <c r="AC171" s="12"/>
      <c r="AD171" s="14"/>
      <c r="AE171" s="12"/>
      <c r="AF171" s="13"/>
      <c r="AG171" s="12"/>
      <c r="AH171" s="12"/>
      <c r="AI171" s="13"/>
      <c r="AJ171" s="13" t="s">
        <v>3328</v>
      </c>
      <c r="AK171" s="13" t="s">
        <v>3324</v>
      </c>
      <c r="AL171" s="12"/>
      <c r="AM171" s="13"/>
      <c r="AN171" s="12"/>
      <c r="AO171" s="12">
        <v>2010</v>
      </c>
      <c r="AP171" s="13"/>
      <c r="AQ171" s="12">
        <v>20101</v>
      </c>
      <c r="AR171" s="13"/>
      <c r="AS171" s="13" t="s">
        <v>71</v>
      </c>
      <c r="AT171" s="13" t="s">
        <v>71</v>
      </c>
      <c r="AU171" s="14">
        <v>100</v>
      </c>
      <c r="AV171" s="14"/>
      <c r="AW171" s="14">
        <v>37.880000000000003</v>
      </c>
      <c r="AX171" s="15">
        <v>45900</v>
      </c>
      <c r="AY171" s="15"/>
    </row>
    <row r="172" spans="1:51">
      <c r="A172" s="12">
        <v>8920071</v>
      </c>
      <c r="B172" s="13" t="s">
        <v>3663</v>
      </c>
      <c r="C172" s="13" t="s">
        <v>3342</v>
      </c>
      <c r="D172" s="13"/>
      <c r="E172" s="13" t="s">
        <v>3318</v>
      </c>
      <c r="F172" s="12"/>
      <c r="G172" s="12"/>
      <c r="H172" s="13"/>
      <c r="I172" s="12"/>
      <c r="J172" s="12"/>
      <c r="K172" s="12"/>
      <c r="L172" s="12" t="s">
        <v>2579</v>
      </c>
      <c r="M172" s="12"/>
      <c r="N172" s="12"/>
      <c r="O172" s="13"/>
      <c r="P172" s="12">
        <v>12</v>
      </c>
      <c r="Q172" s="13" t="s">
        <v>3378</v>
      </c>
      <c r="R172" s="12">
        <v>648</v>
      </c>
      <c r="S172" s="12">
        <v>655830</v>
      </c>
      <c r="T172" s="12"/>
      <c r="U172" s="13"/>
      <c r="V172" s="12" t="s">
        <v>3321</v>
      </c>
      <c r="W172" s="13" t="s">
        <v>3322</v>
      </c>
      <c r="X172" s="12"/>
      <c r="Y172" s="13"/>
      <c r="Z172" s="12"/>
      <c r="AA172" s="13"/>
      <c r="AB172" s="12"/>
      <c r="AC172" s="12"/>
      <c r="AD172" s="14"/>
      <c r="AE172" s="12"/>
      <c r="AF172" s="13"/>
      <c r="AG172" s="12"/>
      <c r="AH172" s="12"/>
      <c r="AI172" s="13"/>
      <c r="AJ172" s="13" t="s">
        <v>3328</v>
      </c>
      <c r="AK172" s="13" t="s">
        <v>3324</v>
      </c>
      <c r="AL172" s="12"/>
      <c r="AM172" s="13"/>
      <c r="AN172" s="12"/>
      <c r="AO172" s="12">
        <v>2007</v>
      </c>
      <c r="AP172" s="13"/>
      <c r="AQ172" s="12">
        <v>20071</v>
      </c>
      <c r="AR172" s="13"/>
      <c r="AS172" s="13" t="s">
        <v>71</v>
      </c>
      <c r="AT172" s="13" t="s">
        <v>71</v>
      </c>
      <c r="AU172" s="14">
        <v>100</v>
      </c>
      <c r="AV172" s="14"/>
      <c r="AW172" s="14">
        <v>37.94</v>
      </c>
      <c r="AX172" s="15">
        <v>45900</v>
      </c>
      <c r="AY172" s="15"/>
    </row>
    <row r="173" spans="1:51">
      <c r="A173" s="12">
        <v>8915021</v>
      </c>
      <c r="B173" s="13" t="s">
        <v>3606</v>
      </c>
      <c r="C173" s="13" t="s">
        <v>3342</v>
      </c>
      <c r="D173" s="13"/>
      <c r="E173" s="13" t="s">
        <v>3318</v>
      </c>
      <c r="F173" s="12"/>
      <c r="G173" s="12"/>
      <c r="H173" s="13"/>
      <c r="I173" s="12"/>
      <c r="J173" s="12"/>
      <c r="K173" s="12"/>
      <c r="L173" s="12" t="s">
        <v>2101</v>
      </c>
      <c r="M173" s="12"/>
      <c r="N173" s="12"/>
      <c r="O173" s="13"/>
      <c r="P173" s="12">
        <v>10</v>
      </c>
      <c r="Q173" s="13" t="s">
        <v>3339</v>
      </c>
      <c r="R173" s="12">
        <v>985</v>
      </c>
      <c r="S173" s="12">
        <v>3285289</v>
      </c>
      <c r="T173" s="12"/>
      <c r="U173" s="13"/>
      <c r="V173" s="12" t="s">
        <v>3321</v>
      </c>
      <c r="W173" s="13" t="s">
        <v>3322</v>
      </c>
      <c r="X173" s="12"/>
      <c r="Y173" s="13"/>
      <c r="Z173" s="12"/>
      <c r="AA173" s="13"/>
      <c r="AB173" s="12"/>
      <c r="AC173" s="12"/>
      <c r="AD173" s="14"/>
      <c r="AE173" s="12"/>
      <c r="AF173" s="13"/>
      <c r="AG173" s="12"/>
      <c r="AH173" s="12"/>
      <c r="AI173" s="13"/>
      <c r="AJ173" s="13" t="s">
        <v>3328</v>
      </c>
      <c r="AK173" s="13" t="s">
        <v>3324</v>
      </c>
      <c r="AL173" s="12"/>
      <c r="AM173" s="13"/>
      <c r="AN173" s="12"/>
      <c r="AO173" s="12">
        <v>1502</v>
      </c>
      <c r="AP173" s="13"/>
      <c r="AQ173" s="12">
        <v>15021</v>
      </c>
      <c r="AR173" s="13"/>
      <c r="AS173" s="13" t="s">
        <v>71</v>
      </c>
      <c r="AT173" s="13" t="s">
        <v>71</v>
      </c>
      <c r="AU173" s="14">
        <v>100</v>
      </c>
      <c r="AV173" s="14"/>
      <c r="AW173" s="14">
        <v>38.11</v>
      </c>
      <c r="AX173" s="15">
        <v>45900</v>
      </c>
      <c r="AY173" s="15"/>
    </row>
    <row r="174" spans="1:51">
      <c r="A174" s="12">
        <v>8915022</v>
      </c>
      <c r="B174" s="13" t="s">
        <v>3607</v>
      </c>
      <c r="C174" s="13" t="s">
        <v>3342</v>
      </c>
      <c r="D174" s="13"/>
      <c r="E174" s="13" t="s">
        <v>3318</v>
      </c>
      <c r="F174" s="12"/>
      <c r="G174" s="12"/>
      <c r="H174" s="13"/>
      <c r="I174" s="12"/>
      <c r="J174" s="12"/>
      <c r="K174" s="12"/>
      <c r="L174" s="12" t="s">
        <v>2105</v>
      </c>
      <c r="M174" s="12"/>
      <c r="N174" s="12"/>
      <c r="O174" s="13"/>
      <c r="P174" s="12">
        <v>10</v>
      </c>
      <c r="Q174" s="13" t="s">
        <v>3339</v>
      </c>
      <c r="R174" s="12">
        <v>985</v>
      </c>
      <c r="S174" s="12">
        <v>3285289</v>
      </c>
      <c r="T174" s="12"/>
      <c r="U174" s="13"/>
      <c r="V174" s="12" t="s">
        <v>3321</v>
      </c>
      <c r="W174" s="13" t="s">
        <v>3322</v>
      </c>
      <c r="X174" s="12"/>
      <c r="Y174" s="13"/>
      <c r="Z174" s="12"/>
      <c r="AA174" s="13"/>
      <c r="AB174" s="12"/>
      <c r="AC174" s="12"/>
      <c r="AD174" s="14"/>
      <c r="AE174" s="12"/>
      <c r="AF174" s="13"/>
      <c r="AG174" s="12"/>
      <c r="AH174" s="12"/>
      <c r="AI174" s="13"/>
      <c r="AJ174" s="13" t="s">
        <v>3328</v>
      </c>
      <c r="AK174" s="13" t="s">
        <v>3324</v>
      </c>
      <c r="AL174" s="12"/>
      <c r="AM174" s="13"/>
      <c r="AN174" s="12"/>
      <c r="AO174" s="12">
        <v>1502</v>
      </c>
      <c r="AP174" s="13"/>
      <c r="AQ174" s="12">
        <v>15022</v>
      </c>
      <c r="AR174" s="13"/>
      <c r="AS174" s="13" t="s">
        <v>71</v>
      </c>
      <c r="AT174" s="13" t="s">
        <v>71</v>
      </c>
      <c r="AU174" s="14">
        <v>100</v>
      </c>
      <c r="AV174" s="14"/>
      <c r="AW174" s="14">
        <v>38.11</v>
      </c>
      <c r="AX174" s="15">
        <v>45900</v>
      </c>
      <c r="AY174" s="15"/>
    </row>
    <row r="175" spans="1:51">
      <c r="A175" s="12">
        <v>8920102</v>
      </c>
      <c r="B175" s="13" t="s">
        <v>3672</v>
      </c>
      <c r="C175" s="13" t="s">
        <v>3342</v>
      </c>
      <c r="D175" s="13"/>
      <c r="E175" s="13" t="s">
        <v>3318</v>
      </c>
      <c r="F175" s="12"/>
      <c r="G175" s="12"/>
      <c r="H175" s="13"/>
      <c r="I175" s="12"/>
      <c r="J175" s="12"/>
      <c r="K175" s="12" t="s">
        <v>3671</v>
      </c>
      <c r="L175" s="12" t="s">
        <v>3321</v>
      </c>
      <c r="M175" s="12"/>
      <c r="N175" s="12"/>
      <c r="O175" s="13"/>
      <c r="P175" s="12">
        <v>10</v>
      </c>
      <c r="Q175" s="13" t="s">
        <v>3339</v>
      </c>
      <c r="R175" s="12">
        <v>678</v>
      </c>
      <c r="S175" s="12">
        <v>8421200</v>
      </c>
      <c r="T175" s="12"/>
      <c r="U175" s="13"/>
      <c r="V175" s="12" t="s">
        <v>3321</v>
      </c>
      <c r="W175" s="13" t="s">
        <v>3322</v>
      </c>
      <c r="X175" s="12"/>
      <c r="Y175" s="13"/>
      <c r="Z175" s="12"/>
      <c r="AA175" s="13"/>
      <c r="AB175" s="12"/>
      <c r="AC175" s="12"/>
      <c r="AD175" s="14"/>
      <c r="AE175" s="12"/>
      <c r="AF175" s="13"/>
      <c r="AG175" s="12"/>
      <c r="AH175" s="12"/>
      <c r="AI175" s="13"/>
      <c r="AJ175" s="13" t="s">
        <v>3328</v>
      </c>
      <c r="AK175" s="13" t="s">
        <v>3324</v>
      </c>
      <c r="AL175" s="12"/>
      <c r="AM175" s="13"/>
      <c r="AN175" s="12"/>
      <c r="AO175" s="12">
        <v>2010</v>
      </c>
      <c r="AP175" s="13"/>
      <c r="AQ175" s="12">
        <v>20102</v>
      </c>
      <c r="AR175" s="13"/>
      <c r="AS175" s="13" t="s">
        <v>71</v>
      </c>
      <c r="AT175" s="13" t="s">
        <v>71</v>
      </c>
      <c r="AU175" s="14">
        <v>100</v>
      </c>
      <c r="AV175" s="14"/>
      <c r="AW175" s="14">
        <v>38.130000000000003</v>
      </c>
      <c r="AX175" s="15">
        <v>45900</v>
      </c>
      <c r="AY175" s="15"/>
    </row>
    <row r="176" spans="1:51">
      <c r="A176" s="12">
        <v>8911032</v>
      </c>
      <c r="B176" s="13" t="s">
        <v>3539</v>
      </c>
      <c r="C176" s="13" t="s">
        <v>3342</v>
      </c>
      <c r="D176" s="13"/>
      <c r="E176" s="13" t="s">
        <v>3318</v>
      </c>
      <c r="F176" s="12"/>
      <c r="G176" s="12"/>
      <c r="H176" s="13"/>
      <c r="I176" s="12"/>
      <c r="J176" s="12"/>
      <c r="K176" s="12"/>
      <c r="L176" s="12" t="s">
        <v>1573</v>
      </c>
      <c r="M176" s="12"/>
      <c r="N176" s="12"/>
      <c r="O176" s="13"/>
      <c r="P176" s="12">
        <v>20</v>
      </c>
      <c r="Q176" s="13" t="s">
        <v>3320</v>
      </c>
      <c r="R176" s="12">
        <v>450</v>
      </c>
      <c r="S176" s="12">
        <v>295896</v>
      </c>
      <c r="T176" s="12"/>
      <c r="U176" s="13"/>
      <c r="V176" s="12" t="s">
        <v>3321</v>
      </c>
      <c r="W176" s="13" t="s">
        <v>3322</v>
      </c>
      <c r="X176" s="12"/>
      <c r="Y176" s="13"/>
      <c r="Z176" s="12"/>
      <c r="AA176" s="13"/>
      <c r="AB176" s="12"/>
      <c r="AC176" s="12"/>
      <c r="AD176" s="14"/>
      <c r="AE176" s="12"/>
      <c r="AF176" s="13"/>
      <c r="AG176" s="12"/>
      <c r="AH176" s="12"/>
      <c r="AI176" s="13"/>
      <c r="AJ176" s="13" t="s">
        <v>3328</v>
      </c>
      <c r="AK176" s="13" t="s">
        <v>3324</v>
      </c>
      <c r="AL176" s="12"/>
      <c r="AM176" s="13"/>
      <c r="AN176" s="12"/>
      <c r="AO176" s="12">
        <v>1103</v>
      </c>
      <c r="AP176" s="13"/>
      <c r="AQ176" s="12">
        <v>11032</v>
      </c>
      <c r="AR176" s="13"/>
      <c r="AS176" s="13" t="s">
        <v>71</v>
      </c>
      <c r="AT176" s="13" t="s">
        <v>71</v>
      </c>
      <c r="AU176" s="14">
        <v>100</v>
      </c>
      <c r="AV176" s="14"/>
      <c r="AW176" s="14">
        <v>38.229999999999997</v>
      </c>
      <c r="AX176" s="15">
        <v>45900</v>
      </c>
      <c r="AY176" s="15"/>
    </row>
    <row r="177" spans="1:51">
      <c r="A177" s="12">
        <v>8901152</v>
      </c>
      <c r="B177" s="13" t="s">
        <v>3356</v>
      </c>
      <c r="C177" s="13" t="s">
        <v>3342</v>
      </c>
      <c r="D177" s="13"/>
      <c r="E177" s="13" t="s">
        <v>3318</v>
      </c>
      <c r="F177" s="12"/>
      <c r="G177" s="12"/>
      <c r="H177" s="13"/>
      <c r="I177" s="12"/>
      <c r="J177" s="12"/>
      <c r="K177" s="12"/>
      <c r="L177" s="12" t="s">
        <v>192</v>
      </c>
      <c r="M177" s="12"/>
      <c r="N177" s="12"/>
      <c r="O177" s="13"/>
      <c r="P177" s="12">
        <v>10</v>
      </c>
      <c r="Q177" s="13" t="s">
        <v>3339</v>
      </c>
      <c r="R177" s="12">
        <v>985</v>
      </c>
      <c r="S177" s="12">
        <v>3276192</v>
      </c>
      <c r="T177" s="12"/>
      <c r="U177" s="13"/>
      <c r="V177" s="12" t="s">
        <v>3321</v>
      </c>
      <c r="W177" s="13" t="s">
        <v>3322</v>
      </c>
      <c r="X177" s="12"/>
      <c r="Y177" s="13"/>
      <c r="Z177" s="12"/>
      <c r="AA177" s="13"/>
      <c r="AB177" s="12"/>
      <c r="AC177" s="12"/>
      <c r="AD177" s="14"/>
      <c r="AE177" s="12"/>
      <c r="AF177" s="13"/>
      <c r="AG177" s="12"/>
      <c r="AH177" s="12"/>
      <c r="AI177" s="13"/>
      <c r="AJ177" s="13" t="s">
        <v>3328</v>
      </c>
      <c r="AK177" s="13" t="s">
        <v>3324</v>
      </c>
      <c r="AL177" s="12"/>
      <c r="AM177" s="13"/>
      <c r="AN177" s="12"/>
      <c r="AO177" s="12" t="s">
        <v>68</v>
      </c>
      <c r="AP177" s="13"/>
      <c r="AQ177" s="12" t="s">
        <v>189</v>
      </c>
      <c r="AR177" s="13"/>
      <c r="AS177" s="13" t="s">
        <v>71</v>
      </c>
      <c r="AT177" s="13" t="s">
        <v>71</v>
      </c>
      <c r="AU177" s="14">
        <v>100</v>
      </c>
      <c r="AV177" s="14"/>
      <c r="AW177" s="14">
        <v>38.24</v>
      </c>
      <c r="AX177" s="15">
        <v>45900</v>
      </c>
      <c r="AY177" s="15"/>
    </row>
    <row r="178" spans="1:51">
      <c r="A178" s="12">
        <v>8912062</v>
      </c>
      <c r="B178" s="13" t="s">
        <v>3557</v>
      </c>
      <c r="C178" s="13" t="s">
        <v>3317</v>
      </c>
      <c r="D178" s="13"/>
      <c r="E178" s="13" t="s">
        <v>3318</v>
      </c>
      <c r="F178" s="12"/>
      <c r="G178" s="12"/>
      <c r="H178" s="13"/>
      <c r="I178" s="12"/>
      <c r="J178" s="12"/>
      <c r="K178" s="12"/>
      <c r="L178" s="12" t="s">
        <v>3558</v>
      </c>
      <c r="M178" s="12"/>
      <c r="N178" s="12"/>
      <c r="O178" s="13"/>
      <c r="P178" s="12">
        <v>10</v>
      </c>
      <c r="Q178" s="13" t="s">
        <v>3339</v>
      </c>
      <c r="R178" s="12">
        <v>985</v>
      </c>
      <c r="S178" s="12">
        <v>3279869</v>
      </c>
      <c r="T178" s="12"/>
      <c r="U178" s="13"/>
      <c r="V178" s="12" t="s">
        <v>3321</v>
      </c>
      <c r="W178" s="13" t="s">
        <v>3322</v>
      </c>
      <c r="X178" s="12"/>
      <c r="Y178" s="13"/>
      <c r="Z178" s="12"/>
      <c r="AA178" s="13"/>
      <c r="AB178" s="12"/>
      <c r="AC178" s="12"/>
      <c r="AD178" s="14"/>
      <c r="AE178" s="12"/>
      <c r="AF178" s="13"/>
      <c r="AG178" s="12"/>
      <c r="AH178" s="12"/>
      <c r="AI178" s="13"/>
      <c r="AJ178" s="13" t="s">
        <v>3328</v>
      </c>
      <c r="AK178" s="13" t="s">
        <v>3324</v>
      </c>
      <c r="AL178" s="12"/>
      <c r="AM178" s="13"/>
      <c r="AN178" s="12"/>
      <c r="AO178" s="12"/>
      <c r="AP178" s="13"/>
      <c r="AQ178" s="12">
        <v>12062</v>
      </c>
      <c r="AR178" s="13"/>
      <c r="AS178" s="13" t="s">
        <v>71</v>
      </c>
      <c r="AT178" s="13" t="s">
        <v>71</v>
      </c>
      <c r="AU178" s="14">
        <v>100</v>
      </c>
      <c r="AV178" s="14"/>
      <c r="AW178" s="14">
        <v>38.31</v>
      </c>
      <c r="AX178" s="15">
        <v>43723</v>
      </c>
      <c r="AY178" s="15"/>
    </row>
    <row r="179" spans="1:51">
      <c r="A179" s="12">
        <v>8905011</v>
      </c>
      <c r="B179" s="13" t="s">
        <v>3469</v>
      </c>
      <c r="C179" s="13" t="s">
        <v>3317</v>
      </c>
      <c r="D179" s="13"/>
      <c r="E179" s="13" t="s">
        <v>3318</v>
      </c>
      <c r="F179" s="12"/>
      <c r="G179" s="12"/>
      <c r="H179" s="13"/>
      <c r="I179" s="12"/>
      <c r="J179" s="12"/>
      <c r="K179" s="12"/>
      <c r="L179" s="12" t="s">
        <v>3470</v>
      </c>
      <c r="M179" s="12"/>
      <c r="N179" s="12"/>
      <c r="O179" s="13"/>
      <c r="P179" s="12">
        <v>10</v>
      </c>
      <c r="Q179" s="13" t="s">
        <v>3339</v>
      </c>
      <c r="R179" s="12">
        <v>985</v>
      </c>
      <c r="S179" s="12">
        <v>3285387</v>
      </c>
      <c r="T179" s="12"/>
      <c r="U179" s="13"/>
      <c r="V179" s="12" t="s">
        <v>3321</v>
      </c>
      <c r="W179" s="13" t="s">
        <v>3322</v>
      </c>
      <c r="X179" s="12"/>
      <c r="Y179" s="13"/>
      <c r="Z179" s="12"/>
      <c r="AA179" s="13"/>
      <c r="AB179" s="12"/>
      <c r="AC179" s="12"/>
      <c r="AD179" s="14"/>
      <c r="AE179" s="12"/>
      <c r="AF179" s="13"/>
      <c r="AG179" s="12"/>
      <c r="AH179" s="12"/>
      <c r="AI179" s="13"/>
      <c r="AJ179" s="13" t="s">
        <v>3328</v>
      </c>
      <c r="AK179" s="13" t="s">
        <v>3324</v>
      </c>
      <c r="AL179" s="12"/>
      <c r="AM179" s="13"/>
      <c r="AN179" s="12"/>
      <c r="AO179" s="12"/>
      <c r="AP179" s="13"/>
      <c r="AQ179" s="12" t="s">
        <v>3471</v>
      </c>
      <c r="AR179" s="13"/>
      <c r="AS179" s="13" t="s">
        <v>71</v>
      </c>
      <c r="AT179" s="13" t="s">
        <v>71</v>
      </c>
      <c r="AU179" s="14">
        <v>100</v>
      </c>
      <c r="AV179" s="14"/>
      <c r="AW179" s="14">
        <v>38.32</v>
      </c>
      <c r="AX179" s="15">
        <v>43921</v>
      </c>
      <c r="AY179" s="15"/>
    </row>
    <row r="180" spans="1:51">
      <c r="A180" s="12">
        <v>8917061</v>
      </c>
      <c r="B180" s="13" t="s">
        <v>3624</v>
      </c>
      <c r="C180" s="13" t="s">
        <v>3342</v>
      </c>
      <c r="D180" s="13"/>
      <c r="E180" s="13" t="s">
        <v>3318</v>
      </c>
      <c r="F180" s="12"/>
      <c r="G180" s="12"/>
      <c r="H180" s="13"/>
      <c r="I180" s="12"/>
      <c r="J180" s="12"/>
      <c r="K180" s="12"/>
      <c r="L180" s="12" t="s">
        <v>2220</v>
      </c>
      <c r="M180" s="12"/>
      <c r="N180" s="12"/>
      <c r="O180" s="13"/>
      <c r="P180" s="12"/>
      <c r="Q180" s="13"/>
      <c r="R180" s="12"/>
      <c r="S180" s="12"/>
      <c r="T180" s="12"/>
      <c r="U180" s="13"/>
      <c r="V180" s="12" t="s">
        <v>3321</v>
      </c>
      <c r="W180" s="13" t="s">
        <v>3322</v>
      </c>
      <c r="X180" s="12"/>
      <c r="Y180" s="13"/>
      <c r="Z180" s="12"/>
      <c r="AA180" s="13"/>
      <c r="AB180" s="12"/>
      <c r="AC180" s="12"/>
      <c r="AD180" s="14"/>
      <c r="AE180" s="12"/>
      <c r="AF180" s="13"/>
      <c r="AG180" s="12"/>
      <c r="AH180" s="12"/>
      <c r="AI180" s="13"/>
      <c r="AJ180" s="13" t="s">
        <v>3328</v>
      </c>
      <c r="AK180" s="13" t="s">
        <v>3324</v>
      </c>
      <c r="AL180" s="12"/>
      <c r="AM180" s="13"/>
      <c r="AN180" s="12"/>
      <c r="AO180" s="12">
        <v>1706</v>
      </c>
      <c r="AP180" s="13"/>
      <c r="AQ180" s="12">
        <v>17061</v>
      </c>
      <c r="AR180" s="13"/>
      <c r="AS180" s="13" t="s">
        <v>71</v>
      </c>
      <c r="AT180" s="13" t="s">
        <v>71</v>
      </c>
      <c r="AU180" s="14">
        <v>100</v>
      </c>
      <c r="AV180" s="14"/>
      <c r="AW180" s="14">
        <v>38.479999999999997</v>
      </c>
      <c r="AX180" s="15">
        <v>45900</v>
      </c>
      <c r="AY180" s="15"/>
    </row>
    <row r="181" spans="1:51">
      <c r="A181" s="12">
        <v>8902122</v>
      </c>
      <c r="B181" s="13" t="s">
        <v>3394</v>
      </c>
      <c r="C181" s="13" t="s">
        <v>3342</v>
      </c>
      <c r="D181" s="13"/>
      <c r="E181" s="13" t="s">
        <v>3318</v>
      </c>
      <c r="F181" s="12"/>
      <c r="G181" s="12"/>
      <c r="H181" s="13"/>
      <c r="I181" s="12"/>
      <c r="J181" s="12"/>
      <c r="K181" s="12"/>
      <c r="L181" s="12" t="s">
        <v>3321</v>
      </c>
      <c r="M181" s="12"/>
      <c r="N181" s="12"/>
      <c r="O181" s="13"/>
      <c r="P181" s="12">
        <v>10</v>
      </c>
      <c r="Q181" s="13" t="s">
        <v>3339</v>
      </c>
      <c r="R181" s="12">
        <v>985</v>
      </c>
      <c r="S181" s="12">
        <v>3278088</v>
      </c>
      <c r="T181" s="12"/>
      <c r="U181" s="13"/>
      <c r="V181" s="12" t="s">
        <v>3321</v>
      </c>
      <c r="W181" s="13" t="s">
        <v>3322</v>
      </c>
      <c r="X181" s="12"/>
      <c r="Y181" s="13"/>
      <c r="Z181" s="12"/>
      <c r="AA181" s="13"/>
      <c r="AB181" s="12"/>
      <c r="AC181" s="12"/>
      <c r="AD181" s="14"/>
      <c r="AE181" s="12"/>
      <c r="AF181" s="13"/>
      <c r="AG181" s="12"/>
      <c r="AH181" s="12"/>
      <c r="AI181" s="13"/>
      <c r="AJ181" s="13" t="s">
        <v>3328</v>
      </c>
      <c r="AK181" s="13" t="s">
        <v>3324</v>
      </c>
      <c r="AL181" s="12"/>
      <c r="AM181" s="13"/>
      <c r="AN181" s="12"/>
      <c r="AO181" s="12" t="s">
        <v>468</v>
      </c>
      <c r="AP181" s="13"/>
      <c r="AQ181" s="12" t="s">
        <v>471</v>
      </c>
      <c r="AR181" s="13"/>
      <c r="AS181" s="13" t="s">
        <v>71</v>
      </c>
      <c r="AT181" s="13" t="s">
        <v>71</v>
      </c>
      <c r="AU181" s="14">
        <v>100</v>
      </c>
      <c r="AV181" s="14"/>
      <c r="AW181" s="14">
        <v>38.869999999999997</v>
      </c>
      <c r="AX181" s="15">
        <v>45900</v>
      </c>
      <c r="AY181" s="15"/>
    </row>
    <row r="182" spans="1:51">
      <c r="A182" s="12">
        <v>8901062</v>
      </c>
      <c r="B182" s="13" t="s">
        <v>3343</v>
      </c>
      <c r="C182" s="13" t="s">
        <v>3342</v>
      </c>
      <c r="D182" s="13"/>
      <c r="E182" s="13" t="s">
        <v>3318</v>
      </c>
      <c r="F182" s="12"/>
      <c r="G182" s="12"/>
      <c r="H182" s="13"/>
      <c r="I182" s="12"/>
      <c r="J182" s="12"/>
      <c r="K182" s="12"/>
      <c r="L182" s="12" t="s">
        <v>109</v>
      </c>
      <c r="M182" s="12"/>
      <c r="N182" s="12"/>
      <c r="O182" s="13"/>
      <c r="P182" s="12">
        <v>10</v>
      </c>
      <c r="Q182" s="13" t="s">
        <v>3339</v>
      </c>
      <c r="R182" s="12">
        <v>985</v>
      </c>
      <c r="S182" s="12">
        <v>3283687</v>
      </c>
      <c r="T182" s="12"/>
      <c r="U182" s="13"/>
      <c r="V182" s="12" t="s">
        <v>3321</v>
      </c>
      <c r="W182" s="13" t="s">
        <v>3322</v>
      </c>
      <c r="X182" s="12"/>
      <c r="Y182" s="13"/>
      <c r="Z182" s="12"/>
      <c r="AA182" s="13"/>
      <c r="AB182" s="12"/>
      <c r="AC182" s="12"/>
      <c r="AD182" s="14"/>
      <c r="AE182" s="12"/>
      <c r="AF182" s="13"/>
      <c r="AG182" s="12"/>
      <c r="AH182" s="12"/>
      <c r="AI182" s="13"/>
      <c r="AJ182" s="13" t="s">
        <v>3328</v>
      </c>
      <c r="AK182" s="13" t="s">
        <v>3324</v>
      </c>
      <c r="AL182" s="12"/>
      <c r="AM182" s="13"/>
      <c r="AN182" s="12"/>
      <c r="AO182" s="12" t="s">
        <v>101</v>
      </c>
      <c r="AP182" s="13"/>
      <c r="AQ182" s="12" t="s">
        <v>106</v>
      </c>
      <c r="AR182" s="13"/>
      <c r="AS182" s="13" t="s">
        <v>71</v>
      </c>
      <c r="AT182" s="13" t="s">
        <v>71</v>
      </c>
      <c r="AU182" s="14">
        <v>100</v>
      </c>
      <c r="AV182" s="14"/>
      <c r="AW182" s="14">
        <v>39.06</v>
      </c>
      <c r="AX182" s="15">
        <v>45900</v>
      </c>
      <c r="AY182" s="15"/>
    </row>
    <row r="183" spans="1:51">
      <c r="A183" s="12">
        <v>8903021</v>
      </c>
      <c r="B183" s="13" t="s">
        <v>3426</v>
      </c>
      <c r="C183" s="13" t="s">
        <v>3317</v>
      </c>
      <c r="D183" s="13"/>
      <c r="E183" s="13" t="s">
        <v>3318</v>
      </c>
      <c r="F183" s="12"/>
      <c r="G183" s="12"/>
      <c r="H183" s="13"/>
      <c r="I183" s="12"/>
      <c r="J183" s="12"/>
      <c r="K183" s="12"/>
      <c r="L183" s="12" t="s">
        <v>3427</v>
      </c>
      <c r="M183" s="12"/>
      <c r="N183" s="12"/>
      <c r="O183" s="13"/>
      <c r="P183" s="12"/>
      <c r="Q183" s="13"/>
      <c r="R183" s="12"/>
      <c r="S183" s="12"/>
      <c r="T183" s="12"/>
      <c r="U183" s="13"/>
      <c r="V183" s="12" t="s">
        <v>3321</v>
      </c>
      <c r="W183" s="13" t="s">
        <v>3322</v>
      </c>
      <c r="X183" s="12"/>
      <c r="Y183" s="13"/>
      <c r="Z183" s="12"/>
      <c r="AA183" s="13"/>
      <c r="AB183" s="12"/>
      <c r="AC183" s="12"/>
      <c r="AD183" s="14"/>
      <c r="AE183" s="12"/>
      <c r="AF183" s="13"/>
      <c r="AG183" s="12"/>
      <c r="AH183" s="12"/>
      <c r="AI183" s="13"/>
      <c r="AJ183" s="13" t="s">
        <v>3328</v>
      </c>
      <c r="AK183" s="13" t="s">
        <v>3324</v>
      </c>
      <c r="AL183" s="12"/>
      <c r="AM183" s="13"/>
      <c r="AN183" s="12"/>
      <c r="AO183" s="12"/>
      <c r="AP183" s="13"/>
      <c r="AQ183" s="12" t="s">
        <v>3428</v>
      </c>
      <c r="AR183" s="13"/>
      <c r="AS183" s="13" t="s">
        <v>71</v>
      </c>
      <c r="AT183" s="13" t="s">
        <v>71</v>
      </c>
      <c r="AU183" s="14">
        <v>100</v>
      </c>
      <c r="AV183" s="14"/>
      <c r="AW183" s="14">
        <v>39.299999999999997</v>
      </c>
      <c r="AX183" s="15">
        <v>42369</v>
      </c>
      <c r="AY183" s="15"/>
    </row>
    <row r="184" spans="1:51">
      <c r="A184" s="12">
        <v>8905071</v>
      </c>
      <c r="B184" s="13" t="s">
        <v>3485</v>
      </c>
      <c r="C184" s="13" t="s">
        <v>3342</v>
      </c>
      <c r="D184" s="13"/>
      <c r="E184" s="13" t="s">
        <v>3318</v>
      </c>
      <c r="F184" s="12"/>
      <c r="G184" s="12"/>
      <c r="H184" s="13"/>
      <c r="I184" s="12"/>
      <c r="J184" s="12"/>
      <c r="K184" s="12"/>
      <c r="L184" s="12" t="s">
        <v>1031</v>
      </c>
      <c r="M184" s="12"/>
      <c r="N184" s="12"/>
      <c r="O184" s="13"/>
      <c r="P184" s="12">
        <v>10</v>
      </c>
      <c r="Q184" s="13" t="s">
        <v>3339</v>
      </c>
      <c r="R184" s="12">
        <v>985</v>
      </c>
      <c r="S184" s="12">
        <v>3278382</v>
      </c>
      <c r="T184" s="12"/>
      <c r="U184" s="13"/>
      <c r="V184" s="12" t="s">
        <v>3321</v>
      </c>
      <c r="W184" s="13" t="s">
        <v>3322</v>
      </c>
      <c r="X184" s="12"/>
      <c r="Y184" s="13"/>
      <c r="Z184" s="12"/>
      <c r="AA184" s="13"/>
      <c r="AB184" s="12"/>
      <c r="AC184" s="12"/>
      <c r="AD184" s="14"/>
      <c r="AE184" s="12"/>
      <c r="AF184" s="13"/>
      <c r="AG184" s="12"/>
      <c r="AH184" s="12"/>
      <c r="AI184" s="13"/>
      <c r="AJ184" s="13" t="s">
        <v>3328</v>
      </c>
      <c r="AK184" s="13" t="s">
        <v>3324</v>
      </c>
      <c r="AL184" s="12"/>
      <c r="AM184" s="13"/>
      <c r="AN184" s="12"/>
      <c r="AO184" s="12" t="s">
        <v>1029</v>
      </c>
      <c r="AP184" s="13"/>
      <c r="AQ184" s="12" t="s">
        <v>1026</v>
      </c>
      <c r="AR184" s="13"/>
      <c r="AS184" s="13" t="s">
        <v>71</v>
      </c>
      <c r="AT184" s="13" t="s">
        <v>71</v>
      </c>
      <c r="AU184" s="14">
        <v>100</v>
      </c>
      <c r="AV184" s="14"/>
      <c r="AW184" s="14">
        <v>39.47</v>
      </c>
      <c r="AX184" s="15">
        <v>45900</v>
      </c>
      <c r="AY184" s="15"/>
    </row>
    <row r="185" spans="1:51">
      <c r="A185" s="12">
        <v>8919112</v>
      </c>
      <c r="B185" s="13" t="s">
        <v>3644</v>
      </c>
      <c r="C185" s="13" t="s">
        <v>3342</v>
      </c>
      <c r="D185" s="13"/>
      <c r="E185" s="13" t="s">
        <v>3318</v>
      </c>
      <c r="F185" s="12"/>
      <c r="G185" s="12"/>
      <c r="H185" s="13"/>
      <c r="I185" s="12"/>
      <c r="J185" s="12"/>
      <c r="K185" s="12"/>
      <c r="L185" s="12" t="s">
        <v>2379</v>
      </c>
      <c r="M185" s="12"/>
      <c r="N185" s="12"/>
      <c r="O185" s="13"/>
      <c r="P185" s="12">
        <v>20</v>
      </c>
      <c r="Q185" s="13" t="s">
        <v>3320</v>
      </c>
      <c r="R185" s="12">
        <v>450</v>
      </c>
      <c r="S185" s="12">
        <v>152408</v>
      </c>
      <c r="T185" s="12"/>
      <c r="U185" s="13"/>
      <c r="V185" s="12" t="s">
        <v>3321</v>
      </c>
      <c r="W185" s="13" t="s">
        <v>3322</v>
      </c>
      <c r="X185" s="12"/>
      <c r="Y185" s="13"/>
      <c r="Z185" s="12"/>
      <c r="AA185" s="13"/>
      <c r="AB185" s="12"/>
      <c r="AC185" s="12"/>
      <c r="AD185" s="14"/>
      <c r="AE185" s="12"/>
      <c r="AF185" s="13"/>
      <c r="AG185" s="12"/>
      <c r="AH185" s="12"/>
      <c r="AI185" s="13"/>
      <c r="AJ185" s="13" t="s">
        <v>3328</v>
      </c>
      <c r="AK185" s="13" t="s">
        <v>3324</v>
      </c>
      <c r="AL185" s="12"/>
      <c r="AM185" s="13"/>
      <c r="AN185" s="12"/>
      <c r="AO185" s="12">
        <v>1911</v>
      </c>
      <c r="AP185" s="13"/>
      <c r="AQ185" s="12">
        <v>19112</v>
      </c>
      <c r="AR185" s="13"/>
      <c r="AS185" s="13" t="s">
        <v>71</v>
      </c>
      <c r="AT185" s="13" t="s">
        <v>71</v>
      </c>
      <c r="AU185" s="14">
        <v>100</v>
      </c>
      <c r="AV185" s="14"/>
      <c r="AW185" s="14">
        <v>39.840000000000003</v>
      </c>
      <c r="AX185" s="15">
        <v>45900</v>
      </c>
      <c r="AY185" s="15"/>
    </row>
    <row r="186" spans="1:51">
      <c r="A186" s="12">
        <v>8920011</v>
      </c>
      <c r="B186" s="13" t="s">
        <v>3656</v>
      </c>
      <c r="C186" s="13" t="s">
        <v>3317</v>
      </c>
      <c r="D186" s="13"/>
      <c r="E186" s="13" t="s">
        <v>3318</v>
      </c>
      <c r="F186" s="12"/>
      <c r="G186" s="12"/>
      <c r="H186" s="13"/>
      <c r="I186" s="12"/>
      <c r="J186" s="12"/>
      <c r="K186" s="12"/>
      <c r="L186" s="12">
        <v>7627621</v>
      </c>
      <c r="M186" s="12"/>
      <c r="N186" s="12"/>
      <c r="O186" s="13"/>
      <c r="P186" s="12">
        <v>20</v>
      </c>
      <c r="Q186" s="13" t="s">
        <v>3320</v>
      </c>
      <c r="R186" s="12">
        <v>450</v>
      </c>
      <c r="S186" s="12">
        <v>217518</v>
      </c>
      <c r="T186" s="12"/>
      <c r="U186" s="13"/>
      <c r="V186" s="12" t="s">
        <v>3321</v>
      </c>
      <c r="W186" s="13" t="s">
        <v>3322</v>
      </c>
      <c r="X186" s="12"/>
      <c r="Y186" s="13"/>
      <c r="Z186" s="12"/>
      <c r="AA186" s="13"/>
      <c r="AB186" s="12"/>
      <c r="AC186" s="12"/>
      <c r="AD186" s="14"/>
      <c r="AE186" s="12"/>
      <c r="AF186" s="13"/>
      <c r="AG186" s="12"/>
      <c r="AH186" s="12"/>
      <c r="AI186" s="13"/>
      <c r="AJ186" s="13" t="s">
        <v>3328</v>
      </c>
      <c r="AK186" s="13" t="s">
        <v>3324</v>
      </c>
      <c r="AL186" s="12"/>
      <c r="AM186" s="13"/>
      <c r="AN186" s="12"/>
      <c r="AO186" s="12"/>
      <c r="AP186" s="13"/>
      <c r="AQ186" s="12">
        <v>20011</v>
      </c>
      <c r="AR186" s="13"/>
      <c r="AS186" s="13" t="s">
        <v>71</v>
      </c>
      <c r="AT186" s="13" t="s">
        <v>71</v>
      </c>
      <c r="AU186" s="14">
        <v>100</v>
      </c>
      <c r="AV186" s="14"/>
      <c r="AW186" s="14">
        <v>39.9</v>
      </c>
      <c r="AX186" s="15">
        <v>42369</v>
      </c>
      <c r="AY186" s="15"/>
    </row>
    <row r="187" spans="1:51">
      <c r="A187" s="12">
        <v>8912221</v>
      </c>
      <c r="B187" s="13" t="s">
        <v>3584</v>
      </c>
      <c r="C187" s="13" t="s">
        <v>3342</v>
      </c>
      <c r="D187" s="13"/>
      <c r="E187" s="13" t="s">
        <v>3318</v>
      </c>
      <c r="F187" s="12"/>
      <c r="G187" s="12"/>
      <c r="H187" s="13"/>
      <c r="I187" s="12"/>
      <c r="J187" s="12"/>
      <c r="K187" s="12" t="s">
        <v>3585</v>
      </c>
      <c r="L187" s="12" t="s">
        <v>1870</v>
      </c>
      <c r="M187" s="12" t="s">
        <v>1870</v>
      </c>
      <c r="N187" s="12"/>
      <c r="O187" s="13"/>
      <c r="P187" s="12">
        <v>10</v>
      </c>
      <c r="Q187" s="13" t="s">
        <v>3339</v>
      </c>
      <c r="R187" s="12">
        <v>985</v>
      </c>
      <c r="S187" s="12">
        <v>3285093</v>
      </c>
      <c r="T187" s="12"/>
      <c r="U187" s="13"/>
      <c r="V187" s="12" t="s">
        <v>3321</v>
      </c>
      <c r="W187" s="13" t="s">
        <v>3322</v>
      </c>
      <c r="X187" s="12"/>
      <c r="Y187" s="13"/>
      <c r="Z187" s="12"/>
      <c r="AA187" s="13"/>
      <c r="AB187" s="12"/>
      <c r="AC187" s="12"/>
      <c r="AD187" s="14"/>
      <c r="AE187" s="12"/>
      <c r="AF187" s="13"/>
      <c r="AG187" s="12"/>
      <c r="AH187" s="12"/>
      <c r="AI187" s="13"/>
      <c r="AJ187" s="13" t="s">
        <v>3328</v>
      </c>
      <c r="AK187" s="13" t="s">
        <v>3324</v>
      </c>
      <c r="AL187" s="12"/>
      <c r="AM187" s="13"/>
      <c r="AN187" s="12"/>
      <c r="AO187" s="12">
        <v>1222</v>
      </c>
      <c r="AP187" s="13"/>
      <c r="AQ187" s="12">
        <v>12221</v>
      </c>
      <c r="AR187" s="13"/>
      <c r="AS187" s="13" t="s">
        <v>71</v>
      </c>
      <c r="AT187" s="13" t="s">
        <v>71</v>
      </c>
      <c r="AU187" s="14">
        <v>100</v>
      </c>
      <c r="AV187" s="14"/>
      <c r="AW187" s="14">
        <v>39.909999999999997</v>
      </c>
      <c r="AX187" s="15">
        <v>45900</v>
      </c>
      <c r="AY187" s="15"/>
    </row>
    <row r="188" spans="1:51">
      <c r="A188" s="12">
        <v>8921112</v>
      </c>
      <c r="B188" s="13" t="s">
        <v>3722</v>
      </c>
      <c r="C188" s="13" t="s">
        <v>3342</v>
      </c>
      <c r="D188" s="13"/>
      <c r="E188" s="13" t="s">
        <v>3318</v>
      </c>
      <c r="F188" s="12"/>
      <c r="G188" s="12"/>
      <c r="H188" s="13"/>
      <c r="I188" s="12"/>
      <c r="J188" s="12"/>
      <c r="K188" s="12"/>
      <c r="L188" s="12" t="s">
        <v>2955</v>
      </c>
      <c r="M188" s="12"/>
      <c r="N188" s="12"/>
      <c r="O188" s="13"/>
      <c r="P188" s="12">
        <v>10</v>
      </c>
      <c r="Q188" s="13" t="s">
        <v>3339</v>
      </c>
      <c r="R188" s="12">
        <v>985</v>
      </c>
      <c r="S188" s="12">
        <v>3281497</v>
      </c>
      <c r="T188" s="12"/>
      <c r="U188" s="13"/>
      <c r="V188" s="12" t="s">
        <v>3321</v>
      </c>
      <c r="W188" s="13" t="s">
        <v>3322</v>
      </c>
      <c r="X188" s="12"/>
      <c r="Y188" s="13"/>
      <c r="Z188" s="12"/>
      <c r="AA188" s="13"/>
      <c r="AB188" s="12"/>
      <c r="AC188" s="12"/>
      <c r="AD188" s="14"/>
      <c r="AE188" s="12"/>
      <c r="AF188" s="13"/>
      <c r="AG188" s="12"/>
      <c r="AH188" s="12"/>
      <c r="AI188" s="13"/>
      <c r="AJ188" s="13" t="s">
        <v>3328</v>
      </c>
      <c r="AK188" s="13" t="s">
        <v>3324</v>
      </c>
      <c r="AL188" s="12"/>
      <c r="AM188" s="13"/>
      <c r="AN188" s="12"/>
      <c r="AO188" s="12">
        <v>2111</v>
      </c>
      <c r="AP188" s="13"/>
      <c r="AQ188" s="12">
        <v>21112</v>
      </c>
      <c r="AR188" s="13"/>
      <c r="AS188" s="13" t="s">
        <v>71</v>
      </c>
      <c r="AT188" s="13" t="s">
        <v>71</v>
      </c>
      <c r="AU188" s="14">
        <v>100</v>
      </c>
      <c r="AV188" s="14"/>
      <c r="AW188" s="14">
        <v>40.11</v>
      </c>
      <c r="AX188" s="15">
        <v>45900</v>
      </c>
      <c r="AY188" s="15"/>
    </row>
    <row r="189" spans="1:51">
      <c r="A189" s="12">
        <v>8919131</v>
      </c>
      <c r="B189" s="13" t="s">
        <v>3645</v>
      </c>
      <c r="C189" s="13" t="s">
        <v>3342</v>
      </c>
      <c r="D189" s="13"/>
      <c r="E189" s="13" t="s">
        <v>3318</v>
      </c>
      <c r="F189" s="12"/>
      <c r="G189" s="12"/>
      <c r="H189" s="13"/>
      <c r="I189" s="12"/>
      <c r="J189" s="12"/>
      <c r="K189" s="12"/>
      <c r="L189" s="12" t="s">
        <v>2389</v>
      </c>
      <c r="M189" s="12"/>
      <c r="N189" s="12"/>
      <c r="O189" s="13"/>
      <c r="P189" s="12">
        <v>10</v>
      </c>
      <c r="Q189" s="13" t="s">
        <v>3339</v>
      </c>
      <c r="R189" s="12">
        <v>985</v>
      </c>
      <c r="S189" s="12">
        <v>3280696</v>
      </c>
      <c r="T189" s="12"/>
      <c r="U189" s="13"/>
      <c r="V189" s="12" t="s">
        <v>3321</v>
      </c>
      <c r="W189" s="13" t="s">
        <v>3322</v>
      </c>
      <c r="X189" s="12"/>
      <c r="Y189" s="13"/>
      <c r="Z189" s="12"/>
      <c r="AA189" s="13"/>
      <c r="AB189" s="12"/>
      <c r="AC189" s="12"/>
      <c r="AD189" s="14"/>
      <c r="AE189" s="12"/>
      <c r="AF189" s="13"/>
      <c r="AG189" s="12"/>
      <c r="AH189" s="12"/>
      <c r="AI189" s="13"/>
      <c r="AJ189" s="13" t="s">
        <v>3328</v>
      </c>
      <c r="AK189" s="13" t="s">
        <v>3324</v>
      </c>
      <c r="AL189" s="12"/>
      <c r="AM189" s="13"/>
      <c r="AN189" s="12"/>
      <c r="AO189" s="12">
        <v>1905</v>
      </c>
      <c r="AP189" s="13"/>
      <c r="AQ189" s="12">
        <v>19052</v>
      </c>
      <c r="AR189" s="13"/>
      <c r="AS189" s="13" t="s">
        <v>71</v>
      </c>
      <c r="AT189" s="13" t="s">
        <v>71</v>
      </c>
      <c r="AU189" s="14">
        <v>100</v>
      </c>
      <c r="AV189" s="14"/>
      <c r="AW189" s="14">
        <v>40.22</v>
      </c>
      <c r="AX189" s="15">
        <v>45900</v>
      </c>
      <c r="AY189" s="15"/>
    </row>
    <row r="190" spans="1:51">
      <c r="A190" s="12">
        <v>8901042</v>
      </c>
      <c r="B190" s="13" t="s">
        <v>3333</v>
      </c>
      <c r="C190" s="13" t="s">
        <v>3317</v>
      </c>
      <c r="D190" s="13"/>
      <c r="E190" s="13" t="s">
        <v>3318</v>
      </c>
      <c r="F190" s="12"/>
      <c r="G190" s="12"/>
      <c r="H190" s="13"/>
      <c r="I190" s="12"/>
      <c r="J190" s="12"/>
      <c r="K190" s="12"/>
      <c r="L190" s="12" t="s">
        <v>3334</v>
      </c>
      <c r="M190" s="12"/>
      <c r="N190" s="12">
        <v>1</v>
      </c>
      <c r="O190" s="13" t="s">
        <v>3335</v>
      </c>
      <c r="P190" s="12"/>
      <c r="Q190" s="13"/>
      <c r="R190" s="12"/>
      <c r="S190" s="12"/>
      <c r="T190" s="12"/>
      <c r="U190" s="13"/>
      <c r="V190" s="12" t="s">
        <v>3321</v>
      </c>
      <c r="W190" s="13" t="s">
        <v>3322</v>
      </c>
      <c r="X190" s="12"/>
      <c r="Y190" s="13"/>
      <c r="Z190" s="12"/>
      <c r="AA190" s="13"/>
      <c r="AB190" s="12"/>
      <c r="AC190" s="12"/>
      <c r="AD190" s="14"/>
      <c r="AE190" s="12"/>
      <c r="AF190" s="13"/>
      <c r="AG190" s="12"/>
      <c r="AH190" s="12"/>
      <c r="AI190" s="13"/>
      <c r="AJ190" s="13" t="s">
        <v>3328</v>
      </c>
      <c r="AK190" s="13" t="s">
        <v>3324</v>
      </c>
      <c r="AL190" s="12"/>
      <c r="AM190" s="13"/>
      <c r="AN190" s="12"/>
      <c r="AO190" s="12"/>
      <c r="AP190" s="13"/>
      <c r="AQ190" s="12" t="s">
        <v>3336</v>
      </c>
      <c r="AR190" s="13"/>
      <c r="AS190" s="13" t="s">
        <v>71</v>
      </c>
      <c r="AT190" s="13" t="s">
        <v>71</v>
      </c>
      <c r="AU190" s="14">
        <v>100</v>
      </c>
      <c r="AV190" s="14"/>
      <c r="AW190" s="14">
        <v>40.33</v>
      </c>
      <c r="AX190" s="15">
        <v>43723</v>
      </c>
      <c r="AY190" s="15"/>
    </row>
    <row r="191" spans="1:51">
      <c r="A191" s="12">
        <v>8903052</v>
      </c>
      <c r="B191" s="13" t="s">
        <v>3438</v>
      </c>
      <c r="C191" s="13" t="s">
        <v>3342</v>
      </c>
      <c r="D191" s="13"/>
      <c r="E191" s="13" t="s">
        <v>3318</v>
      </c>
      <c r="F191" s="12"/>
      <c r="G191" s="12"/>
      <c r="H191" s="13"/>
      <c r="I191" s="12"/>
      <c r="J191" s="12"/>
      <c r="K191" s="12" t="s">
        <v>3437</v>
      </c>
      <c r="L191" s="12" t="s">
        <v>724</v>
      </c>
      <c r="M191" s="12"/>
      <c r="N191" s="12"/>
      <c r="O191" s="13"/>
      <c r="P191" s="12">
        <v>10</v>
      </c>
      <c r="Q191" s="13" t="s">
        <v>3339</v>
      </c>
      <c r="R191" s="12">
        <v>628</v>
      </c>
      <c r="S191" s="12">
        <v>1818936</v>
      </c>
      <c r="T191" s="12"/>
      <c r="U191" s="13"/>
      <c r="V191" s="12" t="s">
        <v>3321</v>
      </c>
      <c r="W191" s="13" t="s">
        <v>3322</v>
      </c>
      <c r="X191" s="12"/>
      <c r="Y191" s="13"/>
      <c r="Z191" s="12"/>
      <c r="AA191" s="13"/>
      <c r="AB191" s="12"/>
      <c r="AC191" s="12"/>
      <c r="AD191" s="14"/>
      <c r="AE191" s="12"/>
      <c r="AF191" s="13"/>
      <c r="AG191" s="12"/>
      <c r="AH191" s="12"/>
      <c r="AI191" s="13"/>
      <c r="AJ191" s="13" t="s">
        <v>3328</v>
      </c>
      <c r="AK191" s="13" t="s">
        <v>3324</v>
      </c>
      <c r="AL191" s="12"/>
      <c r="AM191" s="13"/>
      <c r="AN191" s="12"/>
      <c r="AO191" s="12" t="s">
        <v>719</v>
      </c>
      <c r="AP191" s="13"/>
      <c r="AQ191" s="12" t="s">
        <v>722</v>
      </c>
      <c r="AR191" s="13"/>
      <c r="AS191" s="13" t="s">
        <v>71</v>
      </c>
      <c r="AT191" s="13" t="s">
        <v>71</v>
      </c>
      <c r="AU191" s="14">
        <v>100</v>
      </c>
      <c r="AV191" s="14"/>
      <c r="AW191" s="14">
        <v>40.71</v>
      </c>
      <c r="AX191" s="15">
        <v>45900</v>
      </c>
      <c r="AY191" s="15"/>
    </row>
    <row r="192" spans="1:51">
      <c r="A192" s="12">
        <v>8917022</v>
      </c>
      <c r="B192" s="13" t="s">
        <v>3621</v>
      </c>
      <c r="C192" s="13" t="s">
        <v>3317</v>
      </c>
      <c r="D192" s="13"/>
      <c r="E192" s="13" t="s">
        <v>3318</v>
      </c>
      <c r="F192" s="12"/>
      <c r="G192" s="12"/>
      <c r="H192" s="13"/>
      <c r="I192" s="12"/>
      <c r="J192" s="12"/>
      <c r="K192" s="12"/>
      <c r="L192" s="12" t="s">
        <v>3622</v>
      </c>
      <c r="M192" s="12" t="s">
        <v>3622</v>
      </c>
      <c r="N192" s="12"/>
      <c r="O192" s="13"/>
      <c r="P192" s="12"/>
      <c r="Q192" s="13"/>
      <c r="R192" s="12"/>
      <c r="S192" s="12"/>
      <c r="T192" s="12"/>
      <c r="U192" s="13"/>
      <c r="V192" s="12" t="s">
        <v>3321</v>
      </c>
      <c r="W192" s="13" t="s">
        <v>3322</v>
      </c>
      <c r="X192" s="12"/>
      <c r="Y192" s="13"/>
      <c r="Z192" s="12"/>
      <c r="AA192" s="13"/>
      <c r="AB192" s="12"/>
      <c r="AC192" s="12"/>
      <c r="AD192" s="14"/>
      <c r="AE192" s="12"/>
      <c r="AF192" s="13"/>
      <c r="AG192" s="12"/>
      <c r="AH192" s="12"/>
      <c r="AI192" s="13"/>
      <c r="AJ192" s="13" t="s">
        <v>3328</v>
      </c>
      <c r="AK192" s="13" t="s">
        <v>3324</v>
      </c>
      <c r="AL192" s="12"/>
      <c r="AM192" s="13"/>
      <c r="AN192" s="12"/>
      <c r="AO192" s="12"/>
      <c r="AP192" s="13"/>
      <c r="AQ192" s="12">
        <v>17022</v>
      </c>
      <c r="AR192" s="13"/>
      <c r="AS192" s="13" t="s">
        <v>71</v>
      </c>
      <c r="AT192" s="13" t="s">
        <v>71</v>
      </c>
      <c r="AU192" s="14">
        <v>100</v>
      </c>
      <c r="AV192" s="14"/>
      <c r="AW192" s="14">
        <v>40.72</v>
      </c>
      <c r="AX192" s="15">
        <v>43556</v>
      </c>
      <c r="AY192" s="15"/>
    </row>
    <row r="193" spans="1:51">
      <c r="A193" s="12">
        <v>8906081</v>
      </c>
      <c r="B193" s="13" t="s">
        <v>3505</v>
      </c>
      <c r="C193" s="13" t="s">
        <v>3342</v>
      </c>
      <c r="D193" s="13"/>
      <c r="E193" s="13" t="s">
        <v>3318</v>
      </c>
      <c r="F193" s="12"/>
      <c r="G193" s="12"/>
      <c r="H193" s="13"/>
      <c r="I193" s="12"/>
      <c r="J193" s="12"/>
      <c r="K193" s="12"/>
      <c r="L193" s="12" t="s">
        <v>1193</v>
      </c>
      <c r="M193" s="12"/>
      <c r="N193" s="12"/>
      <c r="O193" s="13"/>
      <c r="P193" s="12">
        <v>10</v>
      </c>
      <c r="Q193" s="13" t="s">
        <v>3339</v>
      </c>
      <c r="R193" s="12">
        <v>985</v>
      </c>
      <c r="S193" s="12">
        <v>3278774</v>
      </c>
      <c r="T193" s="12"/>
      <c r="U193" s="13"/>
      <c r="V193" s="12" t="s">
        <v>3321</v>
      </c>
      <c r="W193" s="13" t="s">
        <v>3322</v>
      </c>
      <c r="X193" s="12"/>
      <c r="Y193" s="13"/>
      <c r="Z193" s="12"/>
      <c r="AA193" s="13"/>
      <c r="AB193" s="12"/>
      <c r="AC193" s="12"/>
      <c r="AD193" s="14"/>
      <c r="AE193" s="12"/>
      <c r="AF193" s="13"/>
      <c r="AG193" s="12"/>
      <c r="AH193" s="12"/>
      <c r="AI193" s="13"/>
      <c r="AJ193" s="13" t="s">
        <v>3328</v>
      </c>
      <c r="AK193" s="13" t="s">
        <v>3324</v>
      </c>
      <c r="AL193" s="12"/>
      <c r="AM193" s="13"/>
      <c r="AN193" s="12"/>
      <c r="AO193" s="12" t="s">
        <v>1191</v>
      </c>
      <c r="AP193" s="13"/>
      <c r="AQ193" s="12" t="s">
        <v>1187</v>
      </c>
      <c r="AR193" s="13"/>
      <c r="AS193" s="13" t="s">
        <v>71</v>
      </c>
      <c r="AT193" s="13" t="s">
        <v>71</v>
      </c>
      <c r="AU193" s="14">
        <v>100</v>
      </c>
      <c r="AV193" s="14"/>
      <c r="AW193" s="14">
        <v>40.770000000000003</v>
      </c>
      <c r="AX193" s="15">
        <v>45900</v>
      </c>
      <c r="AY193" s="15"/>
    </row>
    <row r="194" spans="1:51">
      <c r="A194" s="12">
        <v>8902052</v>
      </c>
      <c r="B194" s="13" t="s">
        <v>3376</v>
      </c>
      <c r="C194" s="13" t="s">
        <v>3317</v>
      </c>
      <c r="D194" s="13"/>
      <c r="E194" s="13" t="s">
        <v>3318</v>
      </c>
      <c r="F194" s="12"/>
      <c r="G194" s="12"/>
      <c r="H194" s="13"/>
      <c r="I194" s="12"/>
      <c r="J194" s="12"/>
      <c r="K194" s="12"/>
      <c r="L194" s="12" t="s">
        <v>3377</v>
      </c>
      <c r="M194" s="12"/>
      <c r="N194" s="12"/>
      <c r="O194" s="13"/>
      <c r="P194" s="12">
        <v>12</v>
      </c>
      <c r="Q194" s="13" t="s">
        <v>3378</v>
      </c>
      <c r="R194" s="12">
        <v>650</v>
      </c>
      <c r="S194" s="12">
        <v>553136</v>
      </c>
      <c r="T194" s="12"/>
      <c r="U194" s="13"/>
      <c r="V194" s="12" t="s">
        <v>3321</v>
      </c>
      <c r="W194" s="13" t="s">
        <v>3322</v>
      </c>
      <c r="X194" s="12"/>
      <c r="Y194" s="13"/>
      <c r="Z194" s="12"/>
      <c r="AA194" s="13"/>
      <c r="AB194" s="12"/>
      <c r="AC194" s="12"/>
      <c r="AD194" s="14"/>
      <c r="AE194" s="12"/>
      <c r="AF194" s="13"/>
      <c r="AG194" s="12"/>
      <c r="AH194" s="12"/>
      <c r="AI194" s="13"/>
      <c r="AJ194" s="13" t="s">
        <v>3328</v>
      </c>
      <c r="AK194" s="13" t="s">
        <v>3324</v>
      </c>
      <c r="AL194" s="12"/>
      <c r="AM194" s="13"/>
      <c r="AN194" s="12"/>
      <c r="AO194" s="12"/>
      <c r="AP194" s="13"/>
      <c r="AQ194" s="12" t="s">
        <v>3379</v>
      </c>
      <c r="AR194" s="13"/>
      <c r="AS194" s="13" t="s">
        <v>71</v>
      </c>
      <c r="AT194" s="13" t="s">
        <v>71</v>
      </c>
      <c r="AU194" s="14">
        <v>100</v>
      </c>
      <c r="AV194" s="14"/>
      <c r="AW194" s="14">
        <v>40.85</v>
      </c>
      <c r="AX194" s="15">
        <v>44439</v>
      </c>
      <c r="AY194" s="15"/>
    </row>
    <row r="195" spans="1:51">
      <c r="A195" s="12">
        <v>8919137</v>
      </c>
      <c r="B195" s="13" t="s">
        <v>3647</v>
      </c>
      <c r="C195" s="13" t="s">
        <v>3342</v>
      </c>
      <c r="D195" s="13"/>
      <c r="E195" s="13" t="s">
        <v>3318</v>
      </c>
      <c r="F195" s="12"/>
      <c r="G195" s="12"/>
      <c r="H195" s="13"/>
      <c r="I195" s="12"/>
      <c r="J195" s="12"/>
      <c r="K195" s="12"/>
      <c r="L195" s="12">
        <v>327508222</v>
      </c>
      <c r="M195" s="12"/>
      <c r="N195" s="12"/>
      <c r="O195" s="13"/>
      <c r="P195" s="12">
        <v>10</v>
      </c>
      <c r="Q195" s="13" t="s">
        <v>3339</v>
      </c>
      <c r="R195" s="12">
        <v>985</v>
      </c>
      <c r="S195" s="12">
        <v>3280990</v>
      </c>
      <c r="T195" s="12"/>
      <c r="U195" s="13"/>
      <c r="V195" s="12" t="s">
        <v>3321</v>
      </c>
      <c r="W195" s="13" t="s">
        <v>3322</v>
      </c>
      <c r="X195" s="12"/>
      <c r="Y195" s="13"/>
      <c r="Z195" s="12"/>
      <c r="AA195" s="13"/>
      <c r="AB195" s="12"/>
      <c r="AC195" s="12"/>
      <c r="AD195" s="14"/>
      <c r="AE195" s="12"/>
      <c r="AF195" s="13"/>
      <c r="AG195" s="12"/>
      <c r="AH195" s="12"/>
      <c r="AI195" s="13"/>
      <c r="AJ195" s="13" t="s">
        <v>3328</v>
      </c>
      <c r="AK195" s="13" t="s">
        <v>3324</v>
      </c>
      <c r="AL195" s="12"/>
      <c r="AM195" s="13"/>
      <c r="AN195" s="12"/>
      <c r="AO195" s="12">
        <v>1913</v>
      </c>
      <c r="AP195" s="13"/>
      <c r="AQ195" s="12">
        <v>19131</v>
      </c>
      <c r="AR195" s="13"/>
      <c r="AS195" s="13" t="s">
        <v>71</v>
      </c>
      <c r="AT195" s="13" t="s">
        <v>71</v>
      </c>
      <c r="AU195" s="14">
        <v>100</v>
      </c>
      <c r="AV195" s="14"/>
      <c r="AW195" s="14">
        <v>40.950000000000003</v>
      </c>
      <c r="AX195" s="15">
        <v>45900</v>
      </c>
      <c r="AY195" s="15"/>
    </row>
    <row r="196" spans="1:51">
      <c r="A196" s="12">
        <v>8920162</v>
      </c>
      <c r="B196" s="13" t="s">
        <v>3679</v>
      </c>
      <c r="C196" s="13" t="s">
        <v>3342</v>
      </c>
      <c r="D196" s="13"/>
      <c r="E196" s="13" t="s">
        <v>3318</v>
      </c>
      <c r="F196" s="12"/>
      <c r="G196" s="12"/>
      <c r="H196" s="13"/>
      <c r="I196" s="12"/>
      <c r="J196" s="12"/>
      <c r="K196" s="12"/>
      <c r="L196" s="12" t="s">
        <v>2648</v>
      </c>
      <c r="M196" s="12"/>
      <c r="N196" s="12"/>
      <c r="O196" s="13"/>
      <c r="P196" s="12">
        <v>10</v>
      </c>
      <c r="Q196" s="13" t="s">
        <v>3339</v>
      </c>
      <c r="R196" s="12">
        <v>985</v>
      </c>
      <c r="S196" s="12">
        <v>3281201</v>
      </c>
      <c r="T196" s="12"/>
      <c r="U196" s="13"/>
      <c r="V196" s="12" t="s">
        <v>3321</v>
      </c>
      <c r="W196" s="13" t="s">
        <v>3322</v>
      </c>
      <c r="X196" s="12"/>
      <c r="Y196" s="13"/>
      <c r="Z196" s="12"/>
      <c r="AA196" s="13"/>
      <c r="AB196" s="12"/>
      <c r="AC196" s="12"/>
      <c r="AD196" s="14"/>
      <c r="AE196" s="12"/>
      <c r="AF196" s="13"/>
      <c r="AG196" s="12"/>
      <c r="AH196" s="12"/>
      <c r="AI196" s="13"/>
      <c r="AJ196" s="13" t="s">
        <v>3328</v>
      </c>
      <c r="AK196" s="13" t="s">
        <v>3324</v>
      </c>
      <c r="AL196" s="12"/>
      <c r="AM196" s="13"/>
      <c r="AN196" s="12"/>
      <c r="AO196" s="12">
        <v>2016</v>
      </c>
      <c r="AP196" s="13"/>
      <c r="AQ196" s="12">
        <v>20162</v>
      </c>
      <c r="AR196" s="13"/>
      <c r="AS196" s="13" t="s">
        <v>71</v>
      </c>
      <c r="AT196" s="13" t="s">
        <v>71</v>
      </c>
      <c r="AU196" s="14">
        <v>100</v>
      </c>
      <c r="AV196" s="14"/>
      <c r="AW196" s="14">
        <v>41.19</v>
      </c>
      <c r="AX196" s="15">
        <v>45900</v>
      </c>
      <c r="AY196" s="15"/>
    </row>
    <row r="197" spans="1:51">
      <c r="A197" s="12">
        <v>8920171</v>
      </c>
      <c r="B197" s="13" t="s">
        <v>3680</v>
      </c>
      <c r="C197" s="13" t="s">
        <v>3342</v>
      </c>
      <c r="D197" s="13"/>
      <c r="E197" s="13" t="s">
        <v>3318</v>
      </c>
      <c r="F197" s="12"/>
      <c r="G197" s="12"/>
      <c r="H197" s="13"/>
      <c r="I197" s="12"/>
      <c r="J197" s="12"/>
      <c r="K197" s="12"/>
      <c r="L197" s="12" t="s">
        <v>2653</v>
      </c>
      <c r="M197" s="12" t="s">
        <v>2653</v>
      </c>
      <c r="N197" s="12"/>
      <c r="O197" s="13"/>
      <c r="P197" s="12">
        <v>20</v>
      </c>
      <c r="Q197" s="13" t="s">
        <v>3320</v>
      </c>
      <c r="R197" s="12">
        <v>427</v>
      </c>
      <c r="S197" s="12">
        <v>225771</v>
      </c>
      <c r="T197" s="12"/>
      <c r="U197" s="13"/>
      <c r="V197" s="12" t="s">
        <v>3321</v>
      </c>
      <c r="W197" s="13" t="s">
        <v>3322</v>
      </c>
      <c r="X197" s="12"/>
      <c r="Y197" s="13"/>
      <c r="Z197" s="12"/>
      <c r="AA197" s="13"/>
      <c r="AB197" s="12"/>
      <c r="AC197" s="12"/>
      <c r="AD197" s="14"/>
      <c r="AE197" s="12"/>
      <c r="AF197" s="13"/>
      <c r="AG197" s="12"/>
      <c r="AH197" s="12"/>
      <c r="AI197" s="13"/>
      <c r="AJ197" s="13" t="s">
        <v>3328</v>
      </c>
      <c r="AK197" s="13" t="s">
        <v>3324</v>
      </c>
      <c r="AL197" s="12"/>
      <c r="AM197" s="13"/>
      <c r="AN197" s="12"/>
      <c r="AO197" s="12">
        <v>2017</v>
      </c>
      <c r="AP197" s="13"/>
      <c r="AQ197" s="12">
        <v>20171</v>
      </c>
      <c r="AR197" s="13"/>
      <c r="AS197" s="13" t="s">
        <v>71</v>
      </c>
      <c r="AT197" s="13" t="s">
        <v>71</v>
      </c>
      <c r="AU197" s="14">
        <v>100</v>
      </c>
      <c r="AV197" s="14"/>
      <c r="AW197" s="14">
        <v>41.2</v>
      </c>
      <c r="AX197" s="15">
        <v>45900</v>
      </c>
      <c r="AY197" s="15"/>
    </row>
    <row r="198" spans="1:51">
      <c r="A198" s="12">
        <v>8903051</v>
      </c>
      <c r="B198" s="13" t="s">
        <v>3436</v>
      </c>
      <c r="C198" s="13" t="s">
        <v>3342</v>
      </c>
      <c r="D198" s="13"/>
      <c r="E198" s="13" t="s">
        <v>3318</v>
      </c>
      <c r="F198" s="12"/>
      <c r="G198" s="12"/>
      <c r="H198" s="13"/>
      <c r="I198" s="12"/>
      <c r="J198" s="12"/>
      <c r="K198" s="12" t="s">
        <v>3437</v>
      </c>
      <c r="L198" s="12" t="s">
        <v>721</v>
      </c>
      <c r="M198" s="12"/>
      <c r="N198" s="12"/>
      <c r="O198" s="13"/>
      <c r="P198" s="12">
        <v>10</v>
      </c>
      <c r="Q198" s="13" t="s">
        <v>3339</v>
      </c>
      <c r="R198" s="12">
        <v>628</v>
      </c>
      <c r="S198" s="12">
        <v>1818936</v>
      </c>
      <c r="T198" s="12"/>
      <c r="U198" s="13"/>
      <c r="V198" s="12" t="s">
        <v>3321</v>
      </c>
      <c r="W198" s="13" t="s">
        <v>3322</v>
      </c>
      <c r="X198" s="12"/>
      <c r="Y198" s="13"/>
      <c r="Z198" s="12"/>
      <c r="AA198" s="13"/>
      <c r="AB198" s="12"/>
      <c r="AC198" s="12"/>
      <c r="AD198" s="14"/>
      <c r="AE198" s="12"/>
      <c r="AF198" s="13"/>
      <c r="AG198" s="12"/>
      <c r="AH198" s="12"/>
      <c r="AI198" s="13"/>
      <c r="AJ198" s="13" t="s">
        <v>3328</v>
      </c>
      <c r="AK198" s="13" t="s">
        <v>3324</v>
      </c>
      <c r="AL198" s="12"/>
      <c r="AM198" s="13"/>
      <c r="AN198" s="12"/>
      <c r="AO198" s="12" t="s">
        <v>719</v>
      </c>
      <c r="AP198" s="13"/>
      <c r="AQ198" s="12" t="s">
        <v>716</v>
      </c>
      <c r="AR198" s="13"/>
      <c r="AS198" s="13" t="s">
        <v>71</v>
      </c>
      <c r="AT198" s="13" t="s">
        <v>71</v>
      </c>
      <c r="AU198" s="14">
        <v>100</v>
      </c>
      <c r="AV198" s="14"/>
      <c r="AW198" s="14">
        <v>41.27</v>
      </c>
      <c r="AX198" s="15">
        <v>45900</v>
      </c>
      <c r="AY198" s="15"/>
    </row>
    <row r="199" spans="1:51">
      <c r="A199" s="12">
        <v>8903022</v>
      </c>
      <c r="B199" s="13" t="s">
        <v>3429</v>
      </c>
      <c r="C199" s="13" t="s">
        <v>3342</v>
      </c>
      <c r="D199" s="13"/>
      <c r="E199" s="13" t="s">
        <v>3318</v>
      </c>
      <c r="F199" s="12"/>
      <c r="G199" s="12"/>
      <c r="H199" s="13"/>
      <c r="I199" s="12"/>
      <c r="J199" s="12"/>
      <c r="K199" s="12"/>
      <c r="L199" s="12" t="s">
        <v>693</v>
      </c>
      <c r="M199" s="12"/>
      <c r="N199" s="12"/>
      <c r="O199" s="13"/>
      <c r="P199" s="12"/>
      <c r="Q199" s="13"/>
      <c r="R199" s="12"/>
      <c r="S199" s="12"/>
      <c r="T199" s="12"/>
      <c r="U199" s="13"/>
      <c r="V199" s="12" t="s">
        <v>3321</v>
      </c>
      <c r="W199" s="13" t="s">
        <v>3322</v>
      </c>
      <c r="X199" s="12"/>
      <c r="Y199" s="13"/>
      <c r="Z199" s="12"/>
      <c r="AA199" s="13"/>
      <c r="AB199" s="12"/>
      <c r="AC199" s="12"/>
      <c r="AD199" s="14"/>
      <c r="AE199" s="12"/>
      <c r="AF199" s="13"/>
      <c r="AG199" s="12"/>
      <c r="AH199" s="12"/>
      <c r="AI199" s="13"/>
      <c r="AJ199" s="13" t="s">
        <v>3328</v>
      </c>
      <c r="AK199" s="13" t="s">
        <v>3324</v>
      </c>
      <c r="AL199" s="12"/>
      <c r="AM199" s="13"/>
      <c r="AN199" s="12"/>
      <c r="AO199" s="12" t="s">
        <v>691</v>
      </c>
      <c r="AP199" s="13"/>
      <c r="AQ199" s="12" t="s">
        <v>688</v>
      </c>
      <c r="AR199" s="13"/>
      <c r="AS199" s="13" t="s">
        <v>71</v>
      </c>
      <c r="AT199" s="13" t="s">
        <v>71</v>
      </c>
      <c r="AU199" s="14">
        <v>100</v>
      </c>
      <c r="AV199" s="14"/>
      <c r="AW199" s="14">
        <v>41.54</v>
      </c>
      <c r="AX199" s="15">
        <v>45900</v>
      </c>
      <c r="AY199" s="15"/>
    </row>
    <row r="200" spans="1:51">
      <c r="A200" s="12">
        <v>8911021</v>
      </c>
      <c r="B200" s="13" t="s">
        <v>3535</v>
      </c>
      <c r="C200" s="13" t="s">
        <v>3342</v>
      </c>
      <c r="D200" s="13"/>
      <c r="E200" s="13" t="s">
        <v>3318</v>
      </c>
      <c r="F200" s="12"/>
      <c r="G200" s="12"/>
      <c r="H200" s="13"/>
      <c r="I200" s="12"/>
      <c r="J200" s="12"/>
      <c r="K200" s="12"/>
      <c r="L200" s="12" t="s">
        <v>1564</v>
      </c>
      <c r="M200" s="12"/>
      <c r="N200" s="12"/>
      <c r="O200" s="13"/>
      <c r="P200" s="12">
        <v>10</v>
      </c>
      <c r="Q200" s="13" t="s">
        <v>3339</v>
      </c>
      <c r="R200" s="12">
        <v>985</v>
      </c>
      <c r="S200" s="12">
        <v>3279477</v>
      </c>
      <c r="T200" s="12"/>
      <c r="U200" s="13"/>
      <c r="V200" s="12" t="s">
        <v>3321</v>
      </c>
      <c r="W200" s="13" t="s">
        <v>3322</v>
      </c>
      <c r="X200" s="12"/>
      <c r="Y200" s="13"/>
      <c r="Z200" s="12"/>
      <c r="AA200" s="13"/>
      <c r="AB200" s="12"/>
      <c r="AC200" s="12"/>
      <c r="AD200" s="14"/>
      <c r="AE200" s="12"/>
      <c r="AF200" s="13"/>
      <c r="AG200" s="12"/>
      <c r="AH200" s="12"/>
      <c r="AI200" s="13"/>
      <c r="AJ200" s="13" t="s">
        <v>3328</v>
      </c>
      <c r="AK200" s="13" t="s">
        <v>3324</v>
      </c>
      <c r="AL200" s="12"/>
      <c r="AM200" s="13"/>
      <c r="AN200" s="12"/>
      <c r="AO200" s="12">
        <v>1102</v>
      </c>
      <c r="AP200" s="13"/>
      <c r="AQ200" s="12">
        <v>11021</v>
      </c>
      <c r="AR200" s="13"/>
      <c r="AS200" s="13" t="s">
        <v>71</v>
      </c>
      <c r="AT200" s="13" t="s">
        <v>71</v>
      </c>
      <c r="AU200" s="14">
        <v>100</v>
      </c>
      <c r="AV200" s="14"/>
      <c r="AW200" s="14">
        <v>41.78</v>
      </c>
      <c r="AX200" s="15">
        <v>45900</v>
      </c>
      <c r="AY200" s="15"/>
    </row>
    <row r="201" spans="1:51">
      <c r="A201" s="12">
        <v>8921061</v>
      </c>
      <c r="B201" s="13" t="s">
        <v>3711</v>
      </c>
      <c r="C201" s="13" t="s">
        <v>3317</v>
      </c>
      <c r="D201" s="13"/>
      <c r="E201" s="13" t="s">
        <v>3318</v>
      </c>
      <c r="F201" s="12"/>
      <c r="G201" s="12"/>
      <c r="H201" s="13"/>
      <c r="I201" s="12"/>
      <c r="J201" s="12"/>
      <c r="K201" s="12"/>
      <c r="L201" s="12" t="s">
        <v>3712</v>
      </c>
      <c r="M201" s="12"/>
      <c r="N201" s="12"/>
      <c r="O201" s="13"/>
      <c r="P201" s="12">
        <v>31</v>
      </c>
      <c r="Q201" s="13" t="s">
        <v>3492</v>
      </c>
      <c r="R201" s="12">
        <v>109</v>
      </c>
      <c r="S201" s="12">
        <v>191876</v>
      </c>
      <c r="T201" s="12"/>
      <c r="U201" s="13"/>
      <c r="V201" s="12" t="s">
        <v>3321</v>
      </c>
      <c r="W201" s="13" t="s">
        <v>3322</v>
      </c>
      <c r="X201" s="12"/>
      <c r="Y201" s="13"/>
      <c r="Z201" s="12"/>
      <c r="AA201" s="13"/>
      <c r="AB201" s="12"/>
      <c r="AC201" s="12"/>
      <c r="AD201" s="14"/>
      <c r="AE201" s="12"/>
      <c r="AF201" s="13"/>
      <c r="AG201" s="12"/>
      <c r="AH201" s="12"/>
      <c r="AI201" s="13"/>
      <c r="AJ201" s="13" t="s">
        <v>3328</v>
      </c>
      <c r="AK201" s="13" t="s">
        <v>3324</v>
      </c>
      <c r="AL201" s="12"/>
      <c r="AM201" s="13"/>
      <c r="AN201" s="12"/>
      <c r="AO201" s="12"/>
      <c r="AP201" s="13"/>
      <c r="AQ201" s="12">
        <v>21061</v>
      </c>
      <c r="AR201" s="13"/>
      <c r="AS201" s="13" t="s">
        <v>71</v>
      </c>
      <c r="AT201" s="13" t="s">
        <v>71</v>
      </c>
      <c r="AU201" s="14">
        <v>100</v>
      </c>
      <c r="AV201" s="14"/>
      <c r="AW201" s="14">
        <v>41.84</v>
      </c>
      <c r="AX201" s="15">
        <v>43921</v>
      </c>
      <c r="AY201" s="15"/>
    </row>
    <row r="202" spans="1:51">
      <c r="A202" s="12">
        <v>8901112</v>
      </c>
      <c r="B202" s="13" t="s">
        <v>3350</v>
      </c>
      <c r="C202" s="13" t="s">
        <v>3342</v>
      </c>
      <c r="D202" s="13"/>
      <c r="E202" s="13" t="s">
        <v>3318</v>
      </c>
      <c r="F202" s="12"/>
      <c r="G202" s="12"/>
      <c r="H202" s="13"/>
      <c r="I202" s="12"/>
      <c r="J202" s="12"/>
      <c r="K202" s="12"/>
      <c r="L202" s="12" t="s">
        <v>156</v>
      </c>
      <c r="M202" s="12"/>
      <c r="N202" s="12"/>
      <c r="O202" s="13"/>
      <c r="P202" s="12">
        <v>10</v>
      </c>
      <c r="Q202" s="13" t="s">
        <v>3339</v>
      </c>
      <c r="R202" s="12">
        <v>985</v>
      </c>
      <c r="S202" s="12">
        <v>3275097</v>
      </c>
      <c r="T202" s="12"/>
      <c r="U202" s="13"/>
      <c r="V202" s="12" t="s">
        <v>3321</v>
      </c>
      <c r="W202" s="13" t="s">
        <v>3322</v>
      </c>
      <c r="X202" s="12"/>
      <c r="Y202" s="13"/>
      <c r="Z202" s="12"/>
      <c r="AA202" s="13"/>
      <c r="AB202" s="12"/>
      <c r="AC202" s="12"/>
      <c r="AD202" s="14"/>
      <c r="AE202" s="12"/>
      <c r="AF202" s="13"/>
      <c r="AG202" s="12"/>
      <c r="AH202" s="12"/>
      <c r="AI202" s="13"/>
      <c r="AJ202" s="13" t="s">
        <v>3328</v>
      </c>
      <c r="AK202" s="13" t="s">
        <v>3324</v>
      </c>
      <c r="AL202" s="12"/>
      <c r="AM202" s="13"/>
      <c r="AN202" s="12"/>
      <c r="AO202" s="12" t="s">
        <v>150</v>
      </c>
      <c r="AP202" s="13"/>
      <c r="AQ202" s="12" t="s">
        <v>153</v>
      </c>
      <c r="AR202" s="13"/>
      <c r="AS202" s="13" t="s">
        <v>71</v>
      </c>
      <c r="AT202" s="13" t="s">
        <v>71</v>
      </c>
      <c r="AU202" s="14">
        <v>100</v>
      </c>
      <c r="AV202" s="14"/>
      <c r="AW202" s="14">
        <v>41.95</v>
      </c>
      <c r="AX202" s="15">
        <v>45900</v>
      </c>
      <c r="AY202" s="15"/>
    </row>
    <row r="203" spans="1:51">
      <c r="A203" s="12">
        <v>8906021</v>
      </c>
      <c r="B203" s="13" t="s">
        <v>3495</v>
      </c>
      <c r="C203" s="13" t="s">
        <v>3317</v>
      </c>
      <c r="D203" s="13"/>
      <c r="E203" s="13" t="s">
        <v>3318</v>
      </c>
      <c r="F203" s="12"/>
      <c r="G203" s="12"/>
      <c r="H203" s="13"/>
      <c r="I203" s="12"/>
      <c r="J203" s="12"/>
      <c r="K203" s="12"/>
      <c r="L203" s="12" t="s">
        <v>3496</v>
      </c>
      <c r="M203" s="12"/>
      <c r="N203" s="12"/>
      <c r="O203" s="13"/>
      <c r="P203" s="12"/>
      <c r="Q203" s="13"/>
      <c r="R203" s="12"/>
      <c r="S203" s="12"/>
      <c r="T203" s="12"/>
      <c r="U203" s="13"/>
      <c r="V203" s="12" t="s">
        <v>3321</v>
      </c>
      <c r="W203" s="13" t="s">
        <v>3322</v>
      </c>
      <c r="X203" s="12"/>
      <c r="Y203" s="13"/>
      <c r="Z203" s="12"/>
      <c r="AA203" s="13"/>
      <c r="AB203" s="12"/>
      <c r="AC203" s="12"/>
      <c r="AD203" s="14"/>
      <c r="AE203" s="12"/>
      <c r="AF203" s="13"/>
      <c r="AG203" s="12"/>
      <c r="AH203" s="12"/>
      <c r="AI203" s="13"/>
      <c r="AJ203" s="13" t="s">
        <v>3323</v>
      </c>
      <c r="AK203" s="13" t="s">
        <v>3324</v>
      </c>
      <c r="AL203" s="12"/>
      <c r="AM203" s="13"/>
      <c r="AN203" s="12"/>
      <c r="AO203" s="12"/>
      <c r="AP203" s="13"/>
      <c r="AQ203" s="12" t="s">
        <v>3497</v>
      </c>
      <c r="AR203" s="13"/>
      <c r="AS203" s="13" t="s">
        <v>71</v>
      </c>
      <c r="AT203" s="13" t="s">
        <v>71</v>
      </c>
      <c r="AU203" s="14">
        <v>100</v>
      </c>
      <c r="AV203" s="14"/>
      <c r="AW203" s="14">
        <v>41.95</v>
      </c>
      <c r="AX203" s="15">
        <v>44270</v>
      </c>
      <c r="AY203" s="15"/>
    </row>
    <row r="204" spans="1:51">
      <c r="A204" s="12">
        <v>8919061</v>
      </c>
      <c r="B204" s="13" t="s">
        <v>3636</v>
      </c>
      <c r="C204" s="13" t="s">
        <v>3342</v>
      </c>
      <c r="D204" s="13"/>
      <c r="E204" s="13" t="s">
        <v>3318</v>
      </c>
      <c r="F204" s="12"/>
      <c r="G204" s="12"/>
      <c r="H204" s="13"/>
      <c r="I204" s="12"/>
      <c r="J204" s="12"/>
      <c r="K204" s="12"/>
      <c r="L204" s="12" t="s">
        <v>2332</v>
      </c>
      <c r="M204" s="12"/>
      <c r="N204" s="12"/>
      <c r="O204" s="13"/>
      <c r="P204" s="12">
        <v>10</v>
      </c>
      <c r="Q204" s="13" t="s">
        <v>3339</v>
      </c>
      <c r="R204" s="12">
        <v>985</v>
      </c>
      <c r="S204" s="12">
        <v>3281791</v>
      </c>
      <c r="T204" s="12"/>
      <c r="U204" s="13"/>
      <c r="V204" s="12" t="s">
        <v>3321</v>
      </c>
      <c r="W204" s="13" t="s">
        <v>3322</v>
      </c>
      <c r="X204" s="12"/>
      <c r="Y204" s="13"/>
      <c r="Z204" s="12"/>
      <c r="AA204" s="13"/>
      <c r="AB204" s="12"/>
      <c r="AC204" s="12"/>
      <c r="AD204" s="14"/>
      <c r="AE204" s="12"/>
      <c r="AF204" s="13"/>
      <c r="AG204" s="12"/>
      <c r="AH204" s="12"/>
      <c r="AI204" s="13"/>
      <c r="AJ204" s="13" t="s">
        <v>3328</v>
      </c>
      <c r="AK204" s="13" t="s">
        <v>3324</v>
      </c>
      <c r="AL204" s="12"/>
      <c r="AM204" s="13"/>
      <c r="AN204" s="12"/>
      <c r="AO204" s="12">
        <v>1906</v>
      </c>
      <c r="AP204" s="13"/>
      <c r="AQ204" s="12">
        <v>19061</v>
      </c>
      <c r="AR204" s="13"/>
      <c r="AS204" s="13" t="s">
        <v>71</v>
      </c>
      <c r="AT204" s="13" t="s">
        <v>71</v>
      </c>
      <c r="AU204" s="14">
        <v>100</v>
      </c>
      <c r="AV204" s="14"/>
      <c r="AW204" s="14">
        <v>42.19</v>
      </c>
      <c r="AX204" s="15">
        <v>45900</v>
      </c>
      <c r="AY204" s="15"/>
    </row>
    <row r="205" spans="1:51">
      <c r="A205" s="12">
        <v>8905072</v>
      </c>
      <c r="B205" s="13" t="s">
        <v>3486</v>
      </c>
      <c r="C205" s="13" t="s">
        <v>3342</v>
      </c>
      <c r="D205" s="13"/>
      <c r="E205" s="13" t="s">
        <v>3318</v>
      </c>
      <c r="F205" s="12"/>
      <c r="G205" s="12"/>
      <c r="H205" s="13"/>
      <c r="I205" s="12"/>
      <c r="J205" s="12"/>
      <c r="K205" s="12"/>
      <c r="L205" s="12" t="s">
        <v>1035</v>
      </c>
      <c r="M205" s="12"/>
      <c r="N205" s="12"/>
      <c r="O205" s="13"/>
      <c r="P205" s="12">
        <v>10</v>
      </c>
      <c r="Q205" s="13" t="s">
        <v>3339</v>
      </c>
      <c r="R205" s="12">
        <v>985</v>
      </c>
      <c r="S205" s="12">
        <v>3278382</v>
      </c>
      <c r="T205" s="12"/>
      <c r="U205" s="13"/>
      <c r="V205" s="12" t="s">
        <v>3321</v>
      </c>
      <c r="W205" s="13" t="s">
        <v>3322</v>
      </c>
      <c r="X205" s="12"/>
      <c r="Y205" s="13"/>
      <c r="Z205" s="12"/>
      <c r="AA205" s="13"/>
      <c r="AB205" s="12"/>
      <c r="AC205" s="12"/>
      <c r="AD205" s="14"/>
      <c r="AE205" s="12"/>
      <c r="AF205" s="13"/>
      <c r="AG205" s="12"/>
      <c r="AH205" s="12"/>
      <c r="AI205" s="13"/>
      <c r="AJ205" s="13" t="s">
        <v>3328</v>
      </c>
      <c r="AK205" s="13" t="s">
        <v>3324</v>
      </c>
      <c r="AL205" s="12"/>
      <c r="AM205" s="13"/>
      <c r="AN205" s="12"/>
      <c r="AO205" s="12" t="s">
        <v>1029</v>
      </c>
      <c r="AP205" s="13"/>
      <c r="AQ205" s="12" t="s">
        <v>1032</v>
      </c>
      <c r="AR205" s="13"/>
      <c r="AS205" s="13" t="s">
        <v>71</v>
      </c>
      <c r="AT205" s="13" t="s">
        <v>71</v>
      </c>
      <c r="AU205" s="14">
        <v>100</v>
      </c>
      <c r="AV205" s="14"/>
      <c r="AW205" s="14">
        <v>42.33</v>
      </c>
      <c r="AX205" s="15">
        <v>45900</v>
      </c>
      <c r="AY205" s="15"/>
    </row>
    <row r="206" spans="1:51">
      <c r="A206" s="12">
        <v>8901012</v>
      </c>
      <c r="B206" s="13" t="s">
        <v>3326</v>
      </c>
      <c r="C206" s="13" t="s">
        <v>3317</v>
      </c>
      <c r="D206" s="13"/>
      <c r="E206" s="13" t="s">
        <v>3318</v>
      </c>
      <c r="F206" s="12"/>
      <c r="G206" s="12"/>
      <c r="H206" s="13"/>
      <c r="I206" s="12"/>
      <c r="J206" s="12"/>
      <c r="K206" s="12"/>
      <c r="L206" s="12" t="s">
        <v>3327</v>
      </c>
      <c r="M206" s="12"/>
      <c r="N206" s="12"/>
      <c r="O206" s="13"/>
      <c r="P206" s="12">
        <v>20</v>
      </c>
      <c r="Q206" s="13" t="s">
        <v>3320</v>
      </c>
      <c r="R206" s="12">
        <v>461</v>
      </c>
      <c r="S206" s="12">
        <v>450539</v>
      </c>
      <c r="T206" s="12"/>
      <c r="U206" s="13"/>
      <c r="V206" s="12" t="s">
        <v>3321</v>
      </c>
      <c r="W206" s="13" t="s">
        <v>3322</v>
      </c>
      <c r="X206" s="12"/>
      <c r="Y206" s="13"/>
      <c r="Z206" s="12"/>
      <c r="AA206" s="13"/>
      <c r="AB206" s="12"/>
      <c r="AC206" s="12"/>
      <c r="AD206" s="14"/>
      <c r="AE206" s="12"/>
      <c r="AF206" s="13"/>
      <c r="AG206" s="12"/>
      <c r="AH206" s="12"/>
      <c r="AI206" s="13"/>
      <c r="AJ206" s="13" t="s">
        <v>3328</v>
      </c>
      <c r="AK206" s="13" t="s">
        <v>3324</v>
      </c>
      <c r="AL206" s="12"/>
      <c r="AM206" s="13"/>
      <c r="AN206" s="12"/>
      <c r="AO206" s="12"/>
      <c r="AP206" s="13"/>
      <c r="AQ206" s="12" t="s">
        <v>3329</v>
      </c>
      <c r="AR206" s="13"/>
      <c r="AS206" s="13" t="s">
        <v>71</v>
      </c>
      <c r="AT206" s="13" t="s">
        <v>71</v>
      </c>
      <c r="AU206" s="14">
        <v>100</v>
      </c>
      <c r="AV206" s="14"/>
      <c r="AW206" s="14">
        <v>42.54</v>
      </c>
      <c r="AX206" s="15">
        <v>44439</v>
      </c>
      <c r="AY206" s="15"/>
    </row>
    <row r="207" spans="1:51">
      <c r="A207" s="12">
        <v>8916021</v>
      </c>
      <c r="B207" s="13" t="s">
        <v>3615</v>
      </c>
      <c r="C207" s="13" t="s">
        <v>3342</v>
      </c>
      <c r="D207" s="13"/>
      <c r="E207" s="13" t="s">
        <v>3318</v>
      </c>
      <c r="F207" s="12"/>
      <c r="G207" s="12"/>
      <c r="H207" s="13"/>
      <c r="I207" s="12"/>
      <c r="J207" s="12"/>
      <c r="K207" s="12"/>
      <c r="L207" s="12" t="s">
        <v>2183</v>
      </c>
      <c r="M207" s="12"/>
      <c r="N207" s="12"/>
      <c r="O207" s="13"/>
      <c r="P207" s="12">
        <v>10</v>
      </c>
      <c r="Q207" s="13" t="s">
        <v>3339</v>
      </c>
      <c r="R207" s="12">
        <v>985</v>
      </c>
      <c r="S207" s="12">
        <v>3280302</v>
      </c>
      <c r="T207" s="12"/>
      <c r="U207" s="13"/>
      <c r="V207" s="12" t="s">
        <v>3321</v>
      </c>
      <c r="W207" s="13" t="s">
        <v>3322</v>
      </c>
      <c r="X207" s="12"/>
      <c r="Y207" s="13"/>
      <c r="Z207" s="12"/>
      <c r="AA207" s="13"/>
      <c r="AB207" s="12"/>
      <c r="AC207" s="12"/>
      <c r="AD207" s="14"/>
      <c r="AE207" s="12"/>
      <c r="AF207" s="13"/>
      <c r="AG207" s="12"/>
      <c r="AH207" s="12"/>
      <c r="AI207" s="13"/>
      <c r="AJ207" s="13" t="s">
        <v>3328</v>
      </c>
      <c r="AK207" s="13" t="s">
        <v>3324</v>
      </c>
      <c r="AL207" s="12"/>
      <c r="AM207" s="13"/>
      <c r="AN207" s="12"/>
      <c r="AO207" s="12">
        <v>1602</v>
      </c>
      <c r="AP207" s="13"/>
      <c r="AQ207" s="12">
        <v>16021</v>
      </c>
      <c r="AR207" s="13"/>
      <c r="AS207" s="13" t="s">
        <v>71</v>
      </c>
      <c r="AT207" s="13" t="s">
        <v>71</v>
      </c>
      <c r="AU207" s="14">
        <v>100</v>
      </c>
      <c r="AV207" s="14"/>
      <c r="AW207" s="14">
        <v>42.69</v>
      </c>
      <c r="AX207" s="15">
        <v>45900</v>
      </c>
      <c r="AY207" s="15"/>
    </row>
    <row r="208" spans="1:51">
      <c r="A208" s="12">
        <v>8905012</v>
      </c>
      <c r="B208" s="13" t="s">
        <v>3472</v>
      </c>
      <c r="C208" s="13" t="s">
        <v>3317</v>
      </c>
      <c r="D208" s="13"/>
      <c r="E208" s="13" t="s">
        <v>3318</v>
      </c>
      <c r="F208" s="12"/>
      <c r="G208" s="12"/>
      <c r="H208" s="13"/>
      <c r="I208" s="12"/>
      <c r="J208" s="12"/>
      <c r="K208" s="12"/>
      <c r="L208" s="12" t="s">
        <v>3473</v>
      </c>
      <c r="M208" s="12"/>
      <c r="N208" s="12"/>
      <c r="O208" s="13"/>
      <c r="P208" s="12">
        <v>10</v>
      </c>
      <c r="Q208" s="13" t="s">
        <v>3339</v>
      </c>
      <c r="R208" s="12">
        <v>985</v>
      </c>
      <c r="S208" s="12">
        <v>3285387</v>
      </c>
      <c r="T208" s="12"/>
      <c r="U208" s="13"/>
      <c r="V208" s="12" t="s">
        <v>3321</v>
      </c>
      <c r="W208" s="13" t="s">
        <v>3322</v>
      </c>
      <c r="X208" s="12"/>
      <c r="Y208" s="13"/>
      <c r="Z208" s="12"/>
      <c r="AA208" s="13"/>
      <c r="AB208" s="12"/>
      <c r="AC208" s="12"/>
      <c r="AD208" s="14"/>
      <c r="AE208" s="12"/>
      <c r="AF208" s="13"/>
      <c r="AG208" s="12"/>
      <c r="AH208" s="12"/>
      <c r="AI208" s="13"/>
      <c r="AJ208" s="13" t="s">
        <v>3328</v>
      </c>
      <c r="AK208" s="13" t="s">
        <v>3324</v>
      </c>
      <c r="AL208" s="12"/>
      <c r="AM208" s="13"/>
      <c r="AN208" s="12"/>
      <c r="AO208" s="12"/>
      <c r="AP208" s="13"/>
      <c r="AQ208" s="12" t="s">
        <v>3474</v>
      </c>
      <c r="AR208" s="13"/>
      <c r="AS208" s="13" t="s">
        <v>71</v>
      </c>
      <c r="AT208" s="13" t="s">
        <v>71</v>
      </c>
      <c r="AU208" s="14">
        <v>100</v>
      </c>
      <c r="AV208" s="14"/>
      <c r="AW208" s="14">
        <v>42.78</v>
      </c>
      <c r="AX208" s="15">
        <v>44819</v>
      </c>
      <c r="AY208" s="15"/>
    </row>
    <row r="209" spans="1:51">
      <c r="A209" s="12">
        <v>8912091</v>
      </c>
      <c r="B209" s="13" t="s">
        <v>3563</v>
      </c>
      <c r="C209" s="13" t="s">
        <v>3342</v>
      </c>
      <c r="D209" s="13"/>
      <c r="E209" s="13" t="s">
        <v>3318</v>
      </c>
      <c r="F209" s="12"/>
      <c r="G209" s="12"/>
      <c r="H209" s="13"/>
      <c r="I209" s="12"/>
      <c r="J209" s="12"/>
      <c r="K209" s="12"/>
      <c r="L209" s="12" t="s">
        <v>1735</v>
      </c>
      <c r="M209" s="12"/>
      <c r="N209" s="12"/>
      <c r="O209" s="13"/>
      <c r="P209" s="12">
        <v>10</v>
      </c>
      <c r="Q209" s="13" t="s">
        <v>3339</v>
      </c>
      <c r="R209" s="12">
        <v>985</v>
      </c>
      <c r="S209" s="12">
        <v>3280204</v>
      </c>
      <c r="T209" s="12"/>
      <c r="U209" s="13"/>
      <c r="V209" s="12" t="s">
        <v>3321</v>
      </c>
      <c r="W209" s="13" t="s">
        <v>3322</v>
      </c>
      <c r="X209" s="12"/>
      <c r="Y209" s="13"/>
      <c r="Z209" s="12"/>
      <c r="AA209" s="13"/>
      <c r="AB209" s="12"/>
      <c r="AC209" s="12"/>
      <c r="AD209" s="14"/>
      <c r="AE209" s="12"/>
      <c r="AF209" s="13"/>
      <c r="AG209" s="12"/>
      <c r="AH209" s="12"/>
      <c r="AI209" s="13"/>
      <c r="AJ209" s="13" t="s">
        <v>3328</v>
      </c>
      <c r="AK209" s="13" t="s">
        <v>3324</v>
      </c>
      <c r="AL209" s="12"/>
      <c r="AM209" s="13"/>
      <c r="AN209" s="12"/>
      <c r="AO209" s="12">
        <v>1209</v>
      </c>
      <c r="AP209" s="13"/>
      <c r="AQ209" s="12">
        <v>12091</v>
      </c>
      <c r="AR209" s="13"/>
      <c r="AS209" s="13" t="s">
        <v>71</v>
      </c>
      <c r="AT209" s="13" t="s">
        <v>71</v>
      </c>
      <c r="AU209" s="14">
        <v>100</v>
      </c>
      <c r="AV209" s="14"/>
      <c r="AW209" s="14">
        <v>42.82</v>
      </c>
      <c r="AX209" s="15">
        <v>45900</v>
      </c>
      <c r="AY209" s="15"/>
    </row>
    <row r="210" spans="1:51">
      <c r="A210" s="12">
        <v>8902201</v>
      </c>
      <c r="B210" s="13" t="s">
        <v>3405</v>
      </c>
      <c r="C210" s="13" t="s">
        <v>3342</v>
      </c>
      <c r="D210" s="13"/>
      <c r="E210" s="13" t="s">
        <v>3318</v>
      </c>
      <c r="F210" s="12"/>
      <c r="G210" s="12"/>
      <c r="H210" s="13"/>
      <c r="I210" s="12"/>
      <c r="J210" s="12"/>
      <c r="K210" s="12"/>
      <c r="L210" s="12" t="s">
        <v>531</v>
      </c>
      <c r="M210" s="12"/>
      <c r="N210" s="12"/>
      <c r="O210" s="13"/>
      <c r="P210" s="12">
        <v>10</v>
      </c>
      <c r="Q210" s="13" t="s">
        <v>3339</v>
      </c>
      <c r="R210" s="12">
        <v>985</v>
      </c>
      <c r="S210" s="12">
        <v>3284782</v>
      </c>
      <c r="T210" s="12"/>
      <c r="U210" s="13"/>
      <c r="V210" s="12" t="s">
        <v>3321</v>
      </c>
      <c r="W210" s="13" t="s">
        <v>3322</v>
      </c>
      <c r="X210" s="12"/>
      <c r="Y210" s="13"/>
      <c r="Z210" s="12"/>
      <c r="AA210" s="13"/>
      <c r="AB210" s="12"/>
      <c r="AC210" s="12"/>
      <c r="AD210" s="14"/>
      <c r="AE210" s="12"/>
      <c r="AF210" s="13"/>
      <c r="AG210" s="12"/>
      <c r="AH210" s="12"/>
      <c r="AI210" s="13"/>
      <c r="AJ210" s="13" t="s">
        <v>3328</v>
      </c>
      <c r="AK210" s="13" t="s">
        <v>3324</v>
      </c>
      <c r="AL210" s="12"/>
      <c r="AM210" s="13"/>
      <c r="AN210" s="12"/>
      <c r="AO210" s="12" t="s">
        <v>529</v>
      </c>
      <c r="AP210" s="13"/>
      <c r="AQ210" s="12" t="s">
        <v>526</v>
      </c>
      <c r="AR210" s="13"/>
      <c r="AS210" s="13" t="s">
        <v>71</v>
      </c>
      <c r="AT210" s="13" t="s">
        <v>71</v>
      </c>
      <c r="AU210" s="14">
        <v>100</v>
      </c>
      <c r="AV210" s="14"/>
      <c r="AW210" s="14">
        <v>42.98</v>
      </c>
      <c r="AX210" s="15">
        <v>45900</v>
      </c>
      <c r="AY210" s="15"/>
    </row>
    <row r="211" spans="1:51">
      <c r="A211" s="12">
        <v>8906032</v>
      </c>
      <c r="B211" s="13" t="s">
        <v>3500</v>
      </c>
      <c r="C211" s="13" t="s">
        <v>3342</v>
      </c>
      <c r="D211" s="13"/>
      <c r="E211" s="13" t="s">
        <v>3318</v>
      </c>
      <c r="F211" s="12"/>
      <c r="G211" s="12"/>
      <c r="H211" s="13"/>
      <c r="I211" s="12"/>
      <c r="J211" s="12"/>
      <c r="K211" s="12"/>
      <c r="L211" s="12" t="s">
        <v>1159</v>
      </c>
      <c r="M211" s="12"/>
      <c r="N211" s="12"/>
      <c r="O211" s="13"/>
      <c r="P211" s="12">
        <v>20</v>
      </c>
      <c r="Q211" s="13" t="s">
        <v>3320</v>
      </c>
      <c r="R211" s="12">
        <v>450</v>
      </c>
      <c r="S211" s="12">
        <v>216031</v>
      </c>
      <c r="T211" s="12"/>
      <c r="U211" s="13"/>
      <c r="V211" s="12" t="s">
        <v>3321</v>
      </c>
      <c r="W211" s="13" t="s">
        <v>3322</v>
      </c>
      <c r="X211" s="12"/>
      <c r="Y211" s="13"/>
      <c r="Z211" s="12"/>
      <c r="AA211" s="13"/>
      <c r="AB211" s="12"/>
      <c r="AC211" s="12"/>
      <c r="AD211" s="14"/>
      <c r="AE211" s="12"/>
      <c r="AF211" s="13"/>
      <c r="AG211" s="12"/>
      <c r="AH211" s="12"/>
      <c r="AI211" s="13"/>
      <c r="AJ211" s="13" t="s">
        <v>3328</v>
      </c>
      <c r="AK211" s="13" t="s">
        <v>3324</v>
      </c>
      <c r="AL211" s="12"/>
      <c r="AM211" s="13"/>
      <c r="AN211" s="12"/>
      <c r="AO211" s="12" t="s">
        <v>1157</v>
      </c>
      <c r="AP211" s="13"/>
      <c r="AQ211" s="12" t="s">
        <v>1153</v>
      </c>
      <c r="AR211" s="13"/>
      <c r="AS211" s="13" t="s">
        <v>71</v>
      </c>
      <c r="AT211" s="13" t="s">
        <v>71</v>
      </c>
      <c r="AU211" s="14">
        <v>100</v>
      </c>
      <c r="AV211" s="14"/>
      <c r="AW211" s="14">
        <v>43.19</v>
      </c>
      <c r="AX211" s="15">
        <v>45900</v>
      </c>
      <c r="AY211" s="15"/>
    </row>
    <row r="212" spans="1:51">
      <c r="A212" s="12">
        <v>8921102</v>
      </c>
      <c r="B212" s="13" t="s">
        <v>3719</v>
      </c>
      <c r="C212" s="13" t="s">
        <v>3342</v>
      </c>
      <c r="D212" s="13"/>
      <c r="E212" s="13" t="s">
        <v>3318</v>
      </c>
      <c r="F212" s="12"/>
      <c r="G212" s="12"/>
      <c r="H212" s="13"/>
      <c r="I212" s="12"/>
      <c r="J212" s="12"/>
      <c r="K212" s="12"/>
      <c r="L212" s="12" t="s">
        <v>2947</v>
      </c>
      <c r="M212" s="12"/>
      <c r="N212" s="12"/>
      <c r="O212" s="13"/>
      <c r="P212" s="12">
        <v>10</v>
      </c>
      <c r="Q212" s="13" t="s">
        <v>3339</v>
      </c>
      <c r="R212" s="12">
        <v>985</v>
      </c>
      <c r="S212" s="12">
        <v>3270896</v>
      </c>
      <c r="T212" s="12"/>
      <c r="U212" s="13"/>
      <c r="V212" s="12" t="s">
        <v>3321</v>
      </c>
      <c r="W212" s="13" t="s">
        <v>3322</v>
      </c>
      <c r="X212" s="12"/>
      <c r="Y212" s="13"/>
      <c r="Z212" s="12"/>
      <c r="AA212" s="13"/>
      <c r="AB212" s="12"/>
      <c r="AC212" s="12"/>
      <c r="AD212" s="14"/>
      <c r="AE212" s="12"/>
      <c r="AF212" s="13"/>
      <c r="AG212" s="12"/>
      <c r="AH212" s="12"/>
      <c r="AI212" s="13"/>
      <c r="AJ212" s="13" t="s">
        <v>3328</v>
      </c>
      <c r="AK212" s="13" t="s">
        <v>3324</v>
      </c>
      <c r="AL212" s="12"/>
      <c r="AM212" s="13"/>
      <c r="AN212" s="12"/>
      <c r="AO212" s="12">
        <v>2110</v>
      </c>
      <c r="AP212" s="13"/>
      <c r="AQ212" s="12">
        <v>21102</v>
      </c>
      <c r="AR212" s="13"/>
      <c r="AS212" s="13" t="s">
        <v>71</v>
      </c>
      <c r="AT212" s="13" t="s">
        <v>71</v>
      </c>
      <c r="AU212" s="14">
        <v>100</v>
      </c>
      <c r="AV212" s="14"/>
      <c r="AW212" s="14">
        <v>43.21</v>
      </c>
      <c r="AX212" s="15">
        <v>45900</v>
      </c>
      <c r="AY212" s="15"/>
    </row>
    <row r="213" spans="1:51">
      <c r="A213" s="12">
        <v>8901252</v>
      </c>
      <c r="B213" s="13" t="s">
        <v>3362</v>
      </c>
      <c r="C213" s="13" t="s">
        <v>3342</v>
      </c>
      <c r="D213" s="13"/>
      <c r="E213" s="13" t="s">
        <v>3318</v>
      </c>
      <c r="F213" s="12"/>
      <c r="G213" s="12"/>
      <c r="H213" s="13"/>
      <c r="I213" s="12"/>
      <c r="J213" s="12"/>
      <c r="K213" s="12"/>
      <c r="L213" s="12" t="s">
        <v>259</v>
      </c>
      <c r="M213" s="12"/>
      <c r="N213" s="12"/>
      <c r="O213" s="13"/>
      <c r="P213" s="12">
        <v>10</v>
      </c>
      <c r="Q213" s="13" t="s">
        <v>3339</v>
      </c>
      <c r="R213" s="12">
        <v>985</v>
      </c>
      <c r="S213" s="12">
        <v>3283981</v>
      </c>
      <c r="T213" s="12"/>
      <c r="U213" s="13"/>
      <c r="V213" s="12" t="s">
        <v>3321</v>
      </c>
      <c r="W213" s="13" t="s">
        <v>3322</v>
      </c>
      <c r="X213" s="12"/>
      <c r="Y213" s="13"/>
      <c r="Z213" s="12"/>
      <c r="AA213" s="13"/>
      <c r="AB213" s="12"/>
      <c r="AC213" s="12"/>
      <c r="AD213" s="14"/>
      <c r="AE213" s="12"/>
      <c r="AF213" s="13"/>
      <c r="AG213" s="12"/>
      <c r="AH213" s="12"/>
      <c r="AI213" s="13"/>
      <c r="AJ213" s="13" t="s">
        <v>3328</v>
      </c>
      <c r="AK213" s="13" t="s">
        <v>3324</v>
      </c>
      <c r="AL213" s="12"/>
      <c r="AM213" s="13"/>
      <c r="AN213" s="12"/>
      <c r="AO213" s="12" t="s">
        <v>258</v>
      </c>
      <c r="AP213" s="13"/>
      <c r="AQ213" s="12" t="s">
        <v>255</v>
      </c>
      <c r="AR213" s="13"/>
      <c r="AS213" s="13" t="s">
        <v>71</v>
      </c>
      <c r="AT213" s="13" t="s">
        <v>71</v>
      </c>
      <c r="AU213" s="14">
        <v>100</v>
      </c>
      <c r="AV213" s="14"/>
      <c r="AW213" s="14">
        <v>43.44</v>
      </c>
      <c r="AX213" s="15">
        <v>45900</v>
      </c>
      <c r="AY213" s="15"/>
    </row>
    <row r="214" spans="1:51">
      <c r="A214" s="12">
        <v>8915012</v>
      </c>
      <c r="B214" s="13" t="s">
        <v>3605</v>
      </c>
      <c r="C214" s="13" t="s">
        <v>3342</v>
      </c>
      <c r="D214" s="13"/>
      <c r="E214" s="13" t="s">
        <v>3318</v>
      </c>
      <c r="F214" s="12"/>
      <c r="G214" s="12"/>
      <c r="H214" s="13"/>
      <c r="I214" s="12"/>
      <c r="J214" s="12"/>
      <c r="K214" s="12"/>
      <c r="L214" s="12" t="s">
        <v>2094</v>
      </c>
      <c r="M214" s="12" t="s">
        <v>2094</v>
      </c>
      <c r="N214" s="12"/>
      <c r="O214" s="13"/>
      <c r="P214" s="12">
        <v>10</v>
      </c>
      <c r="Q214" s="13" t="s">
        <v>3339</v>
      </c>
      <c r="R214" s="12">
        <v>985</v>
      </c>
      <c r="S214" s="12">
        <v>3283491</v>
      </c>
      <c r="T214" s="12"/>
      <c r="U214" s="13"/>
      <c r="V214" s="12" t="s">
        <v>3321</v>
      </c>
      <c r="W214" s="13" t="s">
        <v>3322</v>
      </c>
      <c r="X214" s="12"/>
      <c r="Y214" s="13"/>
      <c r="Z214" s="12"/>
      <c r="AA214" s="13"/>
      <c r="AB214" s="12"/>
      <c r="AC214" s="12"/>
      <c r="AD214" s="14"/>
      <c r="AE214" s="12"/>
      <c r="AF214" s="13"/>
      <c r="AG214" s="12"/>
      <c r="AH214" s="12"/>
      <c r="AI214" s="13"/>
      <c r="AJ214" s="13" t="s">
        <v>3328</v>
      </c>
      <c r="AK214" s="13" t="s">
        <v>3324</v>
      </c>
      <c r="AL214" s="12"/>
      <c r="AM214" s="13"/>
      <c r="AN214" s="12"/>
      <c r="AO214" s="12">
        <v>1501</v>
      </c>
      <c r="AP214" s="13"/>
      <c r="AQ214" s="12">
        <v>15012</v>
      </c>
      <c r="AR214" s="13"/>
      <c r="AS214" s="13" t="s">
        <v>71</v>
      </c>
      <c r="AT214" s="13" t="s">
        <v>71</v>
      </c>
      <c r="AU214" s="14">
        <v>100</v>
      </c>
      <c r="AV214" s="14"/>
      <c r="AW214" s="14">
        <v>43.55</v>
      </c>
      <c r="AX214" s="15">
        <v>45900</v>
      </c>
      <c r="AY214" s="15"/>
    </row>
    <row r="215" spans="1:51">
      <c r="A215" s="12">
        <v>8916012</v>
      </c>
      <c r="B215" s="13" t="s">
        <v>3613</v>
      </c>
      <c r="C215" s="13" t="s">
        <v>3317</v>
      </c>
      <c r="D215" s="13"/>
      <c r="E215" s="13" t="s">
        <v>3318</v>
      </c>
      <c r="F215" s="12"/>
      <c r="G215" s="12"/>
      <c r="H215" s="13"/>
      <c r="I215" s="12"/>
      <c r="J215" s="12"/>
      <c r="K215" s="12"/>
      <c r="L215" s="12" t="s">
        <v>3614</v>
      </c>
      <c r="M215" s="12"/>
      <c r="N215" s="12"/>
      <c r="O215" s="13"/>
      <c r="P215" s="12">
        <v>20</v>
      </c>
      <c r="Q215" s="13" t="s">
        <v>3320</v>
      </c>
      <c r="R215" s="12">
        <v>450</v>
      </c>
      <c r="S215" s="12">
        <v>204149</v>
      </c>
      <c r="T215" s="12"/>
      <c r="U215" s="13"/>
      <c r="V215" s="12" t="s">
        <v>3321</v>
      </c>
      <c r="W215" s="13" t="s">
        <v>3322</v>
      </c>
      <c r="X215" s="12"/>
      <c r="Y215" s="13"/>
      <c r="Z215" s="12"/>
      <c r="AA215" s="13"/>
      <c r="AB215" s="12"/>
      <c r="AC215" s="12"/>
      <c r="AD215" s="14"/>
      <c r="AE215" s="12"/>
      <c r="AF215" s="13"/>
      <c r="AG215" s="12"/>
      <c r="AH215" s="12"/>
      <c r="AI215" s="13"/>
      <c r="AJ215" s="13" t="s">
        <v>3328</v>
      </c>
      <c r="AK215" s="13" t="s">
        <v>3324</v>
      </c>
      <c r="AL215" s="12"/>
      <c r="AM215" s="13"/>
      <c r="AN215" s="12"/>
      <c r="AO215" s="12"/>
      <c r="AP215" s="13"/>
      <c r="AQ215" s="12">
        <v>16012</v>
      </c>
      <c r="AR215" s="13"/>
      <c r="AS215" s="13" t="s">
        <v>71</v>
      </c>
      <c r="AT215" s="13" t="s">
        <v>71</v>
      </c>
      <c r="AU215" s="14">
        <v>100</v>
      </c>
      <c r="AV215" s="14"/>
      <c r="AW215" s="14">
        <v>43.9</v>
      </c>
      <c r="AX215" s="15">
        <v>42369</v>
      </c>
      <c r="AY215" s="15"/>
    </row>
    <row r="216" spans="1:51">
      <c r="A216" s="12">
        <v>8901151</v>
      </c>
      <c r="B216" s="13" t="s">
        <v>3355</v>
      </c>
      <c r="C216" s="13" t="s">
        <v>3342</v>
      </c>
      <c r="D216" s="13"/>
      <c r="E216" s="13" t="s">
        <v>3318</v>
      </c>
      <c r="F216" s="12"/>
      <c r="G216" s="12"/>
      <c r="H216" s="13"/>
      <c r="I216" s="12"/>
      <c r="J216" s="12"/>
      <c r="K216" s="12"/>
      <c r="L216" s="12" t="s">
        <v>188</v>
      </c>
      <c r="M216" s="12"/>
      <c r="N216" s="12"/>
      <c r="O216" s="13"/>
      <c r="P216" s="12">
        <v>10</v>
      </c>
      <c r="Q216" s="13" t="s">
        <v>3339</v>
      </c>
      <c r="R216" s="12">
        <v>985</v>
      </c>
      <c r="S216" s="12">
        <v>3276192</v>
      </c>
      <c r="T216" s="12"/>
      <c r="U216" s="13"/>
      <c r="V216" s="12" t="s">
        <v>3321</v>
      </c>
      <c r="W216" s="13" t="s">
        <v>3322</v>
      </c>
      <c r="X216" s="12"/>
      <c r="Y216" s="13"/>
      <c r="Z216" s="12"/>
      <c r="AA216" s="13"/>
      <c r="AB216" s="12"/>
      <c r="AC216" s="12"/>
      <c r="AD216" s="14"/>
      <c r="AE216" s="12"/>
      <c r="AF216" s="13"/>
      <c r="AG216" s="12"/>
      <c r="AH216" s="12"/>
      <c r="AI216" s="13"/>
      <c r="AJ216" s="13" t="s">
        <v>3328</v>
      </c>
      <c r="AK216" s="13" t="s">
        <v>3324</v>
      </c>
      <c r="AL216" s="12"/>
      <c r="AM216" s="13"/>
      <c r="AN216" s="12"/>
      <c r="AO216" s="12" t="s">
        <v>68</v>
      </c>
      <c r="AP216" s="13"/>
      <c r="AQ216" s="12" t="s">
        <v>185</v>
      </c>
      <c r="AR216" s="13"/>
      <c r="AS216" s="13" t="s">
        <v>71</v>
      </c>
      <c r="AT216" s="13" t="s">
        <v>71</v>
      </c>
      <c r="AU216" s="14">
        <v>100</v>
      </c>
      <c r="AV216" s="14"/>
      <c r="AW216" s="14">
        <v>43.95</v>
      </c>
      <c r="AX216" s="15">
        <v>45900</v>
      </c>
      <c r="AY216" s="15"/>
    </row>
    <row r="217" spans="1:51">
      <c r="A217" s="12">
        <v>8921111</v>
      </c>
      <c r="B217" s="13" t="s">
        <v>3720</v>
      </c>
      <c r="C217" s="13" t="s">
        <v>3342</v>
      </c>
      <c r="D217" s="13"/>
      <c r="E217" s="13" t="s">
        <v>3318</v>
      </c>
      <c r="F217" s="12"/>
      <c r="G217" s="12"/>
      <c r="H217" s="13"/>
      <c r="I217" s="12"/>
      <c r="J217" s="12"/>
      <c r="K217" s="12" t="s">
        <v>3721</v>
      </c>
      <c r="L217" s="12" t="s">
        <v>2952</v>
      </c>
      <c r="M217" s="12"/>
      <c r="N217" s="12"/>
      <c r="O217" s="13"/>
      <c r="P217" s="12">
        <v>10</v>
      </c>
      <c r="Q217" s="13" t="s">
        <v>3339</v>
      </c>
      <c r="R217" s="12">
        <v>985</v>
      </c>
      <c r="S217" s="12">
        <v>3281497</v>
      </c>
      <c r="T217" s="12"/>
      <c r="U217" s="13"/>
      <c r="V217" s="12" t="s">
        <v>3321</v>
      </c>
      <c r="W217" s="13" t="s">
        <v>3322</v>
      </c>
      <c r="X217" s="12"/>
      <c r="Y217" s="13"/>
      <c r="Z217" s="12"/>
      <c r="AA217" s="13"/>
      <c r="AB217" s="12"/>
      <c r="AC217" s="12"/>
      <c r="AD217" s="14"/>
      <c r="AE217" s="12"/>
      <c r="AF217" s="13"/>
      <c r="AG217" s="12"/>
      <c r="AH217" s="12"/>
      <c r="AI217" s="13"/>
      <c r="AJ217" s="13" t="s">
        <v>3328</v>
      </c>
      <c r="AK217" s="13" t="s">
        <v>3324</v>
      </c>
      <c r="AL217" s="12"/>
      <c r="AM217" s="13"/>
      <c r="AN217" s="12"/>
      <c r="AO217" s="12">
        <v>2111</v>
      </c>
      <c r="AP217" s="13"/>
      <c r="AQ217" s="12">
        <v>21111</v>
      </c>
      <c r="AR217" s="13"/>
      <c r="AS217" s="13" t="s">
        <v>71</v>
      </c>
      <c r="AT217" s="13" t="s">
        <v>71</v>
      </c>
      <c r="AU217" s="14">
        <v>100</v>
      </c>
      <c r="AV217" s="14"/>
      <c r="AW217" s="14">
        <v>43.95</v>
      </c>
      <c r="AX217" s="15">
        <v>45900</v>
      </c>
      <c r="AY217" s="15"/>
    </row>
    <row r="218" spans="1:51">
      <c r="A218" s="12">
        <v>8905062</v>
      </c>
      <c r="B218" s="13" t="s">
        <v>3484</v>
      </c>
      <c r="C218" s="13" t="s">
        <v>3342</v>
      </c>
      <c r="D218" s="13"/>
      <c r="E218" s="13" t="s">
        <v>3318</v>
      </c>
      <c r="F218" s="12"/>
      <c r="G218" s="12"/>
      <c r="H218" s="13"/>
      <c r="I218" s="12"/>
      <c r="J218" s="12"/>
      <c r="K218" s="12"/>
      <c r="L218" s="12" t="s">
        <v>1025</v>
      </c>
      <c r="M218" s="12"/>
      <c r="N218" s="12"/>
      <c r="O218" s="13"/>
      <c r="P218" s="12">
        <v>10</v>
      </c>
      <c r="Q218" s="13" t="s">
        <v>3339</v>
      </c>
      <c r="R218" s="12">
        <v>985</v>
      </c>
      <c r="S218" s="12">
        <v>3285583</v>
      </c>
      <c r="T218" s="12"/>
      <c r="U218" s="13"/>
      <c r="V218" s="12" t="s">
        <v>3321</v>
      </c>
      <c r="W218" s="13" t="s">
        <v>3322</v>
      </c>
      <c r="X218" s="12"/>
      <c r="Y218" s="13"/>
      <c r="Z218" s="12"/>
      <c r="AA218" s="13"/>
      <c r="AB218" s="12"/>
      <c r="AC218" s="12"/>
      <c r="AD218" s="14"/>
      <c r="AE218" s="12"/>
      <c r="AF218" s="13"/>
      <c r="AG218" s="12"/>
      <c r="AH218" s="12"/>
      <c r="AI218" s="13"/>
      <c r="AJ218" s="13" t="s">
        <v>3328</v>
      </c>
      <c r="AK218" s="13" t="s">
        <v>3324</v>
      </c>
      <c r="AL218" s="12"/>
      <c r="AM218" s="13"/>
      <c r="AN218" s="12"/>
      <c r="AO218" s="12" t="s">
        <v>1019</v>
      </c>
      <c r="AP218" s="13"/>
      <c r="AQ218" s="12" t="s">
        <v>1022</v>
      </c>
      <c r="AR218" s="13"/>
      <c r="AS218" s="13" t="s">
        <v>71</v>
      </c>
      <c r="AT218" s="13" t="s">
        <v>71</v>
      </c>
      <c r="AU218" s="14">
        <v>100</v>
      </c>
      <c r="AV218" s="14"/>
      <c r="AW218" s="14">
        <v>44.16</v>
      </c>
      <c r="AX218" s="15">
        <v>45900</v>
      </c>
      <c r="AY218" s="15"/>
    </row>
    <row r="219" spans="1:51">
      <c r="A219" s="12">
        <v>8906052</v>
      </c>
      <c r="B219" s="13" t="s">
        <v>3503</v>
      </c>
      <c r="C219" s="13" t="s">
        <v>3342</v>
      </c>
      <c r="D219" s="13"/>
      <c r="E219" s="13" t="s">
        <v>3318</v>
      </c>
      <c r="F219" s="12"/>
      <c r="G219" s="12"/>
      <c r="H219" s="13"/>
      <c r="I219" s="12"/>
      <c r="J219" s="12"/>
      <c r="K219" s="12" t="s">
        <v>3502</v>
      </c>
      <c r="L219" s="12" t="s">
        <v>1176</v>
      </c>
      <c r="M219" s="12"/>
      <c r="N219" s="12"/>
      <c r="O219" s="13"/>
      <c r="P219" s="12">
        <v>10</v>
      </c>
      <c r="Q219" s="13" t="s">
        <v>3339</v>
      </c>
      <c r="R219" s="12">
        <v>985</v>
      </c>
      <c r="S219" s="12">
        <v>3278578</v>
      </c>
      <c r="T219" s="12"/>
      <c r="U219" s="13"/>
      <c r="V219" s="12" t="s">
        <v>3321</v>
      </c>
      <c r="W219" s="13" t="s">
        <v>3322</v>
      </c>
      <c r="X219" s="12"/>
      <c r="Y219" s="13"/>
      <c r="Z219" s="12"/>
      <c r="AA219" s="13"/>
      <c r="AB219" s="12"/>
      <c r="AC219" s="12"/>
      <c r="AD219" s="14"/>
      <c r="AE219" s="12"/>
      <c r="AF219" s="13"/>
      <c r="AG219" s="12"/>
      <c r="AH219" s="12"/>
      <c r="AI219" s="13"/>
      <c r="AJ219" s="13" t="s">
        <v>3328</v>
      </c>
      <c r="AK219" s="13" t="s">
        <v>3324</v>
      </c>
      <c r="AL219" s="12"/>
      <c r="AM219" s="13"/>
      <c r="AN219" s="12"/>
      <c r="AO219" s="12" t="s">
        <v>1172</v>
      </c>
      <c r="AP219" s="13"/>
      <c r="AQ219" s="12" t="s">
        <v>1175</v>
      </c>
      <c r="AR219" s="13"/>
      <c r="AS219" s="13" t="s">
        <v>71</v>
      </c>
      <c r="AT219" s="13" t="s">
        <v>71</v>
      </c>
      <c r="AU219" s="14">
        <v>100</v>
      </c>
      <c r="AV219" s="14"/>
      <c r="AW219" s="14">
        <v>44.22</v>
      </c>
      <c r="AX219" s="15">
        <v>45900</v>
      </c>
      <c r="AY219" s="15"/>
    </row>
    <row r="220" spans="1:51">
      <c r="A220" s="12">
        <v>8911022</v>
      </c>
      <c r="B220" s="13" t="s">
        <v>3536</v>
      </c>
      <c r="C220" s="13" t="s">
        <v>3342</v>
      </c>
      <c r="D220" s="13"/>
      <c r="E220" s="13" t="s">
        <v>3318</v>
      </c>
      <c r="F220" s="12"/>
      <c r="G220" s="12"/>
      <c r="H220" s="13"/>
      <c r="I220" s="12"/>
      <c r="J220" s="12"/>
      <c r="K220" s="12"/>
      <c r="L220" s="12" t="s">
        <v>1568</v>
      </c>
      <c r="M220" s="12"/>
      <c r="N220" s="12"/>
      <c r="O220" s="13"/>
      <c r="P220" s="12">
        <v>10</v>
      </c>
      <c r="Q220" s="13" t="s">
        <v>3339</v>
      </c>
      <c r="R220" s="12">
        <v>985</v>
      </c>
      <c r="S220" s="12">
        <v>3279477</v>
      </c>
      <c r="T220" s="12"/>
      <c r="U220" s="13"/>
      <c r="V220" s="12" t="s">
        <v>3321</v>
      </c>
      <c r="W220" s="13" t="s">
        <v>3322</v>
      </c>
      <c r="X220" s="12"/>
      <c r="Y220" s="13"/>
      <c r="Z220" s="12"/>
      <c r="AA220" s="13"/>
      <c r="AB220" s="12"/>
      <c r="AC220" s="12"/>
      <c r="AD220" s="14"/>
      <c r="AE220" s="12"/>
      <c r="AF220" s="13"/>
      <c r="AG220" s="12"/>
      <c r="AH220" s="12"/>
      <c r="AI220" s="13"/>
      <c r="AJ220" s="13" t="s">
        <v>3328</v>
      </c>
      <c r="AK220" s="13" t="s">
        <v>3324</v>
      </c>
      <c r="AL220" s="12"/>
      <c r="AM220" s="13"/>
      <c r="AN220" s="12"/>
      <c r="AO220" s="12">
        <v>1102</v>
      </c>
      <c r="AP220" s="13"/>
      <c r="AQ220" s="12">
        <v>11022</v>
      </c>
      <c r="AR220" s="13"/>
      <c r="AS220" s="13" t="s">
        <v>71</v>
      </c>
      <c r="AT220" s="13" t="s">
        <v>71</v>
      </c>
      <c r="AU220" s="14">
        <v>100</v>
      </c>
      <c r="AV220" s="14"/>
      <c r="AW220" s="14">
        <v>44.25</v>
      </c>
      <c r="AX220" s="15">
        <v>45900</v>
      </c>
      <c r="AY220" s="15"/>
    </row>
    <row r="221" spans="1:51">
      <c r="A221" s="12">
        <v>8921042</v>
      </c>
      <c r="B221" s="13" t="s">
        <v>3709</v>
      </c>
      <c r="C221" s="13" t="s">
        <v>3317</v>
      </c>
      <c r="D221" s="13"/>
      <c r="E221" s="13" t="s">
        <v>3318</v>
      </c>
      <c r="F221" s="12"/>
      <c r="G221" s="12"/>
      <c r="H221" s="13"/>
      <c r="I221" s="12"/>
      <c r="J221" s="12"/>
      <c r="K221" s="12"/>
      <c r="L221" s="12" t="s">
        <v>3710</v>
      </c>
      <c r="M221" s="12" t="s">
        <v>3710</v>
      </c>
      <c r="N221" s="12"/>
      <c r="O221" s="13"/>
      <c r="P221" s="12"/>
      <c r="Q221" s="13"/>
      <c r="R221" s="12"/>
      <c r="S221" s="12"/>
      <c r="T221" s="12"/>
      <c r="U221" s="13"/>
      <c r="V221" s="12" t="s">
        <v>3321</v>
      </c>
      <c r="W221" s="13" t="s">
        <v>3322</v>
      </c>
      <c r="X221" s="12"/>
      <c r="Y221" s="13"/>
      <c r="Z221" s="12"/>
      <c r="AA221" s="13"/>
      <c r="AB221" s="12"/>
      <c r="AC221" s="12"/>
      <c r="AD221" s="14"/>
      <c r="AE221" s="12"/>
      <c r="AF221" s="13"/>
      <c r="AG221" s="12"/>
      <c r="AH221" s="12"/>
      <c r="AI221" s="13"/>
      <c r="AJ221" s="13" t="s">
        <v>3328</v>
      </c>
      <c r="AK221" s="13" t="s">
        <v>3324</v>
      </c>
      <c r="AL221" s="12"/>
      <c r="AM221" s="13"/>
      <c r="AN221" s="12"/>
      <c r="AO221" s="12"/>
      <c r="AP221" s="13"/>
      <c r="AQ221" s="12">
        <v>21042</v>
      </c>
      <c r="AR221" s="13"/>
      <c r="AS221" s="13" t="s">
        <v>71</v>
      </c>
      <c r="AT221" s="13" t="s">
        <v>71</v>
      </c>
      <c r="AU221" s="14">
        <v>100</v>
      </c>
      <c r="AV221" s="14"/>
      <c r="AW221" s="14">
        <v>44.29</v>
      </c>
      <c r="AX221" s="15">
        <v>44270</v>
      </c>
      <c r="AY221" s="15"/>
    </row>
    <row r="222" spans="1:51">
      <c r="A222" s="12">
        <v>8917071</v>
      </c>
      <c r="B222" s="13" t="s">
        <v>3625</v>
      </c>
      <c r="C222" s="13" t="s">
        <v>3342</v>
      </c>
      <c r="D222" s="13"/>
      <c r="E222" s="13" t="s">
        <v>3318</v>
      </c>
      <c r="F222" s="12"/>
      <c r="G222" s="12"/>
      <c r="H222" s="13"/>
      <c r="I222" s="12"/>
      <c r="J222" s="12"/>
      <c r="K222" s="12"/>
      <c r="L222" s="12" t="s">
        <v>2227</v>
      </c>
      <c r="M222" s="12"/>
      <c r="N222" s="12"/>
      <c r="O222" s="13"/>
      <c r="P222" s="12">
        <v>10</v>
      </c>
      <c r="Q222" s="13" t="s">
        <v>3339</v>
      </c>
      <c r="R222" s="12">
        <v>985</v>
      </c>
      <c r="S222" s="12">
        <v>3280400</v>
      </c>
      <c r="T222" s="12"/>
      <c r="U222" s="13"/>
      <c r="V222" s="12" t="s">
        <v>3321</v>
      </c>
      <c r="W222" s="13" t="s">
        <v>3322</v>
      </c>
      <c r="X222" s="12"/>
      <c r="Y222" s="13"/>
      <c r="Z222" s="12"/>
      <c r="AA222" s="13"/>
      <c r="AB222" s="12"/>
      <c r="AC222" s="12"/>
      <c r="AD222" s="14"/>
      <c r="AE222" s="12"/>
      <c r="AF222" s="13"/>
      <c r="AG222" s="12"/>
      <c r="AH222" s="12"/>
      <c r="AI222" s="13"/>
      <c r="AJ222" s="13" t="s">
        <v>3328</v>
      </c>
      <c r="AK222" s="13" t="s">
        <v>3324</v>
      </c>
      <c r="AL222" s="12"/>
      <c r="AM222" s="13"/>
      <c r="AN222" s="12"/>
      <c r="AO222" s="12">
        <v>1707</v>
      </c>
      <c r="AP222" s="13"/>
      <c r="AQ222" s="12">
        <v>17071</v>
      </c>
      <c r="AR222" s="13"/>
      <c r="AS222" s="13" t="s">
        <v>71</v>
      </c>
      <c r="AT222" s="13" t="s">
        <v>71</v>
      </c>
      <c r="AU222" s="14">
        <v>100</v>
      </c>
      <c r="AV222" s="14"/>
      <c r="AW222" s="14">
        <v>44.53</v>
      </c>
      <c r="AX222" s="15">
        <v>45900</v>
      </c>
      <c r="AY222" s="15"/>
    </row>
    <row r="223" spans="1:51">
      <c r="A223" s="12">
        <v>8912181</v>
      </c>
      <c r="B223" s="13" t="s">
        <v>3578</v>
      </c>
      <c r="C223" s="13" t="s">
        <v>3342</v>
      </c>
      <c r="D223" s="13"/>
      <c r="E223" s="13" t="s">
        <v>3318</v>
      </c>
      <c r="F223" s="12"/>
      <c r="G223" s="12"/>
      <c r="H223" s="13"/>
      <c r="I223" s="12"/>
      <c r="J223" s="12"/>
      <c r="K223" s="12"/>
      <c r="L223" s="12" t="s">
        <v>1831</v>
      </c>
      <c r="M223" s="12"/>
      <c r="N223" s="12"/>
      <c r="O223" s="13"/>
      <c r="P223" s="12">
        <v>10</v>
      </c>
      <c r="Q223" s="13" t="s">
        <v>3339</v>
      </c>
      <c r="R223" s="12">
        <v>985</v>
      </c>
      <c r="S223" s="12">
        <v>3284978</v>
      </c>
      <c r="T223" s="12"/>
      <c r="U223" s="13"/>
      <c r="V223" s="12" t="s">
        <v>3321</v>
      </c>
      <c r="W223" s="13" t="s">
        <v>3322</v>
      </c>
      <c r="X223" s="12"/>
      <c r="Y223" s="13"/>
      <c r="Z223" s="12"/>
      <c r="AA223" s="13"/>
      <c r="AB223" s="12"/>
      <c r="AC223" s="12"/>
      <c r="AD223" s="14"/>
      <c r="AE223" s="12"/>
      <c r="AF223" s="13"/>
      <c r="AG223" s="12"/>
      <c r="AH223" s="12"/>
      <c r="AI223" s="13"/>
      <c r="AJ223" s="13" t="s">
        <v>3328</v>
      </c>
      <c r="AK223" s="13" t="s">
        <v>3324</v>
      </c>
      <c r="AL223" s="12"/>
      <c r="AM223" s="13"/>
      <c r="AN223" s="12"/>
      <c r="AO223" s="12">
        <v>1218</v>
      </c>
      <c r="AP223" s="13"/>
      <c r="AQ223" s="12">
        <v>12181</v>
      </c>
      <c r="AR223" s="13"/>
      <c r="AS223" s="13" t="s">
        <v>71</v>
      </c>
      <c r="AT223" s="13" t="s">
        <v>71</v>
      </c>
      <c r="AU223" s="14">
        <v>100</v>
      </c>
      <c r="AV223" s="14"/>
      <c r="AW223" s="14">
        <v>44.61</v>
      </c>
      <c r="AX223" s="15">
        <v>45900</v>
      </c>
      <c r="AY223" s="15"/>
    </row>
    <row r="224" spans="1:51">
      <c r="A224" s="12">
        <v>8908042</v>
      </c>
      <c r="B224" s="13" t="s">
        <v>3520</v>
      </c>
      <c r="C224" s="13" t="s">
        <v>3342</v>
      </c>
      <c r="D224" s="13"/>
      <c r="E224" s="13" t="s">
        <v>3318</v>
      </c>
      <c r="F224" s="12"/>
      <c r="G224" s="12"/>
      <c r="H224" s="13"/>
      <c r="I224" s="12"/>
      <c r="J224" s="12"/>
      <c r="K224" s="12"/>
      <c r="L224" s="12" t="s">
        <v>1363</v>
      </c>
      <c r="M224" s="12"/>
      <c r="N224" s="12"/>
      <c r="O224" s="13"/>
      <c r="P224" s="12">
        <v>10</v>
      </c>
      <c r="Q224" s="13" t="s">
        <v>3339</v>
      </c>
      <c r="R224" s="12">
        <v>985</v>
      </c>
      <c r="S224" s="12">
        <v>3278970</v>
      </c>
      <c r="T224" s="12"/>
      <c r="U224" s="13"/>
      <c r="V224" s="12" t="s">
        <v>3321</v>
      </c>
      <c r="W224" s="13" t="s">
        <v>3322</v>
      </c>
      <c r="X224" s="12"/>
      <c r="Y224" s="13"/>
      <c r="Z224" s="12"/>
      <c r="AA224" s="13"/>
      <c r="AB224" s="12"/>
      <c r="AC224" s="12"/>
      <c r="AD224" s="14"/>
      <c r="AE224" s="12"/>
      <c r="AF224" s="13"/>
      <c r="AG224" s="12"/>
      <c r="AH224" s="12"/>
      <c r="AI224" s="13"/>
      <c r="AJ224" s="13" t="s">
        <v>3328</v>
      </c>
      <c r="AK224" s="13" t="s">
        <v>3324</v>
      </c>
      <c r="AL224" s="12"/>
      <c r="AM224" s="13"/>
      <c r="AN224" s="12"/>
      <c r="AO224" s="12" t="s">
        <v>1357</v>
      </c>
      <c r="AP224" s="13"/>
      <c r="AQ224" s="12" t="s">
        <v>1360</v>
      </c>
      <c r="AR224" s="13"/>
      <c r="AS224" s="13" t="s">
        <v>71</v>
      </c>
      <c r="AT224" s="13" t="s">
        <v>71</v>
      </c>
      <c r="AU224" s="14">
        <v>100</v>
      </c>
      <c r="AV224" s="14"/>
      <c r="AW224" s="14">
        <v>44.66</v>
      </c>
      <c r="AX224" s="15">
        <v>45900</v>
      </c>
      <c r="AY224" s="15"/>
    </row>
    <row r="225" spans="1:51">
      <c r="A225" s="12">
        <v>8902062</v>
      </c>
      <c r="B225" s="13" t="s">
        <v>3380</v>
      </c>
      <c r="C225" s="13" t="s">
        <v>3342</v>
      </c>
      <c r="D225" s="13"/>
      <c r="E225" s="13" t="s">
        <v>3318</v>
      </c>
      <c r="F225" s="12"/>
      <c r="G225" s="12"/>
      <c r="H225" s="13"/>
      <c r="I225" s="12"/>
      <c r="J225" s="12"/>
      <c r="K225" s="12" t="s">
        <v>3381</v>
      </c>
      <c r="L225" s="12" t="s">
        <v>446</v>
      </c>
      <c r="M225" s="12" t="s">
        <v>446</v>
      </c>
      <c r="N225" s="12"/>
      <c r="O225" s="13"/>
      <c r="P225" s="12">
        <v>10</v>
      </c>
      <c r="Q225" s="13" t="s">
        <v>3339</v>
      </c>
      <c r="R225" s="12">
        <v>985</v>
      </c>
      <c r="S225" s="12">
        <v>3273887</v>
      </c>
      <c r="T225" s="12"/>
      <c r="U225" s="13"/>
      <c r="V225" s="12" t="s">
        <v>3321</v>
      </c>
      <c r="W225" s="13" t="s">
        <v>3322</v>
      </c>
      <c r="X225" s="12"/>
      <c r="Y225" s="13"/>
      <c r="Z225" s="12"/>
      <c r="AA225" s="13"/>
      <c r="AB225" s="12"/>
      <c r="AC225" s="12"/>
      <c r="AD225" s="14"/>
      <c r="AE225" s="12"/>
      <c r="AF225" s="13"/>
      <c r="AG225" s="12"/>
      <c r="AH225" s="12"/>
      <c r="AI225" s="13"/>
      <c r="AJ225" s="13" t="s">
        <v>3328</v>
      </c>
      <c r="AK225" s="13" t="s">
        <v>3324</v>
      </c>
      <c r="AL225" s="12"/>
      <c r="AM225" s="13"/>
      <c r="AN225" s="12"/>
      <c r="AO225" s="12" t="s">
        <v>444</v>
      </c>
      <c r="AP225" s="13"/>
      <c r="AQ225" s="12" t="s">
        <v>440</v>
      </c>
      <c r="AR225" s="13"/>
      <c r="AS225" s="13" t="s">
        <v>71</v>
      </c>
      <c r="AT225" s="13" t="s">
        <v>71</v>
      </c>
      <c r="AU225" s="14">
        <v>100</v>
      </c>
      <c r="AV225" s="14"/>
      <c r="AW225" s="14">
        <v>44.69</v>
      </c>
      <c r="AX225" s="15">
        <v>45900</v>
      </c>
      <c r="AY225" s="15"/>
    </row>
    <row r="226" spans="1:51">
      <c r="A226" s="12">
        <v>8901052</v>
      </c>
      <c r="B226" s="13" t="s">
        <v>3337</v>
      </c>
      <c r="C226" s="13" t="s">
        <v>3317</v>
      </c>
      <c r="D226" s="13"/>
      <c r="E226" s="13" t="s">
        <v>3318</v>
      </c>
      <c r="F226" s="12"/>
      <c r="G226" s="12"/>
      <c r="H226" s="13"/>
      <c r="I226" s="12"/>
      <c r="J226" s="12"/>
      <c r="K226" s="12"/>
      <c r="L226" s="12" t="s">
        <v>3338</v>
      </c>
      <c r="M226" s="12"/>
      <c r="N226" s="12"/>
      <c r="O226" s="13"/>
      <c r="P226" s="12">
        <v>10</v>
      </c>
      <c r="Q226" s="13" t="s">
        <v>3339</v>
      </c>
      <c r="R226" s="12">
        <v>985</v>
      </c>
      <c r="S226" s="12">
        <v>3277777</v>
      </c>
      <c r="T226" s="12"/>
      <c r="U226" s="13"/>
      <c r="V226" s="12" t="s">
        <v>3321</v>
      </c>
      <c r="W226" s="13" t="s">
        <v>3322</v>
      </c>
      <c r="X226" s="12"/>
      <c r="Y226" s="13"/>
      <c r="Z226" s="12"/>
      <c r="AA226" s="13"/>
      <c r="AB226" s="12"/>
      <c r="AC226" s="12"/>
      <c r="AD226" s="14"/>
      <c r="AE226" s="12"/>
      <c r="AF226" s="13"/>
      <c r="AG226" s="12"/>
      <c r="AH226" s="12"/>
      <c r="AI226" s="13"/>
      <c r="AJ226" s="13" t="s">
        <v>3328</v>
      </c>
      <c r="AK226" s="13" t="s">
        <v>3324</v>
      </c>
      <c r="AL226" s="12"/>
      <c r="AM226" s="13"/>
      <c r="AN226" s="12"/>
      <c r="AO226" s="12"/>
      <c r="AP226" s="13"/>
      <c r="AQ226" s="12" t="s">
        <v>3340</v>
      </c>
      <c r="AR226" s="13"/>
      <c r="AS226" s="13" t="s">
        <v>71</v>
      </c>
      <c r="AT226" s="13" t="s">
        <v>71</v>
      </c>
      <c r="AU226" s="14">
        <v>100</v>
      </c>
      <c r="AV226" s="14"/>
      <c r="AW226" s="14">
        <v>44.77</v>
      </c>
      <c r="AX226" s="15">
        <v>43921</v>
      </c>
      <c r="AY226" s="15"/>
    </row>
    <row r="227" spans="1:51">
      <c r="A227" s="12">
        <v>8912142</v>
      </c>
      <c r="B227" s="13" t="s">
        <v>3572</v>
      </c>
      <c r="C227" s="13" t="s">
        <v>3342</v>
      </c>
      <c r="D227" s="13"/>
      <c r="E227" s="13" t="s">
        <v>3318</v>
      </c>
      <c r="F227" s="12"/>
      <c r="G227" s="12"/>
      <c r="H227" s="13"/>
      <c r="I227" s="12"/>
      <c r="J227" s="12"/>
      <c r="K227" s="12"/>
      <c r="L227" s="12" t="s">
        <v>1797</v>
      </c>
      <c r="M227" s="12" t="s">
        <v>1797</v>
      </c>
      <c r="N227" s="12"/>
      <c r="O227" s="13"/>
      <c r="P227" s="12"/>
      <c r="Q227" s="13"/>
      <c r="R227" s="12"/>
      <c r="S227" s="12"/>
      <c r="T227" s="12"/>
      <c r="U227" s="13"/>
      <c r="V227" s="12" t="s">
        <v>3321</v>
      </c>
      <c r="W227" s="13" t="s">
        <v>3322</v>
      </c>
      <c r="X227" s="12"/>
      <c r="Y227" s="13"/>
      <c r="Z227" s="12"/>
      <c r="AA227" s="13"/>
      <c r="AB227" s="12"/>
      <c r="AC227" s="12"/>
      <c r="AD227" s="14"/>
      <c r="AE227" s="12"/>
      <c r="AF227" s="13"/>
      <c r="AG227" s="12"/>
      <c r="AH227" s="12"/>
      <c r="AI227" s="13"/>
      <c r="AJ227" s="13" t="s">
        <v>3328</v>
      </c>
      <c r="AK227" s="13" t="s">
        <v>3324</v>
      </c>
      <c r="AL227" s="12"/>
      <c r="AM227" s="13"/>
      <c r="AN227" s="12"/>
      <c r="AO227" s="12">
        <v>1214</v>
      </c>
      <c r="AP227" s="13"/>
      <c r="AQ227" s="12">
        <v>12142</v>
      </c>
      <c r="AR227" s="13"/>
      <c r="AS227" s="13" t="s">
        <v>71</v>
      </c>
      <c r="AT227" s="13" t="s">
        <v>71</v>
      </c>
      <c r="AU227" s="14">
        <v>100</v>
      </c>
      <c r="AV227" s="14"/>
      <c r="AW227" s="14">
        <v>44.78</v>
      </c>
      <c r="AX227" s="15">
        <v>45900</v>
      </c>
      <c r="AY227" s="15"/>
    </row>
    <row r="228" spans="1:51">
      <c r="A228" s="12">
        <v>8902202</v>
      </c>
      <c r="B228" s="13" t="s">
        <v>3406</v>
      </c>
      <c r="C228" s="13" t="s">
        <v>3342</v>
      </c>
      <c r="D228" s="13"/>
      <c r="E228" s="13" t="s">
        <v>3318</v>
      </c>
      <c r="F228" s="12"/>
      <c r="G228" s="12"/>
      <c r="H228" s="13"/>
      <c r="I228" s="12"/>
      <c r="J228" s="12"/>
      <c r="K228" s="12"/>
      <c r="L228" s="12" t="s">
        <v>535</v>
      </c>
      <c r="M228" s="12" t="s">
        <v>535</v>
      </c>
      <c r="N228" s="12"/>
      <c r="O228" s="13"/>
      <c r="P228" s="12">
        <v>10</v>
      </c>
      <c r="Q228" s="13" t="s">
        <v>3339</v>
      </c>
      <c r="R228" s="12">
        <v>985</v>
      </c>
      <c r="S228" s="12">
        <v>3284782</v>
      </c>
      <c r="T228" s="12"/>
      <c r="U228" s="13"/>
      <c r="V228" s="12" t="s">
        <v>3321</v>
      </c>
      <c r="W228" s="13" t="s">
        <v>3322</v>
      </c>
      <c r="X228" s="12"/>
      <c r="Y228" s="13"/>
      <c r="Z228" s="12"/>
      <c r="AA228" s="13"/>
      <c r="AB228" s="12"/>
      <c r="AC228" s="12"/>
      <c r="AD228" s="14"/>
      <c r="AE228" s="12"/>
      <c r="AF228" s="13"/>
      <c r="AG228" s="12"/>
      <c r="AH228" s="12"/>
      <c r="AI228" s="13"/>
      <c r="AJ228" s="13" t="s">
        <v>3328</v>
      </c>
      <c r="AK228" s="13" t="s">
        <v>3324</v>
      </c>
      <c r="AL228" s="12"/>
      <c r="AM228" s="13"/>
      <c r="AN228" s="12"/>
      <c r="AO228" s="12" t="s">
        <v>529</v>
      </c>
      <c r="AP228" s="13"/>
      <c r="AQ228" s="12" t="s">
        <v>532</v>
      </c>
      <c r="AR228" s="13"/>
      <c r="AS228" s="13" t="s">
        <v>71</v>
      </c>
      <c r="AT228" s="13" t="s">
        <v>71</v>
      </c>
      <c r="AU228" s="14">
        <v>100</v>
      </c>
      <c r="AV228" s="14"/>
      <c r="AW228" s="14">
        <v>44.94</v>
      </c>
      <c r="AX228" s="15">
        <v>45900</v>
      </c>
      <c r="AY228" s="15"/>
    </row>
    <row r="229" spans="1:51">
      <c r="A229" s="12">
        <v>8920161</v>
      </c>
      <c r="B229" s="13" t="s">
        <v>3678</v>
      </c>
      <c r="C229" s="13" t="s">
        <v>3342</v>
      </c>
      <c r="D229" s="13"/>
      <c r="E229" s="13" t="s">
        <v>3318</v>
      </c>
      <c r="F229" s="12"/>
      <c r="G229" s="12"/>
      <c r="H229" s="13"/>
      <c r="I229" s="12"/>
      <c r="J229" s="12"/>
      <c r="K229" s="12"/>
      <c r="L229" s="12" t="s">
        <v>2645</v>
      </c>
      <c r="M229" s="12" t="s">
        <v>2645</v>
      </c>
      <c r="N229" s="12"/>
      <c r="O229" s="13"/>
      <c r="P229" s="12">
        <v>10</v>
      </c>
      <c r="Q229" s="13" t="s">
        <v>3339</v>
      </c>
      <c r="R229" s="12">
        <v>985</v>
      </c>
      <c r="S229" s="12">
        <v>3281201</v>
      </c>
      <c r="T229" s="12"/>
      <c r="U229" s="13"/>
      <c r="V229" s="12" t="s">
        <v>3321</v>
      </c>
      <c r="W229" s="13" t="s">
        <v>3322</v>
      </c>
      <c r="X229" s="12"/>
      <c r="Y229" s="13"/>
      <c r="Z229" s="12"/>
      <c r="AA229" s="13"/>
      <c r="AB229" s="12"/>
      <c r="AC229" s="12"/>
      <c r="AD229" s="14"/>
      <c r="AE229" s="12"/>
      <c r="AF229" s="13"/>
      <c r="AG229" s="12"/>
      <c r="AH229" s="12"/>
      <c r="AI229" s="13"/>
      <c r="AJ229" s="13" t="s">
        <v>3328</v>
      </c>
      <c r="AK229" s="13" t="s">
        <v>3324</v>
      </c>
      <c r="AL229" s="12"/>
      <c r="AM229" s="13"/>
      <c r="AN229" s="12"/>
      <c r="AO229" s="12">
        <v>2016</v>
      </c>
      <c r="AP229" s="13"/>
      <c r="AQ229" s="12">
        <v>20161</v>
      </c>
      <c r="AR229" s="13"/>
      <c r="AS229" s="13" t="s">
        <v>71</v>
      </c>
      <c r="AT229" s="13" t="s">
        <v>71</v>
      </c>
      <c r="AU229" s="14">
        <v>100</v>
      </c>
      <c r="AV229" s="14"/>
      <c r="AW229" s="14">
        <v>44.95</v>
      </c>
      <c r="AX229" s="15">
        <v>45900</v>
      </c>
      <c r="AY229" s="15"/>
    </row>
    <row r="230" spans="1:51">
      <c r="A230" s="12">
        <v>8911042</v>
      </c>
      <c r="B230" s="13" t="s">
        <v>3541</v>
      </c>
      <c r="C230" s="13" t="s">
        <v>3342</v>
      </c>
      <c r="D230" s="13"/>
      <c r="E230" s="13" t="s">
        <v>3318</v>
      </c>
      <c r="F230" s="12"/>
      <c r="G230" s="12"/>
      <c r="H230" s="13"/>
      <c r="I230" s="12"/>
      <c r="J230" s="12"/>
      <c r="K230" s="12"/>
      <c r="L230" s="12" t="s">
        <v>1584</v>
      </c>
      <c r="M230" s="12"/>
      <c r="N230" s="12"/>
      <c r="O230" s="13"/>
      <c r="P230" s="12">
        <v>14</v>
      </c>
      <c r="Q230" s="13" t="s">
        <v>3364</v>
      </c>
      <c r="R230" s="12">
        <v>349</v>
      </c>
      <c r="S230" s="12">
        <v>114919</v>
      </c>
      <c r="T230" s="12"/>
      <c r="U230" s="13"/>
      <c r="V230" s="12" t="s">
        <v>3321</v>
      </c>
      <c r="W230" s="13" t="s">
        <v>3322</v>
      </c>
      <c r="X230" s="12"/>
      <c r="Y230" s="13"/>
      <c r="Z230" s="12"/>
      <c r="AA230" s="13"/>
      <c r="AB230" s="12"/>
      <c r="AC230" s="12"/>
      <c r="AD230" s="14"/>
      <c r="AE230" s="12"/>
      <c r="AF230" s="13"/>
      <c r="AG230" s="12"/>
      <c r="AH230" s="12"/>
      <c r="AI230" s="13"/>
      <c r="AJ230" s="13" t="s">
        <v>3328</v>
      </c>
      <c r="AK230" s="13" t="s">
        <v>3324</v>
      </c>
      <c r="AL230" s="12"/>
      <c r="AM230" s="13"/>
      <c r="AN230" s="12"/>
      <c r="AO230" s="12">
        <v>1104</v>
      </c>
      <c r="AP230" s="13"/>
      <c r="AQ230" s="12">
        <v>11042</v>
      </c>
      <c r="AR230" s="13"/>
      <c r="AS230" s="13" t="s">
        <v>71</v>
      </c>
      <c r="AT230" s="13" t="s">
        <v>71</v>
      </c>
      <c r="AU230" s="14">
        <v>100</v>
      </c>
      <c r="AV230" s="14"/>
      <c r="AW230" s="14">
        <v>45.08</v>
      </c>
      <c r="AX230" s="15">
        <v>45900</v>
      </c>
      <c r="AY230" s="15"/>
    </row>
    <row r="231" spans="1:51">
      <c r="A231" s="12">
        <v>8919072</v>
      </c>
      <c r="B231" s="13" t="s">
        <v>3639</v>
      </c>
      <c r="C231" s="13" t="s">
        <v>3342</v>
      </c>
      <c r="D231" s="13"/>
      <c r="E231" s="13" t="s">
        <v>3318</v>
      </c>
      <c r="F231" s="12"/>
      <c r="G231" s="12"/>
      <c r="H231" s="13"/>
      <c r="I231" s="12"/>
      <c r="J231" s="12"/>
      <c r="K231" s="12"/>
      <c r="L231" s="12" t="s">
        <v>2345</v>
      </c>
      <c r="M231" s="12"/>
      <c r="N231" s="12"/>
      <c r="O231" s="13"/>
      <c r="P231" s="12">
        <v>10</v>
      </c>
      <c r="Q231" s="13" t="s">
        <v>3339</v>
      </c>
      <c r="R231" s="12">
        <v>985</v>
      </c>
      <c r="S231" s="12">
        <v>3281889</v>
      </c>
      <c r="T231" s="12"/>
      <c r="U231" s="13"/>
      <c r="V231" s="12" t="s">
        <v>3321</v>
      </c>
      <c r="W231" s="13" t="s">
        <v>3322</v>
      </c>
      <c r="X231" s="12"/>
      <c r="Y231" s="13"/>
      <c r="Z231" s="12"/>
      <c r="AA231" s="13"/>
      <c r="AB231" s="12"/>
      <c r="AC231" s="12"/>
      <c r="AD231" s="14"/>
      <c r="AE231" s="12"/>
      <c r="AF231" s="13"/>
      <c r="AG231" s="12"/>
      <c r="AH231" s="12"/>
      <c r="AI231" s="13"/>
      <c r="AJ231" s="13" t="s">
        <v>3328</v>
      </c>
      <c r="AK231" s="13" t="s">
        <v>3324</v>
      </c>
      <c r="AL231" s="12"/>
      <c r="AM231" s="13"/>
      <c r="AN231" s="12"/>
      <c r="AO231" s="12">
        <v>1907</v>
      </c>
      <c r="AP231" s="13"/>
      <c r="AQ231" s="12">
        <v>19072</v>
      </c>
      <c r="AR231" s="13"/>
      <c r="AS231" s="13" t="s">
        <v>71</v>
      </c>
      <c r="AT231" s="13" t="s">
        <v>71</v>
      </c>
      <c r="AU231" s="14">
        <v>100</v>
      </c>
      <c r="AV231" s="14"/>
      <c r="AW231" s="14">
        <v>45.08</v>
      </c>
      <c r="AX231" s="15">
        <v>45900</v>
      </c>
      <c r="AY231" s="15"/>
    </row>
    <row r="232" spans="1:51">
      <c r="A232" s="12">
        <v>8916022</v>
      </c>
      <c r="B232" s="13" t="s">
        <v>3616</v>
      </c>
      <c r="C232" s="13" t="s">
        <v>3342</v>
      </c>
      <c r="D232" s="13"/>
      <c r="E232" s="13" t="s">
        <v>3318</v>
      </c>
      <c r="F232" s="12"/>
      <c r="G232" s="12"/>
      <c r="H232" s="13"/>
      <c r="I232" s="12"/>
      <c r="J232" s="12"/>
      <c r="K232" s="12"/>
      <c r="L232" s="12" t="s">
        <v>3321</v>
      </c>
      <c r="M232" s="12"/>
      <c r="N232" s="12"/>
      <c r="O232" s="13"/>
      <c r="P232" s="12">
        <v>10</v>
      </c>
      <c r="Q232" s="13" t="s">
        <v>3339</v>
      </c>
      <c r="R232" s="12">
        <v>985</v>
      </c>
      <c r="S232" s="12">
        <v>3280302</v>
      </c>
      <c r="T232" s="12"/>
      <c r="U232" s="13"/>
      <c r="V232" s="12" t="s">
        <v>3321</v>
      </c>
      <c r="W232" s="13" t="s">
        <v>3322</v>
      </c>
      <c r="X232" s="12"/>
      <c r="Y232" s="13"/>
      <c r="Z232" s="12"/>
      <c r="AA232" s="13"/>
      <c r="AB232" s="12"/>
      <c r="AC232" s="12"/>
      <c r="AD232" s="14"/>
      <c r="AE232" s="12"/>
      <c r="AF232" s="13"/>
      <c r="AG232" s="12"/>
      <c r="AH232" s="12"/>
      <c r="AI232" s="13"/>
      <c r="AJ232" s="13" t="s">
        <v>3328</v>
      </c>
      <c r="AK232" s="13" t="s">
        <v>3324</v>
      </c>
      <c r="AL232" s="12"/>
      <c r="AM232" s="13"/>
      <c r="AN232" s="12"/>
      <c r="AO232" s="12">
        <v>1602</v>
      </c>
      <c r="AP232" s="13"/>
      <c r="AQ232" s="12">
        <v>16022</v>
      </c>
      <c r="AR232" s="13"/>
      <c r="AS232" s="13" t="s">
        <v>71</v>
      </c>
      <c r="AT232" s="13" t="s">
        <v>71</v>
      </c>
      <c r="AU232" s="14">
        <v>100</v>
      </c>
      <c r="AV232" s="14"/>
      <c r="AW232" s="14">
        <v>45.24</v>
      </c>
      <c r="AX232" s="15">
        <v>45900</v>
      </c>
      <c r="AY232" s="15"/>
    </row>
    <row r="233" spans="1:51">
      <c r="A233" s="12">
        <v>8902191</v>
      </c>
      <c r="B233" s="13" t="s">
        <v>3403</v>
      </c>
      <c r="C233" s="13" t="s">
        <v>3342</v>
      </c>
      <c r="D233" s="13"/>
      <c r="E233" s="13" t="s">
        <v>3318</v>
      </c>
      <c r="F233" s="12"/>
      <c r="G233" s="12"/>
      <c r="H233" s="13"/>
      <c r="I233" s="12"/>
      <c r="J233" s="12"/>
      <c r="K233" s="12"/>
      <c r="L233" s="12" t="s">
        <v>522</v>
      </c>
      <c r="M233" s="12"/>
      <c r="N233" s="12"/>
      <c r="O233" s="13"/>
      <c r="P233" s="12">
        <v>20</v>
      </c>
      <c r="Q233" s="13" t="s">
        <v>3320</v>
      </c>
      <c r="R233" s="12">
        <v>450</v>
      </c>
      <c r="S233" s="12">
        <v>155350</v>
      </c>
      <c r="T233" s="12"/>
      <c r="U233" s="13"/>
      <c r="V233" s="12" t="s">
        <v>3321</v>
      </c>
      <c r="W233" s="13" t="s">
        <v>3322</v>
      </c>
      <c r="X233" s="12"/>
      <c r="Y233" s="13"/>
      <c r="Z233" s="12"/>
      <c r="AA233" s="13"/>
      <c r="AB233" s="12"/>
      <c r="AC233" s="12"/>
      <c r="AD233" s="14"/>
      <c r="AE233" s="12"/>
      <c r="AF233" s="13"/>
      <c r="AG233" s="12"/>
      <c r="AH233" s="12"/>
      <c r="AI233" s="13"/>
      <c r="AJ233" s="13" t="s">
        <v>3328</v>
      </c>
      <c r="AK233" s="13" t="s">
        <v>3324</v>
      </c>
      <c r="AL233" s="12"/>
      <c r="AM233" s="13"/>
      <c r="AN233" s="12"/>
      <c r="AO233" s="12" t="s">
        <v>520</v>
      </c>
      <c r="AP233" s="13"/>
      <c r="AQ233" s="12" t="s">
        <v>516</v>
      </c>
      <c r="AR233" s="13"/>
      <c r="AS233" s="13" t="s">
        <v>71</v>
      </c>
      <c r="AT233" s="13" t="s">
        <v>71</v>
      </c>
      <c r="AU233" s="14">
        <v>100</v>
      </c>
      <c r="AV233" s="14"/>
      <c r="AW233" s="14">
        <v>45.26</v>
      </c>
      <c r="AX233" s="15">
        <v>45900</v>
      </c>
      <c r="AY233" s="15"/>
    </row>
    <row r="234" spans="1:51">
      <c r="A234" s="12">
        <v>8902041</v>
      </c>
      <c r="B234" s="13" t="s">
        <v>3370</v>
      </c>
      <c r="C234" s="13" t="s">
        <v>3317</v>
      </c>
      <c r="D234" s="13"/>
      <c r="E234" s="13" t="s">
        <v>3318</v>
      </c>
      <c r="F234" s="12"/>
      <c r="G234" s="12"/>
      <c r="H234" s="13"/>
      <c r="I234" s="12"/>
      <c r="J234" s="12"/>
      <c r="K234" s="12"/>
      <c r="L234" s="12" t="s">
        <v>3371</v>
      </c>
      <c r="M234" s="12"/>
      <c r="N234" s="12">
        <v>1</v>
      </c>
      <c r="O234" s="13" t="s">
        <v>3335</v>
      </c>
      <c r="P234" s="12">
        <v>10</v>
      </c>
      <c r="Q234" s="13" t="s">
        <v>3339</v>
      </c>
      <c r="R234" s="12">
        <v>985</v>
      </c>
      <c r="S234" s="12">
        <v>3284194</v>
      </c>
      <c r="T234" s="12"/>
      <c r="U234" s="13"/>
      <c r="V234" s="12" t="s">
        <v>3321</v>
      </c>
      <c r="W234" s="13" t="s">
        <v>3322</v>
      </c>
      <c r="X234" s="12"/>
      <c r="Y234" s="13"/>
      <c r="Z234" s="12"/>
      <c r="AA234" s="13"/>
      <c r="AB234" s="12"/>
      <c r="AC234" s="12"/>
      <c r="AD234" s="14"/>
      <c r="AE234" s="12"/>
      <c r="AF234" s="13"/>
      <c r="AG234" s="12"/>
      <c r="AH234" s="12"/>
      <c r="AI234" s="13"/>
      <c r="AJ234" s="13" t="s">
        <v>3328</v>
      </c>
      <c r="AK234" s="13" t="s">
        <v>3324</v>
      </c>
      <c r="AL234" s="12"/>
      <c r="AM234" s="13"/>
      <c r="AN234" s="12"/>
      <c r="AO234" s="12"/>
      <c r="AP234" s="13"/>
      <c r="AQ234" s="12" t="s">
        <v>3372</v>
      </c>
      <c r="AR234" s="13"/>
      <c r="AS234" s="13" t="s">
        <v>71</v>
      </c>
      <c r="AT234" s="13" t="s">
        <v>71</v>
      </c>
      <c r="AU234" s="14">
        <v>100</v>
      </c>
      <c r="AV234" s="14"/>
      <c r="AW234" s="14">
        <v>45.36</v>
      </c>
      <c r="AX234" s="15">
        <v>43921</v>
      </c>
      <c r="AY234" s="15"/>
    </row>
    <row r="235" spans="1:51">
      <c r="A235" s="12">
        <v>8912101</v>
      </c>
      <c r="B235" s="13" t="s">
        <v>3565</v>
      </c>
      <c r="C235" s="13" t="s">
        <v>3342</v>
      </c>
      <c r="D235" s="13"/>
      <c r="E235" s="13" t="s">
        <v>3318</v>
      </c>
      <c r="F235" s="12"/>
      <c r="G235" s="12"/>
      <c r="H235" s="13"/>
      <c r="I235" s="12"/>
      <c r="J235" s="12"/>
      <c r="K235" s="12"/>
      <c r="L235" s="12" t="s">
        <v>1746</v>
      </c>
      <c r="M235" s="12"/>
      <c r="N235" s="12"/>
      <c r="O235" s="13"/>
      <c r="P235" s="12"/>
      <c r="Q235" s="13"/>
      <c r="R235" s="12"/>
      <c r="S235" s="12"/>
      <c r="T235" s="12"/>
      <c r="U235" s="13"/>
      <c r="V235" s="12" t="s">
        <v>3321</v>
      </c>
      <c r="W235" s="13" t="s">
        <v>3322</v>
      </c>
      <c r="X235" s="12"/>
      <c r="Y235" s="13"/>
      <c r="Z235" s="12"/>
      <c r="AA235" s="13"/>
      <c r="AB235" s="12"/>
      <c r="AC235" s="12"/>
      <c r="AD235" s="14"/>
      <c r="AE235" s="12"/>
      <c r="AF235" s="13"/>
      <c r="AG235" s="12"/>
      <c r="AH235" s="12"/>
      <c r="AI235" s="13"/>
      <c r="AJ235" s="13" t="s">
        <v>3328</v>
      </c>
      <c r="AK235" s="13" t="s">
        <v>3324</v>
      </c>
      <c r="AL235" s="12"/>
      <c r="AM235" s="13"/>
      <c r="AN235" s="12"/>
      <c r="AO235" s="12">
        <v>1210</v>
      </c>
      <c r="AP235" s="13"/>
      <c r="AQ235" s="12">
        <v>12101</v>
      </c>
      <c r="AR235" s="13"/>
      <c r="AS235" s="13" t="s">
        <v>71</v>
      </c>
      <c r="AT235" s="13" t="s">
        <v>71</v>
      </c>
      <c r="AU235" s="14">
        <v>100</v>
      </c>
      <c r="AV235" s="14"/>
      <c r="AW235" s="14">
        <v>45.5</v>
      </c>
      <c r="AX235" s="15">
        <v>45900</v>
      </c>
      <c r="AY235" s="15"/>
    </row>
    <row r="236" spans="1:51">
      <c r="A236" s="12">
        <v>8903011</v>
      </c>
      <c r="B236" s="13" t="s">
        <v>3424</v>
      </c>
      <c r="C236" s="13" t="s">
        <v>3342</v>
      </c>
      <c r="D236" s="13"/>
      <c r="E236" s="13" t="s">
        <v>3318</v>
      </c>
      <c r="F236" s="12"/>
      <c r="G236" s="12"/>
      <c r="H236" s="13"/>
      <c r="I236" s="12"/>
      <c r="J236" s="12"/>
      <c r="K236" s="12"/>
      <c r="L236" s="12" t="s">
        <v>683</v>
      </c>
      <c r="M236" s="12"/>
      <c r="N236" s="12"/>
      <c r="O236" s="13"/>
      <c r="P236" s="12">
        <v>10</v>
      </c>
      <c r="Q236" s="13" t="s">
        <v>3339</v>
      </c>
      <c r="R236" s="12">
        <v>985</v>
      </c>
      <c r="S236" s="12">
        <v>3284880</v>
      </c>
      <c r="T236" s="12"/>
      <c r="U236" s="13"/>
      <c r="V236" s="12" t="s">
        <v>3321</v>
      </c>
      <c r="W236" s="13" t="s">
        <v>3322</v>
      </c>
      <c r="X236" s="12"/>
      <c r="Y236" s="13"/>
      <c r="Z236" s="12"/>
      <c r="AA236" s="13"/>
      <c r="AB236" s="12"/>
      <c r="AC236" s="12"/>
      <c r="AD236" s="14"/>
      <c r="AE236" s="12"/>
      <c r="AF236" s="13"/>
      <c r="AG236" s="12"/>
      <c r="AH236" s="12"/>
      <c r="AI236" s="13"/>
      <c r="AJ236" s="13" t="s">
        <v>3328</v>
      </c>
      <c r="AK236" s="13" t="s">
        <v>3324</v>
      </c>
      <c r="AL236" s="12"/>
      <c r="AM236" s="13"/>
      <c r="AN236" s="12"/>
      <c r="AO236" s="12" t="s">
        <v>681</v>
      </c>
      <c r="AP236" s="13"/>
      <c r="AQ236" s="12" t="s">
        <v>677</v>
      </c>
      <c r="AR236" s="13"/>
      <c r="AS236" s="13" t="s">
        <v>71</v>
      </c>
      <c r="AT236" s="13" t="s">
        <v>71</v>
      </c>
      <c r="AU236" s="14">
        <v>100</v>
      </c>
      <c r="AV236" s="14"/>
      <c r="AW236" s="14">
        <v>45.52</v>
      </c>
      <c r="AX236" s="15">
        <v>45900</v>
      </c>
      <c r="AY236" s="15"/>
    </row>
    <row r="237" spans="1:51">
      <c r="A237" s="12">
        <v>8901091</v>
      </c>
      <c r="B237" s="13" t="s">
        <v>3346</v>
      </c>
      <c r="C237" s="13" t="s">
        <v>3342</v>
      </c>
      <c r="D237" s="13"/>
      <c r="E237" s="13" t="s">
        <v>3318</v>
      </c>
      <c r="F237" s="12"/>
      <c r="G237" s="12"/>
      <c r="H237" s="13"/>
      <c r="I237" s="12"/>
      <c r="J237" s="12"/>
      <c r="K237" s="12"/>
      <c r="L237" s="12" t="s">
        <v>136</v>
      </c>
      <c r="M237" s="12" t="s">
        <v>136</v>
      </c>
      <c r="N237" s="12"/>
      <c r="O237" s="13"/>
      <c r="P237" s="12">
        <v>20</v>
      </c>
      <c r="Q237" s="13" t="s">
        <v>3320</v>
      </c>
      <c r="R237" s="12">
        <v>450</v>
      </c>
      <c r="S237" s="12">
        <v>187112</v>
      </c>
      <c r="T237" s="12"/>
      <c r="U237" s="13"/>
      <c r="V237" s="12" t="s">
        <v>3321</v>
      </c>
      <c r="W237" s="13" t="s">
        <v>3322</v>
      </c>
      <c r="X237" s="12"/>
      <c r="Y237" s="13"/>
      <c r="Z237" s="12"/>
      <c r="AA237" s="13"/>
      <c r="AB237" s="12"/>
      <c r="AC237" s="12"/>
      <c r="AD237" s="14"/>
      <c r="AE237" s="12"/>
      <c r="AF237" s="13"/>
      <c r="AG237" s="12"/>
      <c r="AH237" s="12"/>
      <c r="AI237" s="13"/>
      <c r="AJ237" s="13" t="s">
        <v>3328</v>
      </c>
      <c r="AK237" s="13" t="s">
        <v>3324</v>
      </c>
      <c r="AL237" s="12"/>
      <c r="AM237" s="13"/>
      <c r="AN237" s="12"/>
      <c r="AO237" s="12" t="s">
        <v>134</v>
      </c>
      <c r="AP237" s="13"/>
      <c r="AQ237" s="12" t="s">
        <v>130</v>
      </c>
      <c r="AR237" s="13"/>
      <c r="AS237" s="13" t="s">
        <v>71</v>
      </c>
      <c r="AT237" s="13" t="s">
        <v>71</v>
      </c>
      <c r="AU237" s="14">
        <v>100</v>
      </c>
      <c r="AV237" s="14"/>
      <c r="AW237" s="14">
        <v>45.73</v>
      </c>
      <c r="AX237" s="15">
        <v>45900</v>
      </c>
      <c r="AY237" s="15"/>
    </row>
    <row r="238" spans="1:51">
      <c r="A238" s="12">
        <v>8904062</v>
      </c>
      <c r="B238" s="13" t="s">
        <v>3462</v>
      </c>
      <c r="C238" s="13" t="s">
        <v>3342</v>
      </c>
      <c r="D238" s="13"/>
      <c r="E238" s="13" t="s">
        <v>3318</v>
      </c>
      <c r="F238" s="12"/>
      <c r="G238" s="12"/>
      <c r="H238" s="13"/>
      <c r="I238" s="12"/>
      <c r="J238" s="12"/>
      <c r="K238" s="12" t="s">
        <v>3461</v>
      </c>
      <c r="L238" s="12" t="s">
        <v>945</v>
      </c>
      <c r="M238" s="12"/>
      <c r="N238" s="12"/>
      <c r="O238" s="13"/>
      <c r="P238" s="12">
        <v>20</v>
      </c>
      <c r="Q238" s="13" t="s">
        <v>3320</v>
      </c>
      <c r="R238" s="12">
        <v>450</v>
      </c>
      <c r="S238" s="12">
        <v>243713</v>
      </c>
      <c r="T238" s="12"/>
      <c r="U238" s="13"/>
      <c r="V238" s="12" t="s">
        <v>3321</v>
      </c>
      <c r="W238" s="13" t="s">
        <v>3322</v>
      </c>
      <c r="X238" s="12"/>
      <c r="Y238" s="13"/>
      <c r="Z238" s="12"/>
      <c r="AA238" s="13"/>
      <c r="AB238" s="12"/>
      <c r="AC238" s="12"/>
      <c r="AD238" s="14"/>
      <c r="AE238" s="12"/>
      <c r="AF238" s="13"/>
      <c r="AG238" s="12"/>
      <c r="AH238" s="12"/>
      <c r="AI238" s="13"/>
      <c r="AJ238" s="13" t="s">
        <v>3328</v>
      </c>
      <c r="AK238" s="13" t="s">
        <v>3324</v>
      </c>
      <c r="AL238" s="12"/>
      <c r="AM238" s="13"/>
      <c r="AN238" s="12"/>
      <c r="AO238" s="12" t="s">
        <v>939</v>
      </c>
      <c r="AP238" s="13"/>
      <c r="AQ238" s="12" t="s">
        <v>942</v>
      </c>
      <c r="AR238" s="13"/>
      <c r="AS238" s="13" t="s">
        <v>71</v>
      </c>
      <c r="AT238" s="13" t="s">
        <v>71</v>
      </c>
      <c r="AU238" s="14">
        <v>100</v>
      </c>
      <c r="AV238" s="14"/>
      <c r="AW238" s="14">
        <v>45.87</v>
      </c>
      <c r="AX238" s="15">
        <v>45900</v>
      </c>
      <c r="AY238" s="15"/>
    </row>
    <row r="239" spans="1:51">
      <c r="A239" s="12">
        <v>8902192</v>
      </c>
      <c r="B239" s="13" t="s">
        <v>3404</v>
      </c>
      <c r="C239" s="13" t="s">
        <v>3342</v>
      </c>
      <c r="D239" s="13"/>
      <c r="E239" s="13" t="s">
        <v>3318</v>
      </c>
      <c r="F239" s="12"/>
      <c r="G239" s="12"/>
      <c r="H239" s="13"/>
      <c r="I239" s="12"/>
      <c r="J239" s="12"/>
      <c r="K239" s="12"/>
      <c r="L239" s="12" t="s">
        <v>525</v>
      </c>
      <c r="M239" s="12"/>
      <c r="N239" s="12"/>
      <c r="O239" s="13"/>
      <c r="P239" s="12">
        <v>20</v>
      </c>
      <c r="Q239" s="13" t="s">
        <v>3320</v>
      </c>
      <c r="R239" s="12">
        <v>450</v>
      </c>
      <c r="S239" s="12">
        <v>155350</v>
      </c>
      <c r="T239" s="12"/>
      <c r="U239" s="13"/>
      <c r="V239" s="12" t="s">
        <v>3321</v>
      </c>
      <c r="W239" s="13" t="s">
        <v>3322</v>
      </c>
      <c r="X239" s="12"/>
      <c r="Y239" s="13"/>
      <c r="Z239" s="12"/>
      <c r="AA239" s="13"/>
      <c r="AB239" s="12"/>
      <c r="AC239" s="12"/>
      <c r="AD239" s="14"/>
      <c r="AE239" s="12"/>
      <c r="AF239" s="13"/>
      <c r="AG239" s="12"/>
      <c r="AH239" s="12"/>
      <c r="AI239" s="13"/>
      <c r="AJ239" s="13" t="s">
        <v>3328</v>
      </c>
      <c r="AK239" s="13" t="s">
        <v>3324</v>
      </c>
      <c r="AL239" s="12"/>
      <c r="AM239" s="13"/>
      <c r="AN239" s="12"/>
      <c r="AO239" s="12" t="s">
        <v>520</v>
      </c>
      <c r="AP239" s="13"/>
      <c r="AQ239" s="12" t="s">
        <v>523</v>
      </c>
      <c r="AR239" s="13"/>
      <c r="AS239" s="13" t="s">
        <v>71</v>
      </c>
      <c r="AT239" s="13" t="s">
        <v>71</v>
      </c>
      <c r="AU239" s="14">
        <v>100</v>
      </c>
      <c r="AV239" s="14"/>
      <c r="AW239" s="14">
        <v>45.89</v>
      </c>
      <c r="AX239" s="15">
        <v>45900</v>
      </c>
      <c r="AY239" s="15"/>
    </row>
    <row r="240" spans="1:51">
      <c r="A240" s="12">
        <v>8912082</v>
      </c>
      <c r="B240" s="13" t="s">
        <v>3562</v>
      </c>
      <c r="C240" s="13" t="s">
        <v>3342</v>
      </c>
      <c r="D240" s="13"/>
      <c r="E240" s="13" t="s">
        <v>3318</v>
      </c>
      <c r="F240" s="12"/>
      <c r="G240" s="12"/>
      <c r="H240" s="13"/>
      <c r="I240" s="12"/>
      <c r="J240" s="12"/>
      <c r="K240" s="12"/>
      <c r="L240" s="12" t="s">
        <v>1729</v>
      </c>
      <c r="M240" s="12"/>
      <c r="N240" s="12"/>
      <c r="O240" s="13"/>
      <c r="P240" s="12">
        <v>10</v>
      </c>
      <c r="Q240" s="13" t="s">
        <v>3339</v>
      </c>
      <c r="R240" s="12">
        <v>985</v>
      </c>
      <c r="S240" s="12">
        <v>3280106</v>
      </c>
      <c r="T240" s="12"/>
      <c r="U240" s="13"/>
      <c r="V240" s="12" t="s">
        <v>3321</v>
      </c>
      <c r="W240" s="13" t="s">
        <v>3322</v>
      </c>
      <c r="X240" s="12"/>
      <c r="Y240" s="13"/>
      <c r="Z240" s="12"/>
      <c r="AA240" s="13"/>
      <c r="AB240" s="12"/>
      <c r="AC240" s="12"/>
      <c r="AD240" s="14"/>
      <c r="AE240" s="12"/>
      <c r="AF240" s="13"/>
      <c r="AG240" s="12"/>
      <c r="AH240" s="12"/>
      <c r="AI240" s="13"/>
      <c r="AJ240" s="13" t="s">
        <v>3328</v>
      </c>
      <c r="AK240" s="13" t="s">
        <v>3324</v>
      </c>
      <c r="AL240" s="12"/>
      <c r="AM240" s="13"/>
      <c r="AN240" s="12"/>
      <c r="AO240" s="12">
        <v>1208</v>
      </c>
      <c r="AP240" s="13"/>
      <c r="AQ240" s="12">
        <v>12082</v>
      </c>
      <c r="AR240" s="13"/>
      <c r="AS240" s="13" t="s">
        <v>71</v>
      </c>
      <c r="AT240" s="13" t="s">
        <v>71</v>
      </c>
      <c r="AU240" s="14">
        <v>100</v>
      </c>
      <c r="AV240" s="14"/>
      <c r="AW240" s="14">
        <v>45.9</v>
      </c>
      <c r="AX240" s="15">
        <v>45900</v>
      </c>
      <c r="AY240" s="15"/>
    </row>
    <row r="241" spans="1:51">
      <c r="A241" s="12">
        <v>8921022</v>
      </c>
      <c r="B241" s="13" t="s">
        <v>3703</v>
      </c>
      <c r="C241" s="13" t="s">
        <v>3317</v>
      </c>
      <c r="D241" s="13"/>
      <c r="E241" s="13" t="s">
        <v>3318</v>
      </c>
      <c r="F241" s="12"/>
      <c r="G241" s="12"/>
      <c r="H241" s="13"/>
      <c r="I241" s="12"/>
      <c r="J241" s="12"/>
      <c r="K241" s="12"/>
      <c r="L241" s="12" t="s">
        <v>3704</v>
      </c>
      <c r="M241" s="12"/>
      <c r="N241" s="12"/>
      <c r="O241" s="13"/>
      <c r="P241" s="12">
        <v>10</v>
      </c>
      <c r="Q241" s="13" t="s">
        <v>3339</v>
      </c>
      <c r="R241" s="12">
        <v>985</v>
      </c>
      <c r="S241" s="12">
        <v>3281399</v>
      </c>
      <c r="T241" s="12"/>
      <c r="U241" s="13"/>
      <c r="V241" s="12" t="s">
        <v>3321</v>
      </c>
      <c r="W241" s="13" t="s">
        <v>3322</v>
      </c>
      <c r="X241" s="12"/>
      <c r="Y241" s="13"/>
      <c r="Z241" s="12"/>
      <c r="AA241" s="13"/>
      <c r="AB241" s="12"/>
      <c r="AC241" s="12"/>
      <c r="AD241" s="14"/>
      <c r="AE241" s="12"/>
      <c r="AF241" s="13"/>
      <c r="AG241" s="12"/>
      <c r="AH241" s="12"/>
      <c r="AI241" s="13"/>
      <c r="AJ241" s="13" t="s">
        <v>3328</v>
      </c>
      <c r="AK241" s="13" t="s">
        <v>3324</v>
      </c>
      <c r="AL241" s="12"/>
      <c r="AM241" s="13"/>
      <c r="AN241" s="12"/>
      <c r="AO241" s="12"/>
      <c r="AP241" s="13"/>
      <c r="AQ241" s="12">
        <v>21022</v>
      </c>
      <c r="AR241" s="13"/>
      <c r="AS241" s="13" t="s">
        <v>71</v>
      </c>
      <c r="AT241" s="13" t="s">
        <v>71</v>
      </c>
      <c r="AU241" s="14">
        <v>100</v>
      </c>
      <c r="AV241" s="14"/>
      <c r="AW241" s="14">
        <v>46.016438000000001</v>
      </c>
      <c r="AX241" s="15">
        <v>43313</v>
      </c>
      <c r="AY241" s="15"/>
    </row>
    <row r="242" spans="1:51">
      <c r="A242" s="12">
        <v>8902042</v>
      </c>
      <c r="B242" s="13" t="s">
        <v>3373</v>
      </c>
      <c r="C242" s="13" t="s">
        <v>3317</v>
      </c>
      <c r="D242" s="13"/>
      <c r="E242" s="13" t="s">
        <v>3318</v>
      </c>
      <c r="F242" s="12"/>
      <c r="G242" s="12"/>
      <c r="H242" s="13"/>
      <c r="I242" s="12"/>
      <c r="J242" s="12"/>
      <c r="K242" s="12"/>
      <c r="L242" s="12" t="s">
        <v>3374</v>
      </c>
      <c r="M242" s="12"/>
      <c r="N242" s="12"/>
      <c r="O242" s="13"/>
      <c r="P242" s="12">
        <v>10</v>
      </c>
      <c r="Q242" s="13" t="s">
        <v>3339</v>
      </c>
      <c r="R242" s="12">
        <v>985</v>
      </c>
      <c r="S242" s="12">
        <v>3284194</v>
      </c>
      <c r="T242" s="12"/>
      <c r="U242" s="13"/>
      <c r="V242" s="12" t="s">
        <v>3321</v>
      </c>
      <c r="W242" s="13" t="s">
        <v>3322</v>
      </c>
      <c r="X242" s="12"/>
      <c r="Y242" s="13"/>
      <c r="Z242" s="12"/>
      <c r="AA242" s="13"/>
      <c r="AB242" s="12"/>
      <c r="AC242" s="12"/>
      <c r="AD242" s="14"/>
      <c r="AE242" s="12"/>
      <c r="AF242" s="13"/>
      <c r="AG242" s="12"/>
      <c r="AH242" s="12"/>
      <c r="AI242" s="13"/>
      <c r="AJ242" s="13" t="s">
        <v>3328</v>
      </c>
      <c r="AK242" s="13" t="s">
        <v>3324</v>
      </c>
      <c r="AL242" s="12"/>
      <c r="AM242" s="13"/>
      <c r="AN242" s="12"/>
      <c r="AO242" s="12"/>
      <c r="AP242" s="13"/>
      <c r="AQ242" s="12" t="s">
        <v>3375</v>
      </c>
      <c r="AR242" s="13"/>
      <c r="AS242" s="13" t="s">
        <v>71</v>
      </c>
      <c r="AT242" s="13" t="s">
        <v>71</v>
      </c>
      <c r="AU242" s="14">
        <v>100</v>
      </c>
      <c r="AV242" s="14"/>
      <c r="AW242" s="14">
        <v>46.1</v>
      </c>
      <c r="AX242" s="15">
        <v>42369</v>
      </c>
      <c r="AY242" s="15"/>
    </row>
    <row r="243" spans="1:51">
      <c r="A243" s="12">
        <v>8906082</v>
      </c>
      <c r="B243" s="13" t="s">
        <v>3506</v>
      </c>
      <c r="C243" s="13" t="s">
        <v>3342</v>
      </c>
      <c r="D243" s="13"/>
      <c r="E243" s="13" t="s">
        <v>3318</v>
      </c>
      <c r="F243" s="12"/>
      <c r="G243" s="12"/>
      <c r="H243" s="13"/>
      <c r="I243" s="12"/>
      <c r="J243" s="12"/>
      <c r="K243" s="12"/>
      <c r="L243" s="12" t="s">
        <v>1196</v>
      </c>
      <c r="M243" s="12" t="s">
        <v>1196</v>
      </c>
      <c r="N243" s="12"/>
      <c r="O243" s="13"/>
      <c r="P243" s="12">
        <v>10</v>
      </c>
      <c r="Q243" s="13" t="s">
        <v>3339</v>
      </c>
      <c r="R243" s="12">
        <v>985</v>
      </c>
      <c r="S243" s="12">
        <v>3278774</v>
      </c>
      <c r="T243" s="12"/>
      <c r="U243" s="13"/>
      <c r="V243" s="12" t="s">
        <v>3321</v>
      </c>
      <c r="W243" s="13" t="s">
        <v>3322</v>
      </c>
      <c r="X243" s="12"/>
      <c r="Y243" s="13"/>
      <c r="Z243" s="12"/>
      <c r="AA243" s="13"/>
      <c r="AB243" s="12"/>
      <c r="AC243" s="12"/>
      <c r="AD243" s="14"/>
      <c r="AE243" s="12"/>
      <c r="AF243" s="13"/>
      <c r="AG243" s="12"/>
      <c r="AH243" s="12"/>
      <c r="AI243" s="13"/>
      <c r="AJ243" s="13" t="s">
        <v>3328</v>
      </c>
      <c r="AK243" s="13" t="s">
        <v>3324</v>
      </c>
      <c r="AL243" s="12"/>
      <c r="AM243" s="13"/>
      <c r="AN243" s="12"/>
      <c r="AO243" s="12" t="s">
        <v>1191</v>
      </c>
      <c r="AP243" s="13"/>
      <c r="AQ243" s="12" t="s">
        <v>1194</v>
      </c>
      <c r="AR243" s="13"/>
      <c r="AS243" s="13" t="s">
        <v>71</v>
      </c>
      <c r="AT243" s="13" t="s">
        <v>71</v>
      </c>
      <c r="AU243" s="14">
        <v>100</v>
      </c>
      <c r="AV243" s="14"/>
      <c r="AW243" s="14">
        <v>46.11</v>
      </c>
      <c r="AX243" s="15">
        <v>45900</v>
      </c>
      <c r="AY243" s="15"/>
    </row>
    <row r="244" spans="1:51">
      <c r="A244" s="12">
        <v>8919082</v>
      </c>
      <c r="B244" s="13" t="s">
        <v>3641</v>
      </c>
      <c r="C244" s="13" t="s">
        <v>3342</v>
      </c>
      <c r="D244" s="13" t="s">
        <v>3318</v>
      </c>
      <c r="E244" s="13" t="s">
        <v>3318</v>
      </c>
      <c r="F244" s="12">
        <v>79858</v>
      </c>
      <c r="G244" s="12"/>
      <c r="H244" s="13"/>
      <c r="I244" s="12"/>
      <c r="J244" s="12"/>
      <c r="K244" s="12" t="s">
        <v>3642</v>
      </c>
      <c r="L244" s="12" t="s">
        <v>2355</v>
      </c>
      <c r="M244" s="12" t="s">
        <v>2355</v>
      </c>
      <c r="N244" s="12"/>
      <c r="O244" s="13"/>
      <c r="P244" s="12">
        <v>10</v>
      </c>
      <c r="Q244" s="13" t="s">
        <v>3339</v>
      </c>
      <c r="R244" s="12">
        <v>985</v>
      </c>
      <c r="S244" s="12">
        <v>3280794</v>
      </c>
      <c r="T244" s="12"/>
      <c r="U244" s="13"/>
      <c r="V244" s="12" t="s">
        <v>3321</v>
      </c>
      <c r="W244" s="13" t="s">
        <v>3322</v>
      </c>
      <c r="X244" s="12"/>
      <c r="Y244" s="13"/>
      <c r="Z244" s="12"/>
      <c r="AA244" s="13"/>
      <c r="AB244" s="12"/>
      <c r="AC244" s="12"/>
      <c r="AD244" s="14"/>
      <c r="AE244" s="12"/>
      <c r="AF244" s="13"/>
      <c r="AG244" s="12"/>
      <c r="AH244" s="12"/>
      <c r="AI244" s="13"/>
      <c r="AJ244" s="13" t="s">
        <v>3328</v>
      </c>
      <c r="AK244" s="13" t="s">
        <v>3324</v>
      </c>
      <c r="AL244" s="12"/>
      <c r="AM244" s="13"/>
      <c r="AN244" s="12"/>
      <c r="AO244" s="12">
        <v>1908</v>
      </c>
      <c r="AP244" s="13"/>
      <c r="AQ244" s="12">
        <v>19082</v>
      </c>
      <c r="AR244" s="13"/>
      <c r="AS244" s="13" t="s">
        <v>71</v>
      </c>
      <c r="AT244" s="13" t="s">
        <v>71</v>
      </c>
      <c r="AU244" s="14">
        <v>100</v>
      </c>
      <c r="AV244" s="14"/>
      <c r="AW244" s="14">
        <v>46.27</v>
      </c>
      <c r="AX244" s="15">
        <v>45900</v>
      </c>
      <c r="AY244" s="15"/>
    </row>
    <row r="245" spans="1:51">
      <c r="A245" s="12">
        <v>8904072</v>
      </c>
      <c r="B245" s="13" t="s">
        <v>3464</v>
      </c>
      <c r="C245" s="13" t="s">
        <v>3342</v>
      </c>
      <c r="D245" s="13"/>
      <c r="E245" s="13" t="s">
        <v>3318</v>
      </c>
      <c r="F245" s="12"/>
      <c r="G245" s="12"/>
      <c r="H245" s="13"/>
      <c r="I245" s="12"/>
      <c r="J245" s="12"/>
      <c r="K245" s="12"/>
      <c r="L245" s="12" t="s">
        <v>954</v>
      </c>
      <c r="M245" s="12"/>
      <c r="N245" s="12"/>
      <c r="O245" s="13"/>
      <c r="P245" s="12">
        <v>10</v>
      </c>
      <c r="Q245" s="13" t="s">
        <v>3339</v>
      </c>
      <c r="R245" s="12">
        <v>985</v>
      </c>
      <c r="S245" s="12">
        <v>3285191</v>
      </c>
      <c r="T245" s="12"/>
      <c r="U245" s="13"/>
      <c r="V245" s="12" t="s">
        <v>3321</v>
      </c>
      <c r="W245" s="13" t="s">
        <v>3322</v>
      </c>
      <c r="X245" s="12"/>
      <c r="Y245" s="13"/>
      <c r="Z245" s="12"/>
      <c r="AA245" s="13"/>
      <c r="AB245" s="12"/>
      <c r="AC245" s="12"/>
      <c r="AD245" s="14"/>
      <c r="AE245" s="12"/>
      <c r="AF245" s="13"/>
      <c r="AG245" s="12"/>
      <c r="AH245" s="12"/>
      <c r="AI245" s="13"/>
      <c r="AJ245" s="13" t="s">
        <v>3328</v>
      </c>
      <c r="AK245" s="13" t="s">
        <v>3324</v>
      </c>
      <c r="AL245" s="12"/>
      <c r="AM245" s="13"/>
      <c r="AN245" s="12"/>
      <c r="AO245" s="12" t="s">
        <v>949</v>
      </c>
      <c r="AP245" s="13"/>
      <c r="AQ245" s="12" t="s">
        <v>952</v>
      </c>
      <c r="AR245" s="13"/>
      <c r="AS245" s="13" t="s">
        <v>71</v>
      </c>
      <c r="AT245" s="13" t="s">
        <v>71</v>
      </c>
      <c r="AU245" s="14">
        <v>100</v>
      </c>
      <c r="AV245" s="14"/>
      <c r="AW245" s="14">
        <v>46.28</v>
      </c>
      <c r="AX245" s="15">
        <v>45900</v>
      </c>
      <c r="AY245" s="15"/>
    </row>
    <row r="246" spans="1:51">
      <c r="A246" s="12">
        <v>8912092</v>
      </c>
      <c r="B246" s="13" t="s">
        <v>3564</v>
      </c>
      <c r="C246" s="13" t="s">
        <v>3342</v>
      </c>
      <c r="D246" s="13"/>
      <c r="E246" s="13" t="s">
        <v>3318</v>
      </c>
      <c r="F246" s="12"/>
      <c r="G246" s="12"/>
      <c r="H246" s="13"/>
      <c r="I246" s="12"/>
      <c r="J246" s="12"/>
      <c r="K246" s="12"/>
      <c r="L246" s="12" t="s">
        <v>1739</v>
      </c>
      <c r="M246" s="12"/>
      <c r="N246" s="12"/>
      <c r="O246" s="13"/>
      <c r="P246" s="12">
        <v>10</v>
      </c>
      <c r="Q246" s="13" t="s">
        <v>3339</v>
      </c>
      <c r="R246" s="12">
        <v>985</v>
      </c>
      <c r="S246" s="12">
        <v>3280204</v>
      </c>
      <c r="T246" s="12"/>
      <c r="U246" s="13"/>
      <c r="V246" s="12" t="s">
        <v>3321</v>
      </c>
      <c r="W246" s="13" t="s">
        <v>3322</v>
      </c>
      <c r="X246" s="12"/>
      <c r="Y246" s="13"/>
      <c r="Z246" s="12"/>
      <c r="AA246" s="13"/>
      <c r="AB246" s="12"/>
      <c r="AC246" s="12"/>
      <c r="AD246" s="14"/>
      <c r="AE246" s="12"/>
      <c r="AF246" s="13"/>
      <c r="AG246" s="12"/>
      <c r="AH246" s="12"/>
      <c r="AI246" s="13"/>
      <c r="AJ246" s="13" t="s">
        <v>3328</v>
      </c>
      <c r="AK246" s="13" t="s">
        <v>3324</v>
      </c>
      <c r="AL246" s="12"/>
      <c r="AM246" s="13"/>
      <c r="AN246" s="12"/>
      <c r="AO246" s="12">
        <v>1209</v>
      </c>
      <c r="AP246" s="13"/>
      <c r="AQ246" s="12">
        <v>12092</v>
      </c>
      <c r="AR246" s="13"/>
      <c r="AS246" s="13" t="s">
        <v>71</v>
      </c>
      <c r="AT246" s="13" t="s">
        <v>71</v>
      </c>
      <c r="AU246" s="14">
        <v>100</v>
      </c>
      <c r="AV246" s="14"/>
      <c r="AW246" s="14">
        <v>46.44</v>
      </c>
      <c r="AX246" s="15">
        <v>45900</v>
      </c>
      <c r="AY246" s="15"/>
    </row>
    <row r="247" spans="1:51">
      <c r="A247" s="12">
        <v>8920111</v>
      </c>
      <c r="B247" s="13" t="s">
        <v>3673</v>
      </c>
      <c r="C247" s="13" t="s">
        <v>3342</v>
      </c>
      <c r="D247" s="13"/>
      <c r="E247" s="13" t="s">
        <v>3318</v>
      </c>
      <c r="F247" s="12"/>
      <c r="G247" s="12"/>
      <c r="H247" s="13"/>
      <c r="I247" s="12"/>
      <c r="J247" s="12"/>
      <c r="K247" s="12"/>
      <c r="L247" s="12" t="s">
        <v>2615</v>
      </c>
      <c r="M247" s="12" t="s">
        <v>2615</v>
      </c>
      <c r="N247" s="12"/>
      <c r="O247" s="13"/>
      <c r="P247" s="12">
        <v>10</v>
      </c>
      <c r="Q247" s="13" t="s">
        <v>3339</v>
      </c>
      <c r="R247" s="12">
        <v>985</v>
      </c>
      <c r="S247" s="12">
        <v>3275783</v>
      </c>
      <c r="T247" s="12"/>
      <c r="U247" s="13"/>
      <c r="V247" s="12" t="s">
        <v>3321</v>
      </c>
      <c r="W247" s="13" t="s">
        <v>3322</v>
      </c>
      <c r="X247" s="12"/>
      <c r="Y247" s="13"/>
      <c r="Z247" s="12"/>
      <c r="AA247" s="13"/>
      <c r="AB247" s="12"/>
      <c r="AC247" s="12"/>
      <c r="AD247" s="14"/>
      <c r="AE247" s="12"/>
      <c r="AF247" s="13"/>
      <c r="AG247" s="12"/>
      <c r="AH247" s="12"/>
      <c r="AI247" s="13"/>
      <c r="AJ247" s="13" t="s">
        <v>3328</v>
      </c>
      <c r="AK247" s="13" t="s">
        <v>3324</v>
      </c>
      <c r="AL247" s="12"/>
      <c r="AM247" s="13"/>
      <c r="AN247" s="12"/>
      <c r="AO247" s="12">
        <v>2011</v>
      </c>
      <c r="AP247" s="13"/>
      <c r="AQ247" s="12">
        <v>20111</v>
      </c>
      <c r="AR247" s="13"/>
      <c r="AS247" s="13" t="s">
        <v>71</v>
      </c>
      <c r="AT247" s="13" t="s">
        <v>71</v>
      </c>
      <c r="AU247" s="14">
        <v>100</v>
      </c>
      <c r="AV247" s="14"/>
      <c r="AW247" s="14">
        <v>46.74</v>
      </c>
      <c r="AX247" s="15">
        <v>45900</v>
      </c>
      <c r="AY247" s="15"/>
    </row>
    <row r="248" spans="1:51">
      <c r="A248" s="12">
        <v>8920061</v>
      </c>
      <c r="B248" s="13" t="s">
        <v>3660</v>
      </c>
      <c r="C248" s="13" t="s">
        <v>3342</v>
      </c>
      <c r="D248" s="13"/>
      <c r="E248" s="13" t="s">
        <v>3318</v>
      </c>
      <c r="F248" s="12"/>
      <c r="G248" s="12"/>
      <c r="H248" s="13"/>
      <c r="I248" s="12"/>
      <c r="J248" s="12"/>
      <c r="K248" s="12"/>
      <c r="L248" s="12" t="s">
        <v>2569</v>
      </c>
      <c r="M248" s="12"/>
      <c r="N248" s="12"/>
      <c r="O248" s="13"/>
      <c r="P248" s="12">
        <v>10</v>
      </c>
      <c r="Q248" s="13" t="s">
        <v>3339</v>
      </c>
      <c r="R248" s="12">
        <v>985</v>
      </c>
      <c r="S248" s="12" t="s">
        <v>3661</v>
      </c>
      <c r="T248" s="12"/>
      <c r="U248" s="13"/>
      <c r="V248" s="12" t="s">
        <v>3321</v>
      </c>
      <c r="W248" s="13" t="s">
        <v>3322</v>
      </c>
      <c r="X248" s="12"/>
      <c r="Y248" s="13"/>
      <c r="Z248" s="12"/>
      <c r="AA248" s="13"/>
      <c r="AB248" s="12"/>
      <c r="AC248" s="12"/>
      <c r="AD248" s="14"/>
      <c r="AE248" s="12"/>
      <c r="AF248" s="13"/>
      <c r="AG248" s="12"/>
      <c r="AH248" s="12"/>
      <c r="AI248" s="13"/>
      <c r="AJ248" s="13" t="s">
        <v>3328</v>
      </c>
      <c r="AK248" s="13" t="s">
        <v>3324</v>
      </c>
      <c r="AL248" s="12"/>
      <c r="AM248" s="13"/>
      <c r="AN248" s="12"/>
      <c r="AO248" s="12">
        <v>2006</v>
      </c>
      <c r="AP248" s="13"/>
      <c r="AQ248" s="12">
        <v>20061</v>
      </c>
      <c r="AR248" s="13"/>
      <c r="AS248" s="13" t="s">
        <v>71</v>
      </c>
      <c r="AT248" s="13" t="s">
        <v>71</v>
      </c>
      <c r="AU248" s="14">
        <v>100</v>
      </c>
      <c r="AV248" s="14"/>
      <c r="AW248" s="14">
        <v>46.77</v>
      </c>
      <c r="AX248" s="15">
        <v>45900</v>
      </c>
      <c r="AY248" s="15"/>
    </row>
    <row r="249" spans="1:51">
      <c r="A249" s="12">
        <v>8905041</v>
      </c>
      <c r="B249" s="13" t="s">
        <v>3479</v>
      </c>
      <c r="C249" s="13" t="s">
        <v>3342</v>
      </c>
      <c r="D249" s="13"/>
      <c r="E249" s="13" t="s">
        <v>3318</v>
      </c>
      <c r="F249" s="12"/>
      <c r="G249" s="12"/>
      <c r="H249" s="13"/>
      <c r="I249" s="12"/>
      <c r="J249" s="12"/>
      <c r="K249" s="12"/>
      <c r="L249" s="12" t="s">
        <v>3321</v>
      </c>
      <c r="M249" s="12"/>
      <c r="N249" s="12"/>
      <c r="O249" s="13"/>
      <c r="P249" s="12">
        <v>20</v>
      </c>
      <c r="Q249" s="13" t="s">
        <v>3320</v>
      </c>
      <c r="R249" s="12">
        <v>427</v>
      </c>
      <c r="S249" s="12">
        <v>461114</v>
      </c>
      <c r="T249" s="12"/>
      <c r="U249" s="13"/>
      <c r="V249" s="12" t="s">
        <v>3321</v>
      </c>
      <c r="W249" s="13" t="s">
        <v>3322</v>
      </c>
      <c r="X249" s="12"/>
      <c r="Y249" s="13"/>
      <c r="Z249" s="12"/>
      <c r="AA249" s="13"/>
      <c r="AB249" s="12"/>
      <c r="AC249" s="12"/>
      <c r="AD249" s="14"/>
      <c r="AE249" s="12"/>
      <c r="AF249" s="13"/>
      <c r="AG249" s="12"/>
      <c r="AH249" s="12"/>
      <c r="AI249" s="13"/>
      <c r="AJ249" s="13" t="s">
        <v>3328</v>
      </c>
      <c r="AK249" s="13" t="s">
        <v>3324</v>
      </c>
      <c r="AL249" s="12"/>
      <c r="AM249" s="13"/>
      <c r="AN249" s="12"/>
      <c r="AO249" s="12" t="s">
        <v>996</v>
      </c>
      <c r="AP249" s="13"/>
      <c r="AQ249" s="12" t="s">
        <v>992</v>
      </c>
      <c r="AR249" s="13"/>
      <c r="AS249" s="13" t="s">
        <v>71</v>
      </c>
      <c r="AT249" s="13" t="s">
        <v>71</v>
      </c>
      <c r="AU249" s="14">
        <v>100</v>
      </c>
      <c r="AV249" s="14"/>
      <c r="AW249" s="14">
        <v>46.95</v>
      </c>
      <c r="AX249" s="15">
        <v>45900</v>
      </c>
      <c r="AY249" s="15"/>
    </row>
    <row r="250" spans="1:51">
      <c r="A250" s="12">
        <v>8920142</v>
      </c>
      <c r="B250" s="13" t="s">
        <v>3677</v>
      </c>
      <c r="C250" s="13" t="s">
        <v>3342</v>
      </c>
      <c r="D250" s="13"/>
      <c r="E250" s="13" t="s">
        <v>3318</v>
      </c>
      <c r="F250" s="12"/>
      <c r="G250" s="12"/>
      <c r="H250" s="13"/>
      <c r="I250" s="12"/>
      <c r="J250" s="12"/>
      <c r="K250" s="12"/>
      <c r="L250" s="12" t="s">
        <v>2639</v>
      </c>
      <c r="M250" s="12"/>
      <c r="N250" s="12"/>
      <c r="O250" s="13"/>
      <c r="P250" s="12">
        <v>20</v>
      </c>
      <c r="Q250" s="13" t="s">
        <v>3320</v>
      </c>
      <c r="R250" s="12">
        <v>450</v>
      </c>
      <c r="S250" s="12">
        <v>227661</v>
      </c>
      <c r="T250" s="12"/>
      <c r="U250" s="13"/>
      <c r="V250" s="12" t="s">
        <v>3321</v>
      </c>
      <c r="W250" s="13" t="s">
        <v>3322</v>
      </c>
      <c r="X250" s="12"/>
      <c r="Y250" s="13"/>
      <c r="Z250" s="12"/>
      <c r="AA250" s="13"/>
      <c r="AB250" s="12"/>
      <c r="AC250" s="12"/>
      <c r="AD250" s="14"/>
      <c r="AE250" s="12"/>
      <c r="AF250" s="13"/>
      <c r="AG250" s="12"/>
      <c r="AH250" s="12"/>
      <c r="AI250" s="13"/>
      <c r="AJ250" s="13" t="s">
        <v>3328</v>
      </c>
      <c r="AK250" s="13" t="s">
        <v>3324</v>
      </c>
      <c r="AL250" s="12"/>
      <c r="AM250" s="13"/>
      <c r="AN250" s="12"/>
      <c r="AO250" s="12">
        <v>2014</v>
      </c>
      <c r="AP250" s="13"/>
      <c r="AQ250" s="12">
        <v>20142</v>
      </c>
      <c r="AR250" s="13"/>
      <c r="AS250" s="13" t="s">
        <v>71</v>
      </c>
      <c r="AT250" s="13" t="s">
        <v>71</v>
      </c>
      <c r="AU250" s="14">
        <v>100</v>
      </c>
      <c r="AV250" s="14"/>
      <c r="AW250" s="14">
        <v>46.95</v>
      </c>
      <c r="AX250" s="15">
        <v>45900</v>
      </c>
      <c r="AY250" s="15"/>
    </row>
    <row r="251" spans="1:51">
      <c r="A251" s="12">
        <v>8908032</v>
      </c>
      <c r="B251" s="13" t="s">
        <v>3518</v>
      </c>
      <c r="C251" s="13" t="s">
        <v>3342</v>
      </c>
      <c r="D251" s="13"/>
      <c r="E251" s="13" t="s">
        <v>3318</v>
      </c>
      <c r="F251" s="12"/>
      <c r="G251" s="12"/>
      <c r="H251" s="13"/>
      <c r="I251" s="12"/>
      <c r="J251" s="12"/>
      <c r="K251" s="12"/>
      <c r="L251" s="12" t="s">
        <v>1353</v>
      </c>
      <c r="M251" s="12"/>
      <c r="N251" s="12"/>
      <c r="O251" s="13"/>
      <c r="P251" s="12">
        <v>10</v>
      </c>
      <c r="Q251" s="13" t="s">
        <v>3339</v>
      </c>
      <c r="R251" s="12">
        <v>985</v>
      </c>
      <c r="S251" s="12">
        <v>3278872</v>
      </c>
      <c r="T251" s="12"/>
      <c r="U251" s="13"/>
      <c r="V251" s="12" t="s">
        <v>3321</v>
      </c>
      <c r="W251" s="13" t="s">
        <v>3322</v>
      </c>
      <c r="X251" s="12"/>
      <c r="Y251" s="13"/>
      <c r="Z251" s="12"/>
      <c r="AA251" s="13"/>
      <c r="AB251" s="12"/>
      <c r="AC251" s="12"/>
      <c r="AD251" s="14"/>
      <c r="AE251" s="12"/>
      <c r="AF251" s="13"/>
      <c r="AG251" s="12"/>
      <c r="AH251" s="12"/>
      <c r="AI251" s="13"/>
      <c r="AJ251" s="13" t="s">
        <v>3328</v>
      </c>
      <c r="AK251" s="13" t="s">
        <v>3324</v>
      </c>
      <c r="AL251" s="12"/>
      <c r="AM251" s="13"/>
      <c r="AN251" s="12"/>
      <c r="AO251" s="12" t="s">
        <v>1347</v>
      </c>
      <c r="AP251" s="13"/>
      <c r="AQ251" s="12" t="s">
        <v>1350</v>
      </c>
      <c r="AR251" s="13"/>
      <c r="AS251" s="13" t="s">
        <v>71</v>
      </c>
      <c r="AT251" s="13" t="s">
        <v>71</v>
      </c>
      <c r="AU251" s="14">
        <v>100</v>
      </c>
      <c r="AV251" s="14"/>
      <c r="AW251" s="14">
        <v>46.99</v>
      </c>
      <c r="AX251" s="15">
        <v>45900</v>
      </c>
      <c r="AY251" s="15"/>
    </row>
    <row r="252" spans="1:51">
      <c r="A252" s="12">
        <v>8920092</v>
      </c>
      <c r="B252" s="13" t="s">
        <v>3669</v>
      </c>
      <c r="C252" s="13" t="s">
        <v>3342</v>
      </c>
      <c r="D252" s="13"/>
      <c r="E252" s="13" t="s">
        <v>3318</v>
      </c>
      <c r="F252" s="12"/>
      <c r="G252" s="12"/>
      <c r="H252" s="13"/>
      <c r="I252" s="12"/>
      <c r="J252" s="12"/>
      <c r="K252" s="12"/>
      <c r="L252" s="12" t="s">
        <v>2601</v>
      </c>
      <c r="M252" s="12"/>
      <c r="N252" s="12"/>
      <c r="O252" s="13"/>
      <c r="P252" s="12">
        <v>10</v>
      </c>
      <c r="Q252" s="13" t="s">
        <v>3339</v>
      </c>
      <c r="R252" s="12">
        <v>985</v>
      </c>
      <c r="S252" s="12">
        <v>3281103</v>
      </c>
      <c r="T252" s="12"/>
      <c r="U252" s="13"/>
      <c r="V252" s="12" t="s">
        <v>3321</v>
      </c>
      <c r="W252" s="13" t="s">
        <v>3322</v>
      </c>
      <c r="X252" s="12"/>
      <c r="Y252" s="13"/>
      <c r="Z252" s="12"/>
      <c r="AA252" s="13"/>
      <c r="AB252" s="12"/>
      <c r="AC252" s="12"/>
      <c r="AD252" s="14"/>
      <c r="AE252" s="12"/>
      <c r="AF252" s="13"/>
      <c r="AG252" s="12"/>
      <c r="AH252" s="12"/>
      <c r="AI252" s="13"/>
      <c r="AJ252" s="13" t="s">
        <v>3328</v>
      </c>
      <c r="AK252" s="13" t="s">
        <v>3324</v>
      </c>
      <c r="AL252" s="12"/>
      <c r="AM252" s="13"/>
      <c r="AN252" s="12"/>
      <c r="AO252" s="12">
        <v>2009</v>
      </c>
      <c r="AP252" s="13"/>
      <c r="AQ252" s="12">
        <v>20092</v>
      </c>
      <c r="AR252" s="13"/>
      <c r="AS252" s="13" t="s">
        <v>71</v>
      </c>
      <c r="AT252" s="13" t="s">
        <v>71</v>
      </c>
      <c r="AU252" s="14">
        <v>100</v>
      </c>
      <c r="AV252" s="14"/>
      <c r="AW252" s="14">
        <v>47.01</v>
      </c>
      <c r="AX252" s="15">
        <v>45900</v>
      </c>
      <c r="AY252" s="15"/>
    </row>
    <row r="253" spans="1:51">
      <c r="A253" s="12">
        <v>8920081</v>
      </c>
      <c r="B253" s="13" t="s">
        <v>3665</v>
      </c>
      <c r="C253" s="13" t="s">
        <v>3342</v>
      </c>
      <c r="D253" s="13"/>
      <c r="E253" s="13" t="s">
        <v>3318</v>
      </c>
      <c r="F253" s="12"/>
      <c r="G253" s="12"/>
      <c r="H253" s="13"/>
      <c r="I253" s="12"/>
      <c r="J253" s="12"/>
      <c r="K253" s="12" t="s">
        <v>3666</v>
      </c>
      <c r="L253" s="12" t="s">
        <v>2589</v>
      </c>
      <c r="M253" s="12"/>
      <c r="N253" s="12"/>
      <c r="O253" s="13"/>
      <c r="P253" s="12">
        <v>10</v>
      </c>
      <c r="Q253" s="13" t="s">
        <v>3339</v>
      </c>
      <c r="R253" s="12">
        <v>985</v>
      </c>
      <c r="S253" s="12">
        <v>3282788</v>
      </c>
      <c r="T253" s="12"/>
      <c r="U253" s="13"/>
      <c r="V253" s="12" t="s">
        <v>3321</v>
      </c>
      <c r="W253" s="13" t="s">
        <v>3322</v>
      </c>
      <c r="X253" s="12"/>
      <c r="Y253" s="13"/>
      <c r="Z253" s="12"/>
      <c r="AA253" s="13"/>
      <c r="AB253" s="12"/>
      <c r="AC253" s="12"/>
      <c r="AD253" s="14"/>
      <c r="AE253" s="12"/>
      <c r="AF253" s="13"/>
      <c r="AG253" s="12"/>
      <c r="AH253" s="12"/>
      <c r="AI253" s="13"/>
      <c r="AJ253" s="13" t="s">
        <v>3328</v>
      </c>
      <c r="AK253" s="13" t="s">
        <v>3324</v>
      </c>
      <c r="AL253" s="12"/>
      <c r="AM253" s="13"/>
      <c r="AN253" s="12"/>
      <c r="AO253" s="12">
        <v>2008</v>
      </c>
      <c r="AP253" s="13"/>
      <c r="AQ253" s="12">
        <v>20081</v>
      </c>
      <c r="AR253" s="13"/>
      <c r="AS253" s="13" t="s">
        <v>71</v>
      </c>
      <c r="AT253" s="13" t="s">
        <v>71</v>
      </c>
      <c r="AU253" s="14">
        <v>100</v>
      </c>
      <c r="AV253" s="14"/>
      <c r="AW253" s="14">
        <v>47.08</v>
      </c>
      <c r="AX253" s="15">
        <v>45900</v>
      </c>
      <c r="AY253" s="15"/>
    </row>
    <row r="254" spans="1:51">
      <c r="A254" s="12">
        <v>8901092</v>
      </c>
      <c r="B254" s="13" t="s">
        <v>3347</v>
      </c>
      <c r="C254" s="13" t="s">
        <v>3342</v>
      </c>
      <c r="D254" s="13"/>
      <c r="E254" s="13" t="s">
        <v>3318</v>
      </c>
      <c r="F254" s="12"/>
      <c r="G254" s="12"/>
      <c r="H254" s="13"/>
      <c r="I254" s="12"/>
      <c r="J254" s="12"/>
      <c r="K254" s="12"/>
      <c r="L254" s="12" t="s">
        <v>138</v>
      </c>
      <c r="M254" s="12"/>
      <c r="N254" s="12"/>
      <c r="O254" s="13"/>
      <c r="P254" s="12">
        <v>20</v>
      </c>
      <c r="Q254" s="13" t="s">
        <v>3320</v>
      </c>
      <c r="R254" s="12">
        <v>450</v>
      </c>
      <c r="S254" s="12">
        <v>187112</v>
      </c>
      <c r="T254" s="12"/>
      <c r="U254" s="13"/>
      <c r="V254" s="12" t="s">
        <v>3321</v>
      </c>
      <c r="W254" s="13" t="s">
        <v>3322</v>
      </c>
      <c r="X254" s="12"/>
      <c r="Y254" s="13"/>
      <c r="Z254" s="12"/>
      <c r="AA254" s="13"/>
      <c r="AB254" s="12"/>
      <c r="AC254" s="12"/>
      <c r="AD254" s="14"/>
      <c r="AE254" s="12"/>
      <c r="AF254" s="13"/>
      <c r="AG254" s="12"/>
      <c r="AH254" s="12"/>
      <c r="AI254" s="13"/>
      <c r="AJ254" s="13" t="s">
        <v>3328</v>
      </c>
      <c r="AK254" s="13" t="s">
        <v>3324</v>
      </c>
      <c r="AL254" s="12"/>
      <c r="AM254" s="13"/>
      <c r="AN254" s="12"/>
      <c r="AO254" s="12" t="s">
        <v>134</v>
      </c>
      <c r="AP254" s="13"/>
      <c r="AQ254" s="12" t="s">
        <v>137</v>
      </c>
      <c r="AR254" s="13"/>
      <c r="AS254" s="13" t="s">
        <v>71</v>
      </c>
      <c r="AT254" s="13" t="s">
        <v>71</v>
      </c>
      <c r="AU254" s="14">
        <v>100</v>
      </c>
      <c r="AV254" s="14"/>
      <c r="AW254" s="14">
        <v>47.36</v>
      </c>
      <c r="AX254" s="15">
        <v>45900</v>
      </c>
      <c r="AY254" s="15"/>
    </row>
    <row r="255" spans="1:51">
      <c r="A255" s="12">
        <v>8912102</v>
      </c>
      <c r="B255" s="13" t="s">
        <v>3566</v>
      </c>
      <c r="C255" s="13" t="s">
        <v>3342</v>
      </c>
      <c r="D255" s="13"/>
      <c r="E255" s="13" t="s">
        <v>3318</v>
      </c>
      <c r="F255" s="12"/>
      <c r="G255" s="12"/>
      <c r="H255" s="13"/>
      <c r="I255" s="12"/>
      <c r="J255" s="12"/>
      <c r="K255" s="12"/>
      <c r="L255" s="12" t="s">
        <v>1750</v>
      </c>
      <c r="M255" s="12"/>
      <c r="N255" s="12"/>
      <c r="O255" s="13"/>
      <c r="P255" s="12"/>
      <c r="Q255" s="13"/>
      <c r="R255" s="12"/>
      <c r="S255" s="12"/>
      <c r="T255" s="12"/>
      <c r="U255" s="13"/>
      <c r="V255" s="12" t="s">
        <v>3321</v>
      </c>
      <c r="W255" s="13" t="s">
        <v>3322</v>
      </c>
      <c r="X255" s="12"/>
      <c r="Y255" s="13"/>
      <c r="Z255" s="12"/>
      <c r="AA255" s="13"/>
      <c r="AB255" s="12"/>
      <c r="AC255" s="12"/>
      <c r="AD255" s="14"/>
      <c r="AE255" s="12"/>
      <c r="AF255" s="13"/>
      <c r="AG255" s="12"/>
      <c r="AH255" s="12"/>
      <c r="AI255" s="13"/>
      <c r="AJ255" s="13" t="s">
        <v>3328</v>
      </c>
      <c r="AK255" s="13" t="s">
        <v>3324</v>
      </c>
      <c r="AL255" s="12"/>
      <c r="AM255" s="13"/>
      <c r="AN255" s="12"/>
      <c r="AO255" s="12">
        <v>1210</v>
      </c>
      <c r="AP255" s="13"/>
      <c r="AQ255" s="12">
        <v>12102</v>
      </c>
      <c r="AR255" s="13"/>
      <c r="AS255" s="13" t="s">
        <v>71</v>
      </c>
      <c r="AT255" s="13" t="s">
        <v>71</v>
      </c>
      <c r="AU255" s="14">
        <v>100</v>
      </c>
      <c r="AV255" s="14"/>
      <c r="AW255" s="14">
        <v>47.47</v>
      </c>
      <c r="AX255" s="15">
        <v>45900</v>
      </c>
      <c r="AY255" s="15"/>
    </row>
    <row r="256" spans="1:51">
      <c r="A256" s="12">
        <v>8901061</v>
      </c>
      <c r="B256" s="13" t="s">
        <v>3341</v>
      </c>
      <c r="C256" s="13" t="s">
        <v>3342</v>
      </c>
      <c r="D256" s="13"/>
      <c r="E256" s="13" t="s">
        <v>3318</v>
      </c>
      <c r="F256" s="12"/>
      <c r="G256" s="12"/>
      <c r="H256" s="13"/>
      <c r="I256" s="12"/>
      <c r="J256" s="12"/>
      <c r="K256" s="12"/>
      <c r="L256" s="12" t="s">
        <v>103</v>
      </c>
      <c r="M256" s="12"/>
      <c r="N256" s="12"/>
      <c r="O256" s="13"/>
      <c r="P256" s="12">
        <v>10</v>
      </c>
      <c r="Q256" s="13" t="s">
        <v>3339</v>
      </c>
      <c r="R256" s="12">
        <v>985</v>
      </c>
      <c r="S256" s="12">
        <v>3283687</v>
      </c>
      <c r="T256" s="12"/>
      <c r="U256" s="13"/>
      <c r="V256" s="12" t="s">
        <v>3321</v>
      </c>
      <c r="W256" s="13" t="s">
        <v>3322</v>
      </c>
      <c r="X256" s="12"/>
      <c r="Y256" s="13"/>
      <c r="Z256" s="12"/>
      <c r="AA256" s="13"/>
      <c r="AB256" s="12"/>
      <c r="AC256" s="12"/>
      <c r="AD256" s="14"/>
      <c r="AE256" s="12"/>
      <c r="AF256" s="13"/>
      <c r="AG256" s="12"/>
      <c r="AH256" s="12"/>
      <c r="AI256" s="13"/>
      <c r="AJ256" s="13" t="s">
        <v>3328</v>
      </c>
      <c r="AK256" s="13" t="s">
        <v>3324</v>
      </c>
      <c r="AL256" s="12"/>
      <c r="AM256" s="13"/>
      <c r="AN256" s="12"/>
      <c r="AO256" s="12" t="s">
        <v>101</v>
      </c>
      <c r="AP256" s="13"/>
      <c r="AQ256" s="12" t="s">
        <v>97</v>
      </c>
      <c r="AR256" s="13"/>
      <c r="AS256" s="13" t="s">
        <v>71</v>
      </c>
      <c r="AT256" s="13" t="s">
        <v>71</v>
      </c>
      <c r="AU256" s="14">
        <v>100</v>
      </c>
      <c r="AV256" s="14"/>
      <c r="AW256" s="14">
        <v>47.53</v>
      </c>
      <c r="AX256" s="15">
        <v>45900</v>
      </c>
      <c r="AY256" s="15"/>
    </row>
    <row r="257" spans="1:56">
      <c r="A257" s="12">
        <v>8902162</v>
      </c>
      <c r="B257" s="13" t="s">
        <v>3398</v>
      </c>
      <c r="C257" s="13" t="s">
        <v>3342</v>
      </c>
      <c r="D257" s="13"/>
      <c r="E257" s="13" t="s">
        <v>3318</v>
      </c>
      <c r="F257" s="12"/>
      <c r="G257" s="12"/>
      <c r="H257" s="13"/>
      <c r="I257" s="12"/>
      <c r="J257" s="12"/>
      <c r="K257" s="12"/>
      <c r="L257" s="12" t="s">
        <v>494</v>
      </c>
      <c r="M257" s="12"/>
      <c r="N257" s="12"/>
      <c r="O257" s="13"/>
      <c r="P257" s="12">
        <v>10</v>
      </c>
      <c r="Q257" s="13" t="s">
        <v>3339</v>
      </c>
      <c r="R257" s="12">
        <v>985</v>
      </c>
      <c r="S257" s="12">
        <v>3284586</v>
      </c>
      <c r="T257" s="12"/>
      <c r="U257" s="13"/>
      <c r="V257" s="12" t="s">
        <v>3321</v>
      </c>
      <c r="W257" s="13" t="s">
        <v>3322</v>
      </c>
      <c r="X257" s="12"/>
      <c r="Y257" s="13"/>
      <c r="Z257" s="12"/>
      <c r="AA257" s="13"/>
      <c r="AB257" s="12"/>
      <c r="AC257" s="12"/>
      <c r="AD257" s="14"/>
      <c r="AE257" s="12"/>
      <c r="AF257" s="13"/>
      <c r="AG257" s="12"/>
      <c r="AH257" s="12"/>
      <c r="AI257" s="13"/>
      <c r="AJ257" s="13" t="s">
        <v>3328</v>
      </c>
      <c r="AK257" s="13" t="s">
        <v>3324</v>
      </c>
      <c r="AL257" s="12"/>
      <c r="AM257" s="13"/>
      <c r="AN257" s="12"/>
      <c r="AO257" s="12" t="s">
        <v>489</v>
      </c>
      <c r="AP257" s="13"/>
      <c r="AQ257" s="12" t="s">
        <v>492</v>
      </c>
      <c r="AR257" s="13"/>
      <c r="AS257" s="13" t="s">
        <v>71</v>
      </c>
      <c r="AT257" s="13" t="s">
        <v>71</v>
      </c>
      <c r="AU257" s="14">
        <v>100</v>
      </c>
      <c r="AV257" s="14"/>
      <c r="AW257" s="14">
        <v>47.82</v>
      </c>
      <c r="AX257" s="15">
        <v>45900</v>
      </c>
      <c r="AY257" s="15"/>
    </row>
    <row r="258" spans="1:56">
      <c r="A258" s="12">
        <v>8920022</v>
      </c>
      <c r="B258" s="13" t="s">
        <v>3657</v>
      </c>
      <c r="C258" s="13" t="s">
        <v>3317</v>
      </c>
      <c r="D258" s="13"/>
      <c r="E258" s="13" t="s">
        <v>3318</v>
      </c>
      <c r="F258" s="12"/>
      <c r="G258" s="12"/>
      <c r="H258" s="13"/>
      <c r="I258" s="12"/>
      <c r="J258" s="12"/>
      <c r="K258" s="12"/>
      <c r="L258" s="12" t="s">
        <v>3658</v>
      </c>
      <c r="M258" s="12"/>
      <c r="N258" s="12"/>
      <c r="O258" s="13"/>
      <c r="P258" s="12">
        <v>20</v>
      </c>
      <c r="Q258" s="13" t="s">
        <v>3320</v>
      </c>
      <c r="R258" s="12">
        <v>427</v>
      </c>
      <c r="S258" s="12">
        <v>219828</v>
      </c>
      <c r="T258" s="12"/>
      <c r="U258" s="13"/>
      <c r="V258" s="12" t="s">
        <v>3321</v>
      </c>
      <c r="W258" s="13" t="s">
        <v>3322</v>
      </c>
      <c r="X258" s="12"/>
      <c r="Y258" s="13"/>
      <c r="Z258" s="12"/>
      <c r="AA258" s="13"/>
      <c r="AB258" s="12"/>
      <c r="AC258" s="12"/>
      <c r="AD258" s="14"/>
      <c r="AE258" s="12"/>
      <c r="AF258" s="13"/>
      <c r="AG258" s="12"/>
      <c r="AH258" s="12"/>
      <c r="AI258" s="13"/>
      <c r="AJ258" s="13" t="s">
        <v>3328</v>
      </c>
      <c r="AK258" s="13" t="s">
        <v>3324</v>
      </c>
      <c r="AL258" s="12"/>
      <c r="AM258" s="13"/>
      <c r="AN258" s="12"/>
      <c r="AO258" s="12"/>
      <c r="AP258" s="13"/>
      <c r="AQ258" s="12">
        <v>20022</v>
      </c>
      <c r="AR258" s="13"/>
      <c r="AS258" s="13" t="s">
        <v>71</v>
      </c>
      <c r="AT258" s="13" t="s">
        <v>71</v>
      </c>
      <c r="AU258" s="14">
        <v>100</v>
      </c>
      <c r="AV258" s="14"/>
      <c r="AW258" s="14">
        <v>47.86</v>
      </c>
      <c r="AX258" s="15">
        <v>43556</v>
      </c>
      <c r="AY258" s="15"/>
    </row>
    <row r="259" spans="1:56">
      <c r="A259" s="12">
        <v>8904011</v>
      </c>
      <c r="B259" s="13" t="s">
        <v>3451</v>
      </c>
      <c r="C259" s="13" t="s">
        <v>3317</v>
      </c>
      <c r="D259" s="13"/>
      <c r="E259" s="13" t="s">
        <v>3318</v>
      </c>
      <c r="F259" s="12"/>
      <c r="G259" s="12"/>
      <c r="H259" s="13"/>
      <c r="I259" s="12"/>
      <c r="J259" s="12"/>
      <c r="K259" s="12"/>
      <c r="L259" s="12" t="s">
        <v>3452</v>
      </c>
      <c r="M259" s="12"/>
      <c r="N259" s="12"/>
      <c r="O259" s="13"/>
      <c r="P259" s="12">
        <v>10</v>
      </c>
      <c r="Q259" s="13" t="s">
        <v>3339</v>
      </c>
      <c r="R259" s="12">
        <v>985</v>
      </c>
      <c r="S259" s="12">
        <v>20850780</v>
      </c>
      <c r="T259" s="12"/>
      <c r="U259" s="13"/>
      <c r="V259" s="12" t="s">
        <v>3321</v>
      </c>
      <c r="W259" s="13" t="s">
        <v>3322</v>
      </c>
      <c r="X259" s="12"/>
      <c r="Y259" s="13"/>
      <c r="Z259" s="12"/>
      <c r="AA259" s="13"/>
      <c r="AB259" s="12"/>
      <c r="AC259" s="12"/>
      <c r="AD259" s="14"/>
      <c r="AE259" s="12"/>
      <c r="AF259" s="13"/>
      <c r="AG259" s="12"/>
      <c r="AH259" s="12"/>
      <c r="AI259" s="13"/>
      <c r="AJ259" s="13" t="s">
        <v>3328</v>
      </c>
      <c r="AK259" s="13" t="s">
        <v>3324</v>
      </c>
      <c r="AL259" s="12"/>
      <c r="AM259" s="13"/>
      <c r="AN259" s="12"/>
      <c r="AO259" s="12"/>
      <c r="AP259" s="13"/>
      <c r="AQ259" s="12" t="s">
        <v>3453</v>
      </c>
      <c r="AR259" s="13"/>
      <c r="AS259" s="13" t="s">
        <v>71</v>
      </c>
      <c r="AT259" s="13" t="s">
        <v>71</v>
      </c>
      <c r="AU259" s="14">
        <v>100</v>
      </c>
      <c r="AV259" s="14"/>
      <c r="AW259" s="14">
        <v>47.868493000000001</v>
      </c>
      <c r="AX259" s="15">
        <v>43313</v>
      </c>
      <c r="AY259" s="15"/>
    </row>
    <row r="260" spans="1:56">
      <c r="A260" s="12">
        <v>8904032</v>
      </c>
      <c r="B260" s="13" t="s">
        <v>3458</v>
      </c>
      <c r="C260" s="13" t="s">
        <v>3342</v>
      </c>
      <c r="D260" s="13"/>
      <c r="E260" s="13" t="s">
        <v>3318</v>
      </c>
      <c r="F260" s="12"/>
      <c r="G260" s="12"/>
      <c r="H260" s="13"/>
      <c r="I260" s="12"/>
      <c r="J260" s="12"/>
      <c r="K260" s="12"/>
      <c r="L260" s="12" t="s">
        <v>3321</v>
      </c>
      <c r="M260" s="12"/>
      <c r="N260" s="12"/>
      <c r="O260" s="13"/>
      <c r="P260" s="12">
        <v>10</v>
      </c>
      <c r="Q260" s="13" t="s">
        <v>3339</v>
      </c>
      <c r="R260" s="12">
        <v>985</v>
      </c>
      <c r="S260" s="12">
        <v>3271401</v>
      </c>
      <c r="T260" s="12"/>
      <c r="U260" s="13"/>
      <c r="V260" s="12" t="s">
        <v>3321</v>
      </c>
      <c r="W260" s="13" t="s">
        <v>3322</v>
      </c>
      <c r="X260" s="12"/>
      <c r="Y260" s="13"/>
      <c r="Z260" s="12"/>
      <c r="AA260" s="13"/>
      <c r="AB260" s="12"/>
      <c r="AC260" s="12"/>
      <c r="AD260" s="14"/>
      <c r="AE260" s="12"/>
      <c r="AF260" s="13"/>
      <c r="AG260" s="12"/>
      <c r="AH260" s="12"/>
      <c r="AI260" s="13"/>
      <c r="AJ260" s="13" t="s">
        <v>3328</v>
      </c>
      <c r="AK260" s="13" t="s">
        <v>3324</v>
      </c>
      <c r="AL260" s="12"/>
      <c r="AM260" s="13"/>
      <c r="AN260" s="12"/>
      <c r="AO260" s="12" t="s">
        <v>904</v>
      </c>
      <c r="AP260" s="13"/>
      <c r="AQ260" s="12" t="s">
        <v>907</v>
      </c>
      <c r="AR260" s="13"/>
      <c r="AS260" s="13" t="s">
        <v>71</v>
      </c>
      <c r="AT260" s="13" t="s">
        <v>71</v>
      </c>
      <c r="AU260" s="14">
        <v>100</v>
      </c>
      <c r="AV260" s="14"/>
      <c r="AW260" s="14">
        <v>47.96</v>
      </c>
      <c r="AX260" s="15">
        <v>45900</v>
      </c>
      <c r="AY260" s="15"/>
    </row>
    <row r="261" spans="1:56">
      <c r="A261" s="12">
        <v>8901071</v>
      </c>
      <c r="B261" s="13" t="s">
        <v>3344</v>
      </c>
      <c r="C261" s="13" t="s">
        <v>3342</v>
      </c>
      <c r="D261" s="13"/>
      <c r="E261" s="13" t="s">
        <v>3318</v>
      </c>
      <c r="F261" s="12"/>
      <c r="G261" s="12"/>
      <c r="H261" s="13"/>
      <c r="I261" s="12"/>
      <c r="J261" s="12"/>
      <c r="K261" s="12"/>
      <c r="L261" s="12" t="s">
        <v>117</v>
      </c>
      <c r="M261" s="12"/>
      <c r="N261" s="12"/>
      <c r="O261" s="13"/>
      <c r="P261" s="12">
        <v>10</v>
      </c>
      <c r="Q261" s="13" t="s">
        <v>3339</v>
      </c>
      <c r="R261" s="12">
        <v>985</v>
      </c>
      <c r="S261" s="12">
        <v>3283785</v>
      </c>
      <c r="T261" s="12"/>
      <c r="U261" s="13"/>
      <c r="V261" s="12" t="s">
        <v>3321</v>
      </c>
      <c r="W261" s="13" t="s">
        <v>3322</v>
      </c>
      <c r="X261" s="12"/>
      <c r="Y261" s="13"/>
      <c r="Z261" s="12"/>
      <c r="AA261" s="13"/>
      <c r="AB261" s="12"/>
      <c r="AC261" s="12"/>
      <c r="AD261" s="14"/>
      <c r="AE261" s="12"/>
      <c r="AF261" s="13"/>
      <c r="AG261" s="12"/>
      <c r="AH261" s="12"/>
      <c r="AI261" s="13"/>
      <c r="AJ261" s="13" t="s">
        <v>3328</v>
      </c>
      <c r="AK261" s="13" t="s">
        <v>3324</v>
      </c>
      <c r="AL261" s="12"/>
      <c r="AM261" s="13"/>
      <c r="AN261" s="12"/>
      <c r="AO261" s="12" t="s">
        <v>115</v>
      </c>
      <c r="AP261" s="13"/>
      <c r="AQ261" s="12" t="s">
        <v>111</v>
      </c>
      <c r="AR261" s="13"/>
      <c r="AS261" s="13" t="s">
        <v>71</v>
      </c>
      <c r="AT261" s="13" t="s">
        <v>71</v>
      </c>
      <c r="AU261" s="14">
        <v>100</v>
      </c>
      <c r="AV261" s="14"/>
      <c r="AW261" s="14">
        <v>48</v>
      </c>
      <c r="AX261" s="15">
        <v>45900</v>
      </c>
      <c r="AY261" s="15"/>
    </row>
    <row r="262" spans="1:56">
      <c r="A262" s="12">
        <v>8901072</v>
      </c>
      <c r="B262" s="13" t="s">
        <v>3345</v>
      </c>
      <c r="C262" s="13" t="s">
        <v>3342</v>
      </c>
      <c r="D262" s="13"/>
      <c r="E262" s="13" t="s">
        <v>3318</v>
      </c>
      <c r="F262" s="12"/>
      <c r="G262" s="12"/>
      <c r="H262" s="13"/>
      <c r="I262" s="12"/>
      <c r="J262" s="12"/>
      <c r="K262" s="12"/>
      <c r="L262" s="12" t="s">
        <v>122</v>
      </c>
      <c r="M262" s="12"/>
      <c r="N262" s="12"/>
      <c r="O262" s="13"/>
      <c r="P262" s="12">
        <v>10</v>
      </c>
      <c r="Q262" s="13" t="s">
        <v>3339</v>
      </c>
      <c r="R262" s="12">
        <v>985</v>
      </c>
      <c r="S262" s="12">
        <v>3283785</v>
      </c>
      <c r="T262" s="12"/>
      <c r="U262" s="13"/>
      <c r="V262" s="12" t="s">
        <v>3321</v>
      </c>
      <c r="W262" s="13" t="s">
        <v>3322</v>
      </c>
      <c r="X262" s="12"/>
      <c r="Y262" s="13"/>
      <c r="Z262" s="12"/>
      <c r="AA262" s="13"/>
      <c r="AB262" s="12"/>
      <c r="AC262" s="12"/>
      <c r="AD262" s="14"/>
      <c r="AE262" s="12"/>
      <c r="AF262" s="13"/>
      <c r="AG262" s="12"/>
      <c r="AH262" s="12"/>
      <c r="AI262" s="13"/>
      <c r="AJ262" s="13" t="s">
        <v>3328</v>
      </c>
      <c r="AK262" s="13" t="s">
        <v>3324</v>
      </c>
      <c r="AL262" s="12"/>
      <c r="AM262" s="13"/>
      <c r="AN262" s="12"/>
      <c r="AO262" s="12" t="s">
        <v>115</v>
      </c>
      <c r="AP262" s="13"/>
      <c r="AQ262" s="12" t="s">
        <v>119</v>
      </c>
      <c r="AR262" s="13"/>
      <c r="AS262" s="13" t="s">
        <v>71</v>
      </c>
      <c r="AT262" s="13" t="s">
        <v>71</v>
      </c>
      <c r="AU262" s="14">
        <v>100</v>
      </c>
      <c r="AV262" s="14"/>
      <c r="AW262" s="14">
        <v>48</v>
      </c>
      <c r="AX262" s="15">
        <v>45900</v>
      </c>
      <c r="AY262" s="15"/>
    </row>
    <row r="263" spans="1:56">
      <c r="A263" s="12">
        <v>8901101</v>
      </c>
      <c r="B263" s="13" t="s">
        <v>3348</v>
      </c>
      <c r="C263" s="13" t="s">
        <v>3342</v>
      </c>
      <c r="D263" s="13"/>
      <c r="E263" s="13" t="s">
        <v>3318</v>
      </c>
      <c r="F263" s="12"/>
      <c r="G263" s="12"/>
      <c r="H263" s="13"/>
      <c r="I263" s="12"/>
      <c r="J263" s="12"/>
      <c r="K263" s="12"/>
      <c r="L263" s="12" t="s">
        <v>144</v>
      </c>
      <c r="M263" s="12" t="s">
        <v>144</v>
      </c>
      <c r="N263" s="12"/>
      <c r="O263" s="13"/>
      <c r="P263" s="12">
        <v>10</v>
      </c>
      <c r="Q263" s="13" t="s">
        <v>3339</v>
      </c>
      <c r="R263" s="12">
        <v>925</v>
      </c>
      <c r="S263" s="12">
        <v>3726925</v>
      </c>
      <c r="T263" s="12"/>
      <c r="U263" s="13"/>
      <c r="V263" s="12" t="s">
        <v>3321</v>
      </c>
      <c r="W263" s="13" t="s">
        <v>3322</v>
      </c>
      <c r="X263" s="12"/>
      <c r="Y263" s="13"/>
      <c r="Z263" s="12"/>
      <c r="AA263" s="13"/>
      <c r="AB263" s="12"/>
      <c r="AC263" s="12"/>
      <c r="AD263" s="14"/>
      <c r="AE263" s="12"/>
      <c r="AF263" s="13"/>
      <c r="AG263" s="12"/>
      <c r="AH263" s="12"/>
      <c r="AI263" s="13"/>
      <c r="AJ263" s="13" t="s">
        <v>3328</v>
      </c>
      <c r="AK263" s="13" t="s">
        <v>3324</v>
      </c>
      <c r="AL263" s="12"/>
      <c r="AM263" s="13"/>
      <c r="AN263" s="12"/>
      <c r="AO263" s="12" t="s">
        <v>143</v>
      </c>
      <c r="AP263" s="13"/>
      <c r="AQ263" s="12" t="s">
        <v>139</v>
      </c>
      <c r="AR263" s="13"/>
      <c r="AS263" s="13" t="s">
        <v>71</v>
      </c>
      <c r="AT263" s="13" t="s">
        <v>71</v>
      </c>
      <c r="AU263" s="14">
        <v>100</v>
      </c>
      <c r="AV263" s="14"/>
      <c r="AW263" s="14">
        <v>48</v>
      </c>
      <c r="AX263" s="15">
        <v>45900</v>
      </c>
      <c r="AY263" s="15"/>
    </row>
    <row r="264" spans="1:56">
      <c r="A264" s="12">
        <v>8901121</v>
      </c>
      <c r="B264" s="13" t="s">
        <v>3351</v>
      </c>
      <c r="C264" s="13" t="s">
        <v>3342</v>
      </c>
      <c r="D264" s="13"/>
      <c r="E264" s="13" t="s">
        <v>3318</v>
      </c>
      <c r="F264" s="12"/>
      <c r="G264" s="12"/>
      <c r="H264" s="13"/>
      <c r="I264" s="12"/>
      <c r="J264" s="12"/>
      <c r="K264" s="12"/>
      <c r="L264" s="12" t="s">
        <v>163</v>
      </c>
      <c r="M264" s="12"/>
      <c r="N264" s="12">
        <v>1</v>
      </c>
      <c r="O264" s="13" t="s">
        <v>3335</v>
      </c>
      <c r="P264" s="12">
        <v>10</v>
      </c>
      <c r="Q264" s="13" t="s">
        <v>3339</v>
      </c>
      <c r="R264" s="12">
        <v>985</v>
      </c>
      <c r="S264" s="12">
        <v>3162525</v>
      </c>
      <c r="T264" s="12"/>
      <c r="U264" s="13"/>
      <c r="V264" s="12" t="s">
        <v>3321</v>
      </c>
      <c r="W264" s="13" t="s">
        <v>3322</v>
      </c>
      <c r="X264" s="12"/>
      <c r="Y264" s="13"/>
      <c r="Z264" s="12"/>
      <c r="AA264" s="13"/>
      <c r="AB264" s="12"/>
      <c r="AC264" s="12"/>
      <c r="AD264" s="14"/>
      <c r="AE264" s="12"/>
      <c r="AF264" s="13"/>
      <c r="AG264" s="12"/>
      <c r="AH264" s="12"/>
      <c r="AI264" s="13"/>
      <c r="AJ264" s="13" t="s">
        <v>3328</v>
      </c>
      <c r="AK264" s="13" t="s">
        <v>3324</v>
      </c>
      <c r="AL264" s="12"/>
      <c r="AM264" s="13"/>
      <c r="AN264" s="12"/>
      <c r="AO264" s="12" t="s">
        <v>161</v>
      </c>
      <c r="AP264" s="13"/>
      <c r="AQ264" s="12" t="s">
        <v>157</v>
      </c>
      <c r="AR264" s="13"/>
      <c r="AS264" s="13" t="s">
        <v>71</v>
      </c>
      <c r="AT264" s="13" t="s">
        <v>71</v>
      </c>
      <c r="AU264" s="14">
        <v>100</v>
      </c>
      <c r="AV264" s="14"/>
      <c r="AW264" s="14">
        <v>48</v>
      </c>
      <c r="AX264" s="15">
        <v>45900</v>
      </c>
      <c r="AY264" s="15"/>
    </row>
    <row r="265" spans="1:56">
      <c r="A265" s="12">
        <v>8901122</v>
      </c>
      <c r="B265" s="13" t="s">
        <v>3352</v>
      </c>
      <c r="C265" s="13" t="s">
        <v>3342</v>
      </c>
      <c r="D265" s="13"/>
      <c r="E265" s="13" t="s">
        <v>3318</v>
      </c>
      <c r="F265" s="12"/>
      <c r="G265" s="12"/>
      <c r="H265" s="13"/>
      <c r="I265" s="12"/>
      <c r="J265" s="12"/>
      <c r="K265" s="12"/>
      <c r="L265" s="12" t="s">
        <v>167</v>
      </c>
      <c r="M265" s="12"/>
      <c r="N265" s="12"/>
      <c r="O265" s="13"/>
      <c r="P265" s="12">
        <v>10</v>
      </c>
      <c r="Q265" s="13" t="s">
        <v>3339</v>
      </c>
      <c r="R265" s="12">
        <v>985</v>
      </c>
      <c r="S265" s="12">
        <v>3162525</v>
      </c>
      <c r="T265" s="12"/>
      <c r="U265" s="13"/>
      <c r="V265" s="12" t="s">
        <v>3321</v>
      </c>
      <c r="W265" s="13" t="s">
        <v>3322</v>
      </c>
      <c r="X265" s="12"/>
      <c r="Y265" s="13"/>
      <c r="Z265" s="12"/>
      <c r="AA265" s="13"/>
      <c r="AB265" s="12"/>
      <c r="AC265" s="12"/>
      <c r="AD265" s="14"/>
      <c r="AE265" s="12"/>
      <c r="AF265" s="13"/>
      <c r="AG265" s="12"/>
      <c r="AH265" s="12"/>
      <c r="AI265" s="13"/>
      <c r="AJ265" s="13" t="s">
        <v>3328</v>
      </c>
      <c r="AK265" s="13" t="s">
        <v>3324</v>
      </c>
      <c r="AL265" s="12"/>
      <c r="AM265" s="13"/>
      <c r="AN265" s="12"/>
      <c r="AO265" s="12" t="s">
        <v>161</v>
      </c>
      <c r="AP265" s="13"/>
      <c r="AQ265" s="12" t="s">
        <v>164</v>
      </c>
      <c r="AR265" s="13"/>
      <c r="AS265" s="13" t="s">
        <v>71</v>
      </c>
      <c r="AT265" s="13" t="s">
        <v>71</v>
      </c>
      <c r="AU265" s="14">
        <v>100</v>
      </c>
      <c r="AV265" s="14"/>
      <c r="AW265" s="14">
        <v>48</v>
      </c>
      <c r="AX265" s="15">
        <v>45900</v>
      </c>
      <c r="AY265" s="15"/>
      <c r="BA265" s="108">
        <v>45839</v>
      </c>
      <c r="BB265" s="108">
        <v>44562</v>
      </c>
    </row>
    <row r="266" spans="1:56">
      <c r="A266" s="12">
        <v>8902021</v>
      </c>
      <c r="B266" s="13" t="s">
        <v>3368</v>
      </c>
      <c r="C266" s="13" t="s">
        <v>3342</v>
      </c>
      <c r="D266" s="13"/>
      <c r="E266" s="13" t="s">
        <v>3318</v>
      </c>
      <c r="F266" s="12"/>
      <c r="G266" s="12"/>
      <c r="H266" s="13"/>
      <c r="I266" s="12"/>
      <c r="J266" s="12"/>
      <c r="K266" s="12"/>
      <c r="L266" s="12" t="s">
        <v>435</v>
      </c>
      <c r="M266" s="12" t="s">
        <v>435</v>
      </c>
      <c r="N266" s="12"/>
      <c r="O266" s="13"/>
      <c r="P266" s="12">
        <v>20</v>
      </c>
      <c r="Q266" s="13" t="s">
        <v>3320</v>
      </c>
      <c r="R266" s="12">
        <v>450</v>
      </c>
      <c r="S266" s="12">
        <v>282808</v>
      </c>
      <c r="T266" s="12"/>
      <c r="U266" s="13"/>
      <c r="V266" s="12" t="s">
        <v>3321</v>
      </c>
      <c r="W266" s="13" t="s">
        <v>3322</v>
      </c>
      <c r="X266" s="12"/>
      <c r="Y266" s="13"/>
      <c r="Z266" s="12"/>
      <c r="AA266" s="13"/>
      <c r="AB266" s="12"/>
      <c r="AC266" s="12"/>
      <c r="AD266" s="14"/>
      <c r="AE266" s="12"/>
      <c r="AF266" s="13"/>
      <c r="AG266" s="12"/>
      <c r="AH266" s="12"/>
      <c r="AI266" s="13"/>
      <c r="AJ266" s="13" t="s">
        <v>3328</v>
      </c>
      <c r="AK266" s="13" t="s">
        <v>3324</v>
      </c>
      <c r="AL266" s="12"/>
      <c r="AM266" s="13"/>
      <c r="AN266" s="12"/>
      <c r="AO266" s="12" t="s">
        <v>433</v>
      </c>
      <c r="AP266" s="13"/>
      <c r="AQ266" s="12" t="s">
        <v>429</v>
      </c>
      <c r="AR266" s="13"/>
      <c r="AS266" s="13" t="s">
        <v>71</v>
      </c>
      <c r="AT266" s="13" t="s">
        <v>71</v>
      </c>
      <c r="AU266" s="14">
        <v>100</v>
      </c>
      <c r="AV266" s="14"/>
      <c r="AW266" s="14">
        <v>48</v>
      </c>
      <c r="AX266" s="15">
        <v>45900</v>
      </c>
      <c r="AY266" s="15"/>
      <c r="BA266" s="87">
        <f>AW265+AW266</f>
        <v>96</v>
      </c>
      <c r="BB266">
        <v>12.6</v>
      </c>
      <c r="BC266">
        <f>(BA265-BB265)/365</f>
        <v>3.4986301369863013</v>
      </c>
      <c r="BD266">
        <f>BC266+BB266</f>
        <v>16.098630136986301</v>
      </c>
    </row>
    <row r="267" spans="1:56">
      <c r="A267" s="12">
        <v>8902022</v>
      </c>
      <c r="B267" s="13" t="s">
        <v>3369</v>
      </c>
      <c r="C267" s="13" t="s">
        <v>3342</v>
      </c>
      <c r="D267" s="13"/>
      <c r="E267" s="13" t="s">
        <v>3318</v>
      </c>
      <c r="F267" s="12"/>
      <c r="G267" s="12"/>
      <c r="H267" s="13"/>
      <c r="I267" s="12"/>
      <c r="J267" s="12"/>
      <c r="K267" s="12"/>
      <c r="L267" s="12" t="s">
        <v>439</v>
      </c>
      <c r="M267" s="12"/>
      <c r="N267" s="12"/>
      <c r="O267" s="13"/>
      <c r="P267" s="12">
        <v>20</v>
      </c>
      <c r="Q267" s="13" t="s">
        <v>3320</v>
      </c>
      <c r="R267" s="12">
        <v>450</v>
      </c>
      <c r="S267" s="12">
        <v>282808</v>
      </c>
      <c r="T267" s="12"/>
      <c r="U267" s="13"/>
      <c r="V267" s="12" t="s">
        <v>3321</v>
      </c>
      <c r="W267" s="13" t="s">
        <v>3322</v>
      </c>
      <c r="X267" s="12"/>
      <c r="Y267" s="13"/>
      <c r="Z267" s="12"/>
      <c r="AA267" s="13"/>
      <c r="AB267" s="12"/>
      <c r="AC267" s="12"/>
      <c r="AD267" s="14"/>
      <c r="AE267" s="12"/>
      <c r="AF267" s="13"/>
      <c r="AG267" s="12"/>
      <c r="AH267" s="12"/>
      <c r="AI267" s="13"/>
      <c r="AJ267" s="13" t="s">
        <v>3328</v>
      </c>
      <c r="AK267" s="13" t="s">
        <v>3324</v>
      </c>
      <c r="AL267" s="12"/>
      <c r="AM267" s="13"/>
      <c r="AN267" s="12"/>
      <c r="AO267" s="12" t="s">
        <v>433</v>
      </c>
      <c r="AP267" s="13"/>
      <c r="AQ267" s="12" t="s">
        <v>436</v>
      </c>
      <c r="AR267" s="13"/>
      <c r="AS267" s="13" t="s">
        <v>71</v>
      </c>
      <c r="AT267" s="13" t="s">
        <v>71</v>
      </c>
      <c r="AU267" s="14">
        <v>100</v>
      </c>
      <c r="AV267" s="14"/>
      <c r="AW267" s="14">
        <v>48</v>
      </c>
      <c r="AX267" s="15">
        <v>45900</v>
      </c>
      <c r="AY267" s="15"/>
    </row>
    <row r="268" spans="1:56">
      <c r="A268" s="12">
        <v>8902102</v>
      </c>
      <c r="B268" s="13" t="s">
        <v>3388</v>
      </c>
      <c r="C268" s="13" t="s">
        <v>3317</v>
      </c>
      <c r="D268" s="13"/>
      <c r="E268" s="13" t="s">
        <v>3318</v>
      </c>
      <c r="F268" s="12"/>
      <c r="G268" s="12"/>
      <c r="H268" s="13"/>
      <c r="I268" s="12"/>
      <c r="J268" s="12"/>
      <c r="K268" s="12"/>
      <c r="L268" s="12" t="s">
        <v>3389</v>
      </c>
      <c r="M268" s="12"/>
      <c r="N268" s="12"/>
      <c r="O268" s="13"/>
      <c r="P268" s="12">
        <v>10</v>
      </c>
      <c r="Q268" s="13" t="s">
        <v>3339</v>
      </c>
      <c r="R268" s="12">
        <v>985</v>
      </c>
      <c r="S268" s="12">
        <v>2257595</v>
      </c>
      <c r="T268" s="12"/>
      <c r="U268" s="13"/>
      <c r="V268" s="12" t="s">
        <v>3321</v>
      </c>
      <c r="W268" s="13" t="s">
        <v>3322</v>
      </c>
      <c r="X268" s="12"/>
      <c r="Y268" s="13"/>
      <c r="Z268" s="12"/>
      <c r="AA268" s="13"/>
      <c r="AB268" s="12"/>
      <c r="AC268" s="12"/>
      <c r="AD268" s="14"/>
      <c r="AE268" s="12"/>
      <c r="AF268" s="13"/>
      <c r="AG268" s="12"/>
      <c r="AH268" s="12"/>
      <c r="AI268" s="13"/>
      <c r="AJ268" s="13" t="s">
        <v>3328</v>
      </c>
      <c r="AK268" s="13" t="s">
        <v>3324</v>
      </c>
      <c r="AL268" s="12"/>
      <c r="AM268" s="13"/>
      <c r="AN268" s="12"/>
      <c r="AO268" s="12"/>
      <c r="AP268" s="13"/>
      <c r="AQ268" s="12" t="s">
        <v>3390</v>
      </c>
      <c r="AR268" s="13"/>
      <c r="AS268" s="13" t="s">
        <v>71</v>
      </c>
      <c r="AT268" s="13" t="s">
        <v>71</v>
      </c>
      <c r="AU268" s="14">
        <v>100</v>
      </c>
      <c r="AV268" s="14"/>
      <c r="AW268" s="14">
        <v>48</v>
      </c>
      <c r="AX268" s="15">
        <v>44819</v>
      </c>
      <c r="AY268" s="15">
        <v>44931</v>
      </c>
    </row>
    <row r="269" spans="1:56">
      <c r="A269" s="12">
        <v>8902121</v>
      </c>
      <c r="B269" s="13" t="s">
        <v>3393</v>
      </c>
      <c r="C269" s="13" t="s">
        <v>3342</v>
      </c>
      <c r="D269" s="13"/>
      <c r="E269" s="13" t="s">
        <v>3318</v>
      </c>
      <c r="F269" s="12"/>
      <c r="G269" s="12"/>
      <c r="H269" s="13"/>
      <c r="I269" s="12"/>
      <c r="J269" s="12"/>
      <c r="K269" s="12"/>
      <c r="L269" s="12" t="s">
        <v>470</v>
      </c>
      <c r="M269" s="12"/>
      <c r="N269" s="12"/>
      <c r="O269" s="13"/>
      <c r="P269" s="12">
        <v>10</v>
      </c>
      <c r="Q269" s="13" t="s">
        <v>3339</v>
      </c>
      <c r="R269" s="12">
        <v>985</v>
      </c>
      <c r="S269" s="12">
        <v>3278088</v>
      </c>
      <c r="T269" s="12"/>
      <c r="U269" s="13"/>
      <c r="V269" s="12" t="s">
        <v>3321</v>
      </c>
      <c r="W269" s="13" t="s">
        <v>3322</v>
      </c>
      <c r="X269" s="12"/>
      <c r="Y269" s="13"/>
      <c r="Z269" s="12"/>
      <c r="AA269" s="13"/>
      <c r="AB269" s="12"/>
      <c r="AC269" s="12"/>
      <c r="AD269" s="14"/>
      <c r="AE269" s="12"/>
      <c r="AF269" s="13"/>
      <c r="AG269" s="12"/>
      <c r="AH269" s="12"/>
      <c r="AI269" s="13"/>
      <c r="AJ269" s="13" t="s">
        <v>3328</v>
      </c>
      <c r="AK269" s="13" t="s">
        <v>3324</v>
      </c>
      <c r="AL269" s="12"/>
      <c r="AM269" s="13"/>
      <c r="AN269" s="12"/>
      <c r="AO269" s="12" t="s">
        <v>468</v>
      </c>
      <c r="AP269" s="13"/>
      <c r="AQ269" s="12" t="s">
        <v>464</v>
      </c>
      <c r="AR269" s="13"/>
      <c r="AS269" s="13" t="s">
        <v>71</v>
      </c>
      <c r="AT269" s="13" t="s">
        <v>71</v>
      </c>
      <c r="AU269" s="14">
        <v>100</v>
      </c>
      <c r="AV269" s="14"/>
      <c r="AW269" s="14">
        <v>48</v>
      </c>
      <c r="AX269" s="15">
        <v>45900</v>
      </c>
      <c r="AY269" s="15"/>
    </row>
    <row r="270" spans="1:56">
      <c r="A270" s="12">
        <v>8902161</v>
      </c>
      <c r="B270" s="13" t="s">
        <v>3397</v>
      </c>
      <c r="C270" s="13" t="s">
        <v>3342</v>
      </c>
      <c r="D270" s="13"/>
      <c r="E270" s="13" t="s">
        <v>3318</v>
      </c>
      <c r="F270" s="12"/>
      <c r="G270" s="12"/>
      <c r="H270" s="13"/>
      <c r="I270" s="12"/>
      <c r="J270" s="12"/>
      <c r="K270" s="12"/>
      <c r="L270" s="12" t="s">
        <v>491</v>
      </c>
      <c r="M270" s="12" t="s">
        <v>491</v>
      </c>
      <c r="N270" s="12"/>
      <c r="O270" s="13"/>
      <c r="P270" s="12">
        <v>10</v>
      </c>
      <c r="Q270" s="13" t="s">
        <v>3339</v>
      </c>
      <c r="R270" s="12">
        <v>985</v>
      </c>
      <c r="S270" s="12">
        <v>3284586</v>
      </c>
      <c r="T270" s="12"/>
      <c r="U270" s="13"/>
      <c r="V270" s="12" t="s">
        <v>3321</v>
      </c>
      <c r="W270" s="13" t="s">
        <v>3322</v>
      </c>
      <c r="X270" s="12"/>
      <c r="Y270" s="13"/>
      <c r="Z270" s="12"/>
      <c r="AA270" s="13"/>
      <c r="AB270" s="12"/>
      <c r="AC270" s="12"/>
      <c r="AD270" s="14"/>
      <c r="AE270" s="12"/>
      <c r="AF270" s="13"/>
      <c r="AG270" s="12"/>
      <c r="AH270" s="12"/>
      <c r="AI270" s="13"/>
      <c r="AJ270" s="13" t="s">
        <v>3328</v>
      </c>
      <c r="AK270" s="13" t="s">
        <v>3324</v>
      </c>
      <c r="AL270" s="12"/>
      <c r="AM270" s="13"/>
      <c r="AN270" s="12"/>
      <c r="AO270" s="12" t="s">
        <v>489</v>
      </c>
      <c r="AP270" s="13"/>
      <c r="AQ270" s="12" t="s">
        <v>485</v>
      </c>
      <c r="AR270" s="13"/>
      <c r="AS270" s="13" t="s">
        <v>71</v>
      </c>
      <c r="AT270" s="13" t="s">
        <v>71</v>
      </c>
      <c r="AU270" s="14">
        <v>100</v>
      </c>
      <c r="AV270" s="14"/>
      <c r="AW270" s="14">
        <v>48</v>
      </c>
      <c r="AX270" s="15">
        <v>45900</v>
      </c>
      <c r="AY270" s="15"/>
    </row>
    <row r="271" spans="1:56">
      <c r="A271" s="12">
        <v>8902171</v>
      </c>
      <c r="B271" s="13" t="s">
        <v>3399</v>
      </c>
      <c r="C271" s="13" t="s">
        <v>3342</v>
      </c>
      <c r="D271" s="13"/>
      <c r="E271" s="13" t="s">
        <v>3318</v>
      </c>
      <c r="F271" s="12"/>
      <c r="G271" s="12"/>
      <c r="H271" s="13"/>
      <c r="I271" s="12"/>
      <c r="J271" s="12"/>
      <c r="K271" s="12"/>
      <c r="L271" s="12" t="s">
        <v>500</v>
      </c>
      <c r="M271" s="12" t="s">
        <v>500</v>
      </c>
      <c r="N271" s="12"/>
      <c r="O271" s="13"/>
      <c r="P271" s="12">
        <v>12</v>
      </c>
      <c r="Q271" s="13" t="s">
        <v>3378</v>
      </c>
      <c r="R271" s="12">
        <v>648</v>
      </c>
      <c r="S271" s="12">
        <v>652653</v>
      </c>
      <c r="T271" s="12"/>
      <c r="U271" s="13"/>
      <c r="V271" s="12" t="s">
        <v>3321</v>
      </c>
      <c r="W271" s="13" t="s">
        <v>3322</v>
      </c>
      <c r="X271" s="12"/>
      <c r="Y271" s="13"/>
      <c r="Z271" s="12"/>
      <c r="AA271" s="13"/>
      <c r="AB271" s="12"/>
      <c r="AC271" s="12"/>
      <c r="AD271" s="14"/>
      <c r="AE271" s="12"/>
      <c r="AF271" s="13"/>
      <c r="AG271" s="12"/>
      <c r="AH271" s="12"/>
      <c r="AI271" s="13"/>
      <c r="AJ271" s="13" t="s">
        <v>3328</v>
      </c>
      <c r="AK271" s="13" t="s">
        <v>3324</v>
      </c>
      <c r="AL271" s="12"/>
      <c r="AM271" s="13"/>
      <c r="AN271" s="12"/>
      <c r="AO271" s="12" t="s">
        <v>498</v>
      </c>
      <c r="AP271" s="13"/>
      <c r="AQ271" s="12" t="s">
        <v>495</v>
      </c>
      <c r="AR271" s="13"/>
      <c r="AS271" s="13" t="s">
        <v>71</v>
      </c>
      <c r="AT271" s="13" t="s">
        <v>71</v>
      </c>
      <c r="AU271" s="14">
        <v>100</v>
      </c>
      <c r="AV271" s="14"/>
      <c r="AW271" s="14">
        <v>48</v>
      </c>
      <c r="AX271" s="15">
        <v>45900</v>
      </c>
      <c r="AY271" s="15"/>
    </row>
    <row r="272" spans="1:56">
      <c r="A272" s="12">
        <v>8902172</v>
      </c>
      <c r="B272" s="13" t="s">
        <v>3400</v>
      </c>
      <c r="C272" s="13" t="s">
        <v>3342</v>
      </c>
      <c r="D272" s="13"/>
      <c r="E272" s="13" t="s">
        <v>3318</v>
      </c>
      <c r="F272" s="12"/>
      <c r="G272" s="12"/>
      <c r="H272" s="13"/>
      <c r="I272" s="12"/>
      <c r="J272" s="12"/>
      <c r="K272" s="12"/>
      <c r="L272" s="12" t="s">
        <v>504</v>
      </c>
      <c r="M272" s="12" t="s">
        <v>504</v>
      </c>
      <c r="N272" s="12"/>
      <c r="O272" s="13"/>
      <c r="P272" s="12">
        <v>12</v>
      </c>
      <c r="Q272" s="13" t="s">
        <v>3378</v>
      </c>
      <c r="R272" s="12">
        <v>648</v>
      </c>
      <c r="S272" s="12">
        <v>652653</v>
      </c>
      <c r="T272" s="12"/>
      <c r="U272" s="13"/>
      <c r="V272" s="12" t="s">
        <v>3321</v>
      </c>
      <c r="W272" s="13" t="s">
        <v>3322</v>
      </c>
      <c r="X272" s="12"/>
      <c r="Y272" s="13"/>
      <c r="Z272" s="12"/>
      <c r="AA272" s="13"/>
      <c r="AB272" s="12"/>
      <c r="AC272" s="12"/>
      <c r="AD272" s="14"/>
      <c r="AE272" s="12"/>
      <c r="AF272" s="13"/>
      <c r="AG272" s="12"/>
      <c r="AH272" s="12"/>
      <c r="AI272" s="13"/>
      <c r="AJ272" s="13" t="s">
        <v>3328</v>
      </c>
      <c r="AK272" s="13" t="s">
        <v>3324</v>
      </c>
      <c r="AL272" s="12"/>
      <c r="AM272" s="13"/>
      <c r="AN272" s="12"/>
      <c r="AO272" s="12" t="s">
        <v>498</v>
      </c>
      <c r="AP272" s="13"/>
      <c r="AQ272" s="12" t="s">
        <v>501</v>
      </c>
      <c r="AR272" s="13"/>
      <c r="AS272" s="13" t="s">
        <v>71</v>
      </c>
      <c r="AT272" s="13" t="s">
        <v>71</v>
      </c>
      <c r="AU272" s="14">
        <v>100</v>
      </c>
      <c r="AV272" s="14"/>
      <c r="AW272" s="14">
        <v>48</v>
      </c>
      <c r="AX272" s="15">
        <v>45900</v>
      </c>
      <c r="AY272" s="15"/>
    </row>
    <row r="273" spans="1:51">
      <c r="A273" s="12">
        <v>8902181</v>
      </c>
      <c r="B273" s="13" t="s">
        <v>3401</v>
      </c>
      <c r="C273" s="13" t="s">
        <v>3342</v>
      </c>
      <c r="D273" s="13"/>
      <c r="E273" s="13" t="s">
        <v>3318</v>
      </c>
      <c r="F273" s="12"/>
      <c r="G273" s="12"/>
      <c r="H273" s="13"/>
      <c r="I273" s="12"/>
      <c r="J273" s="12"/>
      <c r="K273" s="12"/>
      <c r="L273" s="12" t="s">
        <v>511</v>
      </c>
      <c r="M273" s="12"/>
      <c r="N273" s="12"/>
      <c r="O273" s="13"/>
      <c r="P273" s="12">
        <v>12</v>
      </c>
      <c r="Q273" s="13" t="s">
        <v>3378</v>
      </c>
      <c r="R273" s="12">
        <v>650</v>
      </c>
      <c r="S273" s="12">
        <v>562188</v>
      </c>
      <c r="T273" s="12"/>
      <c r="U273" s="13"/>
      <c r="V273" s="12" t="s">
        <v>3321</v>
      </c>
      <c r="W273" s="13" t="s">
        <v>3322</v>
      </c>
      <c r="X273" s="12"/>
      <c r="Y273" s="13"/>
      <c r="Z273" s="12"/>
      <c r="AA273" s="13"/>
      <c r="AB273" s="12"/>
      <c r="AC273" s="12"/>
      <c r="AD273" s="14"/>
      <c r="AE273" s="12"/>
      <c r="AF273" s="13"/>
      <c r="AG273" s="12"/>
      <c r="AH273" s="12"/>
      <c r="AI273" s="13"/>
      <c r="AJ273" s="13" t="s">
        <v>3328</v>
      </c>
      <c r="AK273" s="13" t="s">
        <v>3324</v>
      </c>
      <c r="AL273" s="12"/>
      <c r="AM273" s="13"/>
      <c r="AN273" s="12"/>
      <c r="AO273" s="12" t="s">
        <v>509</v>
      </c>
      <c r="AP273" s="13"/>
      <c r="AQ273" s="12" t="s">
        <v>505</v>
      </c>
      <c r="AR273" s="13"/>
      <c r="AS273" s="13" t="s">
        <v>71</v>
      </c>
      <c r="AT273" s="13" t="s">
        <v>71</v>
      </c>
      <c r="AU273" s="14">
        <v>100</v>
      </c>
      <c r="AV273" s="14"/>
      <c r="AW273" s="14">
        <v>48</v>
      </c>
      <c r="AX273" s="15">
        <v>45900</v>
      </c>
      <c r="AY273" s="15"/>
    </row>
    <row r="274" spans="1:51">
      <c r="A274" s="12">
        <v>8902182</v>
      </c>
      <c r="B274" s="13" t="s">
        <v>3402</v>
      </c>
      <c r="C274" s="13" t="s">
        <v>3342</v>
      </c>
      <c r="D274" s="13"/>
      <c r="E274" s="13" t="s">
        <v>3318</v>
      </c>
      <c r="F274" s="12"/>
      <c r="G274" s="12"/>
      <c r="H274" s="13"/>
      <c r="I274" s="12"/>
      <c r="J274" s="12"/>
      <c r="K274" s="12"/>
      <c r="L274" s="12" t="s">
        <v>515</v>
      </c>
      <c r="M274" s="12"/>
      <c r="N274" s="12"/>
      <c r="O274" s="13"/>
      <c r="P274" s="12">
        <v>12</v>
      </c>
      <c r="Q274" s="13" t="s">
        <v>3378</v>
      </c>
      <c r="R274" s="12">
        <v>650</v>
      </c>
      <c r="S274" s="12">
        <v>562188</v>
      </c>
      <c r="T274" s="12"/>
      <c r="U274" s="13"/>
      <c r="V274" s="12" t="s">
        <v>3321</v>
      </c>
      <c r="W274" s="13" t="s">
        <v>3322</v>
      </c>
      <c r="X274" s="12"/>
      <c r="Y274" s="13"/>
      <c r="Z274" s="12"/>
      <c r="AA274" s="13"/>
      <c r="AB274" s="12"/>
      <c r="AC274" s="12"/>
      <c r="AD274" s="14"/>
      <c r="AE274" s="12"/>
      <c r="AF274" s="13"/>
      <c r="AG274" s="12"/>
      <c r="AH274" s="12"/>
      <c r="AI274" s="13"/>
      <c r="AJ274" s="13" t="s">
        <v>3328</v>
      </c>
      <c r="AK274" s="13" t="s">
        <v>3324</v>
      </c>
      <c r="AL274" s="12"/>
      <c r="AM274" s="13"/>
      <c r="AN274" s="12"/>
      <c r="AO274" s="12" t="s">
        <v>509</v>
      </c>
      <c r="AP274" s="13"/>
      <c r="AQ274" s="12" t="s">
        <v>512</v>
      </c>
      <c r="AR274" s="13"/>
      <c r="AS274" s="13" t="s">
        <v>71</v>
      </c>
      <c r="AT274" s="13" t="s">
        <v>71</v>
      </c>
      <c r="AU274" s="14">
        <v>100</v>
      </c>
      <c r="AV274" s="14"/>
      <c r="AW274" s="14">
        <v>48</v>
      </c>
      <c r="AX274" s="15">
        <v>45900</v>
      </c>
      <c r="AY274" s="15"/>
    </row>
    <row r="275" spans="1:51">
      <c r="A275" s="12">
        <v>8903012</v>
      </c>
      <c r="B275" s="13" t="s">
        <v>3425</v>
      </c>
      <c r="C275" s="13" t="s">
        <v>3342</v>
      </c>
      <c r="D275" s="13"/>
      <c r="E275" s="13" t="s">
        <v>3318</v>
      </c>
      <c r="F275" s="12"/>
      <c r="G275" s="12"/>
      <c r="H275" s="13"/>
      <c r="I275" s="12"/>
      <c r="J275" s="12"/>
      <c r="K275" s="12"/>
      <c r="L275" s="12" t="s">
        <v>687</v>
      </c>
      <c r="M275" s="12"/>
      <c r="N275" s="12"/>
      <c r="O275" s="13"/>
      <c r="P275" s="12">
        <v>10</v>
      </c>
      <c r="Q275" s="13" t="s">
        <v>3339</v>
      </c>
      <c r="R275" s="12">
        <v>985</v>
      </c>
      <c r="S275" s="12">
        <v>3284880</v>
      </c>
      <c r="T275" s="12"/>
      <c r="U275" s="13"/>
      <c r="V275" s="12" t="s">
        <v>3321</v>
      </c>
      <c r="W275" s="13" t="s">
        <v>3322</v>
      </c>
      <c r="X275" s="12"/>
      <c r="Y275" s="13"/>
      <c r="Z275" s="12"/>
      <c r="AA275" s="13"/>
      <c r="AB275" s="12"/>
      <c r="AC275" s="12"/>
      <c r="AD275" s="14"/>
      <c r="AE275" s="12"/>
      <c r="AF275" s="13"/>
      <c r="AG275" s="12"/>
      <c r="AH275" s="12"/>
      <c r="AI275" s="13"/>
      <c r="AJ275" s="13" t="s">
        <v>3328</v>
      </c>
      <c r="AK275" s="13" t="s">
        <v>3324</v>
      </c>
      <c r="AL275" s="12"/>
      <c r="AM275" s="13"/>
      <c r="AN275" s="12"/>
      <c r="AO275" s="12" t="s">
        <v>681</v>
      </c>
      <c r="AP275" s="13"/>
      <c r="AQ275" s="12" t="s">
        <v>684</v>
      </c>
      <c r="AR275" s="13"/>
      <c r="AS275" s="13" t="s">
        <v>71</v>
      </c>
      <c r="AT275" s="13" t="s">
        <v>71</v>
      </c>
      <c r="AU275" s="14">
        <v>100</v>
      </c>
      <c r="AV275" s="14"/>
      <c r="AW275" s="14">
        <v>48</v>
      </c>
      <c r="AX275" s="15">
        <v>45900</v>
      </c>
      <c r="AY275" s="15"/>
    </row>
    <row r="276" spans="1:51">
      <c r="A276" s="12">
        <v>8903031</v>
      </c>
      <c r="B276" s="13" t="s">
        <v>3430</v>
      </c>
      <c r="C276" s="13" t="s">
        <v>3342</v>
      </c>
      <c r="D276" s="13"/>
      <c r="E276" s="13" t="s">
        <v>3318</v>
      </c>
      <c r="F276" s="12"/>
      <c r="G276" s="12"/>
      <c r="H276" s="13"/>
      <c r="I276" s="12"/>
      <c r="J276" s="12"/>
      <c r="K276" s="12"/>
      <c r="L276" s="12" t="s">
        <v>702</v>
      </c>
      <c r="M276" s="12"/>
      <c r="N276" s="12"/>
      <c r="O276" s="13"/>
      <c r="P276" s="12">
        <v>10</v>
      </c>
      <c r="Q276" s="13" t="s">
        <v>3339</v>
      </c>
      <c r="R276" s="12">
        <v>926</v>
      </c>
      <c r="S276" s="12">
        <v>1299819</v>
      </c>
      <c r="T276" s="12"/>
      <c r="U276" s="13"/>
      <c r="V276" s="12" t="s">
        <v>3321</v>
      </c>
      <c r="W276" s="13" t="s">
        <v>3322</v>
      </c>
      <c r="X276" s="12"/>
      <c r="Y276" s="13"/>
      <c r="Z276" s="12"/>
      <c r="AA276" s="13"/>
      <c r="AB276" s="12"/>
      <c r="AC276" s="12"/>
      <c r="AD276" s="14"/>
      <c r="AE276" s="12"/>
      <c r="AF276" s="13"/>
      <c r="AG276" s="12"/>
      <c r="AH276" s="12"/>
      <c r="AI276" s="13"/>
      <c r="AJ276" s="13" t="s">
        <v>3328</v>
      </c>
      <c r="AK276" s="13" t="s">
        <v>3324</v>
      </c>
      <c r="AL276" s="12"/>
      <c r="AM276" s="13"/>
      <c r="AN276" s="12"/>
      <c r="AO276" s="12" t="s">
        <v>700</v>
      </c>
      <c r="AP276" s="13"/>
      <c r="AQ276" s="12" t="s">
        <v>696</v>
      </c>
      <c r="AR276" s="13"/>
      <c r="AS276" s="13" t="s">
        <v>71</v>
      </c>
      <c r="AT276" s="13" t="s">
        <v>71</v>
      </c>
      <c r="AU276" s="14">
        <v>100</v>
      </c>
      <c r="AV276" s="14"/>
      <c r="AW276" s="14">
        <v>48</v>
      </c>
      <c r="AX276" s="15">
        <v>45900</v>
      </c>
      <c r="AY276" s="15"/>
    </row>
    <row r="277" spans="1:51">
      <c r="A277" s="12">
        <v>8903032</v>
      </c>
      <c r="B277" s="13" t="s">
        <v>3431</v>
      </c>
      <c r="C277" s="13" t="s">
        <v>3342</v>
      </c>
      <c r="D277" s="13"/>
      <c r="E277" s="13" t="s">
        <v>3318</v>
      </c>
      <c r="F277" s="12"/>
      <c r="G277" s="12"/>
      <c r="H277" s="13"/>
      <c r="I277" s="12"/>
      <c r="J277" s="12"/>
      <c r="K277" s="12"/>
      <c r="L277" s="12" t="s">
        <v>706</v>
      </c>
      <c r="M277" s="12"/>
      <c r="N277" s="12"/>
      <c r="O277" s="13"/>
      <c r="P277" s="12">
        <v>10</v>
      </c>
      <c r="Q277" s="13" t="s">
        <v>3339</v>
      </c>
      <c r="R277" s="12">
        <v>926</v>
      </c>
      <c r="S277" s="12">
        <v>1299819</v>
      </c>
      <c r="T277" s="12"/>
      <c r="U277" s="13"/>
      <c r="V277" s="12" t="s">
        <v>3321</v>
      </c>
      <c r="W277" s="13" t="s">
        <v>3322</v>
      </c>
      <c r="X277" s="12"/>
      <c r="Y277" s="13"/>
      <c r="Z277" s="12"/>
      <c r="AA277" s="13"/>
      <c r="AB277" s="12"/>
      <c r="AC277" s="12"/>
      <c r="AD277" s="14"/>
      <c r="AE277" s="12"/>
      <c r="AF277" s="13"/>
      <c r="AG277" s="12"/>
      <c r="AH277" s="12"/>
      <c r="AI277" s="13"/>
      <c r="AJ277" s="13" t="s">
        <v>3328</v>
      </c>
      <c r="AK277" s="13" t="s">
        <v>3324</v>
      </c>
      <c r="AL277" s="12"/>
      <c r="AM277" s="13"/>
      <c r="AN277" s="12"/>
      <c r="AO277" s="12" t="s">
        <v>700</v>
      </c>
      <c r="AP277" s="13"/>
      <c r="AQ277" s="12" t="s">
        <v>703</v>
      </c>
      <c r="AR277" s="13"/>
      <c r="AS277" s="13" t="s">
        <v>71</v>
      </c>
      <c r="AT277" s="13" t="s">
        <v>71</v>
      </c>
      <c r="AU277" s="14">
        <v>100</v>
      </c>
      <c r="AV277" s="14"/>
      <c r="AW277" s="14">
        <v>48</v>
      </c>
      <c r="AX277" s="15">
        <v>45900</v>
      </c>
      <c r="AY277" s="15"/>
    </row>
    <row r="278" spans="1:51">
      <c r="A278" s="12">
        <v>8904031</v>
      </c>
      <c r="B278" s="13" t="s">
        <v>3457</v>
      </c>
      <c r="C278" s="13" t="s">
        <v>3342</v>
      </c>
      <c r="D278" s="13"/>
      <c r="E278" s="13" t="s">
        <v>3318</v>
      </c>
      <c r="F278" s="12"/>
      <c r="G278" s="12"/>
      <c r="H278" s="13"/>
      <c r="I278" s="12"/>
      <c r="J278" s="12"/>
      <c r="K278" s="12"/>
      <c r="L278" s="12" t="s">
        <v>3321</v>
      </c>
      <c r="M278" s="12"/>
      <c r="N278" s="12"/>
      <c r="O278" s="13"/>
      <c r="P278" s="12">
        <v>10</v>
      </c>
      <c r="Q278" s="13" t="s">
        <v>3339</v>
      </c>
      <c r="R278" s="12">
        <v>985</v>
      </c>
      <c r="S278" s="12">
        <v>3271401</v>
      </c>
      <c r="T278" s="12"/>
      <c r="U278" s="13"/>
      <c r="V278" s="12" t="s">
        <v>3321</v>
      </c>
      <c r="W278" s="13" t="s">
        <v>3322</v>
      </c>
      <c r="X278" s="12"/>
      <c r="Y278" s="13"/>
      <c r="Z278" s="12"/>
      <c r="AA278" s="13"/>
      <c r="AB278" s="12"/>
      <c r="AC278" s="12"/>
      <c r="AD278" s="14"/>
      <c r="AE278" s="12"/>
      <c r="AF278" s="13"/>
      <c r="AG278" s="12"/>
      <c r="AH278" s="12"/>
      <c r="AI278" s="13"/>
      <c r="AJ278" s="13" t="s">
        <v>3328</v>
      </c>
      <c r="AK278" s="13" t="s">
        <v>3324</v>
      </c>
      <c r="AL278" s="12"/>
      <c r="AM278" s="13"/>
      <c r="AN278" s="12"/>
      <c r="AO278" s="12" t="s">
        <v>904</v>
      </c>
      <c r="AP278" s="13"/>
      <c r="AQ278" s="12" t="s">
        <v>900</v>
      </c>
      <c r="AR278" s="13"/>
      <c r="AS278" s="13" t="s">
        <v>71</v>
      </c>
      <c r="AT278" s="13" t="s">
        <v>71</v>
      </c>
      <c r="AU278" s="14">
        <v>100</v>
      </c>
      <c r="AV278" s="14"/>
      <c r="AW278" s="14">
        <v>48</v>
      </c>
      <c r="AX278" s="15">
        <v>45900</v>
      </c>
      <c r="AY278" s="15"/>
    </row>
    <row r="279" spans="1:51">
      <c r="A279" s="12">
        <v>8904061</v>
      </c>
      <c r="B279" s="13" t="s">
        <v>3460</v>
      </c>
      <c r="C279" s="13" t="s">
        <v>3342</v>
      </c>
      <c r="D279" s="13"/>
      <c r="E279" s="13" t="s">
        <v>3318</v>
      </c>
      <c r="F279" s="12"/>
      <c r="G279" s="12"/>
      <c r="H279" s="13"/>
      <c r="I279" s="12"/>
      <c r="J279" s="12"/>
      <c r="K279" s="12" t="s">
        <v>3461</v>
      </c>
      <c r="L279" s="12" t="s">
        <v>941</v>
      </c>
      <c r="M279" s="12"/>
      <c r="N279" s="12"/>
      <c r="O279" s="13"/>
      <c r="P279" s="12">
        <v>20</v>
      </c>
      <c r="Q279" s="13" t="s">
        <v>3320</v>
      </c>
      <c r="R279" s="12">
        <v>450</v>
      </c>
      <c r="S279" s="12">
        <v>243713</v>
      </c>
      <c r="T279" s="12"/>
      <c r="U279" s="13"/>
      <c r="V279" s="12" t="s">
        <v>3321</v>
      </c>
      <c r="W279" s="13" t="s">
        <v>3322</v>
      </c>
      <c r="X279" s="12"/>
      <c r="Y279" s="13"/>
      <c r="Z279" s="12"/>
      <c r="AA279" s="13"/>
      <c r="AB279" s="12"/>
      <c r="AC279" s="12"/>
      <c r="AD279" s="14"/>
      <c r="AE279" s="12"/>
      <c r="AF279" s="13"/>
      <c r="AG279" s="12"/>
      <c r="AH279" s="12"/>
      <c r="AI279" s="13"/>
      <c r="AJ279" s="13" t="s">
        <v>3328</v>
      </c>
      <c r="AK279" s="13" t="s">
        <v>3324</v>
      </c>
      <c r="AL279" s="12"/>
      <c r="AM279" s="13"/>
      <c r="AN279" s="12"/>
      <c r="AO279" s="12" t="s">
        <v>939</v>
      </c>
      <c r="AP279" s="13"/>
      <c r="AQ279" s="12" t="s">
        <v>937</v>
      </c>
      <c r="AR279" s="13"/>
      <c r="AS279" s="13" t="s">
        <v>71</v>
      </c>
      <c r="AT279" s="13" t="s">
        <v>71</v>
      </c>
      <c r="AU279" s="14">
        <v>100</v>
      </c>
      <c r="AV279" s="14"/>
      <c r="AW279" s="14">
        <v>48</v>
      </c>
      <c r="AX279" s="15">
        <v>45900</v>
      </c>
      <c r="AY279" s="15"/>
    </row>
    <row r="280" spans="1:51">
      <c r="A280" s="12">
        <v>8904071</v>
      </c>
      <c r="B280" s="13" t="s">
        <v>3463</v>
      </c>
      <c r="C280" s="13" t="s">
        <v>3342</v>
      </c>
      <c r="D280" s="13"/>
      <c r="E280" s="13" t="s">
        <v>3318</v>
      </c>
      <c r="F280" s="12"/>
      <c r="G280" s="12"/>
      <c r="H280" s="13"/>
      <c r="I280" s="12"/>
      <c r="J280" s="12"/>
      <c r="K280" s="12"/>
      <c r="L280" s="12" t="s">
        <v>951</v>
      </c>
      <c r="M280" s="12"/>
      <c r="N280" s="12"/>
      <c r="O280" s="13"/>
      <c r="P280" s="12">
        <v>10</v>
      </c>
      <c r="Q280" s="13" t="s">
        <v>3339</v>
      </c>
      <c r="R280" s="12">
        <v>985</v>
      </c>
      <c r="S280" s="12">
        <v>3285191</v>
      </c>
      <c r="T280" s="12"/>
      <c r="U280" s="13"/>
      <c r="V280" s="12" t="s">
        <v>3321</v>
      </c>
      <c r="W280" s="13" t="s">
        <v>3322</v>
      </c>
      <c r="X280" s="12"/>
      <c r="Y280" s="13"/>
      <c r="Z280" s="12"/>
      <c r="AA280" s="13"/>
      <c r="AB280" s="12"/>
      <c r="AC280" s="12"/>
      <c r="AD280" s="14"/>
      <c r="AE280" s="12"/>
      <c r="AF280" s="13"/>
      <c r="AG280" s="12"/>
      <c r="AH280" s="12"/>
      <c r="AI280" s="13"/>
      <c r="AJ280" s="13" t="s">
        <v>3328</v>
      </c>
      <c r="AK280" s="13" t="s">
        <v>3324</v>
      </c>
      <c r="AL280" s="12"/>
      <c r="AM280" s="13"/>
      <c r="AN280" s="12"/>
      <c r="AO280" s="12" t="s">
        <v>949</v>
      </c>
      <c r="AP280" s="13"/>
      <c r="AQ280" s="12" t="s">
        <v>946</v>
      </c>
      <c r="AR280" s="13"/>
      <c r="AS280" s="13" t="s">
        <v>71</v>
      </c>
      <c r="AT280" s="13" t="s">
        <v>71</v>
      </c>
      <c r="AU280" s="14">
        <v>100</v>
      </c>
      <c r="AV280" s="14"/>
      <c r="AW280" s="14">
        <v>48</v>
      </c>
      <c r="AX280" s="15">
        <v>45900</v>
      </c>
      <c r="AY280" s="15"/>
    </row>
    <row r="281" spans="1:51">
      <c r="A281" s="12">
        <v>8905052</v>
      </c>
      <c r="B281" s="13" t="s">
        <v>3481</v>
      </c>
      <c r="C281" s="13" t="s">
        <v>3342</v>
      </c>
      <c r="D281" s="13"/>
      <c r="E281" s="13" t="s">
        <v>3318</v>
      </c>
      <c r="F281" s="12"/>
      <c r="G281" s="12"/>
      <c r="H281" s="13"/>
      <c r="I281" s="12"/>
      <c r="J281" s="12"/>
      <c r="K281" s="12" t="s">
        <v>3482</v>
      </c>
      <c r="L281" s="12" t="s">
        <v>1013</v>
      </c>
      <c r="M281" s="12"/>
      <c r="N281" s="12"/>
      <c r="O281" s="13"/>
      <c r="P281" s="12">
        <v>10</v>
      </c>
      <c r="Q281" s="13" t="s">
        <v>3339</v>
      </c>
      <c r="R281" s="12">
        <v>985</v>
      </c>
      <c r="S281" s="12">
        <v>3285485</v>
      </c>
      <c r="T281" s="12"/>
      <c r="U281" s="13"/>
      <c r="V281" s="12" t="s">
        <v>3321</v>
      </c>
      <c r="W281" s="13" t="s">
        <v>3322</v>
      </c>
      <c r="X281" s="12"/>
      <c r="Y281" s="13"/>
      <c r="Z281" s="12"/>
      <c r="AA281" s="13"/>
      <c r="AB281" s="12"/>
      <c r="AC281" s="12"/>
      <c r="AD281" s="14"/>
      <c r="AE281" s="12"/>
      <c r="AF281" s="13"/>
      <c r="AG281" s="12"/>
      <c r="AH281" s="12"/>
      <c r="AI281" s="13"/>
      <c r="AJ281" s="13" t="s">
        <v>3328</v>
      </c>
      <c r="AK281" s="13" t="s">
        <v>3324</v>
      </c>
      <c r="AL281" s="12"/>
      <c r="AM281" s="13"/>
      <c r="AN281" s="12"/>
      <c r="AO281" s="12" t="s">
        <v>1011</v>
      </c>
      <c r="AP281" s="13"/>
      <c r="AQ281" s="12" t="s">
        <v>1008</v>
      </c>
      <c r="AR281" s="13"/>
      <c r="AS281" s="13" t="s">
        <v>71</v>
      </c>
      <c r="AT281" s="13" t="s">
        <v>71</v>
      </c>
      <c r="AU281" s="14">
        <v>100</v>
      </c>
      <c r="AV281" s="14"/>
      <c r="AW281" s="14">
        <v>48</v>
      </c>
      <c r="AX281" s="15">
        <v>45900</v>
      </c>
      <c r="AY281" s="15"/>
    </row>
    <row r="282" spans="1:51">
      <c r="A282" s="12">
        <v>8905061</v>
      </c>
      <c r="B282" s="13" t="s">
        <v>3483</v>
      </c>
      <c r="C282" s="13" t="s">
        <v>3342</v>
      </c>
      <c r="D282" s="13"/>
      <c r="E282" s="13" t="s">
        <v>3318</v>
      </c>
      <c r="F282" s="12"/>
      <c r="G282" s="12"/>
      <c r="H282" s="13"/>
      <c r="I282" s="12"/>
      <c r="J282" s="12"/>
      <c r="K282" s="12"/>
      <c r="L282" s="12" t="s">
        <v>1021</v>
      </c>
      <c r="M282" s="12" t="s">
        <v>1021</v>
      </c>
      <c r="N282" s="12"/>
      <c r="O282" s="13"/>
      <c r="P282" s="12">
        <v>10</v>
      </c>
      <c r="Q282" s="13" t="s">
        <v>3339</v>
      </c>
      <c r="R282" s="12">
        <v>985</v>
      </c>
      <c r="S282" s="12">
        <v>3285583</v>
      </c>
      <c r="T282" s="12"/>
      <c r="U282" s="13"/>
      <c r="V282" s="12" t="s">
        <v>3321</v>
      </c>
      <c r="W282" s="13" t="s">
        <v>3322</v>
      </c>
      <c r="X282" s="12"/>
      <c r="Y282" s="13"/>
      <c r="Z282" s="12"/>
      <c r="AA282" s="13"/>
      <c r="AB282" s="12"/>
      <c r="AC282" s="12"/>
      <c r="AD282" s="14"/>
      <c r="AE282" s="12"/>
      <c r="AF282" s="13"/>
      <c r="AG282" s="12"/>
      <c r="AH282" s="12"/>
      <c r="AI282" s="13"/>
      <c r="AJ282" s="13" t="s">
        <v>3328</v>
      </c>
      <c r="AK282" s="13" t="s">
        <v>3324</v>
      </c>
      <c r="AL282" s="12"/>
      <c r="AM282" s="13"/>
      <c r="AN282" s="12"/>
      <c r="AO282" s="12" t="s">
        <v>1019</v>
      </c>
      <c r="AP282" s="13"/>
      <c r="AQ282" s="12" t="s">
        <v>1016</v>
      </c>
      <c r="AR282" s="13"/>
      <c r="AS282" s="13" t="s">
        <v>71</v>
      </c>
      <c r="AT282" s="13" t="s">
        <v>71</v>
      </c>
      <c r="AU282" s="14">
        <v>100</v>
      </c>
      <c r="AV282" s="14"/>
      <c r="AW282" s="14">
        <v>48</v>
      </c>
      <c r="AX282" s="15">
        <v>45900</v>
      </c>
      <c r="AY282" s="15"/>
    </row>
    <row r="283" spans="1:51">
      <c r="A283" s="12">
        <v>8906051</v>
      </c>
      <c r="B283" s="13" t="s">
        <v>3501</v>
      </c>
      <c r="C283" s="13" t="s">
        <v>3342</v>
      </c>
      <c r="D283" s="13"/>
      <c r="E283" s="13" t="s">
        <v>3318</v>
      </c>
      <c r="F283" s="12"/>
      <c r="G283" s="12"/>
      <c r="H283" s="13"/>
      <c r="I283" s="12"/>
      <c r="J283" s="12"/>
      <c r="K283" s="12" t="s">
        <v>3502</v>
      </c>
      <c r="L283" s="12" t="s">
        <v>1174</v>
      </c>
      <c r="M283" s="12"/>
      <c r="N283" s="12"/>
      <c r="O283" s="13"/>
      <c r="P283" s="12">
        <v>10</v>
      </c>
      <c r="Q283" s="13" t="s">
        <v>3339</v>
      </c>
      <c r="R283" s="12">
        <v>985</v>
      </c>
      <c r="S283" s="12">
        <v>3278578</v>
      </c>
      <c r="T283" s="12"/>
      <c r="U283" s="13"/>
      <c r="V283" s="12" t="s">
        <v>3321</v>
      </c>
      <c r="W283" s="13" t="s">
        <v>3322</v>
      </c>
      <c r="X283" s="12"/>
      <c r="Y283" s="13"/>
      <c r="Z283" s="12"/>
      <c r="AA283" s="13"/>
      <c r="AB283" s="12"/>
      <c r="AC283" s="12"/>
      <c r="AD283" s="14"/>
      <c r="AE283" s="12"/>
      <c r="AF283" s="13"/>
      <c r="AG283" s="12"/>
      <c r="AH283" s="12"/>
      <c r="AI283" s="13"/>
      <c r="AJ283" s="13" t="s">
        <v>3328</v>
      </c>
      <c r="AK283" s="13" t="s">
        <v>3324</v>
      </c>
      <c r="AL283" s="12"/>
      <c r="AM283" s="13"/>
      <c r="AN283" s="12"/>
      <c r="AO283" s="12" t="s">
        <v>1172</v>
      </c>
      <c r="AP283" s="13"/>
      <c r="AQ283" s="12" t="s">
        <v>1168</v>
      </c>
      <c r="AR283" s="13"/>
      <c r="AS283" s="13" t="s">
        <v>71</v>
      </c>
      <c r="AT283" s="13" t="s">
        <v>71</v>
      </c>
      <c r="AU283" s="14">
        <v>100</v>
      </c>
      <c r="AV283" s="14"/>
      <c r="AW283" s="14">
        <v>48</v>
      </c>
      <c r="AX283" s="15">
        <v>45900</v>
      </c>
      <c r="AY283" s="15"/>
    </row>
    <row r="284" spans="1:51">
      <c r="A284" s="12">
        <v>8906061</v>
      </c>
      <c r="B284" s="13" t="s">
        <v>3504</v>
      </c>
      <c r="C284" s="13" t="s">
        <v>3342</v>
      </c>
      <c r="D284" s="13"/>
      <c r="E284" s="13" t="s">
        <v>3318</v>
      </c>
      <c r="F284" s="12"/>
      <c r="G284" s="12"/>
      <c r="H284" s="13"/>
      <c r="I284" s="12"/>
      <c r="J284" s="12"/>
      <c r="K284" s="12"/>
      <c r="L284" s="12" t="s">
        <v>1182</v>
      </c>
      <c r="M284" s="12" t="s">
        <v>1182</v>
      </c>
      <c r="N284" s="12"/>
      <c r="O284" s="13"/>
      <c r="P284" s="12">
        <v>10</v>
      </c>
      <c r="Q284" s="13" t="s">
        <v>3339</v>
      </c>
      <c r="R284" s="12">
        <v>985</v>
      </c>
      <c r="S284" s="12">
        <v>3278676</v>
      </c>
      <c r="T284" s="12">
        <v>8906061</v>
      </c>
      <c r="U284" s="13" t="s">
        <v>3504</v>
      </c>
      <c r="V284" s="12" t="s">
        <v>3321</v>
      </c>
      <c r="W284" s="13" t="s">
        <v>3322</v>
      </c>
      <c r="X284" s="12"/>
      <c r="Y284" s="13"/>
      <c r="Z284" s="12"/>
      <c r="AA284" s="13"/>
      <c r="AB284" s="12"/>
      <c r="AC284" s="12"/>
      <c r="AD284" s="14"/>
      <c r="AE284" s="12"/>
      <c r="AF284" s="13"/>
      <c r="AG284" s="12"/>
      <c r="AH284" s="12"/>
      <c r="AI284" s="13"/>
      <c r="AJ284" s="13" t="s">
        <v>3328</v>
      </c>
      <c r="AK284" s="13" t="s">
        <v>3324</v>
      </c>
      <c r="AL284" s="12"/>
      <c r="AM284" s="13"/>
      <c r="AN284" s="12"/>
      <c r="AO284" s="12" t="s">
        <v>1180</v>
      </c>
      <c r="AP284" s="13"/>
      <c r="AQ284" s="12" t="s">
        <v>1177</v>
      </c>
      <c r="AR284" s="13"/>
      <c r="AS284" s="13" t="s">
        <v>71</v>
      </c>
      <c r="AT284" s="13" t="s">
        <v>71</v>
      </c>
      <c r="AU284" s="14">
        <v>100</v>
      </c>
      <c r="AV284" s="14"/>
      <c r="AW284" s="14">
        <v>48</v>
      </c>
      <c r="AX284" s="15">
        <v>45900</v>
      </c>
      <c r="AY284" s="15"/>
    </row>
    <row r="285" spans="1:51">
      <c r="A285" s="12">
        <v>8908031</v>
      </c>
      <c r="B285" s="13" t="s">
        <v>3517</v>
      </c>
      <c r="C285" s="13" t="s">
        <v>3342</v>
      </c>
      <c r="D285" s="13"/>
      <c r="E285" s="13" t="s">
        <v>3318</v>
      </c>
      <c r="F285" s="12"/>
      <c r="G285" s="12"/>
      <c r="H285" s="13"/>
      <c r="I285" s="12"/>
      <c r="J285" s="12"/>
      <c r="K285" s="12"/>
      <c r="L285" s="12" t="s">
        <v>1349</v>
      </c>
      <c r="M285" s="12"/>
      <c r="N285" s="12"/>
      <c r="O285" s="13"/>
      <c r="P285" s="12">
        <v>10</v>
      </c>
      <c r="Q285" s="13" t="s">
        <v>3339</v>
      </c>
      <c r="R285" s="12">
        <v>985</v>
      </c>
      <c r="S285" s="12">
        <v>3278872</v>
      </c>
      <c r="T285" s="12"/>
      <c r="U285" s="13"/>
      <c r="V285" s="12" t="s">
        <v>3321</v>
      </c>
      <c r="W285" s="13" t="s">
        <v>3322</v>
      </c>
      <c r="X285" s="12"/>
      <c r="Y285" s="13"/>
      <c r="Z285" s="12"/>
      <c r="AA285" s="13"/>
      <c r="AB285" s="12"/>
      <c r="AC285" s="12"/>
      <c r="AD285" s="14"/>
      <c r="AE285" s="12"/>
      <c r="AF285" s="13"/>
      <c r="AG285" s="12"/>
      <c r="AH285" s="12"/>
      <c r="AI285" s="13"/>
      <c r="AJ285" s="13" t="s">
        <v>3328</v>
      </c>
      <c r="AK285" s="13" t="s">
        <v>3324</v>
      </c>
      <c r="AL285" s="12"/>
      <c r="AM285" s="13"/>
      <c r="AN285" s="12"/>
      <c r="AO285" s="12" t="s">
        <v>1347</v>
      </c>
      <c r="AP285" s="13"/>
      <c r="AQ285" s="12" t="s">
        <v>1343</v>
      </c>
      <c r="AR285" s="13"/>
      <c r="AS285" s="13" t="s">
        <v>71</v>
      </c>
      <c r="AT285" s="13" t="s">
        <v>71</v>
      </c>
      <c r="AU285" s="14">
        <v>100</v>
      </c>
      <c r="AV285" s="14"/>
      <c r="AW285" s="14">
        <v>48</v>
      </c>
      <c r="AX285" s="15">
        <v>45900</v>
      </c>
      <c r="AY285" s="15"/>
    </row>
    <row r="286" spans="1:51">
      <c r="A286" s="12">
        <v>8908041</v>
      </c>
      <c r="B286" s="13" t="s">
        <v>3519</v>
      </c>
      <c r="C286" s="13" t="s">
        <v>3342</v>
      </c>
      <c r="D286" s="13"/>
      <c r="E286" s="13" t="s">
        <v>3318</v>
      </c>
      <c r="F286" s="12"/>
      <c r="G286" s="12"/>
      <c r="H286" s="13"/>
      <c r="I286" s="12"/>
      <c r="J286" s="12"/>
      <c r="K286" s="12"/>
      <c r="L286" s="12" t="s">
        <v>1359</v>
      </c>
      <c r="M286" s="12"/>
      <c r="N286" s="12"/>
      <c r="O286" s="13"/>
      <c r="P286" s="12">
        <v>10</v>
      </c>
      <c r="Q286" s="13" t="s">
        <v>3339</v>
      </c>
      <c r="R286" s="12">
        <v>985</v>
      </c>
      <c r="S286" s="12">
        <v>3278970</v>
      </c>
      <c r="T286" s="12"/>
      <c r="U286" s="13"/>
      <c r="V286" s="12" t="s">
        <v>3321</v>
      </c>
      <c r="W286" s="13" t="s">
        <v>3322</v>
      </c>
      <c r="X286" s="12"/>
      <c r="Y286" s="13"/>
      <c r="Z286" s="12"/>
      <c r="AA286" s="13"/>
      <c r="AB286" s="12"/>
      <c r="AC286" s="12"/>
      <c r="AD286" s="14"/>
      <c r="AE286" s="12"/>
      <c r="AF286" s="13"/>
      <c r="AG286" s="12"/>
      <c r="AH286" s="12"/>
      <c r="AI286" s="13"/>
      <c r="AJ286" s="13" t="s">
        <v>3328</v>
      </c>
      <c r="AK286" s="13" t="s">
        <v>3324</v>
      </c>
      <c r="AL286" s="12"/>
      <c r="AM286" s="13"/>
      <c r="AN286" s="12"/>
      <c r="AO286" s="12" t="s">
        <v>1357</v>
      </c>
      <c r="AP286" s="13"/>
      <c r="AQ286" s="12" t="s">
        <v>1354</v>
      </c>
      <c r="AR286" s="13"/>
      <c r="AS286" s="13" t="s">
        <v>71</v>
      </c>
      <c r="AT286" s="13" t="s">
        <v>71</v>
      </c>
      <c r="AU286" s="14">
        <v>100</v>
      </c>
      <c r="AV286" s="14"/>
      <c r="AW286" s="14">
        <v>48</v>
      </c>
      <c r="AX286" s="15">
        <v>45900</v>
      </c>
      <c r="AY286" s="15"/>
    </row>
    <row r="287" spans="1:51">
      <c r="A287" s="12">
        <v>8910021</v>
      </c>
      <c r="B287" s="13" t="s">
        <v>3523</v>
      </c>
      <c r="C287" s="13" t="s">
        <v>3342</v>
      </c>
      <c r="D287" s="13"/>
      <c r="E287" s="13" t="s">
        <v>3318</v>
      </c>
      <c r="F287" s="12"/>
      <c r="G287" s="12"/>
      <c r="H287" s="13"/>
      <c r="I287" s="12"/>
      <c r="J287" s="12"/>
      <c r="K287" s="12"/>
      <c r="L287" s="12" t="s">
        <v>1489</v>
      </c>
      <c r="M287" s="12"/>
      <c r="N287" s="12"/>
      <c r="O287" s="13"/>
      <c r="P287" s="12">
        <v>10</v>
      </c>
      <c r="Q287" s="13" t="s">
        <v>3339</v>
      </c>
      <c r="R287" s="12">
        <v>985</v>
      </c>
      <c r="S287" s="12">
        <v>3279183</v>
      </c>
      <c r="T287" s="12"/>
      <c r="U287" s="13"/>
      <c r="V287" s="12" t="s">
        <v>3321</v>
      </c>
      <c r="W287" s="13" t="s">
        <v>3322</v>
      </c>
      <c r="X287" s="12"/>
      <c r="Y287" s="13"/>
      <c r="Z287" s="12"/>
      <c r="AA287" s="13"/>
      <c r="AB287" s="12"/>
      <c r="AC287" s="12"/>
      <c r="AD287" s="14"/>
      <c r="AE287" s="12"/>
      <c r="AF287" s="13"/>
      <c r="AG287" s="12"/>
      <c r="AH287" s="12"/>
      <c r="AI287" s="13"/>
      <c r="AJ287" s="13" t="s">
        <v>3328</v>
      </c>
      <c r="AK287" s="13" t="s">
        <v>3324</v>
      </c>
      <c r="AL287" s="12"/>
      <c r="AM287" s="13"/>
      <c r="AN287" s="12"/>
      <c r="AO287" s="12">
        <v>1002</v>
      </c>
      <c r="AP287" s="13"/>
      <c r="AQ287" s="12">
        <v>10021</v>
      </c>
      <c r="AR287" s="13"/>
      <c r="AS287" s="13" t="s">
        <v>71</v>
      </c>
      <c r="AT287" s="13" t="s">
        <v>71</v>
      </c>
      <c r="AU287" s="14">
        <v>100</v>
      </c>
      <c r="AV287" s="14"/>
      <c r="AW287" s="14">
        <v>48</v>
      </c>
      <c r="AX287" s="15">
        <v>45900</v>
      </c>
      <c r="AY287" s="15"/>
    </row>
    <row r="288" spans="1:51">
      <c r="A288" s="12">
        <v>8910022</v>
      </c>
      <c r="B288" s="13" t="s">
        <v>3524</v>
      </c>
      <c r="C288" s="13" t="s">
        <v>3342</v>
      </c>
      <c r="D288" s="13"/>
      <c r="E288" s="13" t="s">
        <v>3318</v>
      </c>
      <c r="F288" s="12"/>
      <c r="G288" s="12"/>
      <c r="H288" s="13"/>
      <c r="I288" s="12"/>
      <c r="J288" s="12"/>
      <c r="K288" s="12"/>
      <c r="L288" s="12" t="s">
        <v>1492</v>
      </c>
      <c r="M288" s="12"/>
      <c r="N288" s="12"/>
      <c r="O288" s="13"/>
      <c r="P288" s="12">
        <v>10</v>
      </c>
      <c r="Q288" s="13" t="s">
        <v>3339</v>
      </c>
      <c r="R288" s="12">
        <v>985</v>
      </c>
      <c r="S288" s="12">
        <v>3279183</v>
      </c>
      <c r="T288" s="12"/>
      <c r="U288" s="13"/>
      <c r="V288" s="12" t="s">
        <v>3321</v>
      </c>
      <c r="W288" s="13" t="s">
        <v>3322</v>
      </c>
      <c r="X288" s="12"/>
      <c r="Y288" s="13"/>
      <c r="Z288" s="12"/>
      <c r="AA288" s="13"/>
      <c r="AB288" s="12"/>
      <c r="AC288" s="12"/>
      <c r="AD288" s="14"/>
      <c r="AE288" s="12"/>
      <c r="AF288" s="13"/>
      <c r="AG288" s="12"/>
      <c r="AH288" s="12"/>
      <c r="AI288" s="13"/>
      <c r="AJ288" s="13" t="s">
        <v>3328</v>
      </c>
      <c r="AK288" s="13" t="s">
        <v>3324</v>
      </c>
      <c r="AL288" s="12"/>
      <c r="AM288" s="13"/>
      <c r="AN288" s="12"/>
      <c r="AO288" s="12">
        <v>1002</v>
      </c>
      <c r="AP288" s="13"/>
      <c r="AQ288" s="12">
        <v>10022</v>
      </c>
      <c r="AR288" s="13"/>
      <c r="AS288" s="13" t="s">
        <v>71</v>
      </c>
      <c r="AT288" s="13" t="s">
        <v>71</v>
      </c>
      <c r="AU288" s="14">
        <v>100</v>
      </c>
      <c r="AV288" s="14"/>
      <c r="AW288" s="14">
        <v>48</v>
      </c>
      <c r="AX288" s="15">
        <v>45900</v>
      </c>
      <c r="AY288" s="15"/>
    </row>
    <row r="289" spans="1:51">
      <c r="A289" s="12">
        <v>8910031</v>
      </c>
      <c r="B289" s="13" t="s">
        <v>3525</v>
      </c>
      <c r="C289" s="13" t="s">
        <v>3342</v>
      </c>
      <c r="D289" s="13"/>
      <c r="E289" s="13" t="s">
        <v>3318</v>
      </c>
      <c r="F289" s="12"/>
      <c r="G289" s="12"/>
      <c r="H289" s="13"/>
      <c r="I289" s="12"/>
      <c r="J289" s="12"/>
      <c r="K289" s="12"/>
      <c r="L289" s="12" t="s">
        <v>1499</v>
      </c>
      <c r="M289" s="12" t="s">
        <v>1499</v>
      </c>
      <c r="N289" s="12"/>
      <c r="O289" s="13"/>
      <c r="P289" s="12">
        <v>20</v>
      </c>
      <c r="Q289" s="13" t="s">
        <v>3320</v>
      </c>
      <c r="R289" s="12">
        <v>450</v>
      </c>
      <c r="S289" s="12">
        <v>143034</v>
      </c>
      <c r="T289" s="12"/>
      <c r="U289" s="13"/>
      <c r="V289" s="12" t="s">
        <v>3321</v>
      </c>
      <c r="W289" s="13" t="s">
        <v>3322</v>
      </c>
      <c r="X289" s="12"/>
      <c r="Y289" s="13"/>
      <c r="Z289" s="12"/>
      <c r="AA289" s="13"/>
      <c r="AB289" s="12"/>
      <c r="AC289" s="12"/>
      <c r="AD289" s="14"/>
      <c r="AE289" s="12"/>
      <c r="AF289" s="13"/>
      <c r="AG289" s="12"/>
      <c r="AH289" s="12"/>
      <c r="AI289" s="13"/>
      <c r="AJ289" s="13" t="s">
        <v>3328</v>
      </c>
      <c r="AK289" s="13" t="s">
        <v>3324</v>
      </c>
      <c r="AL289" s="12"/>
      <c r="AM289" s="13"/>
      <c r="AN289" s="12"/>
      <c r="AO289" s="12">
        <v>1003</v>
      </c>
      <c r="AP289" s="13"/>
      <c r="AQ289" s="12">
        <v>10031</v>
      </c>
      <c r="AR289" s="13"/>
      <c r="AS289" s="13" t="s">
        <v>71</v>
      </c>
      <c r="AT289" s="13" t="s">
        <v>71</v>
      </c>
      <c r="AU289" s="14">
        <v>100</v>
      </c>
      <c r="AV289" s="14"/>
      <c r="AW289" s="14">
        <v>48</v>
      </c>
      <c r="AX289" s="15">
        <v>45900</v>
      </c>
      <c r="AY289" s="15"/>
    </row>
    <row r="290" spans="1:51">
      <c r="A290" s="12">
        <v>8910032</v>
      </c>
      <c r="B290" s="13" t="s">
        <v>3526</v>
      </c>
      <c r="C290" s="13" t="s">
        <v>3342</v>
      </c>
      <c r="D290" s="13"/>
      <c r="E290" s="13" t="s">
        <v>3318</v>
      </c>
      <c r="F290" s="12"/>
      <c r="G290" s="12"/>
      <c r="H290" s="13"/>
      <c r="I290" s="12"/>
      <c r="J290" s="12"/>
      <c r="K290" s="12"/>
      <c r="L290" s="12" t="s">
        <v>1503</v>
      </c>
      <c r="M290" s="12"/>
      <c r="N290" s="12"/>
      <c r="O290" s="13"/>
      <c r="P290" s="12">
        <v>20</v>
      </c>
      <c r="Q290" s="13" t="s">
        <v>3320</v>
      </c>
      <c r="R290" s="12">
        <v>450</v>
      </c>
      <c r="S290" s="12">
        <v>143034</v>
      </c>
      <c r="T290" s="12"/>
      <c r="U290" s="13"/>
      <c r="V290" s="12" t="s">
        <v>3321</v>
      </c>
      <c r="W290" s="13" t="s">
        <v>3322</v>
      </c>
      <c r="X290" s="12"/>
      <c r="Y290" s="13"/>
      <c r="Z290" s="12"/>
      <c r="AA290" s="13"/>
      <c r="AB290" s="12"/>
      <c r="AC290" s="12"/>
      <c r="AD290" s="14"/>
      <c r="AE290" s="12"/>
      <c r="AF290" s="13"/>
      <c r="AG290" s="12"/>
      <c r="AH290" s="12"/>
      <c r="AI290" s="13"/>
      <c r="AJ290" s="13" t="s">
        <v>3328</v>
      </c>
      <c r="AK290" s="13" t="s">
        <v>3324</v>
      </c>
      <c r="AL290" s="12"/>
      <c r="AM290" s="13"/>
      <c r="AN290" s="12"/>
      <c r="AO290" s="12">
        <v>1003</v>
      </c>
      <c r="AP290" s="13"/>
      <c r="AQ290" s="12">
        <v>10032</v>
      </c>
      <c r="AR290" s="13"/>
      <c r="AS290" s="13" t="s">
        <v>71</v>
      </c>
      <c r="AT290" s="13" t="s">
        <v>71</v>
      </c>
      <c r="AU290" s="14">
        <v>100</v>
      </c>
      <c r="AV290" s="14"/>
      <c r="AW290" s="14">
        <v>48</v>
      </c>
      <c r="AX290" s="15">
        <v>45900</v>
      </c>
      <c r="AY290" s="15"/>
    </row>
    <row r="291" spans="1:51">
      <c r="A291" s="12">
        <v>8911041</v>
      </c>
      <c r="B291" s="13" t="s">
        <v>3540</v>
      </c>
      <c r="C291" s="13" t="s">
        <v>3342</v>
      </c>
      <c r="D291" s="13"/>
      <c r="E291" s="13" t="s">
        <v>3318</v>
      </c>
      <c r="F291" s="12"/>
      <c r="G291" s="12"/>
      <c r="H291" s="13"/>
      <c r="I291" s="12"/>
      <c r="J291" s="12"/>
      <c r="K291" s="12"/>
      <c r="L291" s="12" t="s">
        <v>1580</v>
      </c>
      <c r="M291" s="12"/>
      <c r="N291" s="12"/>
      <c r="O291" s="13"/>
      <c r="P291" s="12">
        <v>14</v>
      </c>
      <c r="Q291" s="13" t="s">
        <v>3364</v>
      </c>
      <c r="R291" s="12">
        <v>349</v>
      </c>
      <c r="S291" s="12">
        <v>114919</v>
      </c>
      <c r="T291" s="12"/>
      <c r="U291" s="13"/>
      <c r="V291" s="12" t="s">
        <v>3321</v>
      </c>
      <c r="W291" s="13" t="s">
        <v>3322</v>
      </c>
      <c r="X291" s="12"/>
      <c r="Y291" s="13"/>
      <c r="Z291" s="12"/>
      <c r="AA291" s="13"/>
      <c r="AB291" s="12"/>
      <c r="AC291" s="12"/>
      <c r="AD291" s="14"/>
      <c r="AE291" s="12"/>
      <c r="AF291" s="13"/>
      <c r="AG291" s="12"/>
      <c r="AH291" s="12"/>
      <c r="AI291" s="13"/>
      <c r="AJ291" s="13" t="s">
        <v>3328</v>
      </c>
      <c r="AK291" s="13" t="s">
        <v>3324</v>
      </c>
      <c r="AL291" s="12"/>
      <c r="AM291" s="13"/>
      <c r="AN291" s="12"/>
      <c r="AO291" s="12">
        <v>1104</v>
      </c>
      <c r="AP291" s="13"/>
      <c r="AQ291" s="12">
        <v>11041</v>
      </c>
      <c r="AR291" s="13"/>
      <c r="AS291" s="13" t="s">
        <v>71</v>
      </c>
      <c r="AT291" s="13" t="s">
        <v>71</v>
      </c>
      <c r="AU291" s="14">
        <v>100</v>
      </c>
      <c r="AV291" s="14"/>
      <c r="AW291" s="14">
        <v>48</v>
      </c>
      <c r="AX291" s="15">
        <v>45900</v>
      </c>
      <c r="AY291" s="15"/>
    </row>
    <row r="292" spans="1:51">
      <c r="A292" s="12">
        <v>8912011</v>
      </c>
      <c r="B292" s="13" t="s">
        <v>3549</v>
      </c>
      <c r="C292" s="13" t="s">
        <v>3317</v>
      </c>
      <c r="D292" s="13"/>
      <c r="E292" s="13" t="s">
        <v>3318</v>
      </c>
      <c r="F292" s="12"/>
      <c r="G292" s="12"/>
      <c r="H292" s="13"/>
      <c r="I292" s="12"/>
      <c r="J292" s="12"/>
      <c r="K292" s="12"/>
      <c r="L292" s="12" t="s">
        <v>3550</v>
      </c>
      <c r="M292" s="12" t="s">
        <v>3550</v>
      </c>
      <c r="N292" s="12"/>
      <c r="O292" s="13"/>
      <c r="P292" s="12">
        <v>10</v>
      </c>
      <c r="Q292" s="13" t="s">
        <v>3339</v>
      </c>
      <c r="R292" s="12">
        <v>985</v>
      </c>
      <c r="S292" s="12">
        <v>3279673</v>
      </c>
      <c r="T292" s="12"/>
      <c r="U292" s="13"/>
      <c r="V292" s="12" t="s">
        <v>3321</v>
      </c>
      <c r="W292" s="13" t="s">
        <v>3322</v>
      </c>
      <c r="X292" s="12"/>
      <c r="Y292" s="13"/>
      <c r="Z292" s="12"/>
      <c r="AA292" s="13"/>
      <c r="AB292" s="12"/>
      <c r="AC292" s="12"/>
      <c r="AD292" s="14"/>
      <c r="AE292" s="12"/>
      <c r="AF292" s="13"/>
      <c r="AG292" s="12"/>
      <c r="AH292" s="12"/>
      <c r="AI292" s="13"/>
      <c r="AJ292" s="13" t="s">
        <v>3328</v>
      </c>
      <c r="AK292" s="13" t="s">
        <v>3324</v>
      </c>
      <c r="AL292" s="12"/>
      <c r="AM292" s="13"/>
      <c r="AN292" s="12"/>
      <c r="AO292" s="12"/>
      <c r="AP292" s="13"/>
      <c r="AQ292" s="12">
        <v>12011</v>
      </c>
      <c r="AR292" s="13"/>
      <c r="AS292" s="13" t="s">
        <v>71</v>
      </c>
      <c r="AT292" s="13" t="s">
        <v>71</v>
      </c>
      <c r="AU292" s="14">
        <v>100</v>
      </c>
      <c r="AV292" s="14"/>
      <c r="AW292" s="14">
        <v>48</v>
      </c>
      <c r="AX292" s="15">
        <v>42369</v>
      </c>
      <c r="AY292" s="15"/>
    </row>
    <row r="293" spans="1:51">
      <c r="A293" s="12">
        <v>8912021</v>
      </c>
      <c r="B293" s="13" t="s">
        <v>3551</v>
      </c>
      <c r="C293" s="13" t="s">
        <v>3317</v>
      </c>
      <c r="D293" s="13"/>
      <c r="E293" s="13" t="s">
        <v>3318</v>
      </c>
      <c r="F293" s="12"/>
      <c r="G293" s="12"/>
      <c r="H293" s="13"/>
      <c r="I293" s="12"/>
      <c r="J293" s="12"/>
      <c r="K293" s="12"/>
      <c r="L293" s="12" t="s">
        <v>3552</v>
      </c>
      <c r="M293" s="12"/>
      <c r="N293" s="12"/>
      <c r="O293" s="13"/>
      <c r="P293" s="12">
        <v>20</v>
      </c>
      <c r="Q293" s="13" t="s">
        <v>3320</v>
      </c>
      <c r="R293" s="12">
        <v>450</v>
      </c>
      <c r="S293" s="12">
        <v>141554</v>
      </c>
      <c r="T293" s="12"/>
      <c r="U293" s="13"/>
      <c r="V293" s="12" t="s">
        <v>3321</v>
      </c>
      <c r="W293" s="13" t="s">
        <v>3322</v>
      </c>
      <c r="X293" s="12"/>
      <c r="Y293" s="13"/>
      <c r="Z293" s="12"/>
      <c r="AA293" s="13"/>
      <c r="AB293" s="12"/>
      <c r="AC293" s="12"/>
      <c r="AD293" s="14"/>
      <c r="AE293" s="12"/>
      <c r="AF293" s="13"/>
      <c r="AG293" s="12"/>
      <c r="AH293" s="12"/>
      <c r="AI293" s="13"/>
      <c r="AJ293" s="13" t="s">
        <v>3328</v>
      </c>
      <c r="AK293" s="13" t="s">
        <v>3324</v>
      </c>
      <c r="AL293" s="12"/>
      <c r="AM293" s="13"/>
      <c r="AN293" s="12"/>
      <c r="AO293" s="12"/>
      <c r="AP293" s="13"/>
      <c r="AQ293" s="12">
        <v>12021</v>
      </c>
      <c r="AR293" s="13"/>
      <c r="AS293" s="13" t="s">
        <v>71</v>
      </c>
      <c r="AT293" s="13" t="s">
        <v>71</v>
      </c>
      <c r="AU293" s="14">
        <v>100</v>
      </c>
      <c r="AV293" s="14"/>
      <c r="AW293" s="14">
        <v>48</v>
      </c>
      <c r="AX293" s="15">
        <v>43556</v>
      </c>
      <c r="AY293" s="15"/>
    </row>
    <row r="294" spans="1:51">
      <c r="A294" s="12">
        <v>8912032</v>
      </c>
      <c r="B294" s="13" t="s">
        <v>3554</v>
      </c>
      <c r="C294" s="13" t="s">
        <v>3342</v>
      </c>
      <c r="D294" s="13"/>
      <c r="E294" s="13" t="s">
        <v>3318</v>
      </c>
      <c r="F294" s="12"/>
      <c r="G294" s="12"/>
      <c r="H294" s="13"/>
      <c r="I294" s="12"/>
      <c r="J294" s="12"/>
      <c r="K294" s="12"/>
      <c r="L294" s="12" t="s">
        <v>1698</v>
      </c>
      <c r="M294" s="12"/>
      <c r="N294" s="12"/>
      <c r="O294" s="13"/>
      <c r="P294" s="12">
        <v>10</v>
      </c>
      <c r="Q294" s="13" t="s">
        <v>3339</v>
      </c>
      <c r="R294" s="12">
        <v>985</v>
      </c>
      <c r="S294" s="12">
        <v>3274296</v>
      </c>
      <c r="T294" s="12"/>
      <c r="U294" s="13"/>
      <c r="V294" s="12" t="s">
        <v>3321</v>
      </c>
      <c r="W294" s="13" t="s">
        <v>3322</v>
      </c>
      <c r="X294" s="12"/>
      <c r="Y294" s="13"/>
      <c r="Z294" s="12"/>
      <c r="AA294" s="13"/>
      <c r="AB294" s="12"/>
      <c r="AC294" s="12"/>
      <c r="AD294" s="14"/>
      <c r="AE294" s="12"/>
      <c r="AF294" s="13"/>
      <c r="AG294" s="12"/>
      <c r="AH294" s="12"/>
      <c r="AI294" s="13"/>
      <c r="AJ294" s="13" t="s">
        <v>3328</v>
      </c>
      <c r="AK294" s="13" t="s">
        <v>3324</v>
      </c>
      <c r="AL294" s="12"/>
      <c r="AM294" s="13"/>
      <c r="AN294" s="12"/>
      <c r="AO294" s="12">
        <v>1203</v>
      </c>
      <c r="AP294" s="13"/>
      <c r="AQ294" s="12">
        <v>12032</v>
      </c>
      <c r="AR294" s="13"/>
      <c r="AS294" s="13" t="s">
        <v>71</v>
      </c>
      <c r="AT294" s="13" t="s">
        <v>71</v>
      </c>
      <c r="AU294" s="14">
        <v>100</v>
      </c>
      <c r="AV294" s="14"/>
      <c r="AW294" s="14">
        <v>48</v>
      </c>
      <c r="AX294" s="15">
        <v>45900</v>
      </c>
      <c r="AY294" s="15"/>
    </row>
    <row r="295" spans="1:51">
      <c r="A295" s="12">
        <v>8912051</v>
      </c>
      <c r="B295" s="13" t="s">
        <v>3555</v>
      </c>
      <c r="C295" s="13" t="s">
        <v>3342</v>
      </c>
      <c r="D295" s="13"/>
      <c r="E295" s="13" t="s">
        <v>3318</v>
      </c>
      <c r="F295" s="12"/>
      <c r="G295" s="12"/>
      <c r="H295" s="13"/>
      <c r="I295" s="12"/>
      <c r="J295" s="12"/>
      <c r="K295" s="12"/>
      <c r="L295" s="12" t="s">
        <v>1709</v>
      </c>
      <c r="M295" s="12" t="s">
        <v>1709</v>
      </c>
      <c r="N295" s="12"/>
      <c r="O295" s="13"/>
      <c r="P295" s="12">
        <v>10</v>
      </c>
      <c r="Q295" s="13" t="s">
        <v>3339</v>
      </c>
      <c r="R295" s="12">
        <v>985</v>
      </c>
      <c r="S295" s="12">
        <v>3279771</v>
      </c>
      <c r="T295" s="12"/>
      <c r="U295" s="13"/>
      <c r="V295" s="12" t="s">
        <v>3321</v>
      </c>
      <c r="W295" s="13" t="s">
        <v>3322</v>
      </c>
      <c r="X295" s="12"/>
      <c r="Y295" s="13"/>
      <c r="Z295" s="12"/>
      <c r="AA295" s="13"/>
      <c r="AB295" s="12"/>
      <c r="AC295" s="12"/>
      <c r="AD295" s="14"/>
      <c r="AE295" s="12"/>
      <c r="AF295" s="13"/>
      <c r="AG295" s="12"/>
      <c r="AH295" s="12"/>
      <c r="AI295" s="13"/>
      <c r="AJ295" s="13" t="s">
        <v>3328</v>
      </c>
      <c r="AK295" s="13" t="s">
        <v>3324</v>
      </c>
      <c r="AL295" s="12"/>
      <c r="AM295" s="13"/>
      <c r="AN295" s="12"/>
      <c r="AO295" s="12">
        <v>1205</v>
      </c>
      <c r="AP295" s="13"/>
      <c r="AQ295" s="12">
        <v>12051</v>
      </c>
      <c r="AR295" s="13"/>
      <c r="AS295" s="13" t="s">
        <v>71</v>
      </c>
      <c r="AT295" s="13" t="s">
        <v>71</v>
      </c>
      <c r="AU295" s="14">
        <v>100</v>
      </c>
      <c r="AV295" s="14"/>
      <c r="AW295" s="14">
        <v>48</v>
      </c>
      <c r="AX295" s="15">
        <v>45900</v>
      </c>
      <c r="AY295" s="15"/>
    </row>
    <row r="296" spans="1:51">
      <c r="A296" s="12">
        <v>8912052</v>
      </c>
      <c r="B296" s="13" t="s">
        <v>3556</v>
      </c>
      <c r="C296" s="13" t="s">
        <v>3342</v>
      </c>
      <c r="D296" s="13"/>
      <c r="E296" s="13" t="s">
        <v>3318</v>
      </c>
      <c r="F296" s="12"/>
      <c r="G296" s="12"/>
      <c r="H296" s="13"/>
      <c r="I296" s="12"/>
      <c r="J296" s="12"/>
      <c r="K296" s="12"/>
      <c r="L296" s="12" t="s">
        <v>1712</v>
      </c>
      <c r="M296" s="12"/>
      <c r="N296" s="12"/>
      <c r="O296" s="13"/>
      <c r="P296" s="12">
        <v>10</v>
      </c>
      <c r="Q296" s="13" t="s">
        <v>3339</v>
      </c>
      <c r="R296" s="12">
        <v>985</v>
      </c>
      <c r="S296" s="12">
        <v>3279771</v>
      </c>
      <c r="T296" s="12"/>
      <c r="U296" s="13"/>
      <c r="V296" s="12" t="s">
        <v>3321</v>
      </c>
      <c r="W296" s="13" t="s">
        <v>3322</v>
      </c>
      <c r="X296" s="12"/>
      <c r="Y296" s="13"/>
      <c r="Z296" s="12"/>
      <c r="AA296" s="13"/>
      <c r="AB296" s="12"/>
      <c r="AC296" s="12"/>
      <c r="AD296" s="14"/>
      <c r="AE296" s="12"/>
      <c r="AF296" s="13"/>
      <c r="AG296" s="12"/>
      <c r="AH296" s="12"/>
      <c r="AI296" s="13"/>
      <c r="AJ296" s="13" t="s">
        <v>3328</v>
      </c>
      <c r="AK296" s="13" t="s">
        <v>3324</v>
      </c>
      <c r="AL296" s="12"/>
      <c r="AM296" s="13"/>
      <c r="AN296" s="12"/>
      <c r="AO296" s="12">
        <v>1205</v>
      </c>
      <c r="AP296" s="13"/>
      <c r="AQ296" s="12">
        <v>12052</v>
      </c>
      <c r="AR296" s="13"/>
      <c r="AS296" s="13" t="s">
        <v>71</v>
      </c>
      <c r="AT296" s="13" t="s">
        <v>71</v>
      </c>
      <c r="AU296" s="14">
        <v>100</v>
      </c>
      <c r="AV296" s="14"/>
      <c r="AW296" s="14">
        <v>48</v>
      </c>
      <c r="AX296" s="15">
        <v>45900</v>
      </c>
      <c r="AY296" s="15"/>
    </row>
    <row r="297" spans="1:51">
      <c r="A297" s="12">
        <v>8912071</v>
      </c>
      <c r="B297" s="13" t="s">
        <v>3559</v>
      </c>
      <c r="C297" s="13" t="s">
        <v>3342</v>
      </c>
      <c r="D297" s="13"/>
      <c r="E297" s="13" t="s">
        <v>3318</v>
      </c>
      <c r="F297" s="12"/>
      <c r="G297" s="12"/>
      <c r="H297" s="13"/>
      <c r="I297" s="12"/>
      <c r="J297" s="12"/>
      <c r="K297" s="12"/>
      <c r="L297" s="12" t="s">
        <v>1717</v>
      </c>
      <c r="M297" s="12" t="s">
        <v>1717</v>
      </c>
      <c r="N297" s="12"/>
      <c r="O297" s="13"/>
      <c r="P297" s="12">
        <v>10</v>
      </c>
      <c r="Q297" s="13" t="s">
        <v>3339</v>
      </c>
      <c r="R297" s="12">
        <v>985</v>
      </c>
      <c r="S297" s="12">
        <v>3279967</v>
      </c>
      <c r="T297" s="12"/>
      <c r="U297" s="13"/>
      <c r="V297" s="12" t="s">
        <v>3321</v>
      </c>
      <c r="W297" s="13" t="s">
        <v>3322</v>
      </c>
      <c r="X297" s="12"/>
      <c r="Y297" s="13"/>
      <c r="Z297" s="12"/>
      <c r="AA297" s="13"/>
      <c r="AB297" s="12"/>
      <c r="AC297" s="12"/>
      <c r="AD297" s="14"/>
      <c r="AE297" s="12"/>
      <c r="AF297" s="13"/>
      <c r="AG297" s="12"/>
      <c r="AH297" s="12"/>
      <c r="AI297" s="13"/>
      <c r="AJ297" s="13" t="s">
        <v>3328</v>
      </c>
      <c r="AK297" s="13" t="s">
        <v>3324</v>
      </c>
      <c r="AL297" s="12"/>
      <c r="AM297" s="13"/>
      <c r="AN297" s="12"/>
      <c r="AO297" s="12">
        <v>1207</v>
      </c>
      <c r="AP297" s="13"/>
      <c r="AQ297" s="12">
        <v>12071</v>
      </c>
      <c r="AR297" s="13"/>
      <c r="AS297" s="13" t="s">
        <v>71</v>
      </c>
      <c r="AT297" s="13" t="s">
        <v>71</v>
      </c>
      <c r="AU297" s="14">
        <v>100</v>
      </c>
      <c r="AV297" s="14"/>
      <c r="AW297" s="14">
        <v>48</v>
      </c>
      <c r="AX297" s="15">
        <v>45900</v>
      </c>
      <c r="AY297" s="15"/>
    </row>
    <row r="298" spans="1:51">
      <c r="A298" s="12">
        <v>8912072</v>
      </c>
      <c r="B298" s="13" t="s">
        <v>3560</v>
      </c>
      <c r="C298" s="13" t="s">
        <v>3342</v>
      </c>
      <c r="D298" s="13"/>
      <c r="E298" s="13" t="s">
        <v>3318</v>
      </c>
      <c r="F298" s="12"/>
      <c r="G298" s="12"/>
      <c r="H298" s="13"/>
      <c r="I298" s="12"/>
      <c r="J298" s="12"/>
      <c r="K298" s="12"/>
      <c r="L298" s="12" t="s">
        <v>1720</v>
      </c>
      <c r="M298" s="12" t="s">
        <v>1720</v>
      </c>
      <c r="N298" s="12"/>
      <c r="O298" s="13"/>
      <c r="P298" s="12">
        <v>10</v>
      </c>
      <c r="Q298" s="13" t="s">
        <v>3339</v>
      </c>
      <c r="R298" s="12">
        <v>985</v>
      </c>
      <c r="S298" s="12">
        <v>3279967</v>
      </c>
      <c r="T298" s="12"/>
      <c r="U298" s="13"/>
      <c r="V298" s="12" t="s">
        <v>3321</v>
      </c>
      <c r="W298" s="13" t="s">
        <v>3322</v>
      </c>
      <c r="X298" s="12"/>
      <c r="Y298" s="13"/>
      <c r="Z298" s="12"/>
      <c r="AA298" s="13"/>
      <c r="AB298" s="12"/>
      <c r="AC298" s="12"/>
      <c r="AD298" s="14"/>
      <c r="AE298" s="12"/>
      <c r="AF298" s="13"/>
      <c r="AG298" s="12"/>
      <c r="AH298" s="12"/>
      <c r="AI298" s="13"/>
      <c r="AJ298" s="13" t="s">
        <v>3328</v>
      </c>
      <c r="AK298" s="13" t="s">
        <v>3324</v>
      </c>
      <c r="AL298" s="12"/>
      <c r="AM298" s="13"/>
      <c r="AN298" s="12"/>
      <c r="AO298" s="12">
        <v>1207</v>
      </c>
      <c r="AP298" s="13"/>
      <c r="AQ298" s="12">
        <v>12072</v>
      </c>
      <c r="AR298" s="13"/>
      <c r="AS298" s="13" t="s">
        <v>71</v>
      </c>
      <c r="AT298" s="13" t="s">
        <v>71</v>
      </c>
      <c r="AU298" s="14">
        <v>100</v>
      </c>
      <c r="AV298" s="14"/>
      <c r="AW298" s="14">
        <v>48</v>
      </c>
      <c r="AX298" s="15">
        <v>45900</v>
      </c>
      <c r="AY298" s="15"/>
    </row>
    <row r="299" spans="1:51">
      <c r="A299" s="12">
        <v>8912081</v>
      </c>
      <c r="B299" s="13" t="s">
        <v>3561</v>
      </c>
      <c r="C299" s="13" t="s">
        <v>3342</v>
      </c>
      <c r="D299" s="13"/>
      <c r="E299" s="13" t="s">
        <v>3318</v>
      </c>
      <c r="F299" s="12"/>
      <c r="G299" s="12"/>
      <c r="H299" s="13"/>
      <c r="I299" s="12"/>
      <c r="J299" s="12"/>
      <c r="K299" s="12"/>
      <c r="L299" s="12" t="s">
        <v>1726</v>
      </c>
      <c r="M299" s="12"/>
      <c r="N299" s="12"/>
      <c r="O299" s="13"/>
      <c r="P299" s="12">
        <v>10</v>
      </c>
      <c r="Q299" s="13" t="s">
        <v>3339</v>
      </c>
      <c r="R299" s="12">
        <v>985</v>
      </c>
      <c r="S299" s="12">
        <v>3280106</v>
      </c>
      <c r="T299" s="12"/>
      <c r="U299" s="13"/>
      <c r="V299" s="12" t="s">
        <v>3321</v>
      </c>
      <c r="W299" s="13" t="s">
        <v>3322</v>
      </c>
      <c r="X299" s="12"/>
      <c r="Y299" s="13"/>
      <c r="Z299" s="12"/>
      <c r="AA299" s="13"/>
      <c r="AB299" s="12"/>
      <c r="AC299" s="12"/>
      <c r="AD299" s="14"/>
      <c r="AE299" s="12"/>
      <c r="AF299" s="13"/>
      <c r="AG299" s="12"/>
      <c r="AH299" s="12"/>
      <c r="AI299" s="13"/>
      <c r="AJ299" s="13" t="s">
        <v>3328</v>
      </c>
      <c r="AK299" s="13" t="s">
        <v>3324</v>
      </c>
      <c r="AL299" s="12"/>
      <c r="AM299" s="13"/>
      <c r="AN299" s="12"/>
      <c r="AO299" s="12">
        <v>1208</v>
      </c>
      <c r="AP299" s="13"/>
      <c r="AQ299" s="12">
        <v>12081</v>
      </c>
      <c r="AR299" s="13"/>
      <c r="AS299" s="13" t="s">
        <v>71</v>
      </c>
      <c r="AT299" s="13" t="s">
        <v>71</v>
      </c>
      <c r="AU299" s="14">
        <v>100</v>
      </c>
      <c r="AV299" s="14"/>
      <c r="AW299" s="14">
        <v>48</v>
      </c>
      <c r="AX299" s="15">
        <v>45900</v>
      </c>
      <c r="AY299" s="15"/>
    </row>
    <row r="300" spans="1:51">
      <c r="A300" s="12">
        <v>8912141</v>
      </c>
      <c r="B300" s="13" t="s">
        <v>3571</v>
      </c>
      <c r="C300" s="13" t="s">
        <v>3342</v>
      </c>
      <c r="D300" s="13"/>
      <c r="E300" s="13" t="s">
        <v>3318</v>
      </c>
      <c r="F300" s="12"/>
      <c r="G300" s="12"/>
      <c r="H300" s="13"/>
      <c r="I300" s="12"/>
      <c r="J300" s="12"/>
      <c r="K300" s="12"/>
      <c r="L300" s="12" t="s">
        <v>1794</v>
      </c>
      <c r="M300" s="12"/>
      <c r="N300" s="12"/>
      <c r="O300" s="13"/>
      <c r="P300" s="12"/>
      <c r="Q300" s="13"/>
      <c r="R300" s="12"/>
      <c r="S300" s="12"/>
      <c r="T300" s="12"/>
      <c r="U300" s="13"/>
      <c r="V300" s="12" t="s">
        <v>3321</v>
      </c>
      <c r="W300" s="13" t="s">
        <v>3322</v>
      </c>
      <c r="X300" s="12"/>
      <c r="Y300" s="13"/>
      <c r="Z300" s="12"/>
      <c r="AA300" s="13"/>
      <c r="AB300" s="12"/>
      <c r="AC300" s="12"/>
      <c r="AD300" s="14"/>
      <c r="AE300" s="12"/>
      <c r="AF300" s="13"/>
      <c r="AG300" s="12"/>
      <c r="AH300" s="12"/>
      <c r="AI300" s="13"/>
      <c r="AJ300" s="13" t="s">
        <v>3328</v>
      </c>
      <c r="AK300" s="13" t="s">
        <v>3324</v>
      </c>
      <c r="AL300" s="12"/>
      <c r="AM300" s="13"/>
      <c r="AN300" s="12"/>
      <c r="AO300" s="12">
        <v>1214</v>
      </c>
      <c r="AP300" s="13"/>
      <c r="AQ300" s="12">
        <v>12141</v>
      </c>
      <c r="AR300" s="13"/>
      <c r="AS300" s="13" t="s">
        <v>71</v>
      </c>
      <c r="AT300" s="13" t="s">
        <v>71</v>
      </c>
      <c r="AU300" s="14">
        <v>100</v>
      </c>
      <c r="AV300" s="14"/>
      <c r="AW300" s="14">
        <v>48</v>
      </c>
      <c r="AX300" s="15">
        <v>45900</v>
      </c>
      <c r="AY300" s="15"/>
    </row>
    <row r="301" spans="1:51">
      <c r="A301" s="12">
        <v>8912151</v>
      </c>
      <c r="B301" s="13" t="s">
        <v>3573</v>
      </c>
      <c r="C301" s="13" t="s">
        <v>3342</v>
      </c>
      <c r="D301" s="13"/>
      <c r="E301" s="13" t="s">
        <v>3318</v>
      </c>
      <c r="F301" s="12"/>
      <c r="G301" s="12"/>
      <c r="H301" s="13"/>
      <c r="I301" s="12"/>
      <c r="J301" s="12"/>
      <c r="K301" s="12" t="s">
        <v>3574</v>
      </c>
      <c r="L301" s="12" t="s">
        <v>3321</v>
      </c>
      <c r="M301" s="12"/>
      <c r="N301" s="12"/>
      <c r="O301" s="13"/>
      <c r="P301" s="12">
        <v>10</v>
      </c>
      <c r="Q301" s="13" t="s">
        <v>3339</v>
      </c>
      <c r="R301" s="12">
        <v>985</v>
      </c>
      <c r="S301" s="12">
        <v>3272202</v>
      </c>
      <c r="T301" s="12"/>
      <c r="U301" s="13"/>
      <c r="V301" s="12" t="s">
        <v>3321</v>
      </c>
      <c r="W301" s="13" t="s">
        <v>3322</v>
      </c>
      <c r="X301" s="12"/>
      <c r="Y301" s="13"/>
      <c r="Z301" s="12"/>
      <c r="AA301" s="13"/>
      <c r="AB301" s="12"/>
      <c r="AC301" s="12"/>
      <c r="AD301" s="14"/>
      <c r="AE301" s="12"/>
      <c r="AF301" s="13"/>
      <c r="AG301" s="12"/>
      <c r="AH301" s="12"/>
      <c r="AI301" s="13"/>
      <c r="AJ301" s="13" t="s">
        <v>3328</v>
      </c>
      <c r="AK301" s="13" t="s">
        <v>3324</v>
      </c>
      <c r="AL301" s="12"/>
      <c r="AM301" s="13"/>
      <c r="AN301" s="12"/>
      <c r="AO301" s="12">
        <v>1215</v>
      </c>
      <c r="AP301" s="13"/>
      <c r="AQ301" s="12">
        <v>12151</v>
      </c>
      <c r="AR301" s="13"/>
      <c r="AS301" s="13" t="s">
        <v>71</v>
      </c>
      <c r="AT301" s="13" t="s">
        <v>71</v>
      </c>
      <c r="AU301" s="14">
        <v>100</v>
      </c>
      <c r="AV301" s="14"/>
      <c r="AW301" s="14">
        <v>48</v>
      </c>
      <c r="AX301" s="15">
        <v>45900</v>
      </c>
      <c r="AY301" s="15"/>
    </row>
    <row r="302" spans="1:51">
      <c r="A302" s="12">
        <v>8912152</v>
      </c>
      <c r="B302" s="13" t="s">
        <v>3575</v>
      </c>
      <c r="C302" s="13" t="s">
        <v>3342</v>
      </c>
      <c r="D302" s="13"/>
      <c r="E302" s="13" t="s">
        <v>3318</v>
      </c>
      <c r="F302" s="12"/>
      <c r="G302" s="12"/>
      <c r="H302" s="13"/>
      <c r="I302" s="12"/>
      <c r="J302" s="12"/>
      <c r="K302" s="12" t="s">
        <v>3574</v>
      </c>
      <c r="L302" s="12" t="s">
        <v>1818</v>
      </c>
      <c r="M302" s="12" t="s">
        <v>1818</v>
      </c>
      <c r="N302" s="12"/>
      <c r="O302" s="13"/>
      <c r="P302" s="12">
        <v>10</v>
      </c>
      <c r="Q302" s="13" t="s">
        <v>3339</v>
      </c>
      <c r="R302" s="12">
        <v>985</v>
      </c>
      <c r="S302" s="12">
        <v>3272202</v>
      </c>
      <c r="T302" s="12"/>
      <c r="U302" s="13"/>
      <c r="V302" s="12" t="s">
        <v>3321</v>
      </c>
      <c r="W302" s="13" t="s">
        <v>3322</v>
      </c>
      <c r="X302" s="12"/>
      <c r="Y302" s="13"/>
      <c r="Z302" s="12"/>
      <c r="AA302" s="13"/>
      <c r="AB302" s="12"/>
      <c r="AC302" s="12"/>
      <c r="AD302" s="14"/>
      <c r="AE302" s="12"/>
      <c r="AF302" s="13"/>
      <c r="AG302" s="12"/>
      <c r="AH302" s="12"/>
      <c r="AI302" s="13"/>
      <c r="AJ302" s="13" t="s">
        <v>3328</v>
      </c>
      <c r="AK302" s="13" t="s">
        <v>3324</v>
      </c>
      <c r="AL302" s="12"/>
      <c r="AM302" s="13"/>
      <c r="AN302" s="12"/>
      <c r="AO302" s="12">
        <v>1215</v>
      </c>
      <c r="AP302" s="13"/>
      <c r="AQ302" s="12">
        <v>12152</v>
      </c>
      <c r="AR302" s="13"/>
      <c r="AS302" s="13" t="s">
        <v>71</v>
      </c>
      <c r="AT302" s="13" t="s">
        <v>71</v>
      </c>
      <c r="AU302" s="14">
        <v>100</v>
      </c>
      <c r="AV302" s="14"/>
      <c r="AW302" s="14">
        <v>48</v>
      </c>
      <c r="AX302" s="15">
        <v>45900</v>
      </c>
      <c r="AY302" s="15"/>
    </row>
    <row r="303" spans="1:51">
      <c r="A303" s="12">
        <v>8912161</v>
      </c>
      <c r="B303" s="13" t="s">
        <v>3576</v>
      </c>
      <c r="C303" s="13" t="s">
        <v>3342</v>
      </c>
      <c r="D303" s="13"/>
      <c r="E303" s="13" t="s">
        <v>3318</v>
      </c>
      <c r="F303" s="12"/>
      <c r="G303" s="12"/>
      <c r="H303" s="13"/>
      <c r="I303" s="12"/>
      <c r="J303" s="12"/>
      <c r="K303" s="12"/>
      <c r="L303" s="12" t="s">
        <v>3321</v>
      </c>
      <c r="M303" s="12"/>
      <c r="N303" s="12"/>
      <c r="O303" s="13"/>
      <c r="P303" s="12"/>
      <c r="Q303" s="13"/>
      <c r="R303" s="12"/>
      <c r="S303" s="12"/>
      <c r="T303" s="12"/>
      <c r="U303" s="13"/>
      <c r="V303" s="12" t="s">
        <v>3321</v>
      </c>
      <c r="W303" s="13" t="s">
        <v>3322</v>
      </c>
      <c r="X303" s="12"/>
      <c r="Y303" s="13"/>
      <c r="Z303" s="12"/>
      <c r="AA303" s="13"/>
      <c r="AB303" s="12"/>
      <c r="AC303" s="12"/>
      <c r="AD303" s="14"/>
      <c r="AE303" s="12"/>
      <c r="AF303" s="13"/>
      <c r="AG303" s="12"/>
      <c r="AH303" s="12"/>
      <c r="AI303" s="13"/>
      <c r="AJ303" s="13" t="s">
        <v>3328</v>
      </c>
      <c r="AK303" s="13" t="s">
        <v>3324</v>
      </c>
      <c r="AL303" s="12"/>
      <c r="AM303" s="13"/>
      <c r="AN303" s="12"/>
      <c r="AO303" s="12">
        <v>1216</v>
      </c>
      <c r="AP303" s="13"/>
      <c r="AQ303" s="12">
        <v>12161</v>
      </c>
      <c r="AR303" s="13"/>
      <c r="AS303" s="13" t="s">
        <v>71</v>
      </c>
      <c r="AT303" s="13" t="s">
        <v>71</v>
      </c>
      <c r="AU303" s="14">
        <v>100</v>
      </c>
      <c r="AV303" s="14"/>
      <c r="AW303" s="14">
        <v>48</v>
      </c>
      <c r="AX303" s="15">
        <v>45900</v>
      </c>
      <c r="AY303" s="15"/>
    </row>
    <row r="304" spans="1:51">
      <c r="A304" s="12">
        <v>8912162</v>
      </c>
      <c r="B304" s="13" t="s">
        <v>3577</v>
      </c>
      <c r="C304" s="13" t="s">
        <v>3342</v>
      </c>
      <c r="D304" s="13"/>
      <c r="E304" s="13" t="s">
        <v>3318</v>
      </c>
      <c r="F304" s="12"/>
      <c r="G304" s="12"/>
      <c r="H304" s="13"/>
      <c r="I304" s="12"/>
      <c r="J304" s="12"/>
      <c r="K304" s="12"/>
      <c r="L304" s="12" t="s">
        <v>3321</v>
      </c>
      <c r="M304" s="12"/>
      <c r="N304" s="12"/>
      <c r="O304" s="13"/>
      <c r="P304" s="12"/>
      <c r="Q304" s="13"/>
      <c r="R304" s="12"/>
      <c r="S304" s="12"/>
      <c r="T304" s="12"/>
      <c r="U304" s="13"/>
      <c r="V304" s="12" t="s">
        <v>3321</v>
      </c>
      <c r="W304" s="13" t="s">
        <v>3322</v>
      </c>
      <c r="X304" s="12"/>
      <c r="Y304" s="13"/>
      <c r="Z304" s="12"/>
      <c r="AA304" s="13"/>
      <c r="AB304" s="12"/>
      <c r="AC304" s="12"/>
      <c r="AD304" s="14"/>
      <c r="AE304" s="12"/>
      <c r="AF304" s="13"/>
      <c r="AG304" s="12"/>
      <c r="AH304" s="12"/>
      <c r="AI304" s="13"/>
      <c r="AJ304" s="13" t="s">
        <v>3328</v>
      </c>
      <c r="AK304" s="13" t="s">
        <v>3324</v>
      </c>
      <c r="AL304" s="12"/>
      <c r="AM304" s="13"/>
      <c r="AN304" s="12"/>
      <c r="AO304" s="12">
        <v>1216</v>
      </c>
      <c r="AP304" s="13"/>
      <c r="AQ304" s="12">
        <v>12162</v>
      </c>
      <c r="AR304" s="13"/>
      <c r="AS304" s="13" t="s">
        <v>71</v>
      </c>
      <c r="AT304" s="13" t="s">
        <v>71</v>
      </c>
      <c r="AU304" s="14">
        <v>100</v>
      </c>
      <c r="AV304" s="14"/>
      <c r="AW304" s="14">
        <v>48</v>
      </c>
      <c r="AX304" s="15">
        <v>45900</v>
      </c>
      <c r="AY304" s="15"/>
    </row>
    <row r="305" spans="1:51">
      <c r="A305" s="12">
        <v>8914012</v>
      </c>
      <c r="B305" s="13" t="s">
        <v>3604</v>
      </c>
      <c r="C305" s="13" t="s">
        <v>3342</v>
      </c>
      <c r="D305" s="13"/>
      <c r="E305" s="13" t="s">
        <v>3318</v>
      </c>
      <c r="F305" s="12"/>
      <c r="G305" s="12"/>
      <c r="H305" s="13"/>
      <c r="I305" s="12"/>
      <c r="J305" s="12"/>
      <c r="K305" s="12"/>
      <c r="L305" s="12" t="s">
        <v>2089</v>
      </c>
      <c r="M305" s="12" t="s">
        <v>2089</v>
      </c>
      <c r="N305" s="12"/>
      <c r="O305" s="13"/>
      <c r="P305" s="12">
        <v>20</v>
      </c>
      <c r="Q305" s="13" t="s">
        <v>3320</v>
      </c>
      <c r="R305" s="12">
        <v>439</v>
      </c>
      <c r="S305" s="12">
        <v>134458</v>
      </c>
      <c r="T305" s="12"/>
      <c r="U305" s="13"/>
      <c r="V305" s="12" t="s">
        <v>3321</v>
      </c>
      <c r="W305" s="13" t="s">
        <v>3322</v>
      </c>
      <c r="X305" s="12"/>
      <c r="Y305" s="13"/>
      <c r="Z305" s="12"/>
      <c r="AA305" s="13"/>
      <c r="AB305" s="12"/>
      <c r="AC305" s="12"/>
      <c r="AD305" s="14"/>
      <c r="AE305" s="12"/>
      <c r="AF305" s="13"/>
      <c r="AG305" s="12"/>
      <c r="AH305" s="12"/>
      <c r="AI305" s="13"/>
      <c r="AJ305" s="13" t="s">
        <v>3328</v>
      </c>
      <c r="AK305" s="13" t="s">
        <v>3324</v>
      </c>
      <c r="AL305" s="12"/>
      <c r="AM305" s="13"/>
      <c r="AN305" s="12"/>
      <c r="AO305" s="12">
        <v>1401</v>
      </c>
      <c r="AP305" s="13"/>
      <c r="AQ305" s="12">
        <v>14012</v>
      </c>
      <c r="AR305" s="13"/>
      <c r="AS305" s="13" t="s">
        <v>71</v>
      </c>
      <c r="AT305" s="13" t="s">
        <v>71</v>
      </c>
      <c r="AU305" s="14">
        <v>100</v>
      </c>
      <c r="AV305" s="14"/>
      <c r="AW305" s="14">
        <v>48</v>
      </c>
      <c r="AX305" s="15">
        <v>45900</v>
      </c>
      <c r="AY305" s="15"/>
    </row>
    <row r="306" spans="1:51">
      <c r="A306" s="12">
        <v>8917072</v>
      </c>
      <c r="B306" s="13" t="s">
        <v>3626</v>
      </c>
      <c r="C306" s="13" t="s">
        <v>3342</v>
      </c>
      <c r="D306" s="13"/>
      <c r="E306" s="13" t="s">
        <v>3318</v>
      </c>
      <c r="F306" s="12"/>
      <c r="G306" s="12"/>
      <c r="H306" s="13"/>
      <c r="I306" s="12"/>
      <c r="J306" s="12"/>
      <c r="K306" s="12"/>
      <c r="L306" s="12" t="s">
        <v>2231</v>
      </c>
      <c r="M306" s="12"/>
      <c r="N306" s="12"/>
      <c r="O306" s="13"/>
      <c r="P306" s="12">
        <v>10</v>
      </c>
      <c r="Q306" s="13" t="s">
        <v>3339</v>
      </c>
      <c r="R306" s="12">
        <v>985</v>
      </c>
      <c r="S306" s="12">
        <v>3280400</v>
      </c>
      <c r="T306" s="12"/>
      <c r="U306" s="13"/>
      <c r="V306" s="12" t="s">
        <v>3321</v>
      </c>
      <c r="W306" s="13" t="s">
        <v>3322</v>
      </c>
      <c r="X306" s="12"/>
      <c r="Y306" s="13"/>
      <c r="Z306" s="12"/>
      <c r="AA306" s="13"/>
      <c r="AB306" s="12"/>
      <c r="AC306" s="12"/>
      <c r="AD306" s="14"/>
      <c r="AE306" s="12"/>
      <c r="AF306" s="13"/>
      <c r="AG306" s="12"/>
      <c r="AH306" s="12"/>
      <c r="AI306" s="13"/>
      <c r="AJ306" s="13" t="s">
        <v>3328</v>
      </c>
      <c r="AK306" s="13" t="s">
        <v>3324</v>
      </c>
      <c r="AL306" s="12"/>
      <c r="AM306" s="13"/>
      <c r="AN306" s="12"/>
      <c r="AO306" s="12">
        <v>1707</v>
      </c>
      <c r="AP306" s="13"/>
      <c r="AQ306" s="12">
        <v>17072</v>
      </c>
      <c r="AR306" s="13"/>
      <c r="AS306" s="13" t="s">
        <v>71</v>
      </c>
      <c r="AT306" s="13" t="s">
        <v>71</v>
      </c>
      <c r="AU306" s="14">
        <v>100</v>
      </c>
      <c r="AV306" s="14"/>
      <c r="AW306" s="14">
        <v>48</v>
      </c>
      <c r="AX306" s="15">
        <v>45900</v>
      </c>
      <c r="AY306" s="15"/>
    </row>
    <row r="307" spans="1:51">
      <c r="A307" s="12">
        <v>8919071</v>
      </c>
      <c r="B307" s="13" t="s">
        <v>3638</v>
      </c>
      <c r="C307" s="13" t="s">
        <v>3342</v>
      </c>
      <c r="D307" s="13"/>
      <c r="E307" s="13" t="s">
        <v>3318</v>
      </c>
      <c r="F307" s="12"/>
      <c r="G307" s="12"/>
      <c r="H307" s="13"/>
      <c r="I307" s="12"/>
      <c r="J307" s="12"/>
      <c r="K307" s="12"/>
      <c r="L307" s="12" t="s">
        <v>2341</v>
      </c>
      <c r="M307" s="12" t="s">
        <v>2341</v>
      </c>
      <c r="N307" s="12"/>
      <c r="O307" s="13"/>
      <c r="P307" s="12">
        <v>10</v>
      </c>
      <c r="Q307" s="13" t="s">
        <v>3339</v>
      </c>
      <c r="R307" s="12">
        <v>985</v>
      </c>
      <c r="S307" s="12">
        <v>3281889</v>
      </c>
      <c r="T307" s="12"/>
      <c r="U307" s="13"/>
      <c r="V307" s="12" t="s">
        <v>3321</v>
      </c>
      <c r="W307" s="13" t="s">
        <v>3322</v>
      </c>
      <c r="X307" s="12"/>
      <c r="Y307" s="13"/>
      <c r="Z307" s="12"/>
      <c r="AA307" s="13"/>
      <c r="AB307" s="12"/>
      <c r="AC307" s="12"/>
      <c r="AD307" s="14"/>
      <c r="AE307" s="12"/>
      <c r="AF307" s="13"/>
      <c r="AG307" s="12"/>
      <c r="AH307" s="12"/>
      <c r="AI307" s="13"/>
      <c r="AJ307" s="13" t="s">
        <v>3328</v>
      </c>
      <c r="AK307" s="13" t="s">
        <v>3324</v>
      </c>
      <c r="AL307" s="12"/>
      <c r="AM307" s="13"/>
      <c r="AN307" s="12"/>
      <c r="AO307" s="12">
        <v>1907</v>
      </c>
      <c r="AP307" s="13"/>
      <c r="AQ307" s="12">
        <v>19071</v>
      </c>
      <c r="AR307" s="13"/>
      <c r="AS307" s="13" t="s">
        <v>71</v>
      </c>
      <c r="AT307" s="13" t="s">
        <v>71</v>
      </c>
      <c r="AU307" s="14">
        <v>100</v>
      </c>
      <c r="AV307" s="14"/>
      <c r="AW307" s="14">
        <v>48</v>
      </c>
      <c r="AX307" s="15">
        <v>45900</v>
      </c>
      <c r="AY307" s="15"/>
    </row>
    <row r="308" spans="1:51">
      <c r="A308" s="12">
        <v>8919081</v>
      </c>
      <c r="B308" s="13" t="s">
        <v>3640</v>
      </c>
      <c r="C308" s="13" t="s">
        <v>3342</v>
      </c>
      <c r="D308" s="13"/>
      <c r="E308" s="13" t="s">
        <v>3318</v>
      </c>
      <c r="F308" s="12"/>
      <c r="G308" s="12"/>
      <c r="H308" s="13"/>
      <c r="I308" s="12"/>
      <c r="J308" s="12"/>
      <c r="K308" s="12"/>
      <c r="L308" s="12" t="s">
        <v>2352</v>
      </c>
      <c r="M308" s="12"/>
      <c r="N308" s="12"/>
      <c r="O308" s="13"/>
      <c r="P308" s="12">
        <v>10</v>
      </c>
      <c r="Q308" s="13" t="s">
        <v>3339</v>
      </c>
      <c r="R308" s="12">
        <v>985</v>
      </c>
      <c r="S308" s="12">
        <v>3280794</v>
      </c>
      <c r="T308" s="12"/>
      <c r="U308" s="13"/>
      <c r="V308" s="12" t="s">
        <v>3321</v>
      </c>
      <c r="W308" s="13" t="s">
        <v>3322</v>
      </c>
      <c r="X308" s="12"/>
      <c r="Y308" s="13"/>
      <c r="Z308" s="12"/>
      <c r="AA308" s="13"/>
      <c r="AB308" s="12"/>
      <c r="AC308" s="12"/>
      <c r="AD308" s="14"/>
      <c r="AE308" s="12"/>
      <c r="AF308" s="13"/>
      <c r="AG308" s="12"/>
      <c r="AH308" s="12"/>
      <c r="AI308" s="13"/>
      <c r="AJ308" s="13" t="s">
        <v>3328</v>
      </c>
      <c r="AK308" s="13" t="s">
        <v>3324</v>
      </c>
      <c r="AL308" s="12"/>
      <c r="AM308" s="13"/>
      <c r="AN308" s="12"/>
      <c r="AO308" s="12">
        <v>1908</v>
      </c>
      <c r="AP308" s="13"/>
      <c r="AQ308" s="12">
        <v>19081</v>
      </c>
      <c r="AR308" s="13"/>
      <c r="AS308" s="13" t="s">
        <v>71</v>
      </c>
      <c r="AT308" s="13" t="s">
        <v>71</v>
      </c>
      <c r="AU308" s="14">
        <v>100</v>
      </c>
      <c r="AV308" s="14"/>
      <c r="AW308" s="14">
        <v>48</v>
      </c>
      <c r="AX308" s="15">
        <v>45900</v>
      </c>
      <c r="AY308" s="15"/>
    </row>
    <row r="309" spans="1:51">
      <c r="A309" s="12">
        <v>8920052</v>
      </c>
      <c r="B309" s="13" t="s">
        <v>3659</v>
      </c>
      <c r="C309" s="13" t="s">
        <v>3342</v>
      </c>
      <c r="D309" s="13"/>
      <c r="E309" s="13" t="s">
        <v>3318</v>
      </c>
      <c r="F309" s="12"/>
      <c r="G309" s="12"/>
      <c r="H309" s="13"/>
      <c r="I309" s="12"/>
      <c r="J309" s="12"/>
      <c r="K309" s="12"/>
      <c r="L309" s="12" t="s">
        <v>2561</v>
      </c>
      <c r="M309" s="12" t="s">
        <v>2561</v>
      </c>
      <c r="N309" s="12"/>
      <c r="O309" s="13"/>
      <c r="P309" s="12"/>
      <c r="Q309" s="13"/>
      <c r="R309" s="12"/>
      <c r="S309" s="12"/>
      <c r="T309" s="12"/>
      <c r="U309" s="13"/>
      <c r="V309" s="12" t="s">
        <v>3321</v>
      </c>
      <c r="W309" s="13" t="s">
        <v>3322</v>
      </c>
      <c r="X309" s="12"/>
      <c r="Y309" s="13"/>
      <c r="Z309" s="12"/>
      <c r="AA309" s="13"/>
      <c r="AB309" s="12"/>
      <c r="AC309" s="12"/>
      <c r="AD309" s="14"/>
      <c r="AE309" s="12"/>
      <c r="AF309" s="13"/>
      <c r="AG309" s="12"/>
      <c r="AH309" s="12"/>
      <c r="AI309" s="13"/>
      <c r="AJ309" s="13" t="s">
        <v>3328</v>
      </c>
      <c r="AK309" s="13" t="s">
        <v>3324</v>
      </c>
      <c r="AL309" s="12"/>
      <c r="AM309" s="13"/>
      <c r="AN309" s="12"/>
      <c r="AO309" s="12">
        <v>2005</v>
      </c>
      <c r="AP309" s="13"/>
      <c r="AQ309" s="12">
        <v>20052</v>
      </c>
      <c r="AR309" s="13"/>
      <c r="AS309" s="13" t="s">
        <v>71</v>
      </c>
      <c r="AT309" s="13" t="s">
        <v>71</v>
      </c>
      <c r="AU309" s="14">
        <v>100</v>
      </c>
      <c r="AV309" s="14"/>
      <c r="AW309" s="14">
        <v>48</v>
      </c>
      <c r="AX309" s="15">
        <v>45900</v>
      </c>
      <c r="AY309" s="15"/>
    </row>
    <row r="310" spans="1:51">
      <c r="A310" s="12">
        <v>8920062</v>
      </c>
      <c r="B310" s="13" t="s">
        <v>3662</v>
      </c>
      <c r="C310" s="13" t="s">
        <v>3342</v>
      </c>
      <c r="D310" s="13"/>
      <c r="E310" s="13" t="s">
        <v>3318</v>
      </c>
      <c r="F310" s="12"/>
      <c r="G310" s="12"/>
      <c r="H310" s="13"/>
      <c r="I310" s="12"/>
      <c r="J310" s="12"/>
      <c r="K310" s="12"/>
      <c r="L310" s="12" t="s">
        <v>2572</v>
      </c>
      <c r="M310" s="12"/>
      <c r="N310" s="12"/>
      <c r="O310" s="13"/>
      <c r="P310" s="12">
        <v>10</v>
      </c>
      <c r="Q310" s="13" t="s">
        <v>3339</v>
      </c>
      <c r="R310" s="12">
        <v>985</v>
      </c>
      <c r="S310" s="12" t="s">
        <v>3661</v>
      </c>
      <c r="T310" s="12"/>
      <c r="U310" s="13"/>
      <c r="V310" s="12" t="s">
        <v>3321</v>
      </c>
      <c r="W310" s="13" t="s">
        <v>3322</v>
      </c>
      <c r="X310" s="12"/>
      <c r="Y310" s="13"/>
      <c r="Z310" s="12"/>
      <c r="AA310" s="13"/>
      <c r="AB310" s="12"/>
      <c r="AC310" s="12"/>
      <c r="AD310" s="14"/>
      <c r="AE310" s="12"/>
      <c r="AF310" s="13"/>
      <c r="AG310" s="12"/>
      <c r="AH310" s="12"/>
      <c r="AI310" s="13"/>
      <c r="AJ310" s="13" t="s">
        <v>3328</v>
      </c>
      <c r="AK310" s="13" t="s">
        <v>3324</v>
      </c>
      <c r="AL310" s="12"/>
      <c r="AM310" s="13"/>
      <c r="AN310" s="12"/>
      <c r="AO310" s="12">
        <v>2006</v>
      </c>
      <c r="AP310" s="13"/>
      <c r="AQ310" s="12">
        <v>20062</v>
      </c>
      <c r="AR310" s="13"/>
      <c r="AS310" s="13" t="s">
        <v>71</v>
      </c>
      <c r="AT310" s="13" t="s">
        <v>71</v>
      </c>
      <c r="AU310" s="14">
        <v>100</v>
      </c>
      <c r="AV310" s="14"/>
      <c r="AW310" s="14">
        <v>48</v>
      </c>
      <c r="AX310" s="15">
        <v>45900</v>
      </c>
      <c r="AY310" s="15"/>
    </row>
    <row r="311" spans="1:51">
      <c r="A311" s="12">
        <v>8920082</v>
      </c>
      <c r="B311" s="13" t="s">
        <v>3667</v>
      </c>
      <c r="C311" s="13" t="s">
        <v>3342</v>
      </c>
      <c r="D311" s="13"/>
      <c r="E311" s="13" t="s">
        <v>3318</v>
      </c>
      <c r="F311" s="12"/>
      <c r="G311" s="12"/>
      <c r="H311" s="13"/>
      <c r="I311" s="12"/>
      <c r="J311" s="12"/>
      <c r="K311" s="12" t="s">
        <v>3666</v>
      </c>
      <c r="L311" s="12" t="s">
        <v>2593</v>
      </c>
      <c r="M311" s="12"/>
      <c r="N311" s="12"/>
      <c r="O311" s="13"/>
      <c r="P311" s="12">
        <v>10</v>
      </c>
      <c r="Q311" s="13" t="s">
        <v>3339</v>
      </c>
      <c r="R311" s="12">
        <v>985</v>
      </c>
      <c r="S311" s="12">
        <v>3282788</v>
      </c>
      <c r="T311" s="12"/>
      <c r="U311" s="13"/>
      <c r="V311" s="12" t="s">
        <v>3321</v>
      </c>
      <c r="W311" s="13" t="s">
        <v>3322</v>
      </c>
      <c r="X311" s="12"/>
      <c r="Y311" s="13"/>
      <c r="Z311" s="12"/>
      <c r="AA311" s="13"/>
      <c r="AB311" s="12"/>
      <c r="AC311" s="12"/>
      <c r="AD311" s="14"/>
      <c r="AE311" s="12"/>
      <c r="AF311" s="13"/>
      <c r="AG311" s="12"/>
      <c r="AH311" s="12"/>
      <c r="AI311" s="13"/>
      <c r="AJ311" s="13" t="s">
        <v>3328</v>
      </c>
      <c r="AK311" s="13" t="s">
        <v>3324</v>
      </c>
      <c r="AL311" s="12"/>
      <c r="AM311" s="13"/>
      <c r="AN311" s="12"/>
      <c r="AO311" s="12">
        <v>2008</v>
      </c>
      <c r="AP311" s="13"/>
      <c r="AQ311" s="12">
        <v>20082</v>
      </c>
      <c r="AR311" s="13"/>
      <c r="AS311" s="13" t="s">
        <v>71</v>
      </c>
      <c r="AT311" s="13" t="s">
        <v>71</v>
      </c>
      <c r="AU311" s="14">
        <v>100</v>
      </c>
      <c r="AV311" s="14"/>
      <c r="AW311" s="14">
        <v>48</v>
      </c>
      <c r="AX311" s="15">
        <v>45900</v>
      </c>
      <c r="AY311" s="15"/>
    </row>
    <row r="312" spans="1:51">
      <c r="A312" s="12">
        <v>8920091</v>
      </c>
      <c r="B312" s="13" t="s">
        <v>3668</v>
      </c>
      <c r="C312" s="13" t="s">
        <v>3342</v>
      </c>
      <c r="D312" s="13"/>
      <c r="E312" s="13" t="s">
        <v>3318</v>
      </c>
      <c r="F312" s="12"/>
      <c r="G312" s="12"/>
      <c r="H312" s="13"/>
      <c r="I312" s="12"/>
      <c r="J312" s="12"/>
      <c r="K312" s="12"/>
      <c r="L312" s="12">
        <v>30275424</v>
      </c>
      <c r="M312" s="12" t="s">
        <v>2598</v>
      </c>
      <c r="N312" s="12"/>
      <c r="O312" s="13"/>
      <c r="P312" s="12">
        <v>10</v>
      </c>
      <c r="Q312" s="13" t="s">
        <v>3339</v>
      </c>
      <c r="R312" s="12">
        <v>985</v>
      </c>
      <c r="S312" s="12">
        <v>3281103</v>
      </c>
      <c r="T312" s="12"/>
      <c r="U312" s="13"/>
      <c r="V312" s="12" t="s">
        <v>3321</v>
      </c>
      <c r="W312" s="13" t="s">
        <v>3322</v>
      </c>
      <c r="X312" s="12"/>
      <c r="Y312" s="13"/>
      <c r="Z312" s="12"/>
      <c r="AA312" s="13"/>
      <c r="AB312" s="12"/>
      <c r="AC312" s="12"/>
      <c r="AD312" s="14"/>
      <c r="AE312" s="12"/>
      <c r="AF312" s="13"/>
      <c r="AG312" s="12"/>
      <c r="AH312" s="12"/>
      <c r="AI312" s="13"/>
      <c r="AJ312" s="13" t="s">
        <v>3328</v>
      </c>
      <c r="AK312" s="13" t="s">
        <v>3324</v>
      </c>
      <c r="AL312" s="12"/>
      <c r="AM312" s="13"/>
      <c r="AN312" s="12"/>
      <c r="AO312" s="12">
        <v>2009</v>
      </c>
      <c r="AP312" s="13"/>
      <c r="AQ312" s="12">
        <v>20091</v>
      </c>
      <c r="AR312" s="13"/>
      <c r="AS312" s="13" t="s">
        <v>71</v>
      </c>
      <c r="AT312" s="13" t="s">
        <v>71</v>
      </c>
      <c r="AU312" s="14">
        <v>100</v>
      </c>
      <c r="AV312" s="14"/>
      <c r="AW312" s="14">
        <v>48</v>
      </c>
      <c r="AX312" s="15">
        <v>45900</v>
      </c>
      <c r="AY312" s="15"/>
    </row>
    <row r="313" spans="1:51">
      <c r="A313" s="12">
        <v>8921031</v>
      </c>
      <c r="B313" s="13" t="s">
        <v>3705</v>
      </c>
      <c r="C313" s="13" t="s">
        <v>3317</v>
      </c>
      <c r="D313" s="13"/>
      <c r="E313" s="13" t="s">
        <v>3318</v>
      </c>
      <c r="F313" s="12"/>
      <c r="G313" s="12"/>
      <c r="H313" s="13"/>
      <c r="I313" s="12"/>
      <c r="J313" s="12"/>
      <c r="K313" s="12"/>
      <c r="L313" s="12" t="s">
        <v>3706</v>
      </c>
      <c r="M313" s="12"/>
      <c r="N313" s="12"/>
      <c r="O313" s="13"/>
      <c r="P313" s="12">
        <v>10</v>
      </c>
      <c r="Q313" s="13" t="s">
        <v>3339</v>
      </c>
      <c r="R313" s="12">
        <v>985</v>
      </c>
      <c r="S313" s="12">
        <v>3274394</v>
      </c>
      <c r="T313" s="12"/>
      <c r="U313" s="13"/>
      <c r="V313" s="12" t="s">
        <v>3321</v>
      </c>
      <c r="W313" s="13" t="s">
        <v>3322</v>
      </c>
      <c r="X313" s="12"/>
      <c r="Y313" s="13"/>
      <c r="Z313" s="12"/>
      <c r="AA313" s="13"/>
      <c r="AB313" s="12"/>
      <c r="AC313" s="12"/>
      <c r="AD313" s="14"/>
      <c r="AE313" s="12"/>
      <c r="AF313" s="13"/>
      <c r="AG313" s="12"/>
      <c r="AH313" s="12"/>
      <c r="AI313" s="13"/>
      <c r="AJ313" s="13" t="s">
        <v>3328</v>
      </c>
      <c r="AK313" s="13" t="s">
        <v>3324</v>
      </c>
      <c r="AL313" s="12"/>
      <c r="AM313" s="13"/>
      <c r="AN313" s="12"/>
      <c r="AO313" s="12"/>
      <c r="AP313" s="13"/>
      <c r="AQ313" s="12">
        <v>21031</v>
      </c>
      <c r="AR313" s="13"/>
      <c r="AS313" s="13" t="s">
        <v>71</v>
      </c>
      <c r="AT313" s="13" t="s">
        <v>71</v>
      </c>
      <c r="AU313" s="14">
        <v>100</v>
      </c>
      <c r="AV313" s="14"/>
      <c r="AW313" s="14">
        <v>48</v>
      </c>
      <c r="AX313" s="15">
        <v>43723</v>
      </c>
      <c r="AY313" s="15"/>
    </row>
    <row r="314" spans="1:51">
      <c r="A314" s="12">
        <v>8921032</v>
      </c>
      <c r="B314" s="13" t="s">
        <v>3707</v>
      </c>
      <c r="C314" s="13" t="s">
        <v>3317</v>
      </c>
      <c r="D314" s="13"/>
      <c r="E314" s="13" t="s">
        <v>3318</v>
      </c>
      <c r="F314" s="12"/>
      <c r="G314" s="12"/>
      <c r="H314" s="13"/>
      <c r="I314" s="12"/>
      <c r="J314" s="12"/>
      <c r="K314" s="12"/>
      <c r="L314" s="12" t="s">
        <v>3708</v>
      </c>
      <c r="M314" s="12"/>
      <c r="N314" s="12"/>
      <c r="O314" s="13"/>
      <c r="P314" s="12">
        <v>10</v>
      </c>
      <c r="Q314" s="13" t="s">
        <v>3339</v>
      </c>
      <c r="R314" s="12">
        <v>985</v>
      </c>
      <c r="S314" s="12">
        <v>3274394</v>
      </c>
      <c r="T314" s="12"/>
      <c r="U314" s="13"/>
      <c r="V314" s="12" t="s">
        <v>3321</v>
      </c>
      <c r="W314" s="13" t="s">
        <v>3322</v>
      </c>
      <c r="X314" s="12"/>
      <c r="Y314" s="13"/>
      <c r="Z314" s="12"/>
      <c r="AA314" s="13"/>
      <c r="AB314" s="12"/>
      <c r="AC314" s="12"/>
      <c r="AD314" s="14"/>
      <c r="AE314" s="12"/>
      <c r="AF314" s="13"/>
      <c r="AG314" s="12"/>
      <c r="AH314" s="12"/>
      <c r="AI314" s="13"/>
      <c r="AJ314" s="13" t="s">
        <v>3328</v>
      </c>
      <c r="AK314" s="13" t="s">
        <v>3324</v>
      </c>
      <c r="AL314" s="12"/>
      <c r="AM314" s="13"/>
      <c r="AN314" s="12"/>
      <c r="AO314" s="12"/>
      <c r="AP314" s="13"/>
      <c r="AQ314" s="12">
        <v>21032</v>
      </c>
      <c r="AR314" s="13"/>
      <c r="AS314" s="13" t="s">
        <v>71</v>
      </c>
      <c r="AT314" s="13" t="s">
        <v>71</v>
      </c>
      <c r="AU314" s="14">
        <v>100</v>
      </c>
      <c r="AV314" s="14"/>
      <c r="AW314" s="14">
        <v>48</v>
      </c>
      <c r="AX314" s="15">
        <v>43921</v>
      </c>
      <c r="AY314" s="15"/>
    </row>
    <row r="315" spans="1:51">
      <c r="A315" s="12">
        <v>8921091</v>
      </c>
      <c r="B315" s="13" t="s">
        <v>3715</v>
      </c>
      <c r="C315" s="13" t="s">
        <v>3317</v>
      </c>
      <c r="D315" s="13"/>
      <c r="E315" s="13" t="s">
        <v>3318</v>
      </c>
      <c r="F315" s="12"/>
      <c r="G315" s="12"/>
      <c r="H315" s="13"/>
      <c r="I315" s="12"/>
      <c r="J315" s="12"/>
      <c r="K315" s="12"/>
      <c r="L315" s="12" t="s">
        <v>3716</v>
      </c>
      <c r="M315" s="12"/>
      <c r="N315" s="12"/>
      <c r="O315" s="13"/>
      <c r="P315" s="12">
        <v>20</v>
      </c>
      <c r="Q315" s="13" t="s">
        <v>3320</v>
      </c>
      <c r="R315" s="12">
        <v>427</v>
      </c>
      <c r="S315" s="12">
        <v>268446</v>
      </c>
      <c r="T315" s="12"/>
      <c r="U315" s="13"/>
      <c r="V315" s="12" t="s">
        <v>3321</v>
      </c>
      <c r="W315" s="13" t="s">
        <v>3322</v>
      </c>
      <c r="X315" s="12"/>
      <c r="Y315" s="13"/>
      <c r="Z315" s="12"/>
      <c r="AA315" s="13"/>
      <c r="AB315" s="12"/>
      <c r="AC315" s="12"/>
      <c r="AD315" s="14"/>
      <c r="AE315" s="12"/>
      <c r="AF315" s="13"/>
      <c r="AG315" s="12"/>
      <c r="AH315" s="12"/>
      <c r="AI315" s="13"/>
      <c r="AJ315" s="13" t="s">
        <v>3328</v>
      </c>
      <c r="AK315" s="13" t="s">
        <v>3324</v>
      </c>
      <c r="AL315" s="12"/>
      <c r="AM315" s="13"/>
      <c r="AN315" s="12"/>
      <c r="AO315" s="12"/>
      <c r="AP315" s="13"/>
      <c r="AQ315" s="12">
        <v>21091</v>
      </c>
      <c r="AR315" s="13"/>
      <c r="AS315" s="13" t="s">
        <v>71</v>
      </c>
      <c r="AT315" s="13" t="s">
        <v>71</v>
      </c>
      <c r="AU315" s="14">
        <v>100</v>
      </c>
      <c r="AV315" s="14"/>
      <c r="AW315" s="14">
        <v>48</v>
      </c>
      <c r="AX315" s="15">
        <v>44439</v>
      </c>
      <c r="AY315" s="15"/>
    </row>
    <row r="316" spans="1:51">
      <c r="A316" s="12">
        <v>8921092</v>
      </c>
      <c r="B316" s="13" t="s">
        <v>3717</v>
      </c>
      <c r="C316" s="13" t="s">
        <v>3342</v>
      </c>
      <c r="D316" s="13"/>
      <c r="E316" s="13" t="s">
        <v>3318</v>
      </c>
      <c r="F316" s="12"/>
      <c r="G316" s="12"/>
      <c r="H316" s="13"/>
      <c r="I316" s="12"/>
      <c r="J316" s="12"/>
      <c r="K316" s="12"/>
      <c r="L316" s="12" t="s">
        <v>2937</v>
      </c>
      <c r="M316" s="12"/>
      <c r="N316" s="12"/>
      <c r="O316" s="13"/>
      <c r="P316" s="12">
        <v>20</v>
      </c>
      <c r="Q316" s="13" t="s">
        <v>3320</v>
      </c>
      <c r="R316" s="12">
        <v>427</v>
      </c>
      <c r="S316" s="12">
        <v>268446</v>
      </c>
      <c r="T316" s="12"/>
      <c r="U316" s="13"/>
      <c r="V316" s="12" t="s">
        <v>3321</v>
      </c>
      <c r="W316" s="13" t="s">
        <v>3322</v>
      </c>
      <c r="X316" s="12"/>
      <c r="Y316" s="13"/>
      <c r="Z316" s="12"/>
      <c r="AA316" s="13"/>
      <c r="AB316" s="12"/>
      <c r="AC316" s="12"/>
      <c r="AD316" s="14"/>
      <c r="AE316" s="12"/>
      <c r="AF316" s="13"/>
      <c r="AG316" s="12"/>
      <c r="AH316" s="12"/>
      <c r="AI316" s="13"/>
      <c r="AJ316" s="13" t="s">
        <v>3328</v>
      </c>
      <c r="AK316" s="13" t="s">
        <v>3324</v>
      </c>
      <c r="AL316" s="12"/>
      <c r="AM316" s="13"/>
      <c r="AN316" s="12"/>
      <c r="AO316" s="12">
        <v>2109</v>
      </c>
      <c r="AP316" s="13"/>
      <c r="AQ316" s="12">
        <v>21092</v>
      </c>
      <c r="AR316" s="13"/>
      <c r="AS316" s="13" t="s">
        <v>71</v>
      </c>
      <c r="AT316" s="13" t="s">
        <v>71</v>
      </c>
      <c r="AU316" s="14">
        <v>100</v>
      </c>
      <c r="AV316" s="14"/>
      <c r="AW316" s="14">
        <v>48</v>
      </c>
      <c r="AX316" s="15">
        <v>45900</v>
      </c>
      <c r="AY316" s="15"/>
    </row>
    <row r="317" spans="1:51">
      <c r="A317" s="12">
        <v>8921101</v>
      </c>
      <c r="B317" s="13" t="s">
        <v>3718</v>
      </c>
      <c r="C317" s="13" t="s">
        <v>3342</v>
      </c>
      <c r="D317" s="13"/>
      <c r="E317" s="13" t="s">
        <v>3318</v>
      </c>
      <c r="F317" s="12"/>
      <c r="G317" s="12"/>
      <c r="H317" s="13"/>
      <c r="I317" s="12"/>
      <c r="J317" s="12"/>
      <c r="K317" s="12"/>
      <c r="L317" s="12" t="s">
        <v>2943</v>
      </c>
      <c r="M317" s="12"/>
      <c r="N317" s="12"/>
      <c r="O317" s="13"/>
      <c r="P317" s="12">
        <v>10</v>
      </c>
      <c r="Q317" s="13" t="s">
        <v>3339</v>
      </c>
      <c r="R317" s="12">
        <v>985</v>
      </c>
      <c r="S317" s="12">
        <v>3270896</v>
      </c>
      <c r="T317" s="12"/>
      <c r="U317" s="13"/>
      <c r="V317" s="12" t="s">
        <v>3321</v>
      </c>
      <c r="W317" s="13" t="s">
        <v>3322</v>
      </c>
      <c r="X317" s="12"/>
      <c r="Y317" s="13"/>
      <c r="Z317" s="12"/>
      <c r="AA317" s="13"/>
      <c r="AB317" s="12"/>
      <c r="AC317" s="12"/>
      <c r="AD317" s="14"/>
      <c r="AE317" s="12"/>
      <c r="AF317" s="13"/>
      <c r="AG317" s="12"/>
      <c r="AH317" s="12"/>
      <c r="AI317" s="13"/>
      <c r="AJ317" s="13" t="s">
        <v>3328</v>
      </c>
      <c r="AK317" s="13" t="s">
        <v>3324</v>
      </c>
      <c r="AL317" s="12"/>
      <c r="AM317" s="13"/>
      <c r="AN317" s="12"/>
      <c r="AO317" s="12">
        <v>2110</v>
      </c>
      <c r="AP317" s="13"/>
      <c r="AQ317" s="12">
        <v>21101</v>
      </c>
      <c r="AR317" s="13"/>
      <c r="AS317" s="13" t="s">
        <v>71</v>
      </c>
      <c r="AT317" s="13" t="s">
        <v>71</v>
      </c>
      <c r="AU317" s="14">
        <v>100</v>
      </c>
      <c r="AV317" s="14"/>
      <c r="AW317" s="14">
        <v>48</v>
      </c>
      <c r="AX317" s="15">
        <v>45900</v>
      </c>
      <c r="AY317" s="15"/>
    </row>
    <row r="318" spans="1:51">
      <c r="A318" s="12">
        <v>8901011</v>
      </c>
      <c r="B318" s="13" t="s">
        <v>3316</v>
      </c>
      <c r="C318" s="13" t="s">
        <v>3317</v>
      </c>
      <c r="D318" s="13"/>
      <c r="E318" s="13" t="s">
        <v>3318</v>
      </c>
      <c r="F318" s="12"/>
      <c r="G318" s="12"/>
      <c r="H318" s="13"/>
      <c r="I318" s="12"/>
      <c r="J318" s="12"/>
      <c r="K318" s="12"/>
      <c r="L318" s="12" t="s">
        <v>3319</v>
      </c>
      <c r="M318" s="12"/>
      <c r="N318" s="12"/>
      <c r="O318" s="13"/>
      <c r="P318" s="12">
        <v>20</v>
      </c>
      <c r="Q318" s="13" t="s">
        <v>3320</v>
      </c>
      <c r="R318" s="12">
        <v>461</v>
      </c>
      <c r="S318" s="12">
        <v>450539</v>
      </c>
      <c r="T318" s="12"/>
      <c r="U318" s="13"/>
      <c r="V318" s="12" t="s">
        <v>3321</v>
      </c>
      <c r="W318" s="13" t="s">
        <v>3322</v>
      </c>
      <c r="X318" s="12"/>
      <c r="Y318" s="13"/>
      <c r="Z318" s="12"/>
      <c r="AA318" s="13"/>
      <c r="AB318" s="12"/>
      <c r="AC318" s="12"/>
      <c r="AD318" s="14"/>
      <c r="AE318" s="12"/>
      <c r="AF318" s="13"/>
      <c r="AG318" s="12"/>
      <c r="AH318" s="12"/>
      <c r="AI318" s="13"/>
      <c r="AJ318" s="13" t="s">
        <v>3323</v>
      </c>
      <c r="AK318" s="13" t="s">
        <v>3324</v>
      </c>
      <c r="AL318" s="12"/>
      <c r="AM318" s="13"/>
      <c r="AN318" s="12"/>
      <c r="AO318" s="12"/>
      <c r="AP318" s="13"/>
      <c r="AQ318" s="12" t="s">
        <v>3325</v>
      </c>
      <c r="AR318" s="13"/>
      <c r="AS318" s="13" t="s">
        <v>71</v>
      </c>
      <c r="AT318" s="13" t="s">
        <v>71</v>
      </c>
      <c r="AU318" s="14">
        <v>100</v>
      </c>
      <c r="AV318" s="14"/>
      <c r="AW318" s="14"/>
      <c r="AX318" s="15"/>
      <c r="AY318" s="15"/>
    </row>
    <row r="319" spans="1:51">
      <c r="A319" s="12">
        <v>8902072</v>
      </c>
      <c r="B319" s="13" t="s">
        <v>3382</v>
      </c>
      <c r="C319" s="13" t="s">
        <v>3317</v>
      </c>
      <c r="D319" s="13"/>
      <c r="E319" s="13" t="s">
        <v>3318</v>
      </c>
      <c r="F319" s="12"/>
      <c r="G319" s="12"/>
      <c r="H319" s="13"/>
      <c r="I319" s="12"/>
      <c r="J319" s="12"/>
      <c r="K319" s="12"/>
      <c r="L319" s="12" t="s">
        <v>3383</v>
      </c>
      <c r="M319" s="12"/>
      <c r="N319" s="12"/>
      <c r="O319" s="13"/>
      <c r="P319" s="12">
        <v>12</v>
      </c>
      <c r="Q319" s="13" t="s">
        <v>3378</v>
      </c>
      <c r="R319" s="12">
        <v>650</v>
      </c>
      <c r="S319" s="12">
        <v>323173</v>
      </c>
      <c r="T319" s="12"/>
      <c r="U319" s="13"/>
      <c r="V319" s="12" t="s">
        <v>3321</v>
      </c>
      <c r="W319" s="13" t="s">
        <v>3322</v>
      </c>
      <c r="X319" s="12"/>
      <c r="Y319" s="13"/>
      <c r="Z319" s="12"/>
      <c r="AA319" s="13"/>
      <c r="AB319" s="12"/>
      <c r="AC319" s="12"/>
      <c r="AD319" s="14"/>
      <c r="AE319" s="12"/>
      <c r="AF319" s="13"/>
      <c r="AG319" s="12"/>
      <c r="AH319" s="12"/>
      <c r="AI319" s="13"/>
      <c r="AJ319" s="13" t="s">
        <v>3323</v>
      </c>
      <c r="AK319" s="13" t="s">
        <v>3324</v>
      </c>
      <c r="AL319" s="12"/>
      <c r="AM319" s="13"/>
      <c r="AN319" s="12"/>
      <c r="AO319" s="12"/>
      <c r="AP319" s="13"/>
      <c r="AQ319" s="12" t="s">
        <v>3384</v>
      </c>
      <c r="AR319" s="13"/>
      <c r="AS319" s="13" t="s">
        <v>71</v>
      </c>
      <c r="AT319" s="13" t="s">
        <v>71</v>
      </c>
      <c r="AU319" s="14">
        <v>100</v>
      </c>
      <c r="AV319" s="14"/>
      <c r="AW319" s="14"/>
      <c r="AX319" s="15"/>
      <c r="AY319" s="15"/>
    </row>
    <row r="320" spans="1:51">
      <c r="A320" s="12">
        <v>8902082</v>
      </c>
      <c r="B320" s="13" t="s">
        <v>3385</v>
      </c>
      <c r="C320" s="13" t="s">
        <v>3317</v>
      </c>
      <c r="D320" s="13"/>
      <c r="E320" s="13" t="s">
        <v>3318</v>
      </c>
      <c r="F320" s="12"/>
      <c r="G320" s="12"/>
      <c r="H320" s="13"/>
      <c r="I320" s="12"/>
      <c r="J320" s="12"/>
      <c r="K320" s="12"/>
      <c r="L320" s="12" t="s">
        <v>3386</v>
      </c>
      <c r="M320" s="12" t="s">
        <v>3386</v>
      </c>
      <c r="N320" s="12"/>
      <c r="O320" s="13"/>
      <c r="P320" s="12"/>
      <c r="Q320" s="13"/>
      <c r="R320" s="12"/>
      <c r="S320" s="12"/>
      <c r="T320" s="12"/>
      <c r="U320" s="13"/>
      <c r="V320" s="12" t="s">
        <v>3321</v>
      </c>
      <c r="W320" s="13" t="s">
        <v>3322</v>
      </c>
      <c r="X320" s="12"/>
      <c r="Y320" s="13"/>
      <c r="Z320" s="12"/>
      <c r="AA320" s="13"/>
      <c r="AB320" s="12"/>
      <c r="AC320" s="12"/>
      <c r="AD320" s="14"/>
      <c r="AE320" s="12"/>
      <c r="AF320" s="13"/>
      <c r="AG320" s="12"/>
      <c r="AH320" s="12"/>
      <c r="AI320" s="13"/>
      <c r="AJ320" s="13" t="s">
        <v>3323</v>
      </c>
      <c r="AK320" s="13" t="s">
        <v>3324</v>
      </c>
      <c r="AL320" s="12"/>
      <c r="AM320" s="13"/>
      <c r="AN320" s="12"/>
      <c r="AO320" s="12"/>
      <c r="AP320" s="13"/>
      <c r="AQ320" s="12" t="s">
        <v>3387</v>
      </c>
      <c r="AR320" s="13"/>
      <c r="AS320" s="13" t="s">
        <v>71</v>
      </c>
      <c r="AT320" s="13" t="s">
        <v>71</v>
      </c>
      <c r="AU320" s="14">
        <v>100</v>
      </c>
      <c r="AV320" s="14"/>
      <c r="AW320" s="14"/>
      <c r="AX320" s="15"/>
      <c r="AY320" s="15"/>
    </row>
    <row r="321" spans="1:51">
      <c r="A321" s="12">
        <v>8902491</v>
      </c>
      <c r="B321" s="13" t="s">
        <v>3415</v>
      </c>
      <c r="C321" s="13" t="s">
        <v>3317</v>
      </c>
      <c r="D321" s="13"/>
      <c r="E321" s="13" t="s">
        <v>3318</v>
      </c>
      <c r="F321" s="12"/>
      <c r="G321" s="12"/>
      <c r="H321" s="13"/>
      <c r="I321" s="12"/>
      <c r="J321" s="12"/>
      <c r="K321" s="12" t="s">
        <v>3416</v>
      </c>
      <c r="L321" s="12" t="s">
        <v>3417</v>
      </c>
      <c r="M321" s="12"/>
      <c r="N321" s="12"/>
      <c r="O321" s="13"/>
      <c r="P321" s="12">
        <v>20</v>
      </c>
      <c r="Q321" s="13" t="s">
        <v>3320</v>
      </c>
      <c r="R321" s="12">
        <v>481</v>
      </c>
      <c r="S321" s="12">
        <v>271840</v>
      </c>
      <c r="T321" s="12"/>
      <c r="U321" s="13"/>
      <c r="V321" s="12" t="s">
        <v>3321</v>
      </c>
      <c r="W321" s="13" t="s">
        <v>3322</v>
      </c>
      <c r="X321" s="12"/>
      <c r="Y321" s="13"/>
      <c r="Z321" s="12"/>
      <c r="AA321" s="13"/>
      <c r="AB321" s="12"/>
      <c r="AC321" s="12"/>
      <c r="AD321" s="14"/>
      <c r="AE321" s="12"/>
      <c r="AF321" s="13"/>
      <c r="AG321" s="12"/>
      <c r="AH321" s="12"/>
      <c r="AI321" s="13"/>
      <c r="AJ321" s="13" t="s">
        <v>3323</v>
      </c>
      <c r="AK321" s="13" t="s">
        <v>3324</v>
      </c>
      <c r="AL321" s="12"/>
      <c r="AM321" s="13"/>
      <c r="AN321" s="12"/>
      <c r="AO321" s="12"/>
      <c r="AP321" s="13"/>
      <c r="AQ321" s="12"/>
      <c r="AR321" s="13"/>
      <c r="AS321" s="13" t="s">
        <v>71</v>
      </c>
      <c r="AT321" s="13" t="s">
        <v>71</v>
      </c>
      <c r="AU321" s="14">
        <v>100</v>
      </c>
      <c r="AV321" s="14"/>
      <c r="AW321" s="14"/>
      <c r="AX321" s="15"/>
      <c r="AY321" s="15"/>
    </row>
    <row r="322" spans="1:51">
      <c r="A322" s="12">
        <v>8904021</v>
      </c>
      <c r="B322" s="13" t="s">
        <v>3454</v>
      </c>
      <c r="C322" s="13" t="s">
        <v>3317</v>
      </c>
      <c r="D322" s="13"/>
      <c r="E322" s="13" t="s">
        <v>3318</v>
      </c>
      <c r="F322" s="12"/>
      <c r="G322" s="12"/>
      <c r="H322" s="13"/>
      <c r="I322" s="12"/>
      <c r="J322" s="12"/>
      <c r="K322" s="12"/>
      <c r="L322" s="12" t="s">
        <v>3455</v>
      </c>
      <c r="M322" s="12"/>
      <c r="N322" s="12"/>
      <c r="O322" s="13"/>
      <c r="P322" s="12"/>
      <c r="Q322" s="13"/>
      <c r="R322" s="12"/>
      <c r="S322" s="12"/>
      <c r="T322" s="12"/>
      <c r="U322" s="13"/>
      <c r="V322" s="12" t="s">
        <v>3321</v>
      </c>
      <c r="W322" s="13" t="s">
        <v>3322</v>
      </c>
      <c r="X322" s="12"/>
      <c r="Y322" s="13"/>
      <c r="Z322" s="12"/>
      <c r="AA322" s="13"/>
      <c r="AB322" s="12"/>
      <c r="AC322" s="12"/>
      <c r="AD322" s="14"/>
      <c r="AE322" s="12"/>
      <c r="AF322" s="13"/>
      <c r="AG322" s="12"/>
      <c r="AH322" s="12"/>
      <c r="AI322" s="13"/>
      <c r="AJ322" s="13" t="s">
        <v>3323</v>
      </c>
      <c r="AK322" s="13" t="s">
        <v>3324</v>
      </c>
      <c r="AL322" s="12"/>
      <c r="AM322" s="13"/>
      <c r="AN322" s="12"/>
      <c r="AO322" s="12"/>
      <c r="AP322" s="13"/>
      <c r="AQ322" s="12" t="s">
        <v>3456</v>
      </c>
      <c r="AR322" s="13"/>
      <c r="AS322" s="13" t="s">
        <v>71</v>
      </c>
      <c r="AT322" s="13" t="s">
        <v>71</v>
      </c>
      <c r="AU322" s="14">
        <v>100</v>
      </c>
      <c r="AV322" s="14"/>
      <c r="AW322" s="14"/>
      <c r="AX322" s="15"/>
      <c r="AY322" s="15"/>
    </row>
    <row r="323" spans="1:51">
      <c r="A323" s="12">
        <v>8905021</v>
      </c>
      <c r="B323" s="13" t="s">
        <v>3475</v>
      </c>
      <c r="C323" s="13" t="s">
        <v>3317</v>
      </c>
      <c r="D323" s="13"/>
      <c r="E323" s="13" t="s">
        <v>3318</v>
      </c>
      <c r="F323" s="12"/>
      <c r="G323" s="12"/>
      <c r="H323" s="13"/>
      <c r="I323" s="12"/>
      <c r="J323" s="12"/>
      <c r="K323" s="12"/>
      <c r="L323" s="12" t="s">
        <v>3476</v>
      </c>
      <c r="M323" s="12"/>
      <c r="N323" s="12"/>
      <c r="O323" s="13"/>
      <c r="P323" s="12">
        <v>20</v>
      </c>
      <c r="Q323" s="13" t="s">
        <v>3320</v>
      </c>
      <c r="R323" s="12">
        <v>427</v>
      </c>
      <c r="S323" s="12">
        <v>268527</v>
      </c>
      <c r="T323" s="12"/>
      <c r="U323" s="13"/>
      <c r="V323" s="12" t="s">
        <v>3321</v>
      </c>
      <c r="W323" s="13" t="s">
        <v>3322</v>
      </c>
      <c r="X323" s="12"/>
      <c r="Y323" s="13"/>
      <c r="Z323" s="12"/>
      <c r="AA323" s="13"/>
      <c r="AB323" s="12"/>
      <c r="AC323" s="12"/>
      <c r="AD323" s="14"/>
      <c r="AE323" s="12"/>
      <c r="AF323" s="13"/>
      <c r="AG323" s="12"/>
      <c r="AH323" s="12"/>
      <c r="AI323" s="13"/>
      <c r="AJ323" s="13" t="s">
        <v>3323</v>
      </c>
      <c r="AK323" s="13" t="s">
        <v>3324</v>
      </c>
      <c r="AL323" s="12"/>
      <c r="AM323" s="13"/>
      <c r="AN323" s="12"/>
      <c r="AO323" s="12"/>
      <c r="AP323" s="13"/>
      <c r="AQ323" s="12" t="s">
        <v>3477</v>
      </c>
      <c r="AR323" s="13"/>
      <c r="AS323" s="13" t="s">
        <v>71</v>
      </c>
      <c r="AT323" s="13" t="s">
        <v>71</v>
      </c>
      <c r="AU323" s="14">
        <v>100</v>
      </c>
      <c r="AV323" s="14"/>
      <c r="AW323" s="14"/>
      <c r="AX323" s="15"/>
      <c r="AY323" s="15"/>
    </row>
    <row r="324" spans="1:51">
      <c r="A324" s="12">
        <v>8906022</v>
      </c>
      <c r="B324" s="13" t="s">
        <v>3498</v>
      </c>
      <c r="C324" s="13" t="s">
        <v>3317</v>
      </c>
      <c r="D324" s="13"/>
      <c r="E324" s="13" t="s">
        <v>3318</v>
      </c>
      <c r="F324" s="12"/>
      <c r="G324" s="12"/>
      <c r="H324" s="13"/>
      <c r="I324" s="12"/>
      <c r="J324" s="12"/>
      <c r="K324" s="12"/>
      <c r="L324" s="12" t="s">
        <v>3499</v>
      </c>
      <c r="M324" s="12"/>
      <c r="N324" s="12"/>
      <c r="O324" s="13"/>
      <c r="P324" s="12"/>
      <c r="Q324" s="13"/>
      <c r="R324" s="12"/>
      <c r="S324" s="12"/>
      <c r="T324" s="12"/>
      <c r="U324" s="13"/>
      <c r="V324" s="12" t="s">
        <v>3321</v>
      </c>
      <c r="W324" s="13" t="s">
        <v>3322</v>
      </c>
      <c r="X324" s="12"/>
      <c r="Y324" s="13"/>
      <c r="Z324" s="12"/>
      <c r="AA324" s="13"/>
      <c r="AB324" s="12"/>
      <c r="AC324" s="12"/>
      <c r="AD324" s="14"/>
      <c r="AE324" s="12"/>
      <c r="AF324" s="13"/>
      <c r="AG324" s="12"/>
      <c r="AH324" s="12"/>
      <c r="AI324" s="13"/>
      <c r="AJ324" s="13" t="s">
        <v>3323</v>
      </c>
      <c r="AK324" s="13" t="s">
        <v>3324</v>
      </c>
      <c r="AL324" s="12"/>
      <c r="AM324" s="13"/>
      <c r="AN324" s="12"/>
      <c r="AO324" s="12"/>
      <c r="AP324" s="13"/>
      <c r="AQ324" s="12"/>
      <c r="AR324" s="13"/>
      <c r="AS324" s="13" t="s">
        <v>71</v>
      </c>
      <c r="AT324" s="13" t="s">
        <v>71</v>
      </c>
      <c r="AU324" s="14">
        <v>100</v>
      </c>
      <c r="AV324" s="14"/>
      <c r="AW324" s="14"/>
      <c r="AX324" s="15"/>
      <c r="AY324" s="15"/>
    </row>
    <row r="325" spans="1:51">
      <c r="A325" s="12">
        <v>8908021</v>
      </c>
      <c r="B325" s="13" t="s">
        <v>3511</v>
      </c>
      <c r="C325" s="13" t="s">
        <v>3317</v>
      </c>
      <c r="D325" s="13"/>
      <c r="E325" s="13" t="s">
        <v>3318</v>
      </c>
      <c r="F325" s="12"/>
      <c r="G325" s="12"/>
      <c r="H325" s="13"/>
      <c r="I325" s="12"/>
      <c r="J325" s="12"/>
      <c r="K325" s="12"/>
      <c r="L325" s="12" t="s">
        <v>3512</v>
      </c>
      <c r="M325" s="12"/>
      <c r="N325" s="12"/>
      <c r="O325" s="13"/>
      <c r="P325" s="12">
        <v>10</v>
      </c>
      <c r="Q325" s="13" t="s">
        <v>3339</v>
      </c>
      <c r="R325" s="12">
        <v>678</v>
      </c>
      <c r="S325" s="12">
        <v>8412711</v>
      </c>
      <c r="T325" s="12"/>
      <c r="U325" s="13"/>
      <c r="V325" s="12" t="s">
        <v>3321</v>
      </c>
      <c r="W325" s="13" t="s">
        <v>3322</v>
      </c>
      <c r="X325" s="12"/>
      <c r="Y325" s="13"/>
      <c r="Z325" s="12"/>
      <c r="AA325" s="13"/>
      <c r="AB325" s="12"/>
      <c r="AC325" s="12"/>
      <c r="AD325" s="14"/>
      <c r="AE325" s="12"/>
      <c r="AF325" s="13"/>
      <c r="AG325" s="12"/>
      <c r="AH325" s="12"/>
      <c r="AI325" s="13"/>
      <c r="AJ325" s="13" t="s">
        <v>3328</v>
      </c>
      <c r="AK325" s="13" t="s">
        <v>3324</v>
      </c>
      <c r="AL325" s="12"/>
      <c r="AM325" s="13"/>
      <c r="AN325" s="12"/>
      <c r="AO325" s="12"/>
      <c r="AP325" s="13"/>
      <c r="AQ325" s="12" t="s">
        <v>3513</v>
      </c>
      <c r="AR325" s="13"/>
      <c r="AS325" s="13" t="s">
        <v>71</v>
      </c>
      <c r="AT325" s="13" t="s">
        <v>71</v>
      </c>
      <c r="AU325" s="14">
        <v>100</v>
      </c>
      <c r="AV325" s="14"/>
      <c r="AW325" s="14"/>
      <c r="AX325" s="15"/>
      <c r="AY325" s="15"/>
    </row>
    <row r="326" spans="1:51">
      <c r="A326" s="12">
        <v>8908022</v>
      </c>
      <c r="B326" s="13" t="s">
        <v>3514</v>
      </c>
      <c r="C326" s="13" t="s">
        <v>3317</v>
      </c>
      <c r="D326" s="13"/>
      <c r="E326" s="13" t="s">
        <v>3318</v>
      </c>
      <c r="F326" s="12"/>
      <c r="G326" s="12"/>
      <c r="H326" s="13"/>
      <c r="I326" s="12"/>
      <c r="J326" s="12"/>
      <c r="K326" s="12"/>
      <c r="L326" s="12" t="s">
        <v>3515</v>
      </c>
      <c r="M326" s="12"/>
      <c r="N326" s="12"/>
      <c r="O326" s="13"/>
      <c r="P326" s="12">
        <v>10</v>
      </c>
      <c r="Q326" s="13" t="s">
        <v>3339</v>
      </c>
      <c r="R326" s="12">
        <v>678</v>
      </c>
      <c r="S326" s="12">
        <v>8412711</v>
      </c>
      <c r="T326" s="12"/>
      <c r="U326" s="13"/>
      <c r="V326" s="12" t="s">
        <v>3321</v>
      </c>
      <c r="W326" s="13" t="s">
        <v>3322</v>
      </c>
      <c r="X326" s="12"/>
      <c r="Y326" s="13"/>
      <c r="Z326" s="12"/>
      <c r="AA326" s="13"/>
      <c r="AB326" s="12"/>
      <c r="AC326" s="12"/>
      <c r="AD326" s="14"/>
      <c r="AE326" s="12"/>
      <c r="AF326" s="13"/>
      <c r="AG326" s="12"/>
      <c r="AH326" s="12"/>
      <c r="AI326" s="13"/>
      <c r="AJ326" s="13" t="s">
        <v>3323</v>
      </c>
      <c r="AK326" s="13" t="s">
        <v>3324</v>
      </c>
      <c r="AL326" s="12"/>
      <c r="AM326" s="13"/>
      <c r="AN326" s="12"/>
      <c r="AO326" s="12"/>
      <c r="AP326" s="13"/>
      <c r="AQ326" s="12" t="s">
        <v>3516</v>
      </c>
      <c r="AR326" s="13"/>
      <c r="AS326" s="13" t="s">
        <v>71</v>
      </c>
      <c r="AT326" s="13" t="s">
        <v>71</v>
      </c>
      <c r="AU326" s="14">
        <v>100</v>
      </c>
      <c r="AV326" s="14"/>
      <c r="AW326" s="14"/>
      <c r="AX326" s="15"/>
      <c r="AY326" s="15"/>
    </row>
    <row r="327" spans="1:51">
      <c r="A327" s="12">
        <v>8911011</v>
      </c>
      <c r="B327" s="13" t="s">
        <v>3531</v>
      </c>
      <c r="C327" s="13" t="s">
        <v>3317</v>
      </c>
      <c r="D327" s="13"/>
      <c r="E327" s="13" t="s">
        <v>3318</v>
      </c>
      <c r="F327" s="12"/>
      <c r="G327" s="12"/>
      <c r="H327" s="13"/>
      <c r="I327" s="12"/>
      <c r="J327" s="12"/>
      <c r="K327" s="12"/>
      <c r="L327" s="12" t="s">
        <v>3532</v>
      </c>
      <c r="M327" s="12"/>
      <c r="N327" s="12"/>
      <c r="O327" s="13"/>
      <c r="P327" s="12">
        <v>10</v>
      </c>
      <c r="Q327" s="13" t="s">
        <v>3339</v>
      </c>
      <c r="R327" s="12">
        <v>985</v>
      </c>
      <c r="S327" s="12">
        <v>3279379</v>
      </c>
      <c r="T327" s="12"/>
      <c r="U327" s="13"/>
      <c r="V327" s="12" t="s">
        <v>3321</v>
      </c>
      <c r="W327" s="13" t="s">
        <v>3322</v>
      </c>
      <c r="X327" s="12"/>
      <c r="Y327" s="13"/>
      <c r="Z327" s="12"/>
      <c r="AA327" s="13"/>
      <c r="AB327" s="12"/>
      <c r="AC327" s="12"/>
      <c r="AD327" s="14"/>
      <c r="AE327" s="12"/>
      <c r="AF327" s="13"/>
      <c r="AG327" s="12"/>
      <c r="AH327" s="12"/>
      <c r="AI327" s="13"/>
      <c r="AJ327" s="13" t="s">
        <v>3328</v>
      </c>
      <c r="AK327" s="13" t="s">
        <v>3324</v>
      </c>
      <c r="AL327" s="12"/>
      <c r="AM327" s="13"/>
      <c r="AN327" s="12"/>
      <c r="AO327" s="12"/>
      <c r="AP327" s="13"/>
      <c r="AQ327" s="12">
        <v>11011</v>
      </c>
      <c r="AR327" s="13"/>
      <c r="AS327" s="13" t="s">
        <v>71</v>
      </c>
      <c r="AT327" s="13" t="s">
        <v>71</v>
      </c>
      <c r="AU327" s="14">
        <v>100</v>
      </c>
      <c r="AV327" s="14"/>
      <c r="AW327" s="14"/>
      <c r="AX327" s="15"/>
      <c r="AY327" s="15"/>
    </row>
    <row r="328" spans="1:51">
      <c r="A328" s="12">
        <v>8911031</v>
      </c>
      <c r="B328" s="13" t="s">
        <v>3537</v>
      </c>
      <c r="C328" s="13" t="s">
        <v>3317</v>
      </c>
      <c r="D328" s="13"/>
      <c r="E328" s="13" t="s">
        <v>3318</v>
      </c>
      <c r="F328" s="12"/>
      <c r="G328" s="12"/>
      <c r="H328" s="13"/>
      <c r="I328" s="12"/>
      <c r="J328" s="12"/>
      <c r="K328" s="12"/>
      <c r="L328" s="12" t="s">
        <v>3538</v>
      </c>
      <c r="M328" s="12"/>
      <c r="N328" s="12"/>
      <c r="O328" s="13"/>
      <c r="P328" s="12">
        <v>10</v>
      </c>
      <c r="Q328" s="13" t="s">
        <v>3339</v>
      </c>
      <c r="R328" s="12">
        <v>985</v>
      </c>
      <c r="S328" s="12">
        <v>3277679</v>
      </c>
      <c r="T328" s="12"/>
      <c r="U328" s="13"/>
      <c r="V328" s="12" t="s">
        <v>3321</v>
      </c>
      <c r="W328" s="13" t="s">
        <v>3322</v>
      </c>
      <c r="X328" s="12"/>
      <c r="Y328" s="13"/>
      <c r="Z328" s="12"/>
      <c r="AA328" s="13"/>
      <c r="AB328" s="12"/>
      <c r="AC328" s="12"/>
      <c r="AD328" s="14"/>
      <c r="AE328" s="12"/>
      <c r="AF328" s="13"/>
      <c r="AG328" s="12"/>
      <c r="AH328" s="12"/>
      <c r="AI328" s="13"/>
      <c r="AJ328" s="13" t="s">
        <v>3328</v>
      </c>
      <c r="AK328" s="13" t="s">
        <v>3324</v>
      </c>
      <c r="AL328" s="12"/>
      <c r="AM328" s="13"/>
      <c r="AN328" s="12"/>
      <c r="AO328" s="12"/>
      <c r="AP328" s="13"/>
      <c r="AQ328" s="12">
        <v>11031</v>
      </c>
      <c r="AR328" s="13"/>
      <c r="AS328" s="13" t="s">
        <v>71</v>
      </c>
      <c r="AT328" s="13" t="s">
        <v>71</v>
      </c>
      <c r="AU328" s="14">
        <v>100</v>
      </c>
      <c r="AV328" s="14"/>
      <c r="AW328" s="14"/>
      <c r="AX328" s="15"/>
      <c r="AY328" s="15"/>
    </row>
    <row r="329" spans="1:51">
      <c r="A329" s="12">
        <v>8912031</v>
      </c>
      <c r="B329" s="13" t="s">
        <v>3553</v>
      </c>
      <c r="C329" s="13" t="s">
        <v>3317</v>
      </c>
      <c r="D329" s="13"/>
      <c r="E329" s="13" t="s">
        <v>3318</v>
      </c>
      <c r="F329" s="12"/>
      <c r="G329" s="12"/>
      <c r="H329" s="13"/>
      <c r="I329" s="12"/>
      <c r="J329" s="12"/>
      <c r="K329" s="12"/>
      <c r="L329" s="12">
        <v>111</v>
      </c>
      <c r="M329" s="12"/>
      <c r="N329" s="12"/>
      <c r="O329" s="13"/>
      <c r="P329" s="12"/>
      <c r="Q329" s="13"/>
      <c r="R329" s="12"/>
      <c r="S329" s="12"/>
      <c r="T329" s="12"/>
      <c r="U329" s="13"/>
      <c r="V329" s="12" t="s">
        <v>3321</v>
      </c>
      <c r="W329" s="13" t="s">
        <v>3322</v>
      </c>
      <c r="X329" s="12"/>
      <c r="Y329" s="13"/>
      <c r="Z329" s="12"/>
      <c r="AA329" s="13"/>
      <c r="AB329" s="12"/>
      <c r="AC329" s="12"/>
      <c r="AD329" s="14"/>
      <c r="AE329" s="12"/>
      <c r="AF329" s="13"/>
      <c r="AG329" s="12"/>
      <c r="AH329" s="12"/>
      <c r="AI329" s="13"/>
      <c r="AJ329" s="13"/>
      <c r="AK329" s="13" t="s">
        <v>3324</v>
      </c>
      <c r="AL329" s="12"/>
      <c r="AM329" s="13"/>
      <c r="AN329" s="12"/>
      <c r="AO329" s="12"/>
      <c r="AP329" s="13"/>
      <c r="AQ329" s="12"/>
      <c r="AR329" s="13"/>
      <c r="AS329" s="13" t="s">
        <v>71</v>
      </c>
      <c r="AT329" s="13" t="s">
        <v>71</v>
      </c>
      <c r="AU329" s="14">
        <v>100</v>
      </c>
      <c r="AV329" s="14"/>
      <c r="AW329" s="14"/>
      <c r="AX329" s="15"/>
      <c r="AY329" s="15"/>
    </row>
    <row r="330" spans="1:51">
      <c r="A330" s="12">
        <v>8912121</v>
      </c>
      <c r="B330" s="13" t="s">
        <v>3568</v>
      </c>
      <c r="C330" s="13" t="s">
        <v>3317</v>
      </c>
      <c r="D330" s="13"/>
      <c r="E330" s="13" t="s">
        <v>3318</v>
      </c>
      <c r="F330" s="12"/>
      <c r="G330" s="12"/>
      <c r="H330" s="13"/>
      <c r="I330" s="12"/>
      <c r="J330" s="12"/>
      <c r="K330" s="12"/>
      <c r="L330" s="12">
        <v>111</v>
      </c>
      <c r="M330" s="12"/>
      <c r="N330" s="12"/>
      <c r="O330" s="13"/>
      <c r="P330" s="12"/>
      <c r="Q330" s="13"/>
      <c r="R330" s="12"/>
      <c r="S330" s="12"/>
      <c r="T330" s="12"/>
      <c r="U330" s="13"/>
      <c r="V330" s="12" t="s">
        <v>3321</v>
      </c>
      <c r="W330" s="13" t="s">
        <v>3322</v>
      </c>
      <c r="X330" s="12"/>
      <c r="Y330" s="13"/>
      <c r="Z330" s="12"/>
      <c r="AA330" s="13"/>
      <c r="AB330" s="12"/>
      <c r="AC330" s="12"/>
      <c r="AD330" s="14"/>
      <c r="AE330" s="12"/>
      <c r="AF330" s="13"/>
      <c r="AG330" s="12"/>
      <c r="AH330" s="12"/>
      <c r="AI330" s="13"/>
      <c r="AJ330" s="13"/>
      <c r="AK330" s="13" t="s">
        <v>3324</v>
      </c>
      <c r="AL330" s="12"/>
      <c r="AM330" s="13"/>
      <c r="AN330" s="12"/>
      <c r="AO330" s="12"/>
      <c r="AP330" s="13"/>
      <c r="AQ330" s="12"/>
      <c r="AR330" s="13"/>
      <c r="AS330" s="13" t="s">
        <v>71</v>
      </c>
      <c r="AT330" s="13" t="s">
        <v>71</v>
      </c>
      <c r="AU330" s="14">
        <v>100</v>
      </c>
      <c r="AV330" s="14"/>
      <c r="AW330" s="14"/>
      <c r="AX330" s="15"/>
      <c r="AY330" s="15"/>
    </row>
    <row r="331" spans="1:51">
      <c r="A331" s="12">
        <v>8912122</v>
      </c>
      <c r="B331" s="13" t="s">
        <v>3569</v>
      </c>
      <c r="C331" s="13" t="s">
        <v>3317</v>
      </c>
      <c r="D331" s="13"/>
      <c r="E331" s="13" t="s">
        <v>3318</v>
      </c>
      <c r="F331" s="12"/>
      <c r="G331" s="12"/>
      <c r="H331" s="13"/>
      <c r="I331" s="12"/>
      <c r="J331" s="12"/>
      <c r="K331" s="12"/>
      <c r="L331" s="12">
        <v>111</v>
      </c>
      <c r="M331" s="12"/>
      <c r="N331" s="12"/>
      <c r="O331" s="13"/>
      <c r="P331" s="12"/>
      <c r="Q331" s="13"/>
      <c r="R331" s="12"/>
      <c r="S331" s="12"/>
      <c r="T331" s="12"/>
      <c r="U331" s="13"/>
      <c r="V331" s="12" t="s">
        <v>3321</v>
      </c>
      <c r="W331" s="13" t="s">
        <v>3322</v>
      </c>
      <c r="X331" s="12"/>
      <c r="Y331" s="13"/>
      <c r="Z331" s="12"/>
      <c r="AA331" s="13"/>
      <c r="AB331" s="12"/>
      <c r="AC331" s="12"/>
      <c r="AD331" s="14"/>
      <c r="AE331" s="12"/>
      <c r="AF331" s="13"/>
      <c r="AG331" s="12"/>
      <c r="AH331" s="12"/>
      <c r="AI331" s="13"/>
      <c r="AJ331" s="13"/>
      <c r="AK331" s="13" t="s">
        <v>3324</v>
      </c>
      <c r="AL331" s="12"/>
      <c r="AM331" s="13"/>
      <c r="AN331" s="12"/>
      <c r="AO331" s="12"/>
      <c r="AP331" s="13"/>
      <c r="AQ331" s="12"/>
      <c r="AR331" s="13"/>
      <c r="AS331" s="13" t="s">
        <v>71</v>
      </c>
      <c r="AT331" s="13" t="s">
        <v>71</v>
      </c>
      <c r="AU331" s="14">
        <v>100</v>
      </c>
      <c r="AV331" s="14"/>
      <c r="AW331" s="14"/>
      <c r="AX331" s="15"/>
      <c r="AY331" s="15"/>
    </row>
    <row r="332" spans="1:51">
      <c r="A332" s="12">
        <v>8919051</v>
      </c>
      <c r="B332" s="13" t="s">
        <v>3634</v>
      </c>
      <c r="C332" s="13" t="s">
        <v>3317</v>
      </c>
      <c r="D332" s="13"/>
      <c r="E332" s="13" t="s">
        <v>3318</v>
      </c>
      <c r="F332" s="12"/>
      <c r="G332" s="12"/>
      <c r="H332" s="13"/>
      <c r="I332" s="12"/>
      <c r="J332" s="12"/>
      <c r="K332" s="12"/>
      <c r="L332" s="12" t="s">
        <v>3635</v>
      </c>
      <c r="M332" s="12"/>
      <c r="N332" s="12"/>
      <c r="O332" s="13"/>
      <c r="P332" s="12">
        <v>10</v>
      </c>
      <c r="Q332" s="13" t="s">
        <v>3339</v>
      </c>
      <c r="R332" s="12">
        <v>985</v>
      </c>
      <c r="S332" s="12">
        <v>3280696</v>
      </c>
      <c r="T332" s="12"/>
      <c r="U332" s="13"/>
      <c r="V332" s="12" t="s">
        <v>3321</v>
      </c>
      <c r="W332" s="13" t="s">
        <v>3322</v>
      </c>
      <c r="X332" s="12"/>
      <c r="Y332" s="13"/>
      <c r="Z332" s="12"/>
      <c r="AA332" s="13"/>
      <c r="AB332" s="12"/>
      <c r="AC332" s="12"/>
      <c r="AD332" s="14"/>
      <c r="AE332" s="12"/>
      <c r="AF332" s="13"/>
      <c r="AG332" s="12"/>
      <c r="AH332" s="12"/>
      <c r="AI332" s="13"/>
      <c r="AJ332" s="13" t="s">
        <v>3323</v>
      </c>
      <c r="AK332" s="13" t="s">
        <v>3324</v>
      </c>
      <c r="AL332" s="12"/>
      <c r="AM332" s="13"/>
      <c r="AN332" s="12"/>
      <c r="AO332" s="12"/>
      <c r="AP332" s="13"/>
      <c r="AQ332" s="12">
        <v>19051</v>
      </c>
      <c r="AR332" s="13"/>
      <c r="AS332" s="13" t="s">
        <v>71</v>
      </c>
      <c r="AT332" s="13" t="s">
        <v>71</v>
      </c>
      <c r="AU332" s="14">
        <v>100</v>
      </c>
      <c r="AV332" s="14"/>
      <c r="AW332" s="14"/>
      <c r="AX332" s="15"/>
      <c r="AY332" s="15"/>
    </row>
    <row r="333" spans="1:51">
      <c r="A333" s="12">
        <v>8921021</v>
      </c>
      <c r="B333" s="13" t="s">
        <v>3701</v>
      </c>
      <c r="C333" s="13" t="s">
        <v>3317</v>
      </c>
      <c r="D333" s="13"/>
      <c r="E333" s="13" t="s">
        <v>3318</v>
      </c>
      <c r="F333" s="12"/>
      <c r="G333" s="12"/>
      <c r="H333" s="13"/>
      <c r="I333" s="12"/>
      <c r="J333" s="12"/>
      <c r="K333" s="12"/>
      <c r="L333" s="12" t="s">
        <v>3702</v>
      </c>
      <c r="M333" s="12"/>
      <c r="N333" s="12"/>
      <c r="O333" s="13"/>
      <c r="P333" s="12">
        <v>10</v>
      </c>
      <c r="Q333" s="13" t="s">
        <v>3339</v>
      </c>
      <c r="R333" s="12">
        <v>985</v>
      </c>
      <c r="S333" s="12">
        <v>3281399</v>
      </c>
      <c r="T333" s="12"/>
      <c r="U333" s="13"/>
      <c r="V333" s="12" t="s">
        <v>3321</v>
      </c>
      <c r="W333" s="13" t="s">
        <v>3322</v>
      </c>
      <c r="X333" s="12"/>
      <c r="Y333" s="13"/>
      <c r="Z333" s="12"/>
      <c r="AA333" s="13"/>
      <c r="AB333" s="12"/>
      <c r="AC333" s="12"/>
      <c r="AD333" s="14"/>
      <c r="AE333" s="12"/>
      <c r="AF333" s="13"/>
      <c r="AG333" s="12"/>
      <c r="AH333" s="12"/>
      <c r="AI333" s="13"/>
      <c r="AJ333" s="13" t="s">
        <v>3323</v>
      </c>
      <c r="AK333" s="13" t="s">
        <v>3324</v>
      </c>
      <c r="AL333" s="12"/>
      <c r="AM333" s="13"/>
      <c r="AN333" s="12"/>
      <c r="AO333" s="12"/>
      <c r="AP333" s="13"/>
      <c r="AQ333" s="12">
        <v>21021</v>
      </c>
      <c r="AR333" s="13"/>
      <c r="AS333" s="13" t="s">
        <v>71</v>
      </c>
      <c r="AT333" s="13" t="s">
        <v>71</v>
      </c>
      <c r="AU333" s="14">
        <v>100</v>
      </c>
      <c r="AV333" s="14"/>
      <c r="AW333" s="14"/>
      <c r="AX333" s="15"/>
      <c r="AY333" s="15"/>
    </row>
    <row r="334" spans="1:51">
      <c r="A334" s="12"/>
      <c r="B334" s="13"/>
      <c r="C334" s="13"/>
      <c r="D334" s="13"/>
      <c r="E334" s="13"/>
      <c r="F334" s="12"/>
      <c r="G334" s="12"/>
      <c r="H334" s="13"/>
      <c r="I334" s="12"/>
      <c r="J334" s="12"/>
      <c r="K334" s="12"/>
      <c r="L334" s="12"/>
      <c r="M334" s="12"/>
      <c r="N334" s="12"/>
      <c r="O334" s="13"/>
      <c r="P334" s="12"/>
      <c r="Q334" s="13"/>
      <c r="R334" s="12"/>
      <c r="S334" s="12"/>
      <c r="T334" s="12"/>
      <c r="U334" s="13"/>
      <c r="V334" s="12"/>
      <c r="W334" s="13"/>
      <c r="X334" s="12"/>
      <c r="Y334" s="13"/>
      <c r="Z334" s="12"/>
      <c r="AA334" s="13"/>
      <c r="AB334" s="12"/>
      <c r="AC334" s="12"/>
      <c r="AD334" s="14"/>
      <c r="AE334" s="12"/>
      <c r="AF334" s="13"/>
      <c r="AG334" s="12"/>
      <c r="AH334" s="12"/>
      <c r="AI334" s="13"/>
      <c r="AJ334" s="13"/>
      <c r="AK334" s="13"/>
      <c r="AL334" s="12"/>
      <c r="AM334" s="13"/>
      <c r="AN334" s="12"/>
      <c r="AO334" s="12"/>
      <c r="AP334" s="13"/>
      <c r="AQ334" s="12"/>
      <c r="AR334" s="13"/>
      <c r="AS334" s="13"/>
      <c r="AT334" s="13"/>
      <c r="AU334" s="14"/>
      <c r="AV334" s="14"/>
      <c r="AW334" s="14"/>
      <c r="AX334" s="15"/>
      <c r="AY334" s="15"/>
    </row>
  </sheetData>
  <autoFilter ref="A1:AY333" xr:uid="{7DD443DA-2971-4C5B-81F6-1297A903517E}">
    <sortState xmlns:xlrd2="http://schemas.microsoft.com/office/spreadsheetml/2017/richdata2" ref="A2:AY333">
      <sortCondition ref="AW1:AW33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2AE4-895C-43A0-B5CF-990FF346F332}">
  <sheetPr codeName="Sheet12">
    <tabColor theme="7" tint="0.79998168889431442"/>
  </sheetPr>
  <dimension ref="A1:AI55"/>
  <sheetViews>
    <sheetView rightToLeft="1" zoomScale="120" zoomScaleNormal="120" workbookViewId="0">
      <selection activeCell="E1" sqref="E1:E1048576"/>
    </sheetView>
  </sheetViews>
  <sheetFormatPr defaultColWidth="8.88671875" defaultRowHeight="13.8"/>
  <cols>
    <col min="1" max="1" width="2.109375" style="114" customWidth="1"/>
    <col min="2" max="2" width="3.44140625" style="128" bestFit="1" customWidth="1"/>
    <col min="3" max="3" width="5.109375" style="114" bestFit="1" customWidth="1"/>
    <col min="4" max="4" width="13.6640625" style="114" bestFit="1" customWidth="1"/>
    <col min="5" max="5" width="6.33203125" style="114" hidden="1" customWidth="1"/>
    <col min="6" max="6" width="12.109375" style="114" bestFit="1" customWidth="1"/>
    <col min="7" max="7" width="12.109375" style="114" customWidth="1"/>
    <col min="8" max="8" width="13.6640625" style="114" bestFit="1" customWidth="1"/>
    <col min="9" max="12" width="11.109375" style="114" bestFit="1" customWidth="1"/>
    <col min="13" max="13" width="10.109375" style="114" bestFit="1" customWidth="1"/>
    <col min="14" max="14" width="11.109375" style="114" bestFit="1" customWidth="1"/>
    <col min="15" max="16" width="9.6640625" style="114" customWidth="1"/>
    <col min="17" max="17" width="10.109375" style="114" customWidth="1"/>
    <col min="18" max="18" width="13.6640625" style="114" bestFit="1" customWidth="1"/>
    <col min="19" max="19" width="11.109375" style="114" bestFit="1" customWidth="1"/>
    <col min="20" max="20" width="13.6640625" style="114" bestFit="1" customWidth="1"/>
    <col min="21" max="22" width="11.109375" style="114" bestFit="1" customWidth="1"/>
    <col min="23" max="23" width="12.109375" style="114" bestFit="1" customWidth="1"/>
    <col min="24" max="24" width="13.33203125" style="114" hidden="1" customWidth="1"/>
    <col min="25" max="25" width="11.6640625" style="114" hidden="1" customWidth="1"/>
    <col min="26" max="26" width="12" style="114" customWidth="1"/>
    <col min="27" max="27" width="12.109375" style="114" bestFit="1" customWidth="1"/>
    <col min="28" max="29" width="4.6640625" style="114" customWidth="1"/>
    <col min="30" max="30" width="11.6640625" style="120" customWidth="1"/>
    <col min="31" max="31" width="10.6640625" style="120" hidden="1" customWidth="1"/>
    <col min="32" max="32" width="11.88671875" style="114" customWidth="1"/>
    <col min="33" max="33" width="2.6640625" style="114" customWidth="1"/>
    <col min="34" max="34" width="10.6640625" style="114" bestFit="1" customWidth="1"/>
    <col min="35" max="35" width="12.33203125" style="114" bestFit="1" customWidth="1"/>
    <col min="36" max="16384" width="8.88671875" style="114"/>
  </cols>
  <sheetData>
    <row r="1" spans="2:35">
      <c r="I1" s="143">
        <f>'מדרג שימושים '!D4</f>
        <v>20</v>
      </c>
      <c r="J1" s="143">
        <f>'מדרג שימושים '!D5</f>
        <v>20</v>
      </c>
      <c r="K1" s="143"/>
      <c r="L1" s="143">
        <f>'מדרג שימושים '!D6</f>
        <v>10</v>
      </c>
      <c r="M1" s="143">
        <f>'מדרג שימושים '!D7</f>
        <v>10</v>
      </c>
      <c r="N1" s="143">
        <f>'מדרג שימושים '!D8</f>
        <v>20</v>
      </c>
      <c r="O1" s="143"/>
      <c r="P1" s="143"/>
      <c r="Q1" s="143"/>
      <c r="S1" s="155">
        <v>0.33</v>
      </c>
      <c r="U1" s="155">
        <v>0.03</v>
      </c>
      <c r="V1" s="155">
        <v>7.0000000000000007E-2</v>
      </c>
      <c r="W1" s="155">
        <v>0.4</v>
      </c>
      <c r="X1" s="155">
        <v>0.4</v>
      </c>
      <c r="Y1" s="155">
        <f>0.6-W1-V1-U1</f>
        <v>9.999999999999995E-2</v>
      </c>
      <c r="Z1" s="283">
        <v>0.5</v>
      </c>
      <c r="AA1" s="283">
        <f>1-Z1</f>
        <v>0.5</v>
      </c>
      <c r="AD1" s="164">
        <f ca="1">AD2/'הנחות עבודה לררל ומדרג'!F7</f>
        <v>1.0022948145496067</v>
      </c>
      <c r="AE1" s="164"/>
      <c r="AF1" s="155">
        <v>0.5</v>
      </c>
      <c r="AH1" s="120">
        <f ca="1">AVERAGE(AH13:AH44)/2</f>
        <v>48975.779132102936</v>
      </c>
    </row>
    <row r="2" spans="2:35" ht="14.4" thickBot="1">
      <c r="C2" s="114">
        <v>2026</v>
      </c>
      <c r="D2" s="120">
        <f t="shared" ref="D2:H2" si="0">SUM(D4:D53)</f>
        <v>1570848674.1307507</v>
      </c>
      <c r="E2" s="120"/>
      <c r="F2" s="120">
        <f t="shared" si="0"/>
        <v>148600000</v>
      </c>
      <c r="G2" s="120">
        <f t="shared" si="0"/>
        <v>86500000</v>
      </c>
      <c r="H2" s="120">
        <f t="shared" si="0"/>
        <v>1335748674.1307511</v>
      </c>
      <c r="I2" s="120">
        <f ca="1">SUM(I4:I53)</f>
        <v>25816131.157509163</v>
      </c>
      <c r="J2" s="120">
        <f ca="1">SUM(J4:J53)</f>
        <v>4861495.8800099995</v>
      </c>
      <c r="K2" s="120">
        <f>SUM(K4:K53)</f>
        <v>508125</v>
      </c>
      <c r="L2" s="120">
        <f>SUM(L4:L53)</f>
        <v>20275200</v>
      </c>
      <c r="M2" s="120">
        <f t="shared" ref="M2" si="1">SUM(M4:M53)</f>
        <v>9900000</v>
      </c>
      <c r="N2" s="120">
        <f t="shared" ref="N2:V2" si="2">SUM(N4:N53)</f>
        <v>18394900</v>
      </c>
      <c r="O2" s="120">
        <f t="shared" si="2"/>
        <v>5000000</v>
      </c>
      <c r="P2" s="120">
        <f t="shared" si="2"/>
        <v>4000000</v>
      </c>
      <c r="Q2" s="120">
        <f t="shared" si="2"/>
        <v>2500000</v>
      </c>
      <c r="R2" s="120">
        <f t="shared" ca="1" si="2"/>
        <v>1244492822.0932322</v>
      </c>
      <c r="S2" s="120">
        <f t="shared" ca="1" si="2"/>
        <v>10586375.418347104</v>
      </c>
      <c r="T2" s="120">
        <f t="shared" ca="1" si="2"/>
        <v>1233906446.6748848</v>
      </c>
      <c r="U2" s="120">
        <f t="shared" ca="1" si="2"/>
        <v>32902889.048386555</v>
      </c>
      <c r="V2" s="120">
        <f t="shared" ca="1" si="2"/>
        <v>39569513.686176471</v>
      </c>
      <c r="W2" s="120">
        <f t="shared" ref="W2" ca="1" si="3">SUM(W4:W53)</f>
        <v>361666146.82505071</v>
      </c>
      <c r="X2" s="120">
        <f ca="1">SUM(X4:X53)</f>
        <v>493562578.66995394</v>
      </c>
      <c r="Y2" s="120">
        <f ca="1">SUM(Y4:Y53)</f>
        <v>306205318.44531715</v>
      </c>
      <c r="Z2" s="120">
        <f ca="1">SUM(Z4:Z53)</f>
        <v>646665237.89261258</v>
      </c>
      <c r="AA2" s="120">
        <f ca="1">SUM(AA4:AA53)</f>
        <v>153102659.22265857</v>
      </c>
      <c r="AD2" s="120">
        <f ca="1">SUM(AD4:AD53)</f>
        <v>276876991.23081154</v>
      </c>
      <c r="AE2" s="120">
        <f ca="1">SUM(AE4:AE53)</f>
        <v>120581.77599053137</v>
      </c>
      <c r="AF2" s="120">
        <f ca="1">SUM(AF4:AF53)</f>
        <v>369788246.6618011</v>
      </c>
    </row>
    <row r="3" spans="2:35" s="196" customFormat="1" ht="42" thickBot="1">
      <c r="B3" s="207"/>
      <c r="C3" s="199"/>
      <c r="D3" s="200" t="s">
        <v>3895</v>
      </c>
      <c r="E3" s="200" t="s">
        <v>4066</v>
      </c>
      <c r="F3" s="200" t="s">
        <v>3888</v>
      </c>
      <c r="G3" s="200" t="s">
        <v>4124</v>
      </c>
      <c r="H3" s="201" t="s">
        <v>4101</v>
      </c>
      <c r="I3" s="200" t="s">
        <v>3891</v>
      </c>
      <c r="J3" s="200" t="s">
        <v>31</v>
      </c>
      <c r="K3" s="200" t="s">
        <v>4121</v>
      </c>
      <c r="L3" s="200" t="s">
        <v>3886</v>
      </c>
      <c r="M3" s="200" t="s">
        <v>3883</v>
      </c>
      <c r="N3" s="200" t="s">
        <v>3882</v>
      </c>
      <c r="O3" s="301" t="s">
        <v>4123</v>
      </c>
      <c r="P3" s="301" t="s">
        <v>4105</v>
      </c>
      <c r="Q3" s="301" t="s">
        <v>4106</v>
      </c>
      <c r="R3" s="201" t="s">
        <v>4103</v>
      </c>
      <c r="S3" s="200" t="s">
        <v>4104</v>
      </c>
      <c r="T3" s="201" t="s">
        <v>4102</v>
      </c>
      <c r="U3" s="200" t="s">
        <v>3889</v>
      </c>
      <c r="V3" s="200" t="s">
        <v>4063</v>
      </c>
      <c r="W3" s="200" t="s">
        <v>3890</v>
      </c>
      <c r="X3" s="276" t="s">
        <v>4108</v>
      </c>
      <c r="Y3" s="277" t="s">
        <v>4108</v>
      </c>
      <c r="Z3" s="202" t="s">
        <v>4107</v>
      </c>
      <c r="AA3" s="278" t="s">
        <v>4109</v>
      </c>
      <c r="AB3" s="209"/>
      <c r="AC3" s="209"/>
      <c r="AD3" s="211" t="s">
        <v>3916</v>
      </c>
      <c r="AE3" s="226" t="s">
        <v>3931</v>
      </c>
      <c r="AF3" s="202" t="s">
        <v>3925</v>
      </c>
      <c r="AG3" s="209"/>
      <c r="AH3" s="211" t="s">
        <v>3926</v>
      </c>
      <c r="AI3" s="202" t="s">
        <v>3927</v>
      </c>
    </row>
    <row r="4" spans="2:35" ht="14.4" customHeight="1">
      <c r="B4" s="210">
        <f>IF(C4-$C$2&lt;='הנחות עבודה לררל ומדרג'!$C$20,'ררל ומדרג'!C4-'ררל ומדרג'!$C$2,0)</f>
        <v>1</v>
      </c>
      <c r="C4" s="114">
        <v>2027</v>
      </c>
      <c r="D4" s="115">
        <f>IF(B4&gt;0,'הנחות עבודה לררל ומדרג'!$C$4,0)</f>
        <v>28946188.269243326</v>
      </c>
      <c r="E4" s="115"/>
      <c r="F4" s="115">
        <f>'הנחות עבודה לררל ומדרג'!C7</f>
        <v>4875000</v>
      </c>
      <c r="G4" s="115">
        <f>'הנחות עבודה לררל ומדרג'!$C$11</f>
        <v>4000000</v>
      </c>
      <c r="H4" s="159">
        <f>D4-F4-G4</f>
        <v>20071188.269243326</v>
      </c>
      <c r="I4" s="115">
        <f ca="1">'פריסת שנים'!G5</f>
        <v>4529331.5</v>
      </c>
      <c r="J4" s="115">
        <f ca="1">'פריסת שנים'!J5</f>
        <v>371228.04180000001</v>
      </c>
      <c r="K4" s="115">
        <f>'פריסת שנים'!M5</f>
        <v>0</v>
      </c>
      <c r="L4" s="115">
        <f>'מדרג שימושים '!$E$6</f>
        <v>2027520</v>
      </c>
      <c r="M4" s="115">
        <f>'מדרג שימושים '!$E$7</f>
        <v>990000</v>
      </c>
      <c r="N4" s="115">
        <f>'מדרג שימושים '!$E$8</f>
        <v>919745</v>
      </c>
      <c r="O4" s="115">
        <v>250000</v>
      </c>
      <c r="P4" s="115">
        <v>200000</v>
      </c>
      <c r="Q4" s="115">
        <v>250000</v>
      </c>
      <c r="R4" s="159">
        <f ca="1">H4-I4-J4-K4-L4-M4-N4-O4-P4-Q4</f>
        <v>10533363.727443326</v>
      </c>
      <c r="S4" s="115">
        <f ca="1">R4*$S$1*מורישים!O127</f>
        <v>886821.64820080495</v>
      </c>
      <c r="T4" s="159">
        <f ca="1">R4-S4</f>
        <v>9646542.0792425219</v>
      </c>
      <c r="U4" s="115">
        <f ca="1">IF(T4*$U$1&gt;'הנחות עבודה לררל ומדרג'!$C$15,'הנחות עבודה לררל ומדרג'!$C$15,T4*$U$1)</f>
        <v>289396.26237727562</v>
      </c>
      <c r="V4" s="115">
        <f ca="1">IF(T4*$V$1&gt;'הנחות עבודה לררל ומדרג'!$C$16,'הנחות עבודה לררל ומדרג'!$C$16,T4*$V$1)</f>
        <v>675257.94554697664</v>
      </c>
      <c r="W4" s="115">
        <f ca="1">IF(T4*$W$1&gt;'הנחות עבודה לררל ומדרג'!$C$17,'הנחות עבודה לררל ומדרג'!$C$17,T4*$W$1)</f>
        <v>3858616.831697009</v>
      </c>
      <c r="X4" s="213">
        <f ca="1">$X$1*T4</f>
        <v>3858616.831697009</v>
      </c>
      <c r="Y4" s="115">
        <f t="shared" ref="Y4:Y35" ca="1" si="4">T4-U4-V4-W4-X4</f>
        <v>964654.20792425098</v>
      </c>
      <c r="Z4" s="213">
        <f ca="1">X4+Y4*$Z$1</f>
        <v>4340943.9356591348</v>
      </c>
      <c r="AA4" s="115">
        <f ca="1">Y4*$AA$1</f>
        <v>482327.10396212549</v>
      </c>
      <c r="AB4" s="279">
        <f ca="1">Z4/T4</f>
        <v>0.45</v>
      </c>
      <c r="AC4" s="279"/>
      <c r="AD4" s="120">
        <f ca="1">IF(B4&lt;'הנחות עבודה לררל ומדרג'!$I$3,'ררל ומדרג'!Z4,IF(B4&lt;'הנחות עבודה לררל ומדרג'!$I$4,'הנחות עבודה לררל ומדרג'!$J$3*'ררל ומדרג'!Z4,IF('ררל ומדרג'!B4&lt;'הנחות עבודה לררל ומדרג'!$I$5,'הנחות עבודה לררל ומדרג'!$J$4*'ררל ומדרג'!Z4,Z4*'הנחות עבודה לררל ומדרג'!$J$6)))</f>
        <v>4340943.9356591348</v>
      </c>
      <c r="AE4" s="120">
        <f ca="1">IF(C4&lt;'הנחות עבודה לררל ומדרג'!$I$3,'ררל ומדרג'!AA4,IF(C4&lt;'הנחות עבודה לררל ומדרג'!$I$4,'הנחות עבודה לררל ומדרג'!$J$3*'ררל ומדרג'!AA4,IF('ררל ומדרג'!C4&lt;'הנחות עבודה לררל ומדרג'!$I$5,'הנחות עבודה לררל ומדרג'!$J$4*'ררל ומדרג'!AA4,AA4*'הנחות עבודה לררל ומדרג'!$J$6)))</f>
        <v>120581.77599053137</v>
      </c>
      <c r="AF4" s="120">
        <f ca="1">Z4-AD4</f>
        <v>0</v>
      </c>
      <c r="AH4" s="120">
        <f ca="1">X4/'הנחות עבודה לררל ומדרג'!$J$10*2</f>
        <v>27561.548797835778</v>
      </c>
      <c r="AI4" s="120">
        <f ca="1">AH4</f>
        <v>27561.548797835778</v>
      </c>
    </row>
    <row r="5" spans="2:35" ht="14.4" customHeight="1">
      <c r="B5" s="210">
        <f>IF(C5-$C$2&lt;'הנחות עבודה לררל ומדרג'!$C$20,'ררל ומדרג'!C5-'ררל ומדרג'!$C$2,0)</f>
        <v>2</v>
      </c>
      <c r="C5" s="114">
        <v>2028</v>
      </c>
      <c r="D5" s="115">
        <f>IF(B5&gt;0,D4*(1+'הנחות עבודה לררל ומדרג'!$C$5),0)</f>
        <v>29380381.093281973</v>
      </c>
      <c r="E5" s="115"/>
      <c r="F5" s="115">
        <f>IF(B5&gt;0,IF(F4&gt;'הנחות עבודה לררל ומדרג'!$C$9,F4+'הנחות עבודה לררל ומדרג'!$C$8,'הנחות עבודה לררל ומדרג'!$C$9),0)</f>
        <v>4675000</v>
      </c>
      <c r="G5" s="115">
        <f>IF(B5&gt;0,IF(G4&gt;'הנחות עבודה לררל ומדרג'!$C$13,G4+'הנחות עבודה לררל ומדרג'!$C$12,'הנחות עבודה לררל ומדרג'!$C$13),0)</f>
        <v>3900000</v>
      </c>
      <c r="H5" s="159">
        <f t="shared" ref="H5:H53" si="5">D5-F5-G5</f>
        <v>20805381.093281973</v>
      </c>
      <c r="I5" s="115">
        <f ca="1">'פריסת שנים'!G6</f>
        <v>1616248.9102564105</v>
      </c>
      <c r="J5" s="115">
        <f ca="1">'פריסת שנים'!J6</f>
        <v>569641.36556249997</v>
      </c>
      <c r="K5" s="115">
        <f>'פריסת שנים'!M6</f>
        <v>120000</v>
      </c>
      <c r="L5" s="115">
        <f>'מדרג שימושים '!$E$6</f>
        <v>2027520</v>
      </c>
      <c r="M5" s="115">
        <f>'מדרג שימושים '!$E$7</f>
        <v>990000</v>
      </c>
      <c r="N5" s="115">
        <f>'מדרג שימושים '!$E$8</f>
        <v>919745</v>
      </c>
      <c r="O5" s="115">
        <v>250000</v>
      </c>
      <c r="P5" s="115">
        <v>200000</v>
      </c>
      <c r="Q5" s="115">
        <v>250000</v>
      </c>
      <c r="R5" s="159">
        <f t="shared" ref="R5:R53" ca="1" si="6">H5-I5-J5-K5-L5-M5-N5-O5-P5-Q5</f>
        <v>13862225.817463063</v>
      </c>
      <c r="S5" s="115">
        <f ca="1">R5*$S$1*מורישים!P127</f>
        <v>1087143.8084702487</v>
      </c>
      <c r="T5" s="159">
        <f t="shared" ref="T5:T53" ca="1" si="7">R5-S5</f>
        <v>12775082.008992814</v>
      </c>
      <c r="U5" s="115">
        <f ca="1">IF(T5*$U$1&gt;'הנחות עבודה לררל ומדרג'!$C$15,'הנחות עבודה לררל ומדרג'!$C$15,T5*$U$1)</f>
        <v>383252.46026978438</v>
      </c>
      <c r="V5" s="115">
        <f ca="1">IF(T5*$V$1&gt;'הנחות עבודה לררל ומדרג'!$C$16,'הנחות עבודה לררל ומדרג'!$C$16,T5*$V$1)</f>
        <v>894255.74062949698</v>
      </c>
      <c r="W5" s="115">
        <f ca="1">IF(T5*$W$1&gt;'הנחות עבודה לררל ומדרג'!$C$17,'הנחות עבודה לררל ומדרג'!$C$17,T5*$W$1)</f>
        <v>5110032.8035971262</v>
      </c>
      <c r="X5" s="213">
        <f t="shared" ref="X5:X53" ca="1" si="8">$X$1*T5</f>
        <v>5110032.8035971262</v>
      </c>
      <c r="Y5" s="115">
        <f t="shared" ca="1" si="4"/>
        <v>1277508.2008992806</v>
      </c>
      <c r="Z5" s="213">
        <f t="shared" ref="Z5:Z53" ca="1" si="9">X5+Y5*$Z$1</f>
        <v>5748786.9040467665</v>
      </c>
      <c r="AA5" s="115">
        <f t="shared" ref="AA5:AA53" ca="1" si="10">Y5*$AA$1</f>
        <v>638754.1004496403</v>
      </c>
      <c r="AB5" s="279">
        <f ca="1">Z5/T5</f>
        <v>0.45</v>
      </c>
      <c r="AC5" s="279"/>
      <c r="AD5" s="120">
        <f ca="1">IF(B5&lt;'הנחות עבודה לררל ומדרג'!$I$3,'ררל ומדרג'!Z5,IF(B5&lt;'הנחות עבודה לררל ומדרג'!$I$4,'הנחות עבודה לררל ומדרג'!$J$3*'ררל ומדרג'!Z5,IF('ררל ומדרג'!B5&lt;'הנחות עבודה לררל ומדרג'!$I$5,'הנחות עבודה לררל ומדרג'!$J$4*'ררל ומדרג'!Z5,Z5*'הנחות עבודה לררל ומדרג'!$J$6)))</f>
        <v>5748786.9040467665</v>
      </c>
      <c r="AE5" s="120">
        <f ca="1">AD5*'הנחות עבודה לררל ומדרג'!$D$6</f>
        <v>0</v>
      </c>
      <c r="AF5" s="120">
        <f t="shared" ref="AF5:AF53" ca="1" si="11">Z5-AD5</f>
        <v>0</v>
      </c>
      <c r="AH5" s="120">
        <f ca="1">X5/'הנחות עבודה לררל ומדרג'!$J$10*2</f>
        <v>36500.234311408043</v>
      </c>
      <c r="AI5" s="120">
        <f ca="1">AH5+AI4</f>
        <v>64061.783109243821</v>
      </c>
    </row>
    <row r="6" spans="2:35" ht="14.4" customHeight="1">
      <c r="B6" s="210">
        <f>IF(C6-$C$2&lt;'הנחות עבודה לררל ומדרג'!$C$20,'ררל ומדרג'!C6-'ררל ומדרג'!$C$2,0)</f>
        <v>3</v>
      </c>
      <c r="C6" s="114">
        <v>2029</v>
      </c>
      <c r="D6" s="115">
        <f>IF(B6&gt;0,D5*(1+'הנחות עבודה לררל ומדרג'!$C$5),0)</f>
        <v>29821086.809681199</v>
      </c>
      <c r="E6" s="115"/>
      <c r="F6" s="115">
        <f>IF(B6&gt;0,IF(F5&gt;'הנחות עבודה לררל ומדרג'!$C$9,F5+'הנחות עבודה לררל ומדרג'!$C$8,'הנחות עבודה לררל ומדרג'!$C$9),0)</f>
        <v>4475000</v>
      </c>
      <c r="G6" s="115">
        <f>IF(B6&gt;0,IF(G5&gt;'הנחות עבודה לררל ומדרג'!$C$13,G5+'הנחות עבודה לררל ומדרג'!$C$12,'הנחות עבודה לררל ומדרג'!$C$13),0)</f>
        <v>3800000</v>
      </c>
      <c r="H6" s="159">
        <f t="shared" si="5"/>
        <v>21546086.809681199</v>
      </c>
      <c r="I6" s="115">
        <f ca="1">'פריסת שנים'!G7</f>
        <v>1114582.6794871795</v>
      </c>
      <c r="J6" s="115">
        <f ca="1">'פריסת שנים'!J7</f>
        <v>269947.8606825</v>
      </c>
      <c r="K6" s="115">
        <f>'פריסת שנים'!M7</f>
        <v>124687.5</v>
      </c>
      <c r="L6" s="115">
        <f>'מדרג שימושים '!$E$6</f>
        <v>2027520</v>
      </c>
      <c r="M6" s="115">
        <f>'מדרג שימושים '!$E$7</f>
        <v>990000</v>
      </c>
      <c r="N6" s="115">
        <f>'מדרג שימושים '!$E$8</f>
        <v>919745</v>
      </c>
      <c r="O6" s="115">
        <v>250000</v>
      </c>
      <c r="P6" s="115">
        <v>200000</v>
      </c>
      <c r="Q6" s="115">
        <v>250000</v>
      </c>
      <c r="R6" s="159">
        <f t="shared" ca="1" si="6"/>
        <v>15399603.769511521</v>
      </c>
      <c r="S6" s="115">
        <f ca="1">R6*$S$1*מורישים!Q127</f>
        <v>1112488.4512430658</v>
      </c>
      <c r="T6" s="159">
        <f t="shared" ca="1" si="7"/>
        <v>14287115.318268456</v>
      </c>
      <c r="U6" s="115">
        <f ca="1">IF(T6*$U$1&gt;'הנחות עבודה לררל ומדרג'!$C$15,'הנחות עבודה לררל ומדרג'!$C$15,T6*$U$1)</f>
        <v>428613.45954805362</v>
      </c>
      <c r="V6" s="115">
        <f ca="1">IF(T6*$V$1&gt;'הנחות עבודה לררל ומדרג'!$C$16,'הנחות עבודה לררל ומדרג'!$C$16,T6*$V$1)</f>
        <v>1000000</v>
      </c>
      <c r="W6" s="115">
        <f ca="1">IF(T6*$W$1&gt;'הנחות עבודה לררל ומדרג'!$C$17,'הנחות עבודה לררל ומדרג'!$C$17,T6*$W$1)</f>
        <v>5714846.1273073824</v>
      </c>
      <c r="X6" s="213">
        <f t="shared" ca="1" si="8"/>
        <v>5714846.1273073824</v>
      </c>
      <c r="Y6" s="115">
        <f t="shared" ca="1" si="4"/>
        <v>1428809.6041056365</v>
      </c>
      <c r="Z6" s="213">
        <f t="shared" ca="1" si="9"/>
        <v>6429250.9293602007</v>
      </c>
      <c r="AA6" s="115">
        <f t="shared" ca="1" si="10"/>
        <v>714404.80205281824</v>
      </c>
      <c r="AB6" s="279">
        <f ca="1">Z6/T6</f>
        <v>0.4500034321931547</v>
      </c>
      <c r="AC6" s="279"/>
      <c r="AD6" s="120">
        <f ca="1">IF(B6&lt;'הנחות עבודה לררל ומדרג'!$I$3,'ררל ומדרג'!Z6,IF(B6&lt;'הנחות עבודה לררל ומדרג'!$I$4,'הנחות עבודה לררל ומדרג'!$J$3*'ררל ומדרג'!Z6,IF('ררל ומדרג'!B6&lt;'הנחות עבודה לררל ומדרג'!$I$5,'הנחות עבודה לררל ומדרג'!$J$4*'ררל ומדרג'!Z6,Z6*'הנחות עבודה לררל ומדרג'!$J$6)))</f>
        <v>6429250.9293602007</v>
      </c>
      <c r="AE6" s="120">
        <f ca="1">AD6*'הנחות עבודה לררל ומדרג'!$D$6</f>
        <v>0</v>
      </c>
      <c r="AF6" s="120">
        <f t="shared" ca="1" si="11"/>
        <v>0</v>
      </c>
      <c r="AH6" s="120">
        <f ca="1">X6/'הנחות עבודה לררל ומדרג'!$J$10*2</f>
        <v>40820.329480767017</v>
      </c>
      <c r="AI6" s="120">
        <f t="shared" ref="AI6:AI19" ca="1" si="12">AH6+AI5</f>
        <v>104882.11259001083</v>
      </c>
    </row>
    <row r="7" spans="2:35" ht="14.4" customHeight="1">
      <c r="B7" s="210">
        <f>IF(C7-$C$2&lt;'הנחות עבודה לררל ומדרג'!$C$20,'ררל ומדרג'!C7-'ררל ומדרג'!$C$2,0)</f>
        <v>4</v>
      </c>
      <c r="C7" s="114">
        <v>2030</v>
      </c>
      <c r="D7" s="115">
        <f>IF(B7&gt;0,D6*(1+'הנחות עבודה לררל ומדרג'!$C$5),0)</f>
        <v>30268403.111826416</v>
      </c>
      <c r="E7" s="115"/>
      <c r="F7" s="115">
        <f>IF(B7&gt;0,IF(F6&gt;'הנחות עבודה לררל ומדרג'!$C$9,F6+'הנחות עבודה לררל ומדרג'!$C$8,'הנחות עבודה לררל ומדרג'!$C$9),0)</f>
        <v>4275000</v>
      </c>
      <c r="G7" s="115">
        <f>IF(B7&gt;0,IF(G6&gt;'הנחות עבודה לררל ומדרג'!$C$13,G6+'הנחות עבודה לררל ומדרג'!$C$12,'הנחות עבודה לררל ומדרג'!$C$13),0)</f>
        <v>3700000</v>
      </c>
      <c r="H7" s="159">
        <f t="shared" si="5"/>
        <v>22293403.111826416</v>
      </c>
      <c r="I7" s="115">
        <f ca="1">'פריסת שנים'!G8</f>
        <v>1110472.987179487</v>
      </c>
      <c r="J7" s="115">
        <f ca="1">'פריסת שנים'!J8</f>
        <v>140892.066315</v>
      </c>
      <c r="K7" s="115">
        <f>'פריסת שנים'!M8</f>
        <v>61875</v>
      </c>
      <c r="L7" s="115">
        <f>'מדרג שימושים '!$E$6</f>
        <v>2027520</v>
      </c>
      <c r="M7" s="115">
        <f>'מדרג שימושים '!$E$7</f>
        <v>990000</v>
      </c>
      <c r="N7" s="115">
        <f>'מדרג שימושים '!$E$8</f>
        <v>919745</v>
      </c>
      <c r="O7" s="115">
        <v>250000</v>
      </c>
      <c r="P7" s="115">
        <v>200000</v>
      </c>
      <c r="Q7" s="115">
        <v>250000</v>
      </c>
      <c r="R7" s="159">
        <f t="shared" ca="1" si="6"/>
        <v>16342898.058331929</v>
      </c>
      <c r="S7" s="115">
        <f ca="1">R7*$S$1*מורישים!R127</f>
        <v>1075854.1282253496</v>
      </c>
      <c r="T7" s="159">
        <f t="shared" ca="1" si="7"/>
        <v>15267043.93010658</v>
      </c>
      <c r="U7" s="115">
        <f ca="1">IF(T7*$U$1&gt;'הנחות עבודה לררל ומדרג'!$C$15,'הנחות עבודה לררל ומדרג'!$C$15,T7*$U$1)</f>
        <v>458011.31790319737</v>
      </c>
      <c r="V7" s="115">
        <f ca="1">IF(T7*$V$1&gt;'הנחות עבודה לררל ומדרג'!$C$16,'הנחות עבודה לררל ומדרג'!$C$16,T7*$V$1)</f>
        <v>1000000</v>
      </c>
      <c r="W7" s="115">
        <f ca="1">IF(T7*$W$1&gt;'הנחות עבודה לררל ומדרג'!$C$17,'הנחות עבודה לררל ומדרג'!$C$17,T7*$W$1)</f>
        <v>6106817.5720426328</v>
      </c>
      <c r="X7" s="213">
        <f t="shared" ca="1" si="8"/>
        <v>6106817.5720426328</v>
      </c>
      <c r="Y7" s="115">
        <f t="shared" ca="1" si="4"/>
        <v>1595397.4681181163</v>
      </c>
      <c r="Z7" s="213">
        <f t="shared" ca="1" si="9"/>
        <v>6904516.306101691</v>
      </c>
      <c r="AA7" s="115">
        <f t="shared" ca="1" si="10"/>
        <v>797698.73405905813</v>
      </c>
      <c r="AB7" s="279">
        <f t="shared" ref="AB7:AB42" ca="1" si="13">Z7/T7</f>
        <v>0.45224971760813493</v>
      </c>
      <c r="AC7" s="279"/>
      <c r="AD7" s="120">
        <f ca="1">IF(B7&lt;'הנחות עבודה לררל ומדרג'!$I$3,'ררל ומדרג'!Z7,IF(B7&lt;'הנחות עבודה לררל ומדרג'!$I$4,'הנחות עבודה לררל ומדרג'!$J$3*'ררל ומדרג'!Z7,IF('ררל ומדרג'!B7&lt;'הנחות עבודה לררל ומדרג'!$I$5,'הנחות עבודה לררל ומדרג'!$J$4*'ררל ומדרג'!Z7,Z7*'הנחות עבודה לררל ומדרג'!$J$6)))</f>
        <v>6904516.306101691</v>
      </c>
      <c r="AE7" s="120">
        <f ca="1">AD7*'הנחות עבודה לררל ומדרג'!$D$6</f>
        <v>0</v>
      </c>
      <c r="AF7" s="120">
        <f t="shared" ca="1" si="11"/>
        <v>0</v>
      </c>
      <c r="AH7" s="120">
        <f ca="1">X7/'הנחות עבודה לררל ומדרג'!$J$10*2</f>
        <v>43620.125514590232</v>
      </c>
      <c r="AI7" s="120">
        <f t="shared" ca="1" si="12"/>
        <v>148502.23810460107</v>
      </c>
    </row>
    <row r="8" spans="2:35" s="128" customFormat="1" ht="14.4" customHeight="1">
      <c r="B8" s="214">
        <f>IF(C8-$C$2&lt;'הנחות עבודה לררל ומדרג'!$C$20,'ררל ומדרג'!C8-'ררל ומדרג'!$C$2,0)</f>
        <v>5</v>
      </c>
      <c r="C8" s="203">
        <v>2031</v>
      </c>
      <c r="D8" s="204">
        <f>IF(B8&gt;0,D7*(1+'הנחות עבודה לררל ומדרג'!$C$5),0)</f>
        <v>30722429.158503808</v>
      </c>
      <c r="E8" s="204"/>
      <c r="F8" s="204">
        <f>IF(B8&gt;0,IF(F7&gt;'הנחות עבודה לררל ומדרג'!$C$9,F7+'הנחות עבודה לררל ומדרג'!$C$8,'הנחות עבודה לררל ומדרג'!$C$9),0)</f>
        <v>4075000</v>
      </c>
      <c r="G8" s="115">
        <f>IF(B8&gt;0,IF(G7&gt;'הנחות עבודה לררל ומדרג'!$C$13,G7+'הנחות עבודה לררל ומדרג'!$C$12,'הנחות עבודה לררל ומדרג'!$C$13),0)</f>
        <v>3600000</v>
      </c>
      <c r="H8" s="280">
        <f t="shared" si="5"/>
        <v>23047429.158503808</v>
      </c>
      <c r="I8" s="204">
        <f ca="1">'פריסת שנים'!G9</f>
        <v>1694824.9175824174</v>
      </c>
      <c r="J8" s="204">
        <f ca="1">'פריסת שנים'!J9</f>
        <v>550721.77602750005</v>
      </c>
      <c r="K8" s="204">
        <f>'פריסת שנים'!M9</f>
        <v>28125</v>
      </c>
      <c r="L8" s="204">
        <f>'מדרג שימושים '!$E$6</f>
        <v>2027520</v>
      </c>
      <c r="M8" s="204">
        <f>'מדרג שימושים '!$E$7</f>
        <v>990000</v>
      </c>
      <c r="N8" s="204">
        <f>'מדרג שימושים '!$E$8</f>
        <v>919745</v>
      </c>
      <c r="O8" s="204">
        <v>250000</v>
      </c>
      <c r="P8" s="204">
        <v>200000</v>
      </c>
      <c r="Q8" s="204">
        <v>250000</v>
      </c>
      <c r="R8" s="280">
        <f t="shared" ca="1" si="6"/>
        <v>16136492.464893889</v>
      </c>
      <c r="S8" s="204">
        <f ca="1">R8*$S$1*מורישים!S127</f>
        <v>948355.33603129245</v>
      </c>
      <c r="T8" s="280">
        <f t="shared" ca="1" si="7"/>
        <v>15188137.128862597</v>
      </c>
      <c r="U8" s="281">
        <f ca="1">IF(T8*$U$1&gt;'הנחות עבודה לררל ומדרג'!$C$15,'הנחות עבודה לררל ומדרג'!$C$15,T8*$U$1)</f>
        <v>455644.11386587791</v>
      </c>
      <c r="V8" s="281">
        <f ca="1">IF(T8*$V$1&gt;'הנחות עבודה לררל ומדרג'!$C$16,'הנחות עבודה לררל ומדרג'!$C$16,T8*$V$1)</f>
        <v>1000000</v>
      </c>
      <c r="W8" s="281">
        <f ca="1">IF(T8*$W$1&gt;'הנחות עבודה לררל ומדרג'!$C$17,'הנחות עבודה לררל ומדרג'!$C$17,T8*$W$1)</f>
        <v>6075254.8515450396</v>
      </c>
      <c r="X8" s="282">
        <f t="shared" ca="1" si="8"/>
        <v>6075254.8515450396</v>
      </c>
      <c r="Y8" s="281">
        <f t="shared" ca="1" si="4"/>
        <v>1581983.3119066395</v>
      </c>
      <c r="Z8" s="282">
        <f t="shared" ca="1" si="9"/>
        <v>6866246.5074983593</v>
      </c>
      <c r="AA8" s="281">
        <f t="shared" ca="1" si="10"/>
        <v>790991.65595331974</v>
      </c>
      <c r="AB8" s="279">
        <f t="shared" ca="1" si="13"/>
        <v>0.4520795703411295</v>
      </c>
      <c r="AC8" s="279"/>
      <c r="AD8" s="120">
        <f ca="1">IF(B8&lt;'הנחות עבודה לררל ומדרג'!$I$3,'ררל ומדרג'!Z8,IF(B8&lt;'הנחות עבודה לררל ומדרג'!$I$4,'הנחות עבודה לררל ומדרג'!$J$3*'ררל ומדרג'!Z8,IF('ררל ומדרג'!B8&lt;'הנחות עבודה לררל ומדרג'!$I$5,'הנחות עבודה לררל ומדרג'!$J$4*'ררל ומדרג'!Z8,Z8*'הנחות עבודה לררל ומדרג'!$J$6)))</f>
        <v>6866246.5074983593</v>
      </c>
      <c r="AE8" s="206">
        <f ca="1">AD8*'הנחות עבודה לררל ומדרג'!$D$6</f>
        <v>0</v>
      </c>
      <c r="AF8" s="120">
        <f t="shared" ca="1" si="11"/>
        <v>0</v>
      </c>
      <c r="AG8" s="208"/>
      <c r="AH8" s="120">
        <f ca="1">X8/'הנחות עבודה לררל ומדרג'!$J$10*2</f>
        <v>43394.677511035996</v>
      </c>
      <c r="AI8" s="206">
        <f t="shared" ca="1" si="12"/>
        <v>191896.91561563706</v>
      </c>
    </row>
    <row r="9" spans="2:35" ht="14.4" customHeight="1">
      <c r="B9" s="210">
        <f>IF(C9-$C$2&lt;'הנחות עבודה לררל ומדרג'!$C$20,'ררל ומדרג'!C9-'ררל ומדרג'!$C$2,0)</f>
        <v>6</v>
      </c>
      <c r="C9" s="114">
        <v>2032</v>
      </c>
      <c r="D9" s="115">
        <f>IF(B9&gt;0,D8*(1+'הנחות עבודה לררל ומדרג'!$C$5),0)</f>
        <v>31183265.595881362</v>
      </c>
      <c r="E9" s="115"/>
      <c r="F9" s="115">
        <f>IF(B9&gt;0,IF(F8&gt;'הנחות עבודה לררל ומדרג'!$C$9,F8+'הנחות עבודה לררל ומדרג'!$C$8,'הנחות עבודה לררל ומדרג'!$C$9),0)</f>
        <v>3875000</v>
      </c>
      <c r="G9" s="115">
        <f>IF(B9&gt;0,IF(G8&gt;'הנחות עבודה לררל ומדרג'!$C$13,G8+'הנחות עבודה לררל ומדרג'!$C$12,'הנחות עבודה לררל ומדרג'!$C$13),0)</f>
        <v>3500000</v>
      </c>
      <c r="H9" s="159">
        <f t="shared" si="5"/>
        <v>23808265.595881362</v>
      </c>
      <c r="I9" s="115">
        <f ca="1">'פריסת שנים'!G10</f>
        <v>1824715.9029304027</v>
      </c>
      <c r="J9" s="115">
        <f ca="1">'פריסת שנים'!J10</f>
        <v>148422.58199999999</v>
      </c>
      <c r="K9" s="115">
        <f>'פריסת שנים'!M10</f>
        <v>37500</v>
      </c>
      <c r="L9" s="115">
        <f>'מדרג שימושים '!$E$6</f>
        <v>2027520</v>
      </c>
      <c r="M9" s="115">
        <f>'מדרג שימושים '!$E$7</f>
        <v>990000</v>
      </c>
      <c r="N9" s="115">
        <f>'מדרג שימושים '!$E$8</f>
        <v>919745</v>
      </c>
      <c r="O9" s="115">
        <v>250000</v>
      </c>
      <c r="P9" s="115">
        <v>200000</v>
      </c>
      <c r="Q9" s="115">
        <v>250000</v>
      </c>
      <c r="R9" s="159">
        <f t="shared" ca="1" si="6"/>
        <v>17160362.110950962</v>
      </c>
      <c r="S9" s="115">
        <f ca="1">R9*$S$1*מורישים!T127</f>
        <v>874404.45656109962</v>
      </c>
      <c r="T9" s="159">
        <f t="shared" ca="1" si="7"/>
        <v>16285957.654389862</v>
      </c>
      <c r="U9" s="115">
        <f ca="1">IF(T9*$U$1&gt;'הנחות עבודה לררל ומדרג'!$C$15,'הנחות עבודה לררל ומדרג'!$C$15,T9*$U$1)</f>
        <v>488578.72963169584</v>
      </c>
      <c r="V9" s="115">
        <f ca="1">IF(T9*$V$1&gt;'הנחות עבודה לררל ומדרג'!$C$16,'הנחות עבודה לררל ומדרג'!$C$16,T9*$V$1)</f>
        <v>1000000</v>
      </c>
      <c r="W9" s="115">
        <f ca="1">IF(T9*$W$1&gt;'הנחות עבודה לררל ומדרג'!$C$17,'הנחות עבודה לררל ומדרג'!$C$17,T9*$W$1)</f>
        <v>6514383.061755945</v>
      </c>
      <c r="X9" s="213">
        <f t="shared" ca="1" si="8"/>
        <v>6514383.061755945</v>
      </c>
      <c r="Y9" s="115">
        <f t="shared" ca="1" si="4"/>
        <v>1768612.8012462761</v>
      </c>
      <c r="Z9" s="213">
        <f t="shared" ca="1" si="9"/>
        <v>7398689.462379083</v>
      </c>
      <c r="AA9" s="115">
        <f t="shared" ca="1" si="10"/>
        <v>884306.40062313806</v>
      </c>
      <c r="AB9" s="279">
        <f t="shared" ca="1" si="13"/>
        <v>0.45429870440469766</v>
      </c>
      <c r="AC9" s="279"/>
      <c r="AD9" s="120">
        <f ca="1">IF(B9&lt;'הנחות עבודה לררל ומדרג'!$I$3,'ררל ומדרג'!Z9,IF(B9&lt;'הנחות עבודה לררל ומדרג'!$I$4,'הנחות עבודה לררל ומדרג'!$J$3*'ררל ומדרג'!Z9,IF('ררל ומדרג'!B9&lt;'הנחות עבודה לררל ומדרג'!$I$5,'הנחות עבודה לררל ומדרג'!$J$4*'ררל ומדרג'!Z9,Z9*'הנחות עבודה לררל ומדרג'!$J$6)))</f>
        <v>7398689.462379083</v>
      </c>
      <c r="AE9" s="120">
        <f ca="1">AD9*'הנחות עבודה לררל ומדרג'!$D$6</f>
        <v>0</v>
      </c>
      <c r="AF9" s="120">
        <f t="shared" ca="1" si="11"/>
        <v>0</v>
      </c>
      <c r="AH9" s="120">
        <f ca="1">X9/'הנחות עבודה לררל ומדרג'!$J$10*2</f>
        <v>46531.307583971036</v>
      </c>
      <c r="AI9" s="120">
        <f t="shared" ca="1" si="12"/>
        <v>238428.2231996081</v>
      </c>
    </row>
    <row r="10" spans="2:35" ht="14.4" customHeight="1">
      <c r="B10" s="210">
        <f>IF(C10-$C$2&lt;'הנחות עבודה לררל ומדרג'!$C$20,'ררל ומדרג'!C10-'ררל ומדרג'!$C$2,0)</f>
        <v>7</v>
      </c>
      <c r="C10" s="114">
        <v>2033</v>
      </c>
      <c r="D10" s="115">
        <f>IF(B10&gt;0,D9*(1+'הנחות עבודה לררל ומדרג'!$C$5),0)</f>
        <v>31651014.579819579</v>
      </c>
      <c r="E10" s="115"/>
      <c r="F10" s="115">
        <f>IF(B10&gt;0,IF(F9&gt;'הנחות עבודה לררל ומדרג'!$C$9,F9+'הנחות עבודה לררל ומדרג'!$C$8,'הנחות עבודה לררל ומדרג'!$C$9),0)</f>
        <v>3675000</v>
      </c>
      <c r="G10" s="115">
        <f>IF(B10&gt;0,IF(G9&gt;'הנחות עבודה לררל ומדרג'!$C$13,G9+'הנחות עבודה לררל ומדרג'!$C$12,'הנחות עבודה לררל ומדרג'!$C$13),0)</f>
        <v>3400000</v>
      </c>
      <c r="H10" s="159">
        <f t="shared" si="5"/>
        <v>24576014.579819579</v>
      </c>
      <c r="I10" s="115">
        <f ca="1">'פריסת שנים'!G11</f>
        <v>1939379.1300366297</v>
      </c>
      <c r="J10" s="115">
        <f ca="1">'פריסת שנים'!J11</f>
        <v>127505.07866249999</v>
      </c>
      <c r="K10" s="115">
        <f>'פריסת שנים'!M11</f>
        <v>87187.5</v>
      </c>
      <c r="L10" s="115">
        <f>'מדרג שימושים '!$E$6</f>
        <v>2027520</v>
      </c>
      <c r="M10" s="115">
        <f>'מדרג שימושים '!$E$7</f>
        <v>990000</v>
      </c>
      <c r="N10" s="115">
        <f>'מדרג שימושים '!$E$8</f>
        <v>919745</v>
      </c>
      <c r="O10" s="115">
        <v>250000</v>
      </c>
      <c r="P10" s="115">
        <v>200000</v>
      </c>
      <c r="Q10" s="115">
        <v>250000</v>
      </c>
      <c r="R10" s="159">
        <f t="shared" ca="1" si="6"/>
        <v>17784677.871120449</v>
      </c>
      <c r="S10" s="115">
        <f ca="1">R10*$S$1*מורישים!U127</f>
        <v>752434.07378319034</v>
      </c>
      <c r="T10" s="159">
        <f t="shared" ca="1" si="7"/>
        <v>17032243.79733726</v>
      </c>
      <c r="U10" s="115">
        <f ca="1">IF(T10*$U$1&gt;'הנחות עבודה לררל ומדרג'!$C$15,'הנחות עבודה לררל ומדרג'!$C$15,T10*$U$1)</f>
        <v>510967.3139201178</v>
      </c>
      <c r="V10" s="115">
        <f ca="1">IF(T10*$V$1&gt;'הנחות עבודה לררל ומדרג'!$C$16,'הנחות עבודה לררל ומדרג'!$C$16,T10*$V$1)</f>
        <v>1000000</v>
      </c>
      <c r="W10" s="115">
        <f ca="1">IF(T10*$W$1&gt;'הנחות עבודה לררל ומדרג'!$C$17,'הנחות עבודה לררל ומדרג'!$C$17,T10*$W$1)</f>
        <v>6812897.5189349046</v>
      </c>
      <c r="X10" s="213">
        <f t="shared" ca="1" si="8"/>
        <v>6812897.5189349046</v>
      </c>
      <c r="Y10" s="115">
        <f t="shared" ca="1" si="4"/>
        <v>1895481.4455473321</v>
      </c>
      <c r="Z10" s="213">
        <f t="shared" ca="1" si="9"/>
        <v>7760638.2417085711</v>
      </c>
      <c r="AA10" s="115">
        <f t="shared" ca="1" si="10"/>
        <v>947740.72277366603</v>
      </c>
      <c r="AB10" s="279">
        <f t="shared" ca="1" si="13"/>
        <v>0.45564391480362865</v>
      </c>
      <c r="AC10" s="279"/>
      <c r="AD10" s="120">
        <f ca="1">IF(B10&lt;'הנחות עבודה לררל ומדרג'!$I$3,'ררל ומדרג'!Z10,IF(B10&lt;'הנחות עבודה לררל ומדרג'!$I$4,'הנחות עבודה לררל ומדרג'!$J$3*'ררל ומדרג'!Z10,IF('ררל ומדרג'!B10&lt;'הנחות עבודה לררל ומדרג'!$I$5,'הנחות עבודה לררל ומדרג'!$J$4*'ררל ומדרג'!Z10,Z10*'הנחות עבודה לררל ומדרג'!$J$6)))</f>
        <v>7760638.2417085711</v>
      </c>
      <c r="AE10" s="120">
        <f ca="1">AD10*'הנחות עבודה לררל ומדרג'!$D$6</f>
        <v>0</v>
      </c>
      <c r="AF10" s="120">
        <f t="shared" ca="1" si="11"/>
        <v>0</v>
      </c>
      <c r="AH10" s="120">
        <f ca="1">X10/'הנחות עבודה לררל ומדרג'!$J$10*2</f>
        <v>48663.553706677892</v>
      </c>
      <c r="AI10" s="120">
        <f t="shared" ca="1" si="12"/>
        <v>287091.77690628602</v>
      </c>
    </row>
    <row r="11" spans="2:35" ht="14.4" customHeight="1">
      <c r="B11" s="210">
        <f>IF(C11-$C$2&lt;'הנחות עבודה לררל ומדרג'!$C$20,'ררל ומדרג'!C11-'ררל ומדרג'!$C$2,0)</f>
        <v>8</v>
      </c>
      <c r="C11" s="114">
        <v>2034</v>
      </c>
      <c r="D11" s="115">
        <f>IF(B11&gt;0,D10*(1+'הנחות עבודה לררל ומדרג'!$C$5),0)</f>
        <v>32125779.79851687</v>
      </c>
      <c r="E11" s="115"/>
      <c r="F11" s="115">
        <f>IF(B11&gt;0,IF(F10&gt;'הנחות עבודה לררל ומדרג'!$C$9,F10+'הנחות עבודה לררל ומדרג'!$C$8,'הנחות עבודה לררל ומדרג'!$C$9),0)</f>
        <v>3475000</v>
      </c>
      <c r="G11" s="115">
        <f>IF(B11&gt;0,IF(G10&gt;'הנחות עבודה לררל ומדרג'!$C$13,G10+'הנחות עבודה לררל ומדרג'!$C$12,'הנחות עבודה לררל ומדרג'!$C$13),0)</f>
        <v>3300000</v>
      </c>
      <c r="H11" s="159">
        <f t="shared" si="5"/>
        <v>25350779.79851687</v>
      </c>
      <c r="I11" s="115">
        <f ca="1">'פריסת שנים'!G12</f>
        <v>2051460.4890109892</v>
      </c>
      <c r="J11" s="115">
        <f ca="1">'פריסת שנים'!J12</f>
        <v>283865.69499749993</v>
      </c>
      <c r="K11" s="115">
        <f>'פריסת שנים'!M12</f>
        <v>33750</v>
      </c>
      <c r="L11" s="115">
        <f>'מדרג שימושים '!$E$6</f>
        <v>2027520</v>
      </c>
      <c r="M11" s="115">
        <f>'מדרג שימושים '!$E$7</f>
        <v>990000</v>
      </c>
      <c r="N11" s="115">
        <f>'מדרג שימושים '!$E$8</f>
        <v>919745</v>
      </c>
      <c r="O11" s="115">
        <v>250000</v>
      </c>
      <c r="P11" s="115">
        <v>200000</v>
      </c>
      <c r="Q11" s="115">
        <v>250000</v>
      </c>
      <c r="R11" s="159">
        <f t="shared" ca="1" si="6"/>
        <v>18344438.614508379</v>
      </c>
      <c r="S11" s="115">
        <f ca="1">R11*$S$1*מורישים!V127</f>
        <v>689734.95889700809</v>
      </c>
      <c r="T11" s="159">
        <f t="shared" ca="1" si="7"/>
        <v>17654703.65561137</v>
      </c>
      <c r="U11" s="115">
        <f ca="1">IF(T11*$U$1&gt;'הנחות עבודה לררל ומדרג'!$C$15,'הנחות עבודה לררל ומדרג'!$C$15,T11*$U$1)</f>
        <v>529641.10966834112</v>
      </c>
      <c r="V11" s="115">
        <f ca="1">IF(T11*$V$1&gt;'הנחות עבודה לררל ומדרג'!$C$16,'הנחות עבודה לררל ומדרג'!$C$16,T11*$V$1)</f>
        <v>1000000</v>
      </c>
      <c r="W11" s="115">
        <f ca="1">IF(T11*$W$1&gt;'הנחות עבודה לררל ומדרג'!$C$17,'הנחות עבודה לררל ומדרג'!$C$17,T11*$W$1)</f>
        <v>7061881.4622445479</v>
      </c>
      <c r="X11" s="213">
        <f t="shared" ca="1" si="8"/>
        <v>7061881.4622445479</v>
      </c>
      <c r="Y11" s="115">
        <f t="shared" ca="1" si="4"/>
        <v>2001299.6214539334</v>
      </c>
      <c r="Z11" s="213">
        <f t="shared" ca="1" si="9"/>
        <v>8062531.2729715146</v>
      </c>
      <c r="AA11" s="115">
        <f t="shared" ca="1" si="10"/>
        <v>1000649.8107269667</v>
      </c>
      <c r="AB11" s="279">
        <f t="shared" ca="1" si="13"/>
        <v>0.45667893555431727</v>
      </c>
      <c r="AC11" s="279"/>
      <c r="AD11" s="120">
        <f ca="1">IF(B11&lt;'הנחות עבודה לררל ומדרג'!$I$3,'ררל ומדרג'!Z11,IF(B11&lt;'הנחות עבודה לררל ומדרג'!$I$4,'הנחות עבודה לררל ומדרג'!$J$3*'ררל ומדרג'!Z11,IF('ררל ומדרג'!B11&lt;'הנחות עבודה לררל ומדרג'!$I$5,'הנחות עבודה לררל ומדרג'!$J$4*'ררל ומדרג'!Z11,Z11*'הנחות עבודה לררל ומדרג'!$J$6)))</f>
        <v>8062531.2729715146</v>
      </c>
      <c r="AE11" s="120">
        <f ca="1">AD11*'הנחות עבודה לררל ומדרג'!$D$6</f>
        <v>0</v>
      </c>
      <c r="AF11" s="120">
        <f t="shared" ca="1" si="11"/>
        <v>0</v>
      </c>
      <c r="AH11" s="120">
        <f ca="1">X11/'הנחות עבודה לררל ומדרג'!$J$10*2</f>
        <v>50442.010444603911</v>
      </c>
      <c r="AI11" s="120">
        <f t="shared" ca="1" si="12"/>
        <v>337533.78735088994</v>
      </c>
    </row>
    <row r="12" spans="2:35" ht="14.4" customHeight="1">
      <c r="B12" s="210">
        <f>IF(C12-$C$2&lt;'הנחות עבודה לררל ומדרג'!$C$20,'ררל ומדרג'!C12-'ררל ומדרג'!$C$2,0)</f>
        <v>9</v>
      </c>
      <c r="C12" s="114">
        <v>2035</v>
      </c>
      <c r="D12" s="115">
        <f>IF(B12&gt;0,D11*(1+'הנחות עבודה לררל ומדרג'!$C$5),0)</f>
        <v>32607666.495494619</v>
      </c>
      <c r="E12" s="115"/>
      <c r="F12" s="115">
        <f>IF(B12&gt;0,IF(F11&gt;'הנחות עבודה לררל ומדרג'!$C$9,F11+'הנחות עבודה לררל ומדרג'!$C$8,'הנחות עבודה לררל ומדרג'!$C$9),0)</f>
        <v>3600000</v>
      </c>
      <c r="G12" s="115">
        <f>IF(B12&gt;0,IF(G11&gt;'הנחות עבודה לררל ומדרג'!$C$13,G11+'הנחות עבודה לררל ומדרג'!$C$12,'הנחות עבודה לררל ומדרג'!$C$13),0)</f>
        <v>3200000</v>
      </c>
      <c r="H12" s="159">
        <f t="shared" si="5"/>
        <v>25807666.495494619</v>
      </c>
      <c r="I12" s="115">
        <f ca="1">'פריסת שנים'!G13</f>
        <v>1538079.4065934063</v>
      </c>
      <c r="J12" s="115">
        <f ca="1">'פריסת שנים'!J13</f>
        <v>278988.34020749998</v>
      </c>
      <c r="K12" s="115">
        <f>'פריסת שנים'!M13</f>
        <v>15000</v>
      </c>
      <c r="L12" s="115">
        <f>'מדרג שימושים '!$E$6</f>
        <v>2027520</v>
      </c>
      <c r="M12" s="115">
        <f>'מדרג שימושים '!$E$7</f>
        <v>990000</v>
      </c>
      <c r="N12" s="115">
        <f>'מדרג שימושים '!$E$8</f>
        <v>919745</v>
      </c>
      <c r="O12" s="115">
        <v>250000</v>
      </c>
      <c r="P12" s="115">
        <v>200000</v>
      </c>
      <c r="Q12" s="115">
        <v>250000</v>
      </c>
      <c r="R12" s="159">
        <f t="shared" ca="1" si="6"/>
        <v>19338333.748693716</v>
      </c>
      <c r="S12" s="115">
        <f ca="1">R12*$S$1*מורישים!W127</f>
        <v>626165.2057261836</v>
      </c>
      <c r="T12" s="159">
        <f t="shared" ca="1" si="7"/>
        <v>18712168.542967532</v>
      </c>
      <c r="U12" s="115">
        <f ca="1">IF(T12*$U$1&gt;'הנחות עבודה לררל ומדרג'!$C$15,'הנחות עבודה לררל ומדרג'!$C$15,T12*$U$1)</f>
        <v>561365.05628902593</v>
      </c>
      <c r="V12" s="115">
        <f ca="1">IF(T12*$V$1&gt;'הנחות עבודה לררל ומדרג'!$C$16,'הנחות עבודה לררל ומדרג'!$C$16,T12*$V$1)</f>
        <v>1000000</v>
      </c>
      <c r="W12" s="115">
        <f ca="1">IF(T12*$W$1&gt;'הנחות עבודה לררל ומדרג'!$C$17,'הנחות עבודה לררל ומדרג'!$C$17,T12*$W$1)</f>
        <v>7484867.4171870127</v>
      </c>
      <c r="X12" s="213">
        <f t="shared" ca="1" si="8"/>
        <v>7484867.4171870127</v>
      </c>
      <c r="Y12" s="115">
        <f t="shared" ca="1" si="4"/>
        <v>2181068.6523044817</v>
      </c>
      <c r="Z12" s="213">
        <f t="shared" ca="1" si="9"/>
        <v>8575401.7433392536</v>
      </c>
      <c r="AA12" s="115">
        <f t="shared" ca="1" si="10"/>
        <v>1090534.3261522409</v>
      </c>
      <c r="AB12" s="279">
        <f t="shared" ca="1" si="13"/>
        <v>0.45827941981433729</v>
      </c>
      <c r="AC12" s="279"/>
      <c r="AD12" s="120">
        <f ca="1">IF(B12&lt;'הנחות עבודה לררל ומדרג'!$I$3,'ררל ומדרג'!Z12,IF(B12&lt;'הנחות עבודה לררל ומדרג'!$I$4,'הנחות עבודה לררל ומדרג'!$J$3*'ררל ומדרג'!Z12,IF('ררל ומדרג'!B12&lt;'הנחות עבודה לררל ומדרג'!$I$5,'הנחות עבודה לררל ומדרג'!$J$4*'ררל ומדרג'!Z12,Z12*'הנחות עבודה לררל ומדרג'!$J$6)))</f>
        <v>8575401.7433392536</v>
      </c>
      <c r="AE12" s="120">
        <f ca="1">AD12*'הנחות עבודה לררל ומדרג'!$D$6</f>
        <v>0</v>
      </c>
      <c r="AF12" s="120">
        <f t="shared" ca="1" si="11"/>
        <v>0</v>
      </c>
      <c r="AH12" s="120">
        <f ca="1">X12/'הנחות עבודה לררל ומדרג'!$J$10*2</f>
        <v>53463.338694192949</v>
      </c>
      <c r="AI12" s="120">
        <f t="shared" ca="1" si="12"/>
        <v>390997.12604508287</v>
      </c>
    </row>
    <row r="13" spans="2:35" s="128" customFormat="1" ht="14.4" customHeight="1">
      <c r="B13" s="214">
        <f>IF(C13-$C$2&lt;'הנחות עבודה לררל ומדרג'!$C$20,'ררל ומדרג'!C13-'ררל ומדרג'!$C$2,0)</f>
        <v>10</v>
      </c>
      <c r="C13" s="203">
        <v>2036</v>
      </c>
      <c r="D13" s="204">
        <f>IF(B13&gt;0,D12*(1+'הנחות עבודה לררל ומדרג'!$C$5),0)</f>
        <v>33096781.492927033</v>
      </c>
      <c r="E13" s="204"/>
      <c r="F13" s="204">
        <f>IF(B13&gt;0,IF(F12&gt;'הנחות עבודה לררל ומדרג'!$C$9,F12+'הנחות עבודה לררל ומדרג'!$C$8,'הנחות עבודה לררל ומדרג'!$C$9),0)</f>
        <v>3600000</v>
      </c>
      <c r="G13" s="115">
        <f>IF(B13&gt;0,IF(G12&gt;'הנחות עבודה לררל ומדרג'!$C$13,G12+'הנחות עבודה לררל ומדרג'!$C$12,'הנחות עבודה לררל ומדרג'!$C$13),0)</f>
        <v>3100000</v>
      </c>
      <c r="H13" s="280">
        <f t="shared" si="5"/>
        <v>26396781.492927033</v>
      </c>
      <c r="I13" s="204">
        <f ca="1">'פריסת שנים'!G14</f>
        <v>1622366.2417582413</v>
      </c>
      <c r="J13" s="204">
        <f ca="1">'פריסת שנים'!J14</f>
        <v>558054.96689249994</v>
      </c>
      <c r="K13" s="204">
        <f>'פריסת שנים'!M14</f>
        <v>0</v>
      </c>
      <c r="L13" s="204">
        <f>'מדרג שימושים '!$E$6</f>
        <v>2027520</v>
      </c>
      <c r="M13" s="204">
        <f>'מדרג שימושים '!$E$7</f>
        <v>990000</v>
      </c>
      <c r="N13" s="204">
        <f>'מדרג שימושים '!$E$8</f>
        <v>919745</v>
      </c>
      <c r="O13" s="204">
        <v>250000</v>
      </c>
      <c r="P13" s="204">
        <v>200000</v>
      </c>
      <c r="Q13" s="204">
        <v>250000</v>
      </c>
      <c r="R13" s="280">
        <f t="shared" ca="1" si="6"/>
        <v>19579095.284276292</v>
      </c>
      <c r="S13" s="204">
        <f ca="1">R13*$S$1*מורישים!X127</f>
        <v>530542.83368132845</v>
      </c>
      <c r="T13" s="280">
        <f t="shared" ca="1" si="7"/>
        <v>19048552.450594962</v>
      </c>
      <c r="U13" s="281">
        <f ca="1">IF(T13*$U$1&gt;'הנחות עבודה לררל ומדרג'!$C$15,'הנחות עבודה לררל ומדרג'!$C$15,T13*$U$1)</f>
        <v>571456.57351784885</v>
      </c>
      <c r="V13" s="281">
        <f ca="1">IF(T13*$V$1&gt;'הנחות עבודה לררל ומדרג'!$C$16,'הנחות עבודה לררל ומדרג'!$C$16,T13*$V$1)</f>
        <v>1000000</v>
      </c>
      <c r="W13" s="281">
        <f ca="1">IF(T13*$W$1&gt;'הנחות עבודה לררל ומדרג'!$C$17,'הנחות עבודה לררל ומדרג'!$C$17,T13*$W$1)</f>
        <v>7619420.980237985</v>
      </c>
      <c r="X13" s="282">
        <f t="shared" ca="1" si="8"/>
        <v>7619420.980237985</v>
      </c>
      <c r="Y13" s="281">
        <f t="shared" ca="1" si="4"/>
        <v>2238253.9166011438</v>
      </c>
      <c r="Z13" s="282">
        <f t="shared" ca="1" si="9"/>
        <v>8738547.9385385569</v>
      </c>
      <c r="AA13" s="281">
        <f t="shared" ca="1" si="10"/>
        <v>1119126.9583005719</v>
      </c>
      <c r="AB13" s="279">
        <f t="shared" ca="1" si="13"/>
        <v>0.45875128628294365</v>
      </c>
      <c r="AC13" s="279"/>
      <c r="AD13" s="120">
        <f ca="1">IF(B13&lt;'הנחות עבודה לררל ומדרג'!$I$3,'ררל ומדרג'!Z13,IF(B13&lt;'הנחות עבודה לררל ומדרג'!$I$4,'הנחות עבודה לררל ומדרג'!$J$3*'ררל ומדרג'!Z13,IF('ררל ומדרג'!B13&lt;'הנחות עבודה לררל ומדרג'!$I$5,'הנחות עבודה לררל ומדרג'!$J$4*'ררל ומדרג'!Z13,Z13*'הנחות עבודה לררל ומדרג'!$J$6)))</f>
        <v>7427765.7477577729</v>
      </c>
      <c r="AE13" s="206">
        <f ca="1">AD13*'הנחות עבודה לררל ומדרג'!$D$6</f>
        <v>0</v>
      </c>
      <c r="AF13" s="120">
        <f t="shared" ca="1" si="11"/>
        <v>1310782.190780784</v>
      </c>
      <c r="AG13" s="208"/>
      <c r="AH13" s="120">
        <f ca="1">X13/'הנחות עבודה לררל ומדרג'!$J$10*2</f>
        <v>54424.435573128467</v>
      </c>
      <c r="AI13" s="206">
        <f t="shared" ca="1" si="12"/>
        <v>445421.56161821133</v>
      </c>
    </row>
    <row r="14" spans="2:35" s="128" customFormat="1" ht="14.4" customHeight="1">
      <c r="B14" s="210">
        <f>IF(C14-$C$2&lt;'הנחות עבודה לררל ומדרג'!$C$20,'ררל ומדרג'!C14-'ררל ומדרג'!$C$2,0)</f>
        <v>11</v>
      </c>
      <c r="C14" s="114">
        <v>2037</v>
      </c>
      <c r="D14" s="115">
        <f>IF(B14&gt;0,D13*(1+'הנחות עבודה לררל ומדרג'!$C$5),0)</f>
        <v>33593233.215320937</v>
      </c>
      <c r="E14" s="115"/>
      <c r="F14" s="115">
        <f>IF(B14&gt;0,IF(F13&gt;'הנחות עבודה לררל ומדרג'!$C$9,F13+'הנחות עבודה לררל ומדרג'!$C$8,'הנחות עבודה לררל ומדרג'!$C$9),0)</f>
        <v>3600000</v>
      </c>
      <c r="G14" s="115">
        <f>IF(B14&gt;0,IF(G13&gt;'הנחות עבודה לררל ומדרג'!$C$13,G13+'הנחות עבודה לררל ומדרג'!$C$12,'הנחות עבודה לררל ומדרג'!$C$13),0)</f>
        <v>3000000</v>
      </c>
      <c r="H14" s="159">
        <f t="shared" si="5"/>
        <v>26993233.215320937</v>
      </c>
      <c r="I14" s="115">
        <f ca="1">'פריסת שנים'!G15</f>
        <v>1059031.8443223445</v>
      </c>
      <c r="J14" s="115">
        <f ca="1">'פריסת שנים'!J15</f>
        <v>227931.61544999998</v>
      </c>
      <c r="K14" s="115">
        <f>'פריסת שנים'!M15</f>
        <v>0</v>
      </c>
      <c r="L14" s="115"/>
      <c r="M14" s="115"/>
      <c r="N14" s="115">
        <f>'מדרג שימושים '!$E$8</f>
        <v>919745</v>
      </c>
      <c r="O14" s="115">
        <v>250000</v>
      </c>
      <c r="P14" s="115">
        <v>200000</v>
      </c>
      <c r="Q14" s="115"/>
      <c r="R14" s="159">
        <f t="shared" ca="1" si="6"/>
        <v>24336524.755548593</v>
      </c>
      <c r="S14" s="115">
        <f ca="1">R14*$S$1*מורישים!Y127</f>
        <v>544150.3895142558</v>
      </c>
      <c r="T14" s="159">
        <f t="shared" ca="1" si="7"/>
        <v>23792374.366034336</v>
      </c>
      <c r="U14" s="115">
        <f ca="1">IF(T14*$U$1&gt;'הנחות עבודה לררל ומדרג'!$C$15,'הנחות עבודה לררל ומדרג'!$C$15,T14*$U$1)</f>
        <v>713771.23098103004</v>
      </c>
      <c r="V14" s="115">
        <f ca="1">IF(T14*$V$1&gt;'הנחות עבודה לררל ומדרג'!$C$16,'הנחות עבודה לררל ומדרג'!$C$16,T14*$V$1)</f>
        <v>1000000</v>
      </c>
      <c r="W14" s="115">
        <f ca="1">IF(T14*$W$1&gt;'הנחות עבודה לררל ומדרג'!$C$17,'הנחות עבודה לררל ומדרג'!$C$17,T14*$W$1)</f>
        <v>9516949.7464137357</v>
      </c>
      <c r="X14" s="213">
        <f t="shared" ca="1" si="8"/>
        <v>9516949.7464137357</v>
      </c>
      <c r="Y14" s="115">
        <f t="shared" ca="1" si="4"/>
        <v>3044703.6422258355</v>
      </c>
      <c r="Z14" s="213">
        <f t="shared" ca="1" si="9"/>
        <v>11039301.567526653</v>
      </c>
      <c r="AA14" s="115">
        <f t="shared" ca="1" si="10"/>
        <v>1522351.8211129177</v>
      </c>
      <c r="AB14" s="279">
        <f t="shared" ca="1" si="13"/>
        <v>0.46398486328822258</v>
      </c>
      <c r="AC14" s="279"/>
      <c r="AD14" s="120">
        <f ca="1">IF(B14&lt;'הנחות עבודה לררל ומדרג'!$I$3,'ררל ומדרג'!Z14,IF(B14&lt;'הנחות עבודה לררל ומדרג'!$I$4,'הנחות עבודה לררל ומדרג'!$J$3*'ררל ומדרג'!Z14,IF('ררל ומדרג'!B14&lt;'הנחות עבודה לררל ומדרג'!$I$5,'הנחות עבודה לררל ומדרג'!$J$4*'ררל ומדרג'!Z14,Z14*'הנחות עבודה לררל ומדרג'!$J$6)))</f>
        <v>9383406.3323976547</v>
      </c>
      <c r="AE14" s="120">
        <f ca="1">AD14*'הנחות עבודה לררל ומדרג'!$D$6</f>
        <v>0</v>
      </c>
      <c r="AF14" s="120">
        <f t="shared" ca="1" si="11"/>
        <v>1655895.2351289988</v>
      </c>
      <c r="AH14" s="120">
        <f ca="1">X14/'הנחות עבודה לררל ומדרג'!$J$10*2</f>
        <v>67978.212474383821</v>
      </c>
      <c r="AI14" s="120">
        <f t="shared" ca="1" si="12"/>
        <v>513399.77409259515</v>
      </c>
    </row>
    <row r="15" spans="2:35" ht="14.4" customHeight="1">
      <c r="B15" s="210">
        <f>IF(C15-$C$2&lt;'הנחות עבודה לררל ומדרג'!$C$20,'ררל ומדרג'!C15-'ררל ומדרג'!$C$2,0)</f>
        <v>12</v>
      </c>
      <c r="C15" s="114">
        <v>2038</v>
      </c>
      <c r="D15" s="115">
        <f>IF(B15&gt;0,D14*(1+'הנחות עבודה לררל ומדרג'!$C$5),0)</f>
        <v>34097131.713550746</v>
      </c>
      <c r="E15" s="115"/>
      <c r="F15" s="115">
        <f>IF(B15&gt;0,IF(F14&gt;'הנחות עבודה לררל ומדרג'!$C$9,F14+'הנחות עבודה לררל ומדרג'!$C$8,'הנחות עבודה לררל ומדרג'!$C$9),0)</f>
        <v>3600000</v>
      </c>
      <c r="G15" s="115">
        <f>IF(B15&gt;0,IF(G14&gt;'הנחות עבודה לררל ומדרג'!$C$13,G14+'הנחות עבודה לררל ומדרג'!$C$12,'הנחות עבודה לררל ומדרג'!$C$13),0)</f>
        <v>2900000</v>
      </c>
      <c r="H15" s="159">
        <f t="shared" si="5"/>
        <v>27597131.713550746</v>
      </c>
      <c r="I15" s="115">
        <f ca="1">'פריסת שנים'!G16</f>
        <v>1089870.9065934066</v>
      </c>
      <c r="J15" s="115">
        <f ca="1">'פריסת שנים'!J16</f>
        <v>214954.29128249997</v>
      </c>
      <c r="K15" s="115">
        <f>'פריסת שנים'!M16</f>
        <v>0</v>
      </c>
      <c r="L15" s="115"/>
      <c r="M15" s="115"/>
      <c r="N15" s="115">
        <f>'מדרג שימושים '!$E$8</f>
        <v>919745</v>
      </c>
      <c r="O15" s="115">
        <v>250000</v>
      </c>
      <c r="P15" s="115">
        <v>200000</v>
      </c>
      <c r="Q15" s="115"/>
      <c r="R15" s="159">
        <f t="shared" ca="1" si="6"/>
        <v>24922561.515674841</v>
      </c>
      <c r="S15" s="115">
        <f ca="1">R15*$S$1*מורישים!Z127</f>
        <v>447115.38545634469</v>
      </c>
      <c r="T15" s="159">
        <f t="shared" ca="1" si="7"/>
        <v>24475446.130218495</v>
      </c>
      <c r="U15" s="115">
        <f ca="1">IF(T15*$U$1&gt;'הנחות עבודה לררל ומדרג'!$C$15,'הנחות עבודה לררל ומדרג'!$C$15,T15*$U$1)</f>
        <v>734263.38390655478</v>
      </c>
      <c r="V15" s="115">
        <f ca="1">IF(T15*$V$1&gt;'הנחות עבודה לררל ומדרג'!$C$16,'הנחות עבודה לררל ומדרג'!$C$16,T15*$V$1)</f>
        <v>1000000</v>
      </c>
      <c r="W15" s="115">
        <f ca="1">IF(T15*$W$1&gt;'הנחות עבודה לררל ומדרג'!$C$17,'הנחות עבודה לררל ומדרג'!$C$17,T15*$W$1)</f>
        <v>9790178.4520873986</v>
      </c>
      <c r="X15" s="213">
        <f t="shared" ca="1" si="8"/>
        <v>9790178.4520873986</v>
      </c>
      <c r="Y15" s="115">
        <f t="shared" ca="1" si="4"/>
        <v>3160825.842137143</v>
      </c>
      <c r="Z15" s="213">
        <f t="shared" ca="1" si="9"/>
        <v>11370591.37315597</v>
      </c>
      <c r="AA15" s="115">
        <f t="shared" ca="1" si="10"/>
        <v>1580412.9210685715</v>
      </c>
      <c r="AB15" s="279">
        <f t="shared" ca="1" si="13"/>
        <v>0.46457136318006981</v>
      </c>
      <c r="AC15" s="279"/>
      <c r="AD15" s="120">
        <f ca="1">IF(B15&lt;'הנחות עבודה לררל ומדרג'!$I$3,'ררל ומדרג'!Z15,IF(B15&lt;'הנחות עבודה לררל ומדרג'!$I$4,'הנחות עבודה לררל ומדרג'!$J$3*'ררל ומדרג'!Z15,IF('ררל ומדרג'!B15&lt;'הנחות עבודה לררל ומדרג'!$I$5,'הנחות עבודה לררל ומדרג'!$J$4*'ררל ומדרג'!Z15,Z15*'הנחות עבודה לררל ומדרג'!$J$6)))</f>
        <v>9665002.667182574</v>
      </c>
      <c r="AE15" s="120">
        <f ca="1">AD15*'הנחות עבודה לררל ומדרג'!$D$6</f>
        <v>0</v>
      </c>
      <c r="AF15" s="120">
        <f t="shared" ca="1" si="11"/>
        <v>1705588.7059733961</v>
      </c>
      <c r="AH15" s="120">
        <f ca="1">X15/'הנחות עבודה לררל ומדרג'!$J$10*2</f>
        <v>69929.846086338555</v>
      </c>
      <c r="AI15" s="120">
        <f t="shared" ca="1" si="12"/>
        <v>583329.62017893372</v>
      </c>
    </row>
    <row r="16" spans="2:35" ht="14.4" customHeight="1">
      <c r="B16" s="210">
        <f>IF(C16-$C$2&lt;'הנחות עבודה לררל ומדרג'!$C$20,'ררל ומדרג'!C16-'ררל ומדרג'!$C$2,0)</f>
        <v>13</v>
      </c>
      <c r="C16" s="114">
        <v>2039</v>
      </c>
      <c r="D16" s="115">
        <f>IF(B16&gt;0,D15*(1+'הנחות עבודה לררל ומדרג'!$C$5),0)</f>
        <v>34608588.689254001</v>
      </c>
      <c r="E16" s="115"/>
      <c r="F16" s="115">
        <f>IF(B16&gt;0,IF(F15&gt;'הנחות עבודה לררל ומדרג'!$C$9,F15+'הנחות עבודה לררל ומדרג'!$C$8,'הנחות עבודה לררל ומדרג'!$C$9),0)</f>
        <v>3600000</v>
      </c>
      <c r="G16" s="115">
        <f>IF(B16&gt;0,IF(G15&gt;'הנחות עבודה לררל ומדרג'!$C$13,G15+'הנחות עבודה לררל ומדרג'!$C$12,'הנחות עבודה לררל ומדרג'!$C$13),0)</f>
        <v>2800000</v>
      </c>
      <c r="H16" s="159">
        <f t="shared" si="5"/>
        <v>28208588.689254001</v>
      </c>
      <c r="I16" s="115">
        <f ca="1">'פריסת שנים'!G17</f>
        <v>947345.62271062273</v>
      </c>
      <c r="J16" s="115">
        <f ca="1">'פריסת שנים'!J17</f>
        <v>322388.00401499995</v>
      </c>
      <c r="K16" s="115">
        <f>'פריסת שנים'!M17</f>
        <v>0</v>
      </c>
      <c r="L16" s="115"/>
      <c r="M16" s="115"/>
      <c r="N16" s="115">
        <f>'מדרג שימושים '!$E$8</f>
        <v>919745</v>
      </c>
      <c r="O16" s="115">
        <v>250000</v>
      </c>
      <c r="P16" s="115">
        <v>200000</v>
      </c>
      <c r="Q16" s="115"/>
      <c r="R16" s="159">
        <f t="shared" ca="1" si="6"/>
        <v>25569110.062528379</v>
      </c>
      <c r="S16" s="115">
        <f ca="1">R16*$S$1*מורישים!AA127</f>
        <v>353790.50808299723</v>
      </c>
      <c r="T16" s="159">
        <f t="shared" ca="1" si="7"/>
        <v>25215319.554445382</v>
      </c>
      <c r="U16" s="115">
        <f ca="1">IF(T16*$U$1&gt;'הנחות עבודה לררל ומדרג'!$C$15,'הנחות עבודה לררל ומדרג'!$C$15,T16*$U$1)</f>
        <v>756459.58663336141</v>
      </c>
      <c r="V16" s="115">
        <f ca="1">IF(T16*$V$1&gt;'הנחות עבודה לררל ומדרג'!$C$16,'הנחות עבודה לררל ומדרג'!$C$16,T16*$V$1)</f>
        <v>1000000</v>
      </c>
      <c r="W16" s="115">
        <f ca="1">IF(T16*$W$1&gt;'הנחות עבודה לררל ומדרג'!$C$17,'הנחות עבודה לררל ומדרג'!$C$17,T16*$W$1)</f>
        <v>10000000</v>
      </c>
      <c r="X16" s="213">
        <f t="shared" ca="1" si="8"/>
        <v>10086127.821778154</v>
      </c>
      <c r="Y16" s="115">
        <f t="shared" ca="1" si="4"/>
        <v>3372732.1460338663</v>
      </c>
      <c r="Z16" s="213">
        <f t="shared" ca="1" si="9"/>
        <v>11772493.894795086</v>
      </c>
      <c r="AA16" s="115">
        <f t="shared" ca="1" si="10"/>
        <v>1686366.0730169332</v>
      </c>
      <c r="AB16" s="279">
        <f t="shared" ca="1" si="13"/>
        <v>0.46687863183235495</v>
      </c>
      <c r="AC16" s="279"/>
      <c r="AD16" s="120">
        <f ca="1">IF(B16&lt;'הנחות עבודה לררל ומדרג'!$I$3,'ררל ומדרג'!Z16,IF(B16&lt;'הנחות עבודה לררל ומדרג'!$I$4,'הנחות עבודה לררל ומדרג'!$J$3*'ררל ומדרג'!Z16,IF('ררל ומדרג'!B16&lt;'הנחות עבודה לררל ומדרג'!$I$5,'הנחות עבודה לררל ומדרג'!$J$4*'ררל ומדרג'!Z16,Z16*'הנחות עבודה לררל ומדרג'!$J$6)))</f>
        <v>10006619.810575822</v>
      </c>
      <c r="AE16" s="120">
        <f ca="1">AD16*'הנחות עבודה לררל ומדרג'!$D$6</f>
        <v>0</v>
      </c>
      <c r="AF16" s="120">
        <f t="shared" ca="1" si="11"/>
        <v>1765874.0842192639</v>
      </c>
      <c r="AH16" s="120">
        <f ca="1">X16/'הנחות עבודה לררל ומדרג'!$J$10*2</f>
        <v>72043.770155558246</v>
      </c>
      <c r="AI16" s="120">
        <f t="shared" ca="1" si="12"/>
        <v>655373.39033449197</v>
      </c>
    </row>
    <row r="17" spans="1:35" ht="14.4" customHeight="1">
      <c r="B17" s="210">
        <f>IF(C17-$C$2&lt;'הנחות עבודה לררל ומדרג'!$C$20,'ררל ומדרג'!C17-'ררל ומדרג'!$C$2,0)</f>
        <v>14</v>
      </c>
      <c r="C17" s="114">
        <v>2040</v>
      </c>
      <c r="D17" s="115">
        <f>IF(B17&gt;0,D16*(1+'הנחות עבודה לררל ומדרג'!$C$5),0)</f>
        <v>35127717.519592807</v>
      </c>
      <c r="E17" s="115"/>
      <c r="F17" s="115">
        <f>IF(B17&gt;0,IF(F16&gt;'הנחות עבודה לררל ומדרג'!$C$9,F16+'הנחות עבודה לררל ומדרג'!$C$8,'הנחות עבודה לררל ומדרג'!$C$9),0)</f>
        <v>3600000</v>
      </c>
      <c r="G17" s="115">
        <f>IF(B17&gt;0,IF(G16&gt;'הנחות עבודה לררל ומדרג'!$C$13,G16+'הנחות עבודה לררל ומדרג'!$C$12,'הנחות עבודה לררל ומדרג'!$C$13),0)</f>
        <v>2700000</v>
      </c>
      <c r="H17" s="159">
        <f t="shared" si="5"/>
        <v>28827717.519592807</v>
      </c>
      <c r="I17" s="115">
        <f ca="1">'פריסת שנים'!G18</f>
        <v>661581.19047619053</v>
      </c>
      <c r="J17" s="115">
        <f ca="1">'פריסת שנים'!J18</f>
        <v>142544.66168249998</v>
      </c>
      <c r="K17" s="115">
        <f>'פריסת שנים'!M18</f>
        <v>0</v>
      </c>
      <c r="L17" s="115"/>
      <c r="M17" s="115"/>
      <c r="N17" s="115">
        <f>'מדרג שימושים '!$E$8</f>
        <v>919745</v>
      </c>
      <c r="O17" s="115">
        <v>250000</v>
      </c>
      <c r="P17" s="115">
        <v>200000</v>
      </c>
      <c r="Q17" s="115"/>
      <c r="R17" s="159">
        <f t="shared" ca="1" si="6"/>
        <v>26653846.667434115</v>
      </c>
      <c r="S17" s="115">
        <f ca="1">R17*$S$1*מורישים!AB127</f>
        <v>265494.8687477106</v>
      </c>
      <c r="T17" s="159">
        <f t="shared" ca="1" si="7"/>
        <v>26388351.798686404</v>
      </c>
      <c r="U17" s="115">
        <f ca="1">IF(T17*$U$1&gt;'הנחות עבודה לררל ומדרג'!$C$15,'הנחות עבודה לררל ומדרג'!$C$15,T17*$U$1)</f>
        <v>791650.55396059214</v>
      </c>
      <c r="V17" s="115">
        <f ca="1">IF(T17*$V$1&gt;'הנחות עבודה לררל ומדרג'!$C$16,'הנחות עבודה לררל ומדרג'!$C$16,T17*$V$1)</f>
        <v>1000000</v>
      </c>
      <c r="W17" s="115">
        <f ca="1">IF(T17*$W$1&gt;'הנחות עבודה לררל ומדרג'!$C$17,'הנחות עבודה לררל ומדרג'!$C$17,T17*$W$1)</f>
        <v>10000000</v>
      </c>
      <c r="X17" s="213">
        <f t="shared" ca="1" si="8"/>
        <v>10555340.719474562</v>
      </c>
      <c r="Y17" s="115">
        <f t="shared" ca="1" si="4"/>
        <v>4041360.5252512507</v>
      </c>
      <c r="Z17" s="213">
        <f t="shared" ca="1" si="9"/>
        <v>12576020.982100187</v>
      </c>
      <c r="AA17" s="115">
        <f t="shared" ca="1" si="10"/>
        <v>2020680.2626256254</v>
      </c>
      <c r="AB17" s="279">
        <f t="shared" ca="1" si="13"/>
        <v>0.47657470531093243</v>
      </c>
      <c r="AC17" s="279"/>
      <c r="AD17" s="120">
        <f ca="1">IF(B17&lt;'הנחות עבודה לררל ומדרג'!$I$3,'ררל ומדרג'!Z17,IF(B17&lt;'הנחות עבודה לררל ומדרג'!$I$4,'הנחות עבודה לררל ומדרג'!$J$3*'ררל ומדרג'!Z17,IF('ררל ומדרג'!B17&lt;'הנחות עבודה לררל ומדרג'!$I$5,'הנחות עבודה לררל ומדרג'!$J$4*'ררל ומדרג'!Z17,Z17*'הנחות עבודה לררל ומדרג'!$J$6)))</f>
        <v>10689617.834785158</v>
      </c>
      <c r="AE17" s="120">
        <f ca="1">AD17*'הנחות עבודה לררל ומדרג'!$D$6</f>
        <v>0</v>
      </c>
      <c r="AF17" s="120">
        <f t="shared" ca="1" si="11"/>
        <v>1886403.1473150291</v>
      </c>
      <c r="AH17" s="120">
        <f ca="1">X17/'הנחות עבודה לררל ומדרג'!$J$10*2</f>
        <v>75395.290853389728</v>
      </c>
      <c r="AI17" s="120">
        <f t="shared" ca="1" si="12"/>
        <v>730768.68118788174</v>
      </c>
    </row>
    <row r="18" spans="1:35" s="128" customFormat="1" ht="14.4" customHeight="1">
      <c r="B18" s="214">
        <f>IF(C18-$C$2&lt;'הנחות עבודה לררל ומדרג'!$C$20,'ררל ומדרג'!C18-'ררל ומדרג'!$C$2,0)</f>
        <v>15</v>
      </c>
      <c r="C18" s="203">
        <v>2041</v>
      </c>
      <c r="D18" s="204">
        <f>IF(B18&gt;0,D17*(1+'הנחות עבודה לררל ומדרג'!$C$5),0)</f>
        <v>35654633.282386698</v>
      </c>
      <c r="E18" s="204"/>
      <c r="F18" s="204">
        <f>IF(B18&gt;0,IF(F17&gt;'הנחות עבודה לררל ומדרג'!$C$9,F17+'הנחות עבודה לררל ומדרג'!$C$8,'הנחות עבודה לררל ומדרג'!$C$9),0)</f>
        <v>3600000</v>
      </c>
      <c r="G18" s="115">
        <f>IF(B18&gt;0,IF(G17&gt;'הנחות עבודה לררל ומדרג'!$C$13,G17+'הנחות עבודה לררל ומדרג'!$C$12,'הנחות עבודה לררל ומדרג'!$C$13),0)</f>
        <v>2600000</v>
      </c>
      <c r="H18" s="280">
        <f t="shared" si="5"/>
        <v>29454633.282386698</v>
      </c>
      <c r="I18" s="204">
        <f ca="1">'פריסת שנים'!G19</f>
        <v>758466.30952380958</v>
      </c>
      <c r="J18" s="204">
        <f ca="1">'פריסת שנים'!J19</f>
        <v>96424.274677499998</v>
      </c>
      <c r="K18" s="204">
        <f>'פריסת שנים'!M19</f>
        <v>0</v>
      </c>
      <c r="L18" s="204"/>
      <c r="M18" s="204"/>
      <c r="N18" s="204">
        <f>'מדרג שימושים '!$E$8</f>
        <v>919745</v>
      </c>
      <c r="O18" s="204">
        <v>250000</v>
      </c>
      <c r="P18" s="204">
        <v>200000</v>
      </c>
      <c r="Q18" s="204"/>
      <c r="R18" s="280">
        <f t="shared" ca="1" si="6"/>
        <v>27229997.698185388</v>
      </c>
      <c r="S18" s="204">
        <f ca="1">R18*$S$1*מורישים!AC127</f>
        <v>177346.11356741117</v>
      </c>
      <c r="T18" s="280">
        <f t="shared" ca="1" si="7"/>
        <v>27052651.584617976</v>
      </c>
      <c r="U18" s="281">
        <f ca="1">IF(T18*$U$1&gt;'הנחות עבודה לררל ומדרג'!$C$15,'הנחות עבודה לררל ומדרג'!$C$15,T18*$U$1)</f>
        <v>811579.54753853928</v>
      </c>
      <c r="V18" s="281">
        <f ca="1">IF(T18*$V$1&gt;'הנחות עבודה לררל ומדרג'!$C$16,'הנחות עבודה לררל ומדרג'!$C$16,T18*$V$1)</f>
        <v>1000000</v>
      </c>
      <c r="W18" s="281">
        <f ca="1">IF(T18*$W$1&gt;'הנחות עבודה לררל ומדרג'!$C$17,'הנחות עבודה לררל ומדרג'!$C$17,T18*$W$1)</f>
        <v>10000000</v>
      </c>
      <c r="X18" s="282">
        <f t="shared" ca="1" si="8"/>
        <v>10821060.633847192</v>
      </c>
      <c r="Y18" s="281">
        <f t="shared" ca="1" si="4"/>
        <v>4420011.4032322466</v>
      </c>
      <c r="Z18" s="282">
        <f t="shared" ca="1" si="9"/>
        <v>13031066.335463315</v>
      </c>
      <c r="AA18" s="281">
        <f t="shared" ca="1" si="10"/>
        <v>2210005.7016161233</v>
      </c>
      <c r="AB18" s="279">
        <f t="shared" ca="1" si="13"/>
        <v>0.48169275735147254</v>
      </c>
      <c r="AC18" s="279"/>
      <c r="AD18" s="120">
        <f ca="1">IF(B18&lt;'הנחות עבודה לררל ומדרג'!$I$3,'ררל ומדרג'!Z18,IF(B18&lt;'הנחות עבודה לררל ומדרג'!$I$4,'הנחות עבודה לררל ומדרג'!$J$3*'ררל ומדרג'!Z18,IF('ררל ומדרג'!B18&lt;'הנחות עבודה לררל ומדרג'!$I$5,'הנחות עבודה לררל ומדרג'!$J$4*'ררל ומדרג'!Z18,Z18*'הנחות עבודה לררל ומדרג'!$J$6)))</f>
        <v>9773299.7515974864</v>
      </c>
      <c r="AE18" s="206">
        <f ca="1">AD18*'הנחות עבודה לררל ומדרג'!$D$6</f>
        <v>0</v>
      </c>
      <c r="AF18" s="120">
        <f t="shared" ca="1" si="11"/>
        <v>3257766.5838658288</v>
      </c>
      <c r="AG18" s="208"/>
      <c r="AH18" s="120">
        <f ca="1">X18/'הנחות עבודה לררל ומדרג'!$J$10*2</f>
        <v>77293.290241765659</v>
      </c>
      <c r="AI18" s="206">
        <f t="shared" ca="1" si="12"/>
        <v>808061.97142964741</v>
      </c>
    </row>
    <row r="19" spans="1:35" ht="14.4" customHeight="1">
      <c r="A19" s="164"/>
      <c r="B19" s="210">
        <f>IF(C19-$C$2&lt;'הנחות עבודה לררל ומדרג'!$C$20,'ררל ומדרג'!C19-'ררל ומדרג'!$C$2,0)</f>
        <v>16</v>
      </c>
      <c r="C19" s="114">
        <v>2042</v>
      </c>
      <c r="D19" s="115">
        <f>IF(B19&gt;0,D18*(1+'הנחות עבודה לררל ומדרג'!$C$5),0)</f>
        <v>36189452.781622492</v>
      </c>
      <c r="E19" s="115"/>
      <c r="F19" s="115">
        <f>IF(B19&gt;0,IF(F18&gt;'הנחות עבודה לררל ומדרג'!$C$9,F18+'הנחות עבודה לררל ומדרג'!$C$8,'הנחות עבודה לררל ומדרג'!$C$9),0)</f>
        <v>3600000</v>
      </c>
      <c r="G19" s="115">
        <f>IF(B19&gt;0,IF(G18&gt;'הנחות עבודה לררל ומדרג'!$C$13,G18+'הנחות עבודה לררל ומדרג'!$C$12,'הנחות עבודה לררל ומדרג'!$C$13),0)</f>
        <v>2500000</v>
      </c>
      <c r="H19" s="159">
        <f t="shared" si="5"/>
        <v>30089452.781622492</v>
      </c>
      <c r="I19" s="115">
        <f ca="1">'פריסת שנים'!G20</f>
        <v>755084.64285714272</v>
      </c>
      <c r="J19" s="115">
        <f ca="1">'פריסת שנים'!J20</f>
        <v>92920.686704999986</v>
      </c>
      <c r="K19" s="120">
        <f>'פריסת שנים'!M20</f>
        <v>0</v>
      </c>
      <c r="L19" s="120"/>
      <c r="M19" s="120"/>
      <c r="N19" s="115">
        <f>'מדרג שימושים '!$E$8</f>
        <v>919745</v>
      </c>
      <c r="O19" s="115">
        <v>250000</v>
      </c>
      <c r="P19" s="115">
        <v>200000</v>
      </c>
      <c r="Q19" s="115"/>
      <c r="R19" s="159">
        <f t="shared" ca="1" si="6"/>
        <v>27871702.452060349</v>
      </c>
      <c r="S19" s="115">
        <f ca="1">R19*$S$1*מורישים!AD127</f>
        <v>112650.65914601595</v>
      </c>
      <c r="T19" s="159">
        <f t="shared" ca="1" si="7"/>
        <v>27759051.792914335</v>
      </c>
      <c r="U19" s="115">
        <f ca="1">IF(T19*$U$1&gt;'הנחות עבודה לררל ומדרג'!$C$15,'הנחות עבודה לררל ומדרג'!$C$15,T19*$U$1)</f>
        <v>832771.55378743005</v>
      </c>
      <c r="V19" s="115">
        <f ca="1">IF(T19*$V$1&gt;'הנחות עבודה לררל ומדרג'!$C$16,'הנחות עבודה לררל ומדרג'!$C$16,T19*$V$1)</f>
        <v>1000000</v>
      </c>
      <c r="W19" s="115">
        <f ca="1">IF(T19*$W$1&gt;'הנחות עבודה לררל ומדרג'!$C$17,'הנחות עבודה לררל ומדרג'!$C$17,T19*$W$1)</f>
        <v>10000000</v>
      </c>
      <c r="X19" s="213">
        <f t="shared" ca="1" si="8"/>
        <v>11103620.717165735</v>
      </c>
      <c r="Y19" s="115">
        <f t="shared" ca="1" si="4"/>
        <v>4822659.5219611712</v>
      </c>
      <c r="Z19" s="213">
        <f t="shared" ca="1" si="9"/>
        <v>13514950.47814632</v>
      </c>
      <c r="AA19" s="115">
        <f t="shared" ca="1" si="10"/>
        <v>2411329.7609805856</v>
      </c>
      <c r="AB19" s="279">
        <f t="shared" ca="1" si="13"/>
        <v>0.48686643113638678</v>
      </c>
      <c r="AC19" s="279"/>
      <c r="AD19" s="120">
        <f ca="1">IF(B19&lt;'הנחות עבודה לררל ומדרג'!$I$3,'ררל ומדרג'!Z19,IF(B19&lt;'הנחות עבודה לררל ומדרג'!$I$4,'הנחות עבודה לררל ומדרג'!$J$3*'ררל ומדרג'!Z19,IF('ררל ומדרג'!B19&lt;'הנחות עבודה לררל ומדרג'!$I$5,'הנחות עבודה לררל ומדרג'!$J$4*'ררל ומדרג'!Z19,Z19*'הנחות עבודה לררל ומדרג'!$J$6)))</f>
        <v>10136212.85860974</v>
      </c>
      <c r="AE19" s="120">
        <f ca="1">AD19*'הנחות עבודה לררל ומדרג'!$D$6</f>
        <v>0</v>
      </c>
      <c r="AF19" s="120">
        <f t="shared" ca="1" si="11"/>
        <v>3378737.6195365805</v>
      </c>
      <c r="AH19" s="120">
        <f ca="1">X19/'הנחות עבודה לררל ומדרג'!$J$10*2</f>
        <v>79311.576551183825</v>
      </c>
      <c r="AI19" s="120">
        <f t="shared" ca="1" si="12"/>
        <v>887373.54798083124</v>
      </c>
    </row>
    <row r="20" spans="1:35" ht="14.4" customHeight="1">
      <c r="B20" s="210">
        <f>IF(C20-$C$2&lt;'הנחות עבודה לררל ומדרג'!$C$20,'ררל ומדרג'!C20-'ררל ומדרג'!$C$2,0)</f>
        <v>17</v>
      </c>
      <c r="C20" s="114">
        <v>2043</v>
      </c>
      <c r="D20" s="115">
        <f>IF(B20&gt;0,D19*(1+'הנחות עבודה לררל ומדרג'!$C$5),0)</f>
        <v>36732294.573346823</v>
      </c>
      <c r="E20" s="115"/>
      <c r="F20" s="115">
        <f>IF(B20&gt;0,IF(F19&gt;'הנחות עבודה לררל ומדרג'!$C$9,F19+'הנחות עבודה לררל ומדרג'!$C$8,'הנחות עבודה לררל ומדרג'!$C$9),0)</f>
        <v>3600000</v>
      </c>
      <c r="G20" s="115">
        <f>IF(B20&gt;0,IF(G19&gt;'הנחות עבודה לררל ומדרג'!$C$13,G19+'הנחות עבודה לררל ומדרג'!$C$12,'הנחות עבודה לררל ומדרג'!$C$13),0)</f>
        <v>2400000</v>
      </c>
      <c r="H20" s="159">
        <f t="shared" si="5"/>
        <v>30732294.573346823</v>
      </c>
      <c r="I20" s="115">
        <f ca="1">'פריסת שנים'!G21</f>
        <v>510740.47619047621</v>
      </c>
      <c r="J20" s="115">
        <f ca="1">'פריסת שנים'!J21</f>
        <v>55847.213729999996</v>
      </c>
      <c r="K20" s="120">
        <f>'פריסת שנים'!M21</f>
        <v>0</v>
      </c>
      <c r="N20" s="115">
        <f>'מדרג שימושים '!$E$8</f>
        <v>919745</v>
      </c>
      <c r="O20" s="115">
        <v>250000</v>
      </c>
      <c r="P20" s="115">
        <v>200000</v>
      </c>
      <c r="Q20" s="115"/>
      <c r="R20" s="159">
        <f t="shared" ca="1" si="6"/>
        <v>28795961.883426346</v>
      </c>
      <c r="S20" s="115">
        <f ca="1">R20*$S$1*מורישים!AE127</f>
        <v>64125.698468559502</v>
      </c>
      <c r="T20" s="159">
        <f t="shared" ca="1" si="7"/>
        <v>28731836.184957787</v>
      </c>
      <c r="U20" s="115">
        <f ca="1">IF(T20*$U$1&gt;'הנחות עבודה לררל ומדרג'!$C$15,'הנחות עבודה לררל ומדרג'!$C$15,T20*$U$1)</f>
        <v>861955.08554873359</v>
      </c>
      <c r="V20" s="115">
        <f ca="1">IF(T20*$V$1&gt;'הנחות עבודה לררל ומדרג'!$C$16,'הנחות עבודה לררל ומדרג'!$C$16,T20*$V$1)</f>
        <v>1000000</v>
      </c>
      <c r="W20" s="115">
        <f ca="1">IF(T20*$W$1&gt;'הנחות עבודה לררל ומדרג'!$C$17,'הנחות עבודה לררל ומדרג'!$C$17,T20*$W$1)</f>
        <v>10000000</v>
      </c>
      <c r="X20" s="213">
        <f t="shared" ca="1" si="8"/>
        <v>11492734.473983116</v>
      </c>
      <c r="Y20" s="115">
        <f t="shared" ca="1" si="4"/>
        <v>5377146.6254259385</v>
      </c>
      <c r="Z20" s="213">
        <f t="shared" ca="1" si="9"/>
        <v>14181307.786696086</v>
      </c>
      <c r="AA20" s="115">
        <f t="shared" ca="1" si="10"/>
        <v>2688573.3127129693</v>
      </c>
      <c r="AB20" s="279">
        <f t="shared" ca="1" si="13"/>
        <v>0.4935747125733837</v>
      </c>
      <c r="AC20" s="279"/>
      <c r="AD20" s="120">
        <f ca="1">IF(B20&lt;'הנחות עבודה לררל ומדרג'!$I$3,'ררל ומדרג'!Z20,IF(B20&lt;'הנחות עבודה לררל ומדרג'!$I$4,'הנחות עבודה לררל ומדרג'!$J$3*'ררל ומדרג'!Z20,IF('ררל ומדרג'!B20&lt;'הנחות עבודה לררל ומדרג'!$I$5,'הנחות עבודה לררל ומדרג'!$J$4*'ררל ומדרג'!Z20,Z20*'הנחות עבודה לררל ומדרג'!$J$6)))</f>
        <v>10635980.840022065</v>
      </c>
      <c r="AE20" s="120">
        <f ca="1">AD20*'הנחות עבודה לררל ומדרג'!$D$6</f>
        <v>0</v>
      </c>
      <c r="AF20" s="120">
        <f t="shared" ca="1" si="11"/>
        <v>3545326.946674021</v>
      </c>
      <c r="AH20" s="120">
        <f ca="1">X20/'הנחות עבודה לררל ומדרג'!$J$10*2</f>
        <v>82090.960528450829</v>
      </c>
      <c r="AI20" s="212"/>
    </row>
    <row r="21" spans="1:35" ht="14.4" customHeight="1">
      <c r="B21" s="210">
        <f>IF(C21-$C$2&lt;'הנחות עבודה לררל ומדרג'!$C$20,'ררל ומדרג'!C21-'ררל ומדרג'!$C$2,0)</f>
        <v>18</v>
      </c>
      <c r="C21" s="114">
        <v>2044</v>
      </c>
      <c r="D21" s="115">
        <f>IF(B21&gt;0,D20*(1+'הנחות עבודה לררל ומדרג'!$C$5),0)</f>
        <v>37283278.991947025</v>
      </c>
      <c r="E21" s="115"/>
      <c r="F21" s="115">
        <f>IF(B21&gt;0,IF(F20&gt;'הנחות עבודה לררל ומדרג'!$C$9,F20+'הנחות עבודה לררל ומדרג'!$C$8,'הנחות עבודה לררל ומדרג'!$C$9),0)</f>
        <v>3600000</v>
      </c>
      <c r="G21" s="115">
        <f>IF(B21&gt;0,IF(G20&gt;'הנחות עבודה לררל ומדרג'!$C$13,G20+'הנחות עבודה לררל ומדרג'!$C$12,'הנחות עבודה לררל ומדרג'!$C$13),0)</f>
        <v>2300000</v>
      </c>
      <c r="H21" s="159">
        <f t="shared" si="5"/>
        <v>31383278.991947025</v>
      </c>
      <c r="I21" s="115">
        <f ca="1">'פריסת שנים'!G22</f>
        <v>385422.52380952379</v>
      </c>
      <c r="J21" s="115">
        <f ca="1">'פריסת שנים'!J22</f>
        <v>138712.91395499997</v>
      </c>
      <c r="K21" s="120">
        <f>'פריסת שנים'!M22</f>
        <v>0</v>
      </c>
      <c r="N21" s="115">
        <f>'מדרג שימושים '!$E$8</f>
        <v>919745</v>
      </c>
      <c r="O21" s="115">
        <v>250000</v>
      </c>
      <c r="P21" s="115">
        <v>200000</v>
      </c>
      <c r="Q21" s="115"/>
      <c r="R21" s="159">
        <f t="shared" ca="1" si="6"/>
        <v>29489398.554182503</v>
      </c>
      <c r="S21" s="115">
        <f ca="1">R21*$S$1*מורישים!AF127</f>
        <v>27838.062264109114</v>
      </c>
      <c r="T21" s="159">
        <f t="shared" ca="1" si="7"/>
        <v>29461560.491918392</v>
      </c>
      <c r="U21" s="115">
        <f ca="1">IF(T21*$U$1&gt;'הנחות עבודה לררל ומדרג'!$C$15,'הנחות עבודה לררל ומדרג'!$C$15,T21*$U$1)</f>
        <v>883846.81475755177</v>
      </c>
      <c r="V21" s="115">
        <f ca="1">IF(T21*$V$1&gt;'הנחות עבודה לררל ומדרג'!$C$16,'הנחות עבודה לררל ומדרג'!$C$16,T21*$V$1)</f>
        <v>1000000</v>
      </c>
      <c r="W21" s="115">
        <f ca="1">IF(T21*$W$1&gt;'הנחות עבודה לררל ומדרג'!$C$17,'הנחות עבודה לררל ומדרג'!$C$17,T21*$W$1)</f>
        <v>10000000</v>
      </c>
      <c r="X21" s="213">
        <f t="shared" ca="1" si="8"/>
        <v>11784624.196767358</v>
      </c>
      <c r="Y21" s="115">
        <f t="shared" ca="1" si="4"/>
        <v>5793089.4803934824</v>
      </c>
      <c r="Z21" s="213">
        <f t="shared" ca="1" si="9"/>
        <v>14681168.936964098</v>
      </c>
      <c r="AA21" s="115">
        <f t="shared" ca="1" si="10"/>
        <v>2896544.7401967412</v>
      </c>
      <c r="AB21" s="279">
        <f t="shared" ca="1" si="13"/>
        <v>0.49831606648912208</v>
      </c>
      <c r="AC21" s="279"/>
      <c r="AD21" s="120">
        <f ca="1">IF(B21&lt;'הנחות עבודה לררל ומדרג'!$I$3,'ררל ומדרג'!Z21,IF(B21&lt;'הנחות עבודה לררל ומדרג'!$I$4,'הנחות עבודה לררל ומדרג'!$J$3*'ררל ומדרג'!Z21,IF('ררל ומדרג'!B21&lt;'הנחות עבודה לררל ומדרג'!$I$5,'הנחות עבודה לררל ומדרג'!$J$4*'ררל ומדרג'!Z21,Z21*'הנחות עבודה לררל ומדרג'!$J$6)))</f>
        <v>11010876.702723075</v>
      </c>
      <c r="AE21" s="120">
        <f ca="1">AD21*'הנחות עבודה לררל ומדרג'!$D$6</f>
        <v>0</v>
      </c>
      <c r="AF21" s="120">
        <f t="shared" ca="1" si="11"/>
        <v>3670292.2342410237</v>
      </c>
      <c r="AH21" s="120">
        <f ca="1">X21/'הנחות עבודה לררל ומדרג'!$J$10*2</f>
        <v>84175.887119766849</v>
      </c>
      <c r="AI21" s="212"/>
    </row>
    <row r="22" spans="1:35" ht="14.4" customHeight="1">
      <c r="B22" s="210">
        <f>IF(C22-$C$2&lt;'הנחות עבודה לררל ומדרג'!$C$20,'ררל ומדרג'!C22-'ררל ומדרג'!$C$2,0)</f>
        <v>19</v>
      </c>
      <c r="C22" s="114">
        <v>2045</v>
      </c>
      <c r="D22" s="115">
        <f>IF(B22&gt;0,D21*(1+'הנחות עבודה לררל ומדרג'!$C$5),0)</f>
        <v>37842528.176826224</v>
      </c>
      <c r="E22" s="115"/>
      <c r="F22" s="115">
        <f>IF(B22&gt;0,IF(F21&gt;'הנחות עבודה לררל ומדרג'!$C$9,F21+'הנחות עבודה לררל ומדרג'!$C$8,'הנחות עבודה לררל ומדרג'!$C$9),0)</f>
        <v>3600000</v>
      </c>
      <c r="G22" s="115">
        <f>IF(B22&gt;0,IF(G21&gt;'הנחות עבודה לררל ומדרג'!$C$13,G21+'הנחות עבודה לררל ומדרג'!$C$12,'הנחות עבודה לררל ומדרג'!$C$13),0)</f>
        <v>2200000</v>
      </c>
      <c r="H22" s="159">
        <f t="shared" si="5"/>
        <v>32042528.176826224</v>
      </c>
      <c r="I22" s="115">
        <f ca="1">'פריסת שנים'!G23</f>
        <v>274070.92857142852</v>
      </c>
      <c r="J22" s="115">
        <f ca="1">'פריסת שנים'!J23</f>
        <v>44245.801215</v>
      </c>
      <c r="K22" s="120">
        <f>'פריסת שנים'!M23</f>
        <v>0</v>
      </c>
      <c r="L22" s="120"/>
      <c r="M22" s="120"/>
      <c r="N22" s="115">
        <f>'מדרג שימושים '!$E$8</f>
        <v>919745</v>
      </c>
      <c r="O22" s="115">
        <v>250000</v>
      </c>
      <c r="P22" s="115">
        <v>200000</v>
      </c>
      <c r="Q22" s="115"/>
      <c r="R22" s="159">
        <f t="shared" ca="1" si="6"/>
        <v>30354466.447039794</v>
      </c>
      <c r="S22" s="115">
        <f ca="1">R22*$S$1*מורישים!AG127</f>
        <v>9918.8322801247796</v>
      </c>
      <c r="T22" s="159">
        <f t="shared" ca="1" si="7"/>
        <v>30344547.614759669</v>
      </c>
      <c r="U22" s="115">
        <f ca="1">IF(T22*$U$1&gt;'הנחות עבודה לררל ומדרג'!$C$15,'הנחות עבודה לררל ומדרג'!$C$15,T22*$U$1)</f>
        <v>910336.42844279006</v>
      </c>
      <c r="V22" s="115">
        <f ca="1">IF(T22*$V$1&gt;'הנחות עבודה לררל ומדרג'!$C$16,'הנחות עבודה לררל ומדרג'!$C$16,T22*$V$1)</f>
        <v>1000000</v>
      </c>
      <c r="W22" s="115">
        <f ca="1">IF(T22*$W$1&gt;'הנחות עבודה לררל ומדרג'!$C$17,'הנחות עבודה לררל ומדרג'!$C$17,T22*$W$1)</f>
        <v>10000000</v>
      </c>
      <c r="X22" s="213">
        <f t="shared" ca="1" si="8"/>
        <v>12137819.045903869</v>
      </c>
      <c r="Y22" s="115">
        <f t="shared" ca="1" si="4"/>
        <v>6296392.1404130086</v>
      </c>
      <c r="Z22" s="213">
        <f t="shared" ca="1" si="9"/>
        <v>15286015.116110373</v>
      </c>
      <c r="AA22" s="115">
        <f t="shared" ca="1" si="10"/>
        <v>3148196.0702065043</v>
      </c>
      <c r="AB22" s="279">
        <f t="shared" ca="1" si="13"/>
        <v>0.50374832771193512</v>
      </c>
      <c r="AC22" s="279"/>
      <c r="AD22" s="120">
        <f ca="1">IF(B22&lt;'הנחות עבודה לררל ומדרג'!$I$3,'ררל ומדרג'!Z22,IF(B22&lt;'הנחות עבודה לררל ומדרג'!$I$4,'הנחות עבודה לררל ומדרג'!$J$3*'ררל ומדרג'!Z22,IF('ררל ומדרג'!B22&lt;'הנחות עבודה לררל ומדרג'!$I$5,'הנחות עבודה לררל ומדרג'!$J$4*'ררל ומדרג'!Z22,Z22*'הנחות עבודה לררל ומדרג'!$J$6)))</f>
        <v>11464511.337082781</v>
      </c>
      <c r="AE22" s="120">
        <f ca="1">AD22*'הנחות עבודה לררל ומדרג'!$D$6</f>
        <v>0</v>
      </c>
      <c r="AF22" s="120">
        <f t="shared" ca="1" si="11"/>
        <v>3821503.7790275924</v>
      </c>
      <c r="AH22" s="120">
        <f ca="1">X22/'הנחות עבודה לררל ומדרג'!$J$10*2</f>
        <v>86698.707470741923</v>
      </c>
      <c r="AI22" s="212"/>
    </row>
    <row r="23" spans="1:35" s="128" customFormat="1" ht="14.4" customHeight="1">
      <c r="B23" s="214">
        <f>IF(C23-$C$2&lt;'הנחות עבודה לררל ומדרג'!$C$20,'ררל ומדרג'!C23-'ררל ומדרג'!$C$2,0)</f>
        <v>20</v>
      </c>
      <c r="C23" s="203">
        <v>2046</v>
      </c>
      <c r="D23" s="204">
        <f>IF(B23&gt;0,D22*(1+'הנחות עבודה לררל ומדרג'!$C$5),0)</f>
        <v>38410166.09947861</v>
      </c>
      <c r="E23" s="204"/>
      <c r="F23" s="204">
        <f>IF(B23&gt;0,IF(F22&gt;'הנחות עבודה לררל ומדרג'!$C$9,F22+'הנחות עבודה לררל ומדרג'!$C$8,'הנחות עבודה לררל ומדרג'!$C$9),0)</f>
        <v>3600000</v>
      </c>
      <c r="G23" s="115">
        <f>IF(B23&gt;0,IF(G22&gt;'הנחות עבודה לררל ומדרג'!$C$13,G22+'הנחות עבודה לררל ומדרג'!$C$12,'הנחות עבודה לררל ומדרג'!$C$13),0)</f>
        <v>2100000</v>
      </c>
      <c r="H23" s="280">
        <f t="shared" si="5"/>
        <v>32710166.09947861</v>
      </c>
      <c r="I23" s="204">
        <f ca="1">'פריסת שנים'!G24</f>
        <v>198474.35714285713</v>
      </c>
      <c r="J23" s="204">
        <f ca="1">'פריסת שנים'!J24</f>
        <v>58073.552459999999</v>
      </c>
      <c r="K23" s="204">
        <f>'פריסת שנים'!M24</f>
        <v>0</v>
      </c>
      <c r="L23" s="204"/>
      <c r="M23" s="204"/>
      <c r="N23" s="204">
        <f>'מדרג שימושים '!$E$8</f>
        <v>919745</v>
      </c>
      <c r="O23" s="204">
        <v>250000</v>
      </c>
      <c r="P23" s="204">
        <v>200000</v>
      </c>
      <c r="Q23" s="204"/>
      <c r="R23" s="280">
        <f t="shared" ca="1" si="6"/>
        <v>31083873.189875752</v>
      </c>
      <c r="S23" s="204">
        <v>0</v>
      </c>
      <c r="T23" s="280">
        <f t="shared" ca="1" si="7"/>
        <v>31083873.189875752</v>
      </c>
      <c r="U23" s="281">
        <f ca="1">IF(T23*$U$1&gt;'הנחות עבודה לררל ומדרג'!$C$15,'הנחות עבודה לררל ומדרג'!$C$15,T23*$U$1)</f>
        <v>932516.19569627254</v>
      </c>
      <c r="V23" s="281">
        <f ca="1">IF(T23*$V$1&gt;'הנחות עבודה לררל ומדרג'!$C$16,'הנחות עבודה לררל ומדרג'!$C$16,T23*$V$1)</f>
        <v>1000000</v>
      </c>
      <c r="W23" s="281">
        <f ca="1">IF(T23*$W$1&gt;'הנחות עבודה לררל ומדרג'!$C$17,'הנחות עבודה לררל ומדרג'!$C$17,T23*$W$1)</f>
        <v>10000000</v>
      </c>
      <c r="X23" s="282">
        <f t="shared" ca="1" si="8"/>
        <v>12433549.275950301</v>
      </c>
      <c r="Y23" s="281">
        <f t="shared" ca="1" si="4"/>
        <v>6717807.7182291783</v>
      </c>
      <c r="Z23" s="282">
        <f t="shared" ca="1" si="9"/>
        <v>15792453.135064891</v>
      </c>
      <c r="AA23" s="281">
        <f t="shared" ca="1" si="10"/>
        <v>3358903.8591145892</v>
      </c>
      <c r="AB23" s="279">
        <f t="shared" ca="1" si="13"/>
        <v>0.50805937337978235</v>
      </c>
      <c r="AC23" s="279"/>
      <c r="AD23" s="120">
        <f ca="1">IF(B23&lt;'הנחות עבודה לררל ומדרג'!$I$3,'ררל ומדרג'!Z23,IF(B23&lt;'הנחות עבודה לררל ומדרג'!$I$4,'הנחות עבודה לררל ומדרג'!$J$3*'ררל ומדרג'!Z23,IF('ררל ומדרג'!B23&lt;'הנחות עבודה לררל ומדרג'!$I$5,'הנחות עבודה לררל ומדרג'!$J$4*'ררל ומדרג'!Z23,Z23*'הנחות עבודה לררל ומדרג'!$J$6)))</f>
        <v>3948113.2837662227</v>
      </c>
      <c r="AE23" s="206">
        <f ca="1">AD23*'הנחות עבודה לררל ומדרג'!$D$6</f>
        <v>0</v>
      </c>
      <c r="AF23" s="120">
        <f t="shared" ca="1" si="11"/>
        <v>11844339.851298667</v>
      </c>
      <c r="AG23" s="208"/>
      <c r="AH23" s="120">
        <f ca="1">X23/'הנחות עבודה לררל ומדרג'!$J$10*2</f>
        <v>88811.066256787861</v>
      </c>
      <c r="AI23" s="234"/>
    </row>
    <row r="24" spans="1:35" ht="14.4" customHeight="1">
      <c r="B24" s="210">
        <f>IF(C24-$C$2&lt;'הנחות עבודה לררל ומדרג'!$C$20,'ררל ומדרג'!C24-'ררל ומדרג'!$C$2,0)</f>
        <v>21</v>
      </c>
      <c r="C24" s="114">
        <v>2047</v>
      </c>
      <c r="D24" s="115">
        <f>IF(B24&gt;0,D23*(1+'הנחות עבודה לררל ומדרג'!$C$5),0)</f>
        <v>38986318.590970784</v>
      </c>
      <c r="E24" s="115"/>
      <c r="F24" s="115">
        <f>IF(B24&gt;0,IF(F23&gt;'הנחות עבודה לררל ומדרג'!$C$9,F23+'הנחות עבודה לררל ומדרג'!$C$8,'הנחות עבודה לררל ומדרג'!$C$9),0)</f>
        <v>3600000</v>
      </c>
      <c r="G24" s="115">
        <f>IF(B24&gt;0,IF(G23&gt;'הנחות עבודה לררל ומדרג'!$C$13,G23+'הנחות עבודה לררל ומדרג'!$C$12,'הנחות עבודה לררל ומדרג'!$C$13),0)</f>
        <v>2000000</v>
      </c>
      <c r="H24" s="159">
        <f t="shared" si="5"/>
        <v>33386318.590970784</v>
      </c>
      <c r="I24" s="115">
        <f ca="1">'פריסת שנים'!G25</f>
        <v>108646.26190476189</v>
      </c>
      <c r="J24" s="115">
        <f ca="1">'פריסת שנים'!J25</f>
        <v>50596.657649999994</v>
      </c>
      <c r="K24" s="120"/>
      <c r="L24" s="120"/>
      <c r="M24" s="120"/>
      <c r="N24" s="120"/>
      <c r="O24" s="120"/>
      <c r="P24" s="120"/>
      <c r="Q24" s="120"/>
      <c r="R24" s="159">
        <f t="shared" ca="1" si="6"/>
        <v>33227075.671416022</v>
      </c>
      <c r="S24" s="115">
        <v>0</v>
      </c>
      <c r="T24" s="159">
        <f t="shared" ca="1" si="7"/>
        <v>33227075.671416022</v>
      </c>
      <c r="U24" s="115">
        <f ca="1">IF(T24*$U$1&gt;'הנחות עבודה לררל ומדרג'!$C$15,'הנחות עבודה לררל ומדרג'!$C$15,T24*$U$1)</f>
        <v>996812.27014248061</v>
      </c>
      <c r="V24" s="115">
        <f ca="1">IF(T24*$V$1&gt;'הנחות עבודה לררל ומדרג'!$C$16,'הנחות עבודה לררל ומדרג'!$C$16,T24*$V$1)</f>
        <v>1000000</v>
      </c>
      <c r="W24" s="115">
        <f ca="1">IF(T24*$W$1&gt;'הנחות עבודה לררל ומדרג'!$C$17,'הנחות עבודה לררל ומדרג'!$C$17,T24*$W$1)</f>
        <v>10000000</v>
      </c>
      <c r="X24" s="213">
        <f t="shared" ca="1" si="8"/>
        <v>13290830.268566409</v>
      </c>
      <c r="Y24" s="115">
        <f t="shared" ca="1" si="4"/>
        <v>7939433.132707132</v>
      </c>
      <c r="Z24" s="213">
        <f t="shared" ca="1" si="9"/>
        <v>17260546.834919974</v>
      </c>
      <c r="AA24" s="115">
        <f t="shared" ca="1" si="10"/>
        <v>3969716.566353566</v>
      </c>
      <c r="AB24" s="279">
        <f t="shared" ca="1" si="13"/>
        <v>0.51947234254408248</v>
      </c>
      <c r="AC24" s="279"/>
      <c r="AD24" s="120">
        <f ca="1">IF(B24&lt;'הנחות עבודה לררל ומדרג'!$I$3,'ררל ומדרג'!Z24,IF(B24&lt;'הנחות עבודה לררל ומדרג'!$I$4,'הנחות עבודה לררל ומדרג'!$J$3*'ררל ומדרג'!Z24,IF('ררל ומדרג'!B24&lt;'הנחות עבודה לררל ומדרג'!$I$5,'הנחות עבודה לררל ומדרג'!$J$4*'ררל ומדרג'!Z24,Z24*'הנחות עבודה לררל ומדרג'!$J$6)))</f>
        <v>4315136.7087299936</v>
      </c>
      <c r="AE24" s="120">
        <f ca="1">AD24*'הנחות עבודה לררל ומדרג'!$D$6</f>
        <v>0</v>
      </c>
      <c r="AF24" s="120">
        <f t="shared" ca="1" si="11"/>
        <v>12945410.126189981</v>
      </c>
      <c r="AH24" s="120">
        <f ca="1">X24/'הנחות עבודה לררל ומדרג'!$J$10*2</f>
        <v>94934.501918331487</v>
      </c>
      <c r="AI24" s="212"/>
    </row>
    <row r="25" spans="1:35" ht="14.4" customHeight="1">
      <c r="B25" s="210">
        <f>IF(C25-$C$2&lt;'הנחות עבודה לררל ומדרג'!$C$20,'ררל ומדרג'!C25-'ררל ומדרג'!$C$2,0)</f>
        <v>22</v>
      </c>
      <c r="C25" s="114">
        <v>2048</v>
      </c>
      <c r="D25" s="115">
        <f>IF(B25&gt;0,D24*(1+'הנחות עבודה לררל ומדרג'!$C$5),0)</f>
        <v>39571113.369835339</v>
      </c>
      <c r="E25" s="115"/>
      <c r="F25" s="115">
        <f>IF(B25&gt;0,IF(F24&gt;'הנחות עבודה לררל ומדרג'!$C$9,F24+'הנחות עבודה לררל ומדרג'!$C$8,'הנחות עבודה לררל ומדרג'!$C$9),0)</f>
        <v>3600000</v>
      </c>
      <c r="G25" s="115">
        <f>IF(B25&gt;0,IF(G24&gt;'הנחות עבודה לררל ומדרג'!$C$13,G24+'הנחות עבודה לררל ומדרג'!$C$12,'הנחות עבודה לררל ומדרג'!$C$13),0)</f>
        <v>1900000</v>
      </c>
      <c r="H25" s="159">
        <f t="shared" si="5"/>
        <v>34071113.369835339</v>
      </c>
      <c r="I25" s="115">
        <f ca="1">'פריסת שנים'!G26</f>
        <v>25933.928571428569</v>
      </c>
      <c r="J25" s="115">
        <f ca="1">'פריסת שנים'!J26</f>
        <v>42038.765999999996</v>
      </c>
      <c r="R25" s="159">
        <f t="shared" ca="1" si="6"/>
        <v>34003140.675263911</v>
      </c>
      <c r="S25" s="115">
        <v>0</v>
      </c>
      <c r="T25" s="159">
        <f t="shared" ca="1" si="7"/>
        <v>34003140.675263911</v>
      </c>
      <c r="U25" s="115">
        <f ca="1">IF(T25*$U$1&gt;'הנחות עבודה לררל ומדרג'!$C$15,'הנחות עבודה לררל ומדרג'!$C$15,T25*$U$1)</f>
        <v>1000000</v>
      </c>
      <c r="V25" s="115">
        <f ca="1">IF(T25*$V$1&gt;'הנחות עבודה לררל ומדרג'!$C$16,'הנחות עבודה לררל ומדרג'!$C$16,T25*$V$1)</f>
        <v>1000000</v>
      </c>
      <c r="W25" s="115">
        <f ca="1">IF(T25*$W$1&gt;'הנחות עבודה לררל ומדרג'!$C$17,'הנחות עבודה לררל ומדרג'!$C$17,T25*$W$1)</f>
        <v>10000000</v>
      </c>
      <c r="X25" s="213">
        <f t="shared" ca="1" si="8"/>
        <v>13601256.270105565</v>
      </c>
      <c r="Y25" s="115">
        <f t="shared" ca="1" si="4"/>
        <v>8401884.4051583465</v>
      </c>
      <c r="Z25" s="213">
        <f t="shared" ca="1" si="9"/>
        <v>17802198.472684737</v>
      </c>
      <c r="AA25" s="115">
        <f t="shared" ca="1" si="10"/>
        <v>4200942.2025791733</v>
      </c>
      <c r="AB25" s="279">
        <f t="shared" ca="1" si="13"/>
        <v>0.52354571134175287</v>
      </c>
      <c r="AC25" s="279"/>
      <c r="AD25" s="120">
        <f ca="1">IF(B25&lt;'הנחות עבודה לררל ומדרג'!$I$3,'ררל ומדרג'!Z25,IF(B25&lt;'הנחות עבודה לררל ומדרג'!$I$4,'הנחות עבודה לררל ומדרג'!$J$3*'ררל ומדרג'!Z25,IF('ררל ומדרג'!B25&lt;'הנחות עבודה לררל ומדרג'!$I$5,'הנחות עבודה לררל ומדרג'!$J$4*'ררל ומדרג'!Z25,Z25*'הנחות עבודה לררל ומדרג'!$J$6)))</f>
        <v>4450549.6181711843</v>
      </c>
      <c r="AE25" s="120">
        <f ca="1">AD25*'הנחות עבודה לררל ומדרג'!$D$6</f>
        <v>0</v>
      </c>
      <c r="AF25" s="120">
        <f t="shared" ca="1" si="11"/>
        <v>13351648.854513552</v>
      </c>
      <c r="AH25" s="120">
        <f ca="1">X25/'הנחות עבודה לררל ומדרג'!$J$10*2</f>
        <v>97151.830500754033</v>
      </c>
      <c r="AI25" s="212"/>
    </row>
    <row r="26" spans="1:35" ht="14.4" customHeight="1">
      <c r="B26" s="210">
        <f>IF(C26-$C$2&lt;'הנחות עבודה לררל ומדרג'!$C$20,'ררל ומדרג'!C26-'ררל ומדרג'!$C$2,0)</f>
        <v>23</v>
      </c>
      <c r="C26" s="114">
        <v>2049</v>
      </c>
      <c r="D26" s="115">
        <f>IF(B26&gt;0,D25*(1+'הנחות עבודה לררל ומדרג'!$C$5),0)</f>
        <v>40164680.070382863</v>
      </c>
      <c r="E26" s="115"/>
      <c r="F26" s="115">
        <f>IF(B26&gt;0,IF(F25&gt;'הנחות עבודה לררל ומדרג'!$C$9,F25+'הנחות עבודה לררל ומדרג'!$C$8,'הנחות עבודה לררל ומדרג'!$C$9),0)</f>
        <v>3600000</v>
      </c>
      <c r="G26" s="115">
        <f>IF(B26&gt;0,IF(G25&gt;'הנחות עבודה לררל ומדרג'!$C$13,G25+'הנחות עבודה לררל ומדרג'!$C$12,'הנחות עבודה לררל ומדרג'!$C$13),0)</f>
        <v>1800000</v>
      </c>
      <c r="H26" s="159">
        <f t="shared" si="5"/>
        <v>34764680.070382863</v>
      </c>
      <c r="I26" s="115">
        <f ca="1">'פריסת שנים'!G27</f>
        <v>0</v>
      </c>
      <c r="J26" s="115">
        <f ca="1">'פריסת שנים'!J27</f>
        <v>66571.388729999977</v>
      </c>
      <c r="R26" s="159">
        <f t="shared" ca="1" si="6"/>
        <v>34698108.681652866</v>
      </c>
      <c r="S26" s="115">
        <v>0</v>
      </c>
      <c r="T26" s="159">
        <f t="shared" ca="1" si="7"/>
        <v>34698108.681652866</v>
      </c>
      <c r="U26" s="115">
        <f ca="1">IF(T26*$U$1&gt;'הנחות עבודה לררל ומדרג'!$C$15,'הנחות עבודה לררל ומדרג'!$C$15,T26*$U$1)</f>
        <v>1000000</v>
      </c>
      <c r="V26" s="115">
        <f ca="1">IF(T26*$V$1&gt;'הנחות עבודה לררל ומדרג'!$C$16,'הנחות עבודה לררל ומדרג'!$C$16,T26*$V$1)</f>
        <v>1000000</v>
      </c>
      <c r="W26" s="115">
        <f ca="1">IF(T26*$W$1&gt;'הנחות עבודה לררל ומדרג'!$C$17,'הנחות עבודה לררל ומדרג'!$C$17,T26*$W$1)</f>
        <v>10000000</v>
      </c>
      <c r="X26" s="213">
        <f t="shared" ca="1" si="8"/>
        <v>13879243.472661147</v>
      </c>
      <c r="Y26" s="115">
        <f t="shared" ca="1" si="4"/>
        <v>8818865.2089917194</v>
      </c>
      <c r="Z26" s="213">
        <f t="shared" ca="1" si="9"/>
        <v>18288676.077157006</v>
      </c>
      <c r="AA26" s="115">
        <f t="shared" ca="1" si="10"/>
        <v>4409432.6044958597</v>
      </c>
      <c r="AB26" s="279">
        <f t="shared" ca="1" si="13"/>
        <v>0.52707991219208472</v>
      </c>
      <c r="AC26" s="279"/>
      <c r="AD26" s="120">
        <f ca="1">IF(B26&lt;'הנחות עבודה לררל ומדרג'!$I$3,'ררל ומדרג'!Z26,IF(B26&lt;'הנחות עבודה לררל ומדרג'!$I$4,'הנחות עבודה לררל ומדרג'!$J$3*'ררל ומדרג'!Z26,IF('ררל ומדרג'!B26&lt;'הנחות עבודה לררל ומדרג'!$I$5,'הנחות עבודה לררל ומדרג'!$J$4*'ררל ומדרג'!Z26,Z26*'הנחות עבודה לררל ומדרג'!$J$6)))</f>
        <v>4572169.0192892514</v>
      </c>
      <c r="AE26" s="120">
        <f ca="1">AD26*'הנחות עבודה לררל ומדרג'!$D$6</f>
        <v>0</v>
      </c>
      <c r="AF26" s="120">
        <f t="shared" ca="1" si="11"/>
        <v>13716507.057867754</v>
      </c>
      <c r="AH26" s="120">
        <f ca="1">X26/'הנחות עבודה לררל ומדרג'!$J$10*2</f>
        <v>99137.453376151054</v>
      </c>
      <c r="AI26" s="212"/>
    </row>
    <row r="27" spans="1:35" s="166" customFormat="1" ht="14.4" customHeight="1">
      <c r="B27" s="210">
        <f>IF(C27-$C$2&lt;'הנחות עבודה לררל ומדרג'!$C$20,'ררל ומדרג'!C27-'ררל ומדרג'!$C$2,0)</f>
        <v>24</v>
      </c>
      <c r="C27" s="114">
        <v>2050</v>
      </c>
      <c r="D27" s="115">
        <f>IF(B27&gt;0,D26*(1+'הנחות עבודה לררל ומדרג'!$C$5),0)</f>
        <v>40767150.271438599</v>
      </c>
      <c r="E27" s="115"/>
      <c r="F27" s="115">
        <f>IF(B27&gt;0,IF(F26&gt;'הנחות עבודה לררל ומדרג'!$C$9,F26+'הנחות עבודה לררל ומדרג'!$C$8,'הנחות עבודה לררל ומדרג'!$C$9),0)</f>
        <v>3600000</v>
      </c>
      <c r="G27" s="115">
        <f>IF(B27&gt;0,IF(G26&gt;'הנחות עבודה לררל ומדרג'!$C$13,G26+'הנחות עבודה לררל ומדרג'!$C$12,'הנחות עבודה לררל ומדרג'!$C$13),0)</f>
        <v>1700000</v>
      </c>
      <c r="H27" s="159">
        <f t="shared" si="5"/>
        <v>35467150.271438599</v>
      </c>
      <c r="I27" s="115">
        <f ca="1">'פריסת שנים'!G28</f>
        <v>0</v>
      </c>
      <c r="J27" s="115">
        <f ca="1">'פריסת שנים'!J28</f>
        <v>8978.2793099999999</v>
      </c>
      <c r="R27" s="159">
        <f t="shared" ca="1" si="6"/>
        <v>35458171.992128596</v>
      </c>
      <c r="S27" s="115">
        <v>0</v>
      </c>
      <c r="T27" s="159">
        <f t="shared" ca="1" si="7"/>
        <v>35458171.992128596</v>
      </c>
      <c r="U27" s="115">
        <f ca="1">IF(T27*$U$1&gt;'הנחות עבודה לררל ומדרג'!$C$15,'הנחות עבודה לררל ומדרג'!$C$15,T27*$U$1)</f>
        <v>1000000</v>
      </c>
      <c r="V27" s="115">
        <f ca="1">IF(T27*$V$1&gt;'הנחות עבודה לררל ומדרג'!$C$16,'הנחות עבודה לררל ומדרג'!$C$16,T27*$V$1)</f>
        <v>1000000</v>
      </c>
      <c r="W27" s="115">
        <f ca="1">IF(T27*$W$1&gt;'הנחות עבודה לררל ומדרג'!$C$17,'הנחות עבודה לררל ומדרג'!$C$17,T27*$W$1)</f>
        <v>10000000</v>
      </c>
      <c r="X27" s="213">
        <f t="shared" ca="1" si="8"/>
        <v>14183268.796851439</v>
      </c>
      <c r="Y27" s="115">
        <f t="shared" ca="1" si="4"/>
        <v>9274903.1952771563</v>
      </c>
      <c r="Z27" s="213">
        <f t="shared" ca="1" si="9"/>
        <v>18820720.394490018</v>
      </c>
      <c r="AA27" s="115">
        <f t="shared" ca="1" si="10"/>
        <v>4637451.5976385782</v>
      </c>
      <c r="AB27" s="279">
        <f t="shared" ca="1" si="13"/>
        <v>0.53078653909930984</v>
      </c>
      <c r="AC27" s="279"/>
      <c r="AD27" s="120">
        <f ca="1">IF(B27&lt;'הנחות עבודה לררל ומדרג'!$I$3,'ררל ומדרג'!Z27,IF(B27&lt;'הנחות עבודה לררל ומדרג'!$I$4,'הנחות עבודה לררל ומדרג'!$J$3*'ררל ומדרג'!Z27,IF('ררל ומדרג'!B27&lt;'הנחות עבודה לררל ומדרג'!$I$5,'הנחות עבודה לררל ומדרג'!$J$4*'ררל ומדרג'!Z27,Z27*'הנחות עבודה לררל ומדרג'!$J$6)))</f>
        <v>4705180.0986225046</v>
      </c>
      <c r="AE27" s="120">
        <f ca="1">AD27*'הנחות עבודה לררל ומדרג'!$D$6</f>
        <v>0</v>
      </c>
      <c r="AF27" s="120">
        <f t="shared" ca="1" si="11"/>
        <v>14115540.295867514</v>
      </c>
      <c r="AH27" s="120">
        <f ca="1">X27/'הנחות עבודה לררל ומדרג'!$J$10*2</f>
        <v>101309.06283465314</v>
      </c>
      <c r="AI27" s="212"/>
    </row>
    <row r="28" spans="1:35" s="128" customFormat="1" ht="14.4" customHeight="1">
      <c r="B28" s="214">
        <f>IF(C28-$C$2&lt;'הנחות עבודה לררל ומדרג'!$C$20,'ררל ומדרג'!C28-'ררל ומדרג'!$C$2,0)</f>
        <v>25</v>
      </c>
      <c r="C28" s="203">
        <v>2051</v>
      </c>
      <c r="D28" s="204">
        <f>IF(B28&gt;0,D27*(1+'הנחות עבודה לררל ומדרג'!$C$5),0)</f>
        <v>41378657.525510177</v>
      </c>
      <c r="E28" s="204"/>
      <c r="F28" s="204">
        <f>IF(B28&gt;0,IF(F27&gt;'הנחות עבודה לררל ומדרג'!$C$9,F27+'הנחות עבודה לררל ומדרג'!$C$8,'הנחות עבודה לררל ומדרג'!$C$9),0)</f>
        <v>3600000</v>
      </c>
      <c r="G28" s="115">
        <f>IF(B28&gt;0,IF(G27&gt;'הנחות עבודה לררל ומדרג'!$C$13,G27+'הנחות עבודה לררל ומדרג'!$C$12,'הנחות עבודה לררל ומדרג'!$C$13),0)</f>
        <v>1600000</v>
      </c>
      <c r="H28" s="280">
        <f t="shared" si="5"/>
        <v>36178657.525510177</v>
      </c>
      <c r="I28" s="204"/>
      <c r="J28" s="204"/>
      <c r="K28" s="204"/>
      <c r="L28" s="204"/>
      <c r="M28" s="204"/>
      <c r="N28" s="204"/>
      <c r="O28" s="204"/>
      <c r="P28" s="204"/>
      <c r="Q28" s="204"/>
      <c r="R28" s="280">
        <f t="shared" si="6"/>
        <v>36178657.525510177</v>
      </c>
      <c r="S28" s="204">
        <v>0</v>
      </c>
      <c r="T28" s="280">
        <f t="shared" si="7"/>
        <v>36178657.525510177</v>
      </c>
      <c r="U28" s="281">
        <f>IF(T28*$U$1&gt;'הנחות עבודה לררל ומדרג'!$C$15,'הנחות עבודה לררל ומדרג'!$C$15,T28*$U$1)</f>
        <v>1000000</v>
      </c>
      <c r="V28" s="281">
        <f>IF(T28*$V$1&gt;'הנחות עבודה לררל ומדרג'!$C$16,'הנחות עבודה לררל ומדרג'!$C$16,T28*$V$1)</f>
        <v>1000000</v>
      </c>
      <c r="W28" s="281">
        <f>IF(T28*$W$1&gt;'הנחות עבודה לררל ומדרג'!$C$17,'הנחות עבודה לררל ומדרג'!$C$17,T28*$W$1)</f>
        <v>10000000</v>
      </c>
      <c r="X28" s="282">
        <f t="shared" si="8"/>
        <v>14471463.010204071</v>
      </c>
      <c r="Y28" s="281">
        <f t="shared" si="4"/>
        <v>9707194.5153061058</v>
      </c>
      <c r="Z28" s="282">
        <f t="shared" si="9"/>
        <v>19325060.267857123</v>
      </c>
      <c r="AA28" s="281">
        <f t="shared" si="10"/>
        <v>4853597.2576530529</v>
      </c>
      <c r="AB28" s="279">
        <f t="shared" si="13"/>
        <v>0.53415636703022218</v>
      </c>
      <c r="AC28" s="279"/>
      <c r="AD28" s="120">
        <f>IF(B28&lt;'הנחות עבודה לררל ומדרג'!$I$3,'ררל ומדרג'!Z28,IF(B28&lt;'הנחות עבודה לררל ומדרג'!$I$4,'הנחות עבודה לררל ומדרג'!$J$3*'ררל ומדרג'!Z28,IF('ררל ומדרג'!B28&lt;'הנחות עבודה לררל ומדרג'!$I$5,'הנחות עבודה לררל ומדרג'!$J$4*'ררל ומדרג'!Z28,Z28*'הנחות עבודה לררל ומדרג'!$J$6)))</f>
        <v>4831265.0669642808</v>
      </c>
      <c r="AE28" s="206">
        <f>AD28*'הנחות עבודה לררל ומדרג'!$D$6</f>
        <v>0</v>
      </c>
      <c r="AF28" s="120">
        <f t="shared" si="11"/>
        <v>14493795.200892843</v>
      </c>
      <c r="AG28" s="208"/>
      <c r="AH28" s="120">
        <f>X28/'הנחות עבודה לררל ומדרג'!$J$10*2</f>
        <v>103367.59293002907</v>
      </c>
      <c r="AI28" s="234"/>
    </row>
    <row r="29" spans="1:35" s="166" customFormat="1" ht="14.4" customHeight="1">
      <c r="B29" s="210">
        <f>IF(C29-$C$2&lt;'הנחות עבודה לררל ומדרג'!$C$20,'ררל ומדרג'!C29-'ררל ומדרג'!$C$2,0)</f>
        <v>26</v>
      </c>
      <c r="C29" s="114">
        <v>2052</v>
      </c>
      <c r="D29" s="115">
        <f>IF(B29&gt;0,D28*(1+'הנחות עבודה לררל ומדרג'!$C$5),0)</f>
        <v>41999337.388392828</v>
      </c>
      <c r="E29" s="115"/>
      <c r="F29" s="115">
        <f>IF(B29&gt;0,IF(F28&gt;'הנחות עבודה לררל ומדרג'!$C$9,F28+'הנחות עבודה לררל ומדרג'!$C$8,'הנחות עבודה לררל ומדרג'!$C$9),0)</f>
        <v>3600000</v>
      </c>
      <c r="G29" s="115">
        <f>IF(B29&gt;0,IF(G28&gt;'הנחות עבודה לררל ומדרג'!$C$13,G28+'הנחות עבודה לררל ומדרג'!$C$12,'הנחות עבודה לררל ומדרג'!$C$13),0)</f>
        <v>1500000</v>
      </c>
      <c r="H29" s="159">
        <f t="shared" si="5"/>
        <v>36899337.388392828</v>
      </c>
      <c r="R29" s="159">
        <f t="shared" si="6"/>
        <v>36899337.388392828</v>
      </c>
      <c r="S29" s="115">
        <v>0</v>
      </c>
      <c r="T29" s="159">
        <f t="shared" si="7"/>
        <v>36899337.388392828</v>
      </c>
      <c r="U29" s="115">
        <f>IF(T29*$U$1&gt;'הנחות עבודה לררל ומדרג'!$C$15,'הנחות עבודה לררל ומדרג'!$C$15,T29*$U$1)</f>
        <v>1000000</v>
      </c>
      <c r="V29" s="115">
        <f>IF(T29*$V$1&gt;'הנחות עבודה לררל ומדרג'!$C$16,'הנחות עבודה לררל ומדרג'!$C$16,T29*$V$1)</f>
        <v>1000000</v>
      </c>
      <c r="W29" s="115">
        <f>IF(T29*$W$1&gt;'הנחות עבודה לררל ומדרג'!$C$17,'הנחות עבודה לררל ומדרג'!$C$17,T29*$W$1)</f>
        <v>10000000</v>
      </c>
      <c r="X29" s="213">
        <f t="shared" si="8"/>
        <v>14759734.955357132</v>
      </c>
      <c r="Y29" s="115">
        <f t="shared" si="4"/>
        <v>10139602.433035696</v>
      </c>
      <c r="Z29" s="213">
        <f t="shared" si="9"/>
        <v>19829536.171874981</v>
      </c>
      <c r="AA29" s="115">
        <f t="shared" si="10"/>
        <v>5069801.216517848</v>
      </c>
      <c r="AB29" s="279">
        <f t="shared" si="13"/>
        <v>0.5373954541013688</v>
      </c>
      <c r="AC29" s="279"/>
      <c r="AD29" s="120">
        <f>IF(B29&lt;'הנחות עבודה לררל ומדרג'!$I$3,'ררל ומדרג'!Z29,IF(B29&lt;'הנחות עבודה לררל ומדרג'!$I$4,'הנחות עבודה לררל ומדרג'!$J$3*'ררל ומדרג'!Z29,IF('ררל ומדרג'!B29&lt;'הנחות עבודה לררל ומדרג'!$I$5,'הנחות עבודה לררל ומדרג'!$J$4*'ררל ומדרג'!Z29,Z29*'הנחות עבודה לררל ומדרג'!$J$6)))</f>
        <v>4957384.0429687453</v>
      </c>
      <c r="AE29" s="120">
        <f>AD29*'הנחות עבודה לררל ומדרג'!$D$6</f>
        <v>0</v>
      </c>
      <c r="AF29" s="120">
        <f t="shared" si="11"/>
        <v>14872152.128906235</v>
      </c>
      <c r="AH29" s="120">
        <f>X29/'הנחות עבודה לררל ומדרג'!$J$10*2</f>
        <v>105426.67825255095</v>
      </c>
      <c r="AI29" s="212"/>
    </row>
    <row r="30" spans="1:35" s="166" customFormat="1" ht="14.4" customHeight="1">
      <c r="B30" s="210">
        <f>IF(C30-$C$2&lt;'הנחות עבודה לררל ומדרג'!$C$20,'ררל ומדרג'!C30-'ררל ומדרג'!$C$2,0)</f>
        <v>27</v>
      </c>
      <c r="C30" s="114">
        <v>2053</v>
      </c>
      <c r="D30" s="115">
        <f>IF(B30&gt;0,D29*(1+'הנחות עבודה לררל ומדרג'!$C$5),0)</f>
        <v>42629327.44921872</v>
      </c>
      <c r="E30" s="115"/>
      <c r="F30" s="115">
        <f>IF(B30&gt;0,IF(F29&gt;'הנחות עבודה לררל ומדרג'!$C$9,F29+'הנחות עבודה לררל ומדרג'!$C$8,'הנחות עבודה לררל ומדרג'!$C$9),0)</f>
        <v>3600000</v>
      </c>
      <c r="G30" s="115">
        <f>IF(B30&gt;0,IF(G29&gt;'הנחות עבודה לררל ומדרג'!$C$13,G29+'הנחות עבודה לררל ומדרג'!$C$12,'הנחות עבודה לררל ומדרג'!$C$13),0)</f>
        <v>1400000</v>
      </c>
      <c r="H30" s="159">
        <f t="shared" si="5"/>
        <v>37629327.44921872</v>
      </c>
      <c r="R30" s="159">
        <f t="shared" si="6"/>
        <v>37629327.44921872</v>
      </c>
      <c r="S30" s="115">
        <v>0</v>
      </c>
      <c r="T30" s="159">
        <f t="shared" si="7"/>
        <v>37629327.44921872</v>
      </c>
      <c r="U30" s="115">
        <f>IF(T30*$U$1&gt;'הנחות עבודה לררל ומדרג'!$C$15,'הנחות עבודה לררל ומדרג'!$C$15,T30*$U$1)</f>
        <v>1000000</v>
      </c>
      <c r="V30" s="115">
        <f>IF(T30*$V$1&gt;'הנחות עבודה לררל ומדרג'!$C$16,'הנחות עבודה לררל ומדרג'!$C$16,T30*$V$1)</f>
        <v>1000000</v>
      </c>
      <c r="W30" s="115">
        <f>IF(T30*$W$1&gt;'הנחות עבודה לררל ומדרג'!$C$17,'הנחות עבודה לררל ומדרג'!$C$17,T30*$W$1)</f>
        <v>10000000</v>
      </c>
      <c r="X30" s="213">
        <f t="shared" si="8"/>
        <v>15051730.97968749</v>
      </c>
      <c r="Y30" s="115">
        <f t="shared" si="4"/>
        <v>10577596.469531231</v>
      </c>
      <c r="Z30" s="213">
        <f t="shared" si="9"/>
        <v>20340529.214453105</v>
      </c>
      <c r="AA30" s="115">
        <f t="shared" si="10"/>
        <v>5288798.2347656153</v>
      </c>
      <c r="AB30" s="279">
        <f t="shared" si="13"/>
        <v>0.54054990065668651</v>
      </c>
      <c r="AC30" s="279"/>
      <c r="AD30" s="120">
        <f>IF(B30&lt;'הנחות עבודה לררל ומדרג'!$I$3,'ררל ומדרג'!Z30,IF(B30&lt;'הנחות עבודה לררל ומדרג'!$I$4,'הנחות עבודה לררל ומדרג'!$J$3*'ררל ומדרג'!Z30,IF('ררל ומדרג'!B30&lt;'הנחות עבודה לררל ומדרג'!$I$5,'הנחות עבודה לררל ומדרג'!$J$4*'ררל ומדרג'!Z30,Z30*'הנחות עבודה לררל ומדרג'!$J$6)))</f>
        <v>5085132.3036132762</v>
      </c>
      <c r="AE30" s="120">
        <f>AD30*'הנחות עבודה לררל ומדרג'!$D$6</f>
        <v>0</v>
      </c>
      <c r="AF30" s="120">
        <f t="shared" si="11"/>
        <v>15255396.91083983</v>
      </c>
      <c r="AH30" s="120">
        <f>X30/'הנחות עבודה לררל ומדרג'!$J$10*2</f>
        <v>107512.36414062492</v>
      </c>
      <c r="AI30" s="212"/>
    </row>
    <row r="31" spans="1:35" s="166" customFormat="1" ht="14.4" customHeight="1">
      <c r="B31" s="210">
        <f>IF(C31-$C$2&lt;'הנחות עבודה לררל ומדרג'!$C$20,'ררל ומדרג'!C31-'ררל ומדרג'!$C$2,0)</f>
        <v>28</v>
      </c>
      <c r="C31" s="114">
        <v>2054</v>
      </c>
      <c r="D31" s="115">
        <f>IF(B31&gt;0,D30*(1+'הנחות עבודה לררל ומדרג'!$C$5),0)</f>
        <v>43268767.360956997</v>
      </c>
      <c r="E31" s="115"/>
      <c r="F31" s="115">
        <f>IF(B31&gt;0,IF(F30&gt;'הנחות עבודה לררל ומדרג'!$C$9,F30+'הנחות עבודה לררל ומדרג'!$C$8,'הנחות עבודה לררל ומדרג'!$C$9),0)</f>
        <v>3600000</v>
      </c>
      <c r="G31" s="115">
        <f>IF(B31&gt;0,IF(G30&gt;'הנחות עבודה לררל ומדרג'!$C$13,G30+'הנחות עבודה לררל ומדרג'!$C$12,'הנחות עבודה לררל ומדרג'!$C$13),0)</f>
        <v>1300000</v>
      </c>
      <c r="H31" s="159">
        <f t="shared" si="5"/>
        <v>38368767.360956997</v>
      </c>
      <c r="R31" s="159">
        <f t="shared" si="6"/>
        <v>38368767.360956997</v>
      </c>
      <c r="S31" s="115">
        <v>0</v>
      </c>
      <c r="T31" s="159">
        <f t="shared" si="7"/>
        <v>38368767.360956997</v>
      </c>
      <c r="U31" s="115">
        <f>IF(T31*$U$1&gt;'הנחות עבודה לררל ומדרג'!$C$15,'הנחות עבודה לררל ומדרג'!$C$15,T31*$U$1)</f>
        <v>1000000</v>
      </c>
      <c r="V31" s="115">
        <f>IF(T31*$V$1&gt;'הנחות עבודה לררל ומדרג'!$C$16,'הנחות עבודה לררל ומדרג'!$C$16,T31*$V$1)</f>
        <v>1000000</v>
      </c>
      <c r="W31" s="115">
        <f>IF(T31*$W$1&gt;'הנחות עבודה לררל ומדרג'!$C$17,'הנחות עבודה לררל ומדרג'!$C$17,T31*$W$1)</f>
        <v>10000000</v>
      </c>
      <c r="X31" s="213">
        <f t="shared" si="8"/>
        <v>15347506.9443828</v>
      </c>
      <c r="Y31" s="115">
        <f t="shared" si="4"/>
        <v>11021260.416574197</v>
      </c>
      <c r="Z31" s="213">
        <f t="shared" si="9"/>
        <v>20858137.152669899</v>
      </c>
      <c r="AA31" s="115">
        <f t="shared" si="10"/>
        <v>5510630.2082870984</v>
      </c>
      <c r="AB31" s="279">
        <f t="shared" si="13"/>
        <v>0.54362281061691253</v>
      </c>
      <c r="AC31" s="279"/>
      <c r="AD31" s="120">
        <f>IF(B31&lt;'הנחות עבודה לררל ומדרג'!$I$3,'ררל ומדרג'!Z31,IF(B31&lt;'הנחות עבודה לררל ומדרג'!$I$4,'הנחות עבודה לררל ומדרג'!$J$3*'ררל ומדרג'!Z31,IF('ררל ומדרג'!B31&lt;'הנחות עבודה לררל ומדרג'!$I$5,'הנחות עבודה לררל ומדרג'!$J$4*'ררל ומדרג'!Z31,Z31*'הנחות עבודה לררל ומדרג'!$J$6)))</f>
        <v>5214534.2881674748</v>
      </c>
      <c r="AE31" s="120">
        <f>AD31*'הנחות עבודה לררל ומדרג'!$D$6</f>
        <v>0</v>
      </c>
      <c r="AF31" s="120">
        <f t="shared" si="11"/>
        <v>15643602.864502424</v>
      </c>
      <c r="AH31" s="120">
        <f>X31/'הנחות עבודה לררל ומדרג'!$J$10*2</f>
        <v>109625.04960273429</v>
      </c>
      <c r="AI31" s="212"/>
    </row>
    <row r="32" spans="1:35" s="166" customFormat="1" ht="14.4" customHeight="1">
      <c r="B32" s="210">
        <f>IF(C32-$C$2&lt;'הנחות עבודה לררל ומדרג'!$C$20,'ררל ומדרג'!C32-'ררל ומדרג'!$C$2,0)</f>
        <v>29</v>
      </c>
      <c r="C32" s="114">
        <v>2055</v>
      </c>
      <c r="D32" s="115">
        <f>IF(B32&gt;0,D31*(1+'הנחות עבודה לררל ומדרג'!$C$5),0)</f>
        <v>43917798.871371344</v>
      </c>
      <c r="E32" s="115"/>
      <c r="F32" s="115">
        <f>IF(B32&gt;0,IF(F31&gt;'הנחות עבודה לררל ומדרג'!$C$9,F31+'הנחות עבודה לררל ומדרג'!$C$8,'הנחות עבודה לררל ומדרג'!$C$9),0)</f>
        <v>3600000</v>
      </c>
      <c r="G32" s="115">
        <f>IF(B32&gt;0,IF(G31&gt;'הנחות עבודה לררל ומדרג'!$C$13,G31+'הנחות עבודה לררל ומדרג'!$C$12,'הנחות עבודה לררל ומדרג'!$C$13),0)</f>
        <v>1200000</v>
      </c>
      <c r="H32" s="159">
        <f t="shared" si="5"/>
        <v>39117798.871371344</v>
      </c>
      <c r="R32" s="159">
        <f t="shared" si="6"/>
        <v>39117798.871371344</v>
      </c>
      <c r="S32" s="115">
        <v>0</v>
      </c>
      <c r="T32" s="159">
        <f t="shared" si="7"/>
        <v>39117798.871371344</v>
      </c>
      <c r="U32" s="115">
        <f>IF(T32*$U$1&gt;'הנחות עבודה לררל ומדרג'!$C$15,'הנחות עבודה לררל ומדרג'!$C$15,T32*$U$1)</f>
        <v>1000000</v>
      </c>
      <c r="V32" s="115">
        <f>IF(T32*$V$1&gt;'הנחות עבודה לררל ומדרג'!$C$16,'הנחות עבודה לררל ומדרג'!$C$16,T32*$V$1)</f>
        <v>1000000</v>
      </c>
      <c r="W32" s="115">
        <f>IF(T32*$W$1&gt;'הנחות עבודה לררל ומדרג'!$C$17,'הנחות עבודה לררל ומדרג'!$C$17,T32*$W$1)</f>
        <v>10000000</v>
      </c>
      <c r="X32" s="213">
        <f t="shared" si="8"/>
        <v>15647119.548548538</v>
      </c>
      <c r="Y32" s="115">
        <f t="shared" si="4"/>
        <v>11470679.322822805</v>
      </c>
      <c r="Z32" s="213">
        <f t="shared" si="9"/>
        <v>21382459.209959939</v>
      </c>
      <c r="AA32" s="115">
        <f t="shared" si="10"/>
        <v>5735339.6614114027</v>
      </c>
      <c r="AB32" s="279">
        <f t="shared" si="13"/>
        <v>0.54661713662035449</v>
      </c>
      <c r="AC32" s="279"/>
      <c r="AD32" s="120">
        <f>IF(B32&lt;'הנחות עבודה לררל ומדרג'!$I$3,'ררל ומדרג'!Z32,IF(B32&lt;'הנחות עבודה לררל ומדרג'!$I$4,'הנחות עבודה לררל ומדרג'!$J$3*'ררל ומדרג'!Z32,IF('ררל ומדרג'!B32&lt;'הנחות עבודה לררל ומדרג'!$I$5,'הנחות עבודה לררל ומדרג'!$J$4*'ררל ומדרג'!Z32,Z32*'הנחות עבודה לררל ומדרג'!$J$6)))</f>
        <v>5345614.8024899848</v>
      </c>
      <c r="AE32" s="120">
        <f>AD32*'הנחות עבודה לררל ומדרג'!$D$6</f>
        <v>0</v>
      </c>
      <c r="AF32" s="120">
        <f t="shared" si="11"/>
        <v>16036844.407469954</v>
      </c>
      <c r="AH32" s="120">
        <f>X32/'הנחות עבודה לררל ומדרג'!$J$10*2</f>
        <v>111765.13963248956</v>
      </c>
      <c r="AI32" s="212"/>
    </row>
    <row r="33" spans="2:35" s="128" customFormat="1" ht="14.4" customHeight="1">
      <c r="B33" s="214">
        <f>IF(C33-$C$2&lt;'הנחות עבודה לררל ומדרג'!$C$20,'ררל ומדרג'!C33-'ררל ומדרג'!$C$2,0)</f>
        <v>30</v>
      </c>
      <c r="C33" s="203">
        <v>2056</v>
      </c>
      <c r="D33" s="204">
        <f>IF(B33&gt;0,D32*(1+'הנחות עבודה לררל ומדרג'!$C$5),0)</f>
        <v>44576565.854441911</v>
      </c>
      <c r="E33" s="204"/>
      <c r="F33" s="204">
        <f>IF(B33&gt;0,IF(F32&gt;'הנחות עבודה לררל ומדרג'!$C$9,F32+'הנחות עבודה לררל ומדרג'!$C$8,'הנחות עבודה לררל ומדרג'!$C$9),0)</f>
        <v>3600000</v>
      </c>
      <c r="G33" s="115">
        <f>IF(B33&gt;0,IF(G32&gt;'הנחות עבודה לררל ומדרג'!$C$13,G32+'הנחות עבודה לררל ומדרג'!$C$12,'הנחות עבודה לררל ומדרג'!$C$13),0)</f>
        <v>1100000</v>
      </c>
      <c r="H33" s="280">
        <f t="shared" si="5"/>
        <v>39876565.854441911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80">
        <f t="shared" si="6"/>
        <v>39876565.854441911</v>
      </c>
      <c r="S33" s="204">
        <v>0</v>
      </c>
      <c r="T33" s="280">
        <f t="shared" si="7"/>
        <v>39876565.854441911</v>
      </c>
      <c r="U33" s="281">
        <f>IF(T33*$U$1&gt;'הנחות עבודה לררל ומדרג'!$C$15,'הנחות עבודה לררל ומדרג'!$C$15,T33*$U$1)</f>
        <v>1000000</v>
      </c>
      <c r="V33" s="281">
        <f>IF(T33*$V$1&gt;'הנחות עבודה לררל ומדרג'!$C$16,'הנחות עבודה לררל ומדרג'!$C$16,T33*$V$1)</f>
        <v>1000000</v>
      </c>
      <c r="W33" s="281">
        <f>IF(T33*$W$1&gt;'הנחות עבודה לררל ומדרג'!$C$17,'הנחות עבודה לררל ומדרג'!$C$17,T33*$W$1)</f>
        <v>10000000</v>
      </c>
      <c r="X33" s="282">
        <f t="shared" si="8"/>
        <v>15950626.341776766</v>
      </c>
      <c r="Y33" s="281">
        <f t="shared" si="4"/>
        <v>11925939.512665145</v>
      </c>
      <c r="Z33" s="282">
        <f t="shared" si="9"/>
        <v>21913596.098109338</v>
      </c>
      <c r="AA33" s="281">
        <f t="shared" si="10"/>
        <v>5962969.7563325725</v>
      </c>
      <c r="AB33" s="279">
        <f t="shared" si="13"/>
        <v>0.54953568915885842</v>
      </c>
      <c r="AC33" s="279"/>
      <c r="AD33" s="120">
        <f>IF(B33&lt;'הנחות עבודה לררל ומדרג'!$I$3,'ררל ומדרג'!Z33,IF(B33&lt;'הנחות עבודה לררל ומדרג'!$I$4,'הנחות עבודה לררל ומדרג'!$J$3*'ררל ומדרג'!Z33,IF('ררל ומדרג'!B33&lt;'הנחות עבודה לררל ומדרג'!$I$5,'הנחות עבודה לררל ומדרג'!$J$4*'ררל ומדרג'!Z33,Z33*'הנחות עבודה לררל ומדרג'!$J$6)))</f>
        <v>5478399.0245273346</v>
      </c>
      <c r="AE33" s="206">
        <f>AD33*'הנחות עבודה לררל ומדרג'!$D$6</f>
        <v>0</v>
      </c>
      <c r="AF33" s="120">
        <f t="shared" si="11"/>
        <v>16435197.073582005</v>
      </c>
      <c r="AG33" s="208"/>
      <c r="AH33" s="120">
        <f>X33/'הנחות עבודה לררל ומדרג'!$J$10*2</f>
        <v>113933.04529840547</v>
      </c>
      <c r="AI33" s="234"/>
    </row>
    <row r="34" spans="2:35" s="166" customFormat="1" ht="14.4" customHeight="1">
      <c r="B34" s="210">
        <f>IF(C34-$C$2&lt;'הנחות עבודה לררל ומדרג'!$C$20,'ררל ומדרג'!C34-'ררל ומדרג'!$C$2,0)</f>
        <v>31</v>
      </c>
      <c r="C34" s="114">
        <v>2057</v>
      </c>
      <c r="D34" s="115">
        <f>IF(B34&gt;0,D33*(1+'הנחות עבודה לררל ומדרג'!$C$5),0)</f>
        <v>45245214.342258535</v>
      </c>
      <c r="E34" s="115"/>
      <c r="F34" s="115">
        <f>IF(B34&gt;0,IF(F33&gt;'הנחות עבודה לררל ומדרג'!$C$9,F33+'הנחות עבודה לררל ומדרג'!$C$8,'הנחות עבודה לררל ומדרג'!$C$9),0)</f>
        <v>3600000</v>
      </c>
      <c r="G34" s="115">
        <f>IF(B34&gt;0,IF(G33&gt;'הנחות עבודה לררל ומדרג'!$C$13,G33+'הנחות עבודה לררל ומדרג'!$C$12,'הנחות עבודה לררל ומדרג'!$C$13),0)</f>
        <v>1000000</v>
      </c>
      <c r="H34" s="159">
        <f t="shared" si="5"/>
        <v>40645214.342258535</v>
      </c>
      <c r="R34" s="159">
        <f t="shared" si="6"/>
        <v>40645214.342258535</v>
      </c>
      <c r="S34" s="115">
        <v>0</v>
      </c>
      <c r="T34" s="159">
        <f t="shared" si="7"/>
        <v>40645214.342258535</v>
      </c>
      <c r="U34" s="115">
        <f>IF(T34*$U$1&gt;'הנחות עבודה לררל ומדרג'!$C$15,'הנחות עבודה לררל ומדרג'!$C$15,T34*$U$1)</f>
        <v>1000000</v>
      </c>
      <c r="V34" s="115">
        <f>IF(T34*$V$1&gt;'הנחות עבודה לררל ומדרג'!$C$16,'הנחות עבודה לררל ומדרג'!$C$16,T34*$V$1)</f>
        <v>1000000</v>
      </c>
      <c r="W34" s="115">
        <f>IF(T34*$W$1&gt;'הנחות עבודה לררל ומדרג'!$C$17,'הנחות עבודה לררל ומדרג'!$C$17,T34*$W$1)</f>
        <v>10000000</v>
      </c>
      <c r="X34" s="213">
        <f t="shared" si="8"/>
        <v>16258085.736903414</v>
      </c>
      <c r="Y34" s="115">
        <f t="shared" si="4"/>
        <v>12387128.605355121</v>
      </c>
      <c r="Z34" s="213">
        <f t="shared" si="9"/>
        <v>22451650.039580975</v>
      </c>
      <c r="AA34" s="115">
        <f t="shared" si="10"/>
        <v>6193564.3026775606</v>
      </c>
      <c r="AB34" s="279">
        <f t="shared" si="13"/>
        <v>0.55238114505987868</v>
      </c>
      <c r="AC34" s="279"/>
      <c r="AD34" s="120">
        <f>IF(B34&lt;'הנחות עבודה לררל ומדרג'!$I$3,'ררל ומדרג'!Z34,IF(B34&lt;'הנחות עבודה לררל ומדרג'!$I$4,'הנחות עבודה לררל ומדרג'!$J$3*'ררל ומדרג'!Z34,IF('ררל ומדרג'!B34&lt;'הנחות עבודה לררל ומדרג'!$I$5,'הנחות עבודה לררל ומדרג'!$J$4*'ררל ומדרג'!Z34,Z34*'הנחות עבודה לררל ומדרג'!$J$6)))</f>
        <v>5612912.5098952437</v>
      </c>
      <c r="AE34" s="120">
        <f>AD34*'הנחות עבודה לררל ומדרג'!$D$6</f>
        <v>0</v>
      </c>
      <c r="AF34" s="120">
        <f t="shared" si="11"/>
        <v>16838737.529685732</v>
      </c>
      <c r="AH34" s="120">
        <f>X34/'הנחות עבודה לררל ומדרג'!$J$10*2</f>
        <v>116129.18383502439</v>
      </c>
      <c r="AI34" s="212"/>
    </row>
    <row r="35" spans="2:35" s="166" customFormat="1" ht="14.4" customHeight="1">
      <c r="B35" s="210">
        <f>IF(C35-$C$2&lt;'הנחות עבודה לררל ומדרג'!$C$20,'ררל ומדרג'!C35-'ררל ומדרג'!$C$2,0)</f>
        <v>32</v>
      </c>
      <c r="C35" s="114">
        <v>2058</v>
      </c>
      <c r="D35" s="115">
        <f>IF(B35&gt;0,D34*(1+'הנחות עבודה לררל ומדרג'!$C$5),0)</f>
        <v>45923892.557392411</v>
      </c>
      <c r="E35" s="115"/>
      <c r="F35" s="115">
        <f>IF(B35&gt;0,IF(F34&gt;'הנחות עבודה לררל ומדרג'!$C$9,F34+'הנחות עבודה לררל ומדרג'!$C$8,'הנחות עבודה לררל ומדרג'!$C$9),0)</f>
        <v>3600000</v>
      </c>
      <c r="G35" s="115">
        <f>IF(B35&gt;0,IF(G34&gt;'הנחות עבודה לררל ומדרג'!$C$13,G34+'הנחות עבודה לררל ומדרג'!$C$12,'הנחות עבודה לררל ומדרג'!$C$13),0)</f>
        <v>1000000</v>
      </c>
      <c r="H35" s="159">
        <f t="shared" si="5"/>
        <v>41323892.557392411</v>
      </c>
      <c r="R35" s="159">
        <f t="shared" si="6"/>
        <v>41323892.557392411</v>
      </c>
      <c r="S35" s="115">
        <v>0</v>
      </c>
      <c r="T35" s="159">
        <f t="shared" si="7"/>
        <v>41323892.557392411</v>
      </c>
      <c r="U35" s="115">
        <f>IF(T35*$U$1&gt;'הנחות עבודה לררל ומדרג'!$C$15,'הנחות עבודה לררל ומדרג'!$C$15,T35*$U$1)</f>
        <v>1000000</v>
      </c>
      <c r="V35" s="115">
        <f>IF(T35*$V$1&gt;'הנחות עבודה לררל ומדרג'!$C$16,'הנחות עבודה לררל ומדרג'!$C$16,T35*$V$1)</f>
        <v>1000000</v>
      </c>
      <c r="W35" s="115">
        <f>IF(T35*$W$1&gt;'הנחות עבודה לררל ומדרג'!$C$17,'הנחות עבודה לררל ומדרג'!$C$17,T35*$W$1)</f>
        <v>10000000</v>
      </c>
      <c r="X35" s="213">
        <f t="shared" si="8"/>
        <v>16529557.022956965</v>
      </c>
      <c r="Y35" s="115">
        <f t="shared" si="4"/>
        <v>12794335.534435445</v>
      </c>
      <c r="Z35" s="213">
        <f t="shared" si="9"/>
        <v>22926724.790174689</v>
      </c>
      <c r="AA35" s="115">
        <f t="shared" si="10"/>
        <v>6397167.7672177227</v>
      </c>
      <c r="AB35" s="279">
        <f t="shared" si="13"/>
        <v>0.55480554641199542</v>
      </c>
      <c r="AC35" s="279"/>
      <c r="AD35" s="120">
        <f>IF(B35&lt;'הנחות עבודה לררל ומדרג'!$I$3,'ררל ומדרג'!Z35,IF(B35&lt;'הנחות עבודה לררל ומדרג'!$I$4,'הנחות עבודה לררל ומדרג'!$J$3*'ררל ומדרג'!Z35,IF('ררל ומדרג'!B35&lt;'הנחות עבודה לררל ומדרג'!$I$5,'הנחות עבודה לררל ומדרג'!$J$4*'ררל ומדרג'!Z35,Z35*'הנחות עבודה לררל ומדרג'!$J$6)))</f>
        <v>5731681.1975436723</v>
      </c>
      <c r="AE35" s="120">
        <f>AD35*'הנחות עבודה לררל ומדרג'!$D$6</f>
        <v>0</v>
      </c>
      <c r="AF35" s="120">
        <f t="shared" si="11"/>
        <v>17195043.592631016</v>
      </c>
      <c r="AH35" s="120">
        <f>X35/'הנחות עבודה לררל ומדרג'!$J$10*2</f>
        <v>118068.26444969261</v>
      </c>
      <c r="AI35" s="212"/>
    </row>
    <row r="36" spans="2:35" s="166" customFormat="1" ht="14.4" customHeight="1">
      <c r="B36" s="210">
        <f>IF(C36-$C$2&lt;'הנחות עבודה לררל ומדרג'!$C$20,'ררל ומדרג'!C36-'ררל ומדרג'!$C$2,0)</f>
        <v>33</v>
      </c>
      <c r="C36" s="114">
        <v>2059</v>
      </c>
      <c r="D36" s="115">
        <f>IF(B36&gt;0,D35*(1+'הנחות עבודה לררל ומדרג'!$C$5),0)</f>
        <v>46612750.945753291</v>
      </c>
      <c r="E36" s="115"/>
      <c r="F36" s="115">
        <f>IF(B36&gt;0,IF(F35&gt;'הנחות עבודה לררל ומדרג'!$C$9,F35+'הנחות עבודה לררל ומדרג'!$C$8,'הנחות עבודה לררל ומדרג'!$C$9),0)</f>
        <v>3600000</v>
      </c>
      <c r="G36" s="115">
        <f>IF(B36&gt;0,IF(G35&gt;'הנחות עבודה לררל ומדרג'!$C$13,G35+'הנחות עבודה לררל ומדרג'!$C$12,'הנחות עבודה לררל ומדרג'!$C$13),0)</f>
        <v>1000000</v>
      </c>
      <c r="H36" s="159">
        <f t="shared" si="5"/>
        <v>42012750.945753291</v>
      </c>
      <c r="R36" s="159">
        <f t="shared" si="6"/>
        <v>42012750.945753291</v>
      </c>
      <c r="S36" s="115">
        <v>0</v>
      </c>
      <c r="T36" s="159">
        <f t="shared" si="7"/>
        <v>42012750.945753291</v>
      </c>
      <c r="U36" s="115">
        <f>IF(T36*$U$1&gt;'הנחות עבודה לררל ומדרג'!$C$15,'הנחות עבודה לררל ומדרג'!$C$15,T36*$U$1)</f>
        <v>1000000</v>
      </c>
      <c r="V36" s="115">
        <f>IF(T36*$V$1&gt;'הנחות עבודה לררל ומדרג'!$C$16,'הנחות עבודה לררל ומדרג'!$C$16,T36*$V$1)</f>
        <v>1000000</v>
      </c>
      <c r="W36" s="115">
        <f>IF(T36*$W$1&gt;'הנחות עבודה לררל ומדרג'!$C$17,'הנחות עבודה לררל ומדרג'!$C$17,T36*$W$1)</f>
        <v>10000000</v>
      </c>
      <c r="X36" s="213">
        <f t="shared" si="8"/>
        <v>16805100.378301319</v>
      </c>
      <c r="Y36" s="115">
        <f t="shared" ref="Y36:Y53" si="14">T36-U36-V36-W36-X36</f>
        <v>13207650.567451973</v>
      </c>
      <c r="Z36" s="213">
        <f t="shared" si="9"/>
        <v>23408925.662027307</v>
      </c>
      <c r="AA36" s="115">
        <f t="shared" si="10"/>
        <v>6603825.2837259863</v>
      </c>
      <c r="AB36" s="279">
        <f t="shared" si="13"/>
        <v>0.55718621454359951</v>
      </c>
      <c r="AC36" s="279"/>
      <c r="AD36" s="120">
        <f>IF(B36&lt;'הנחות עבודה לררל ומדרג'!$I$3,'ררל ומדרג'!Z36,IF(B36&lt;'הנחות עבודה לררל ומדרג'!$I$4,'הנחות עבודה לררל ומדרג'!$J$3*'ררל ומדרג'!Z36,IF('ררל ומדרג'!B36&lt;'הנחות עבודה לררל ומדרג'!$I$5,'הנחות עבודה לררל ומדרג'!$J$4*'ררל ומדרג'!Z36,Z36*'הנחות עבודה לררל ומדרג'!$J$6)))</f>
        <v>5852231.4155068267</v>
      </c>
      <c r="AE36" s="120">
        <f>AD36*'הנחות עבודה לררל ומדרג'!$D$6</f>
        <v>0</v>
      </c>
      <c r="AF36" s="120">
        <f t="shared" si="11"/>
        <v>17556694.246520482</v>
      </c>
      <c r="AH36" s="120">
        <f>X36/'הנחות עבודה לררל ומדרג'!$J$10*2</f>
        <v>120036.43127358085</v>
      </c>
      <c r="AI36" s="212"/>
    </row>
    <row r="37" spans="2:35" s="166" customFormat="1" ht="14.4" customHeight="1">
      <c r="B37" s="210">
        <f>IF(C37-$C$2&lt;'הנחות עבודה לררל ומדרג'!$C$20,'ררל ומדרג'!C37-'ררל ומדרג'!$C$2,0)</f>
        <v>34</v>
      </c>
      <c r="C37" s="114">
        <v>2060</v>
      </c>
      <c r="D37" s="115">
        <f>IF(B37&gt;0,D36*(1+'הנחות עבודה לררל ומדרג'!$C$5),0)</f>
        <v>47311942.209939584</v>
      </c>
      <c r="E37" s="115"/>
      <c r="F37" s="115">
        <f>IF(B37&gt;0,IF(F36&gt;'הנחות עבודה לררל ומדרג'!$C$9,F36+'הנחות עבודה לררל ומדרג'!$C$8,'הנחות עבודה לררל ומדרג'!$C$9),0)</f>
        <v>3600000</v>
      </c>
      <c r="G37" s="115">
        <f>IF(B37&gt;0,IF(G36&gt;'הנחות עבודה לררל ומדרג'!$C$13,G36+'הנחות עבודה לררל ומדרג'!$C$12,'הנחות עבודה לררל ומדרג'!$C$13),0)</f>
        <v>1000000</v>
      </c>
      <c r="H37" s="159">
        <f t="shared" si="5"/>
        <v>42711942.209939584</v>
      </c>
      <c r="R37" s="159">
        <f t="shared" si="6"/>
        <v>42711942.209939584</v>
      </c>
      <c r="S37" s="115">
        <v>0</v>
      </c>
      <c r="T37" s="159">
        <f t="shared" si="7"/>
        <v>42711942.209939584</v>
      </c>
      <c r="U37" s="115">
        <f>IF(T37*$U$1&gt;'הנחות עבודה לררל ומדרג'!$C$15,'הנחות עבודה לררל ומדרג'!$C$15,T37*$U$1)</f>
        <v>1000000</v>
      </c>
      <c r="V37" s="115">
        <f>IF(T37*$V$1&gt;'הנחות עבודה לררל ומדרג'!$C$16,'הנחות עבודה לררל ומדרג'!$C$16,T37*$V$1)</f>
        <v>1000000</v>
      </c>
      <c r="W37" s="115">
        <f>IF(T37*$W$1&gt;'הנחות עבודה לררל ומדרג'!$C$17,'הנחות עבודה לררל ומדרג'!$C$17,T37*$W$1)</f>
        <v>10000000</v>
      </c>
      <c r="X37" s="213">
        <f t="shared" si="8"/>
        <v>17084776.883975834</v>
      </c>
      <c r="Y37" s="115">
        <f t="shared" si="14"/>
        <v>13627165.32596375</v>
      </c>
      <c r="Z37" s="213">
        <f t="shared" si="9"/>
        <v>23898359.546957709</v>
      </c>
      <c r="AA37" s="115">
        <f t="shared" si="10"/>
        <v>6813582.6629818752</v>
      </c>
      <c r="AB37" s="279">
        <f t="shared" si="13"/>
        <v>0.55952406541223199</v>
      </c>
      <c r="AC37" s="279"/>
      <c r="AD37" s="120">
        <f>IF(B37&lt;'הנחות עבודה לררל ומדרג'!$I$3,'ררל ומדרג'!Z37,IF(B37&lt;'הנחות עבודה לררל ומדרג'!$I$4,'הנחות עבודה לררל ומדרג'!$J$3*'ררל ומדרג'!Z37,IF('ררל ומדרג'!B37&lt;'הנחות עבודה לררל ומדרג'!$I$5,'הנחות עבודה לררל ומדרג'!$J$4*'ררל ומדרג'!Z37,Z37*'הנחות עבודה לררל ומדרג'!$J$6)))</f>
        <v>5974589.8867394272</v>
      </c>
      <c r="AE37" s="120">
        <f>AD37*'הנחות עבודה לררל ומדרג'!$D$6</f>
        <v>0</v>
      </c>
      <c r="AF37" s="120">
        <f t="shared" si="11"/>
        <v>17923769.660218284</v>
      </c>
      <c r="AH37" s="120">
        <f>X37/'הנחות עבודה לררל ומדרג'!$J$10*2</f>
        <v>122034.12059982738</v>
      </c>
      <c r="AI37" s="212"/>
    </row>
    <row r="38" spans="2:35" s="128" customFormat="1" ht="14.4" customHeight="1">
      <c r="B38" s="214">
        <f>IF(C38-$C$2&lt;'הנחות עבודה לררל ומדרג'!$C$20,'ררל ומדרג'!C38-'ררל ומדרג'!$C$2,0)</f>
        <v>35</v>
      </c>
      <c r="C38" s="203">
        <v>2061</v>
      </c>
      <c r="D38" s="204">
        <f>IF(B38&gt;0,D37*(1+'הנחות עבודה לררל ומדרג'!$C$5),0)</f>
        <v>48021621.343088672</v>
      </c>
      <c r="E38" s="204"/>
      <c r="F38" s="204">
        <f>IF(B38&gt;0,IF(F37&gt;'הנחות עבודה לררל ומדרג'!$C$9,F37+'הנחות עבודה לררל ומדרג'!$C$8,'הנחות עבודה לררל ומדרג'!$C$9),0)</f>
        <v>3600000</v>
      </c>
      <c r="G38" s="115">
        <f>IF(B38&gt;0,IF(G37&gt;'הנחות עבודה לררל ומדרג'!$C$13,G37+'הנחות עבודה לררל ומדרג'!$C$12,'הנחות עבודה לררל ומדרג'!$C$13),0)</f>
        <v>1000000</v>
      </c>
      <c r="H38" s="280">
        <f t="shared" si="5"/>
        <v>43421621.343088672</v>
      </c>
      <c r="I38" s="204"/>
      <c r="J38" s="204"/>
      <c r="K38" s="204"/>
      <c r="L38" s="204"/>
      <c r="M38" s="204"/>
      <c r="N38" s="204"/>
      <c r="O38" s="204"/>
      <c r="P38" s="204"/>
      <c r="Q38" s="204"/>
      <c r="R38" s="280">
        <f t="shared" si="6"/>
        <v>43421621.343088672</v>
      </c>
      <c r="S38" s="204">
        <v>0</v>
      </c>
      <c r="T38" s="280">
        <f t="shared" si="7"/>
        <v>43421621.343088672</v>
      </c>
      <c r="U38" s="281">
        <f>IF(T38*$U$1&gt;'הנחות עבודה לררל ומדרג'!$C$15,'הנחות עבודה לררל ומדרג'!$C$15,T38*$U$1)</f>
        <v>1000000</v>
      </c>
      <c r="V38" s="281">
        <f>IF(T38*$V$1&gt;'הנחות עבודה לררל ומדרג'!$C$16,'הנחות עבודה לררל ומדרג'!$C$16,T38*$V$1)</f>
        <v>1000000</v>
      </c>
      <c r="W38" s="281">
        <f>IF(T38*$W$1&gt;'הנחות עבודה לררל ומדרג'!$C$17,'הנחות עבודה לררל ומדרג'!$C$17,T38*$W$1)</f>
        <v>10000000</v>
      </c>
      <c r="X38" s="282">
        <f t="shared" si="8"/>
        <v>17368648.537235469</v>
      </c>
      <c r="Y38" s="281">
        <f t="shared" si="14"/>
        <v>14052972.805853203</v>
      </c>
      <c r="Z38" s="282">
        <f t="shared" si="9"/>
        <v>24395134.94016207</v>
      </c>
      <c r="AA38" s="281">
        <f t="shared" si="10"/>
        <v>7026486.4029266015</v>
      </c>
      <c r="AB38" s="279">
        <f t="shared" si="13"/>
        <v>0.56181999164443897</v>
      </c>
      <c r="AC38" s="279"/>
      <c r="AD38" s="120">
        <f>IF(B38&lt;'הנחות עבודה לררל ומדרג'!$I$3,'ררל ומדרג'!Z38,IF(B38&lt;'הנחות עבודה לררל ומדרג'!$I$4,'הנחות עבודה לררל ומדרג'!$J$3*'ררל ומדרג'!Z38,IF('ררל ומדרג'!B38&lt;'הנחות עבודה לררל ומדרג'!$I$5,'הנחות עבודה לררל ומדרג'!$J$4*'ררל ומדרג'!Z38,Z38*'הנחות עבודה לררל ומדרג'!$J$6)))</f>
        <v>6098783.7350405175</v>
      </c>
      <c r="AE38" s="206">
        <f>AD38*'הנחות עבודה לררל ומדרג'!$D$6</f>
        <v>0</v>
      </c>
      <c r="AF38" s="120">
        <f t="shared" si="11"/>
        <v>18296351.205121554</v>
      </c>
      <c r="AG38" s="208"/>
      <c r="AH38" s="120">
        <f>X38/'הנחות עבודה לררל ומדרג'!$J$10*2</f>
        <v>124061.77526596763</v>
      </c>
      <c r="AI38" s="234"/>
    </row>
    <row r="39" spans="2:35" s="166" customFormat="1" ht="14.4" customHeight="1">
      <c r="B39" s="210">
        <f>IF(C39-$C$2&lt;'הנחות עבודה לררל ומדרג'!$C$20,'ררל ומדרג'!C39-'ררל ומדרג'!$C$2,0)</f>
        <v>36</v>
      </c>
      <c r="C39" s="114">
        <v>2062</v>
      </c>
      <c r="D39" s="115">
        <f>IF(B39&gt;0,D38*(1+'הנחות עבודה לררל ומדרג'!$C$5),0)</f>
        <v>48741945.663234994</v>
      </c>
      <c r="E39" s="115"/>
      <c r="F39" s="115">
        <f>IF(B39&gt;0,IF(F38&gt;'הנחות עבודה לררל ומדרג'!$C$9,F38+'הנחות עבודה לררל ומדרג'!$C$8,'הנחות עבודה לררל ומדרג'!$C$9),0)</f>
        <v>3600000</v>
      </c>
      <c r="G39" s="115">
        <f>IF(B39&gt;0,IF(G38&gt;'הנחות עבודה לררל ומדרג'!$C$13,G38+'הנחות עבודה לררל ומדרג'!$C$12,'הנחות עבודה לררל ומדרג'!$C$13),0)</f>
        <v>1000000</v>
      </c>
      <c r="H39" s="159">
        <f t="shared" si="5"/>
        <v>44141945.663234994</v>
      </c>
      <c r="R39" s="159">
        <f t="shared" si="6"/>
        <v>44141945.663234994</v>
      </c>
      <c r="S39" s="115">
        <v>0</v>
      </c>
      <c r="T39" s="159">
        <f t="shared" si="7"/>
        <v>44141945.663234994</v>
      </c>
      <c r="U39" s="115">
        <f>IF(T39*$U$1&gt;'הנחות עבודה לררל ומדרג'!$C$15,'הנחות עבודה לררל ומדרג'!$C$15,T39*$U$1)</f>
        <v>1000000</v>
      </c>
      <c r="V39" s="115">
        <f>IF(T39*$V$1&gt;'הנחות עבודה לררל ומדרג'!$C$16,'הנחות עבודה לררל ומדרג'!$C$16,T39*$V$1)</f>
        <v>1000000</v>
      </c>
      <c r="W39" s="115">
        <f>IF(T39*$W$1&gt;'הנחות עבודה לררל ומדרג'!$C$17,'הנחות עבודה לררל ומדרג'!$C$17,T39*$W$1)</f>
        <v>10000000</v>
      </c>
      <c r="X39" s="213">
        <f t="shared" si="8"/>
        <v>17656778.265293997</v>
      </c>
      <c r="Y39" s="115">
        <f t="shared" si="14"/>
        <v>14485167.397940997</v>
      </c>
      <c r="Z39" s="213">
        <f t="shared" si="9"/>
        <v>24899361.964264497</v>
      </c>
      <c r="AA39" s="115">
        <f t="shared" si="10"/>
        <v>7242583.6989704985</v>
      </c>
      <c r="AB39" s="279">
        <f t="shared" si="13"/>
        <v>0.56407486326554723</v>
      </c>
      <c r="AC39" s="279"/>
      <c r="AD39" s="120">
        <f>IF(B39&lt;'הנחות עבודה לררל ומדרג'!$I$3,'ררל ומדרג'!Z39,IF(B39&lt;'הנחות עבודה לררל ומדרג'!$I$4,'הנחות עבודה לררל ומדרג'!$J$3*'ררל ומדרג'!Z39,IF('ררל ומדרג'!B39&lt;'הנחות עבודה לררל ומדרג'!$I$5,'הנחות עבודה לררל ומדרג'!$J$4*'ררל ומדרג'!Z39,Z39*'הנחות עבודה לררל ומדרג'!$J$6)))</f>
        <v>6224840.4910661243</v>
      </c>
      <c r="AE39" s="120">
        <f>AD39*'הנחות עבודה לררל ומדרג'!$D$6</f>
        <v>0</v>
      </c>
      <c r="AF39" s="120">
        <f t="shared" si="11"/>
        <v>18674521.473198373</v>
      </c>
      <c r="AH39" s="120">
        <f>X39/'הנחות עבודה לררל ומדרג'!$J$10*2</f>
        <v>126119.84475209998</v>
      </c>
      <c r="AI39" s="212"/>
    </row>
    <row r="40" spans="2:35" ht="14.4" customHeight="1">
      <c r="B40" s="210">
        <f>IF(C40-$C$2&lt;'הנחות עבודה לררל ומדרג'!$C$20,'ררל ומדרג'!C40-'ררל ומדרג'!$C$2,0)</f>
        <v>37</v>
      </c>
      <c r="C40" s="114">
        <v>2063</v>
      </c>
      <c r="D40" s="115">
        <f>IF(B40&gt;0,D39*(1+'הנחות עבודה לררל ומדרג'!$C$5),0)</f>
        <v>49473074.848183513</v>
      </c>
      <c r="E40" s="115"/>
      <c r="F40" s="115">
        <f>IF(B40&gt;0,IF(F39&gt;'הנחות עבודה לררל ומדרג'!$C$9,F39+'הנחות עבודה לררל ומדרג'!$C$8,'הנחות עבודה לררל ומדרג'!$C$9),0)</f>
        <v>3600000</v>
      </c>
      <c r="G40" s="115">
        <f>IF(B40&gt;0,IF(G39&gt;'הנחות עבודה לררל ומדרג'!$C$13,G39+'הנחות עבודה לררל ומדרג'!$C$12,'הנחות עבודה לררל ומדרג'!$C$13),0)</f>
        <v>1000000</v>
      </c>
      <c r="H40" s="159">
        <f t="shared" si="5"/>
        <v>44873074.848183513</v>
      </c>
      <c r="R40" s="159">
        <f t="shared" si="6"/>
        <v>44873074.848183513</v>
      </c>
      <c r="S40" s="115">
        <v>0</v>
      </c>
      <c r="T40" s="159">
        <f t="shared" si="7"/>
        <v>44873074.848183513</v>
      </c>
      <c r="U40" s="115">
        <f>IF(T40*$U$1&gt;'הנחות עבודה לררל ומדרג'!$C$15,'הנחות עבודה לררל ומדרג'!$C$15,T40*$U$1)</f>
        <v>1000000</v>
      </c>
      <c r="V40" s="115">
        <f>IF(T40*$V$1&gt;'הנחות עבודה לררל ומדרג'!$C$16,'הנחות עבודה לררל ומדרג'!$C$16,T40*$V$1)</f>
        <v>1000000</v>
      </c>
      <c r="W40" s="115">
        <f>IF(T40*$W$1&gt;'הנחות עבודה לררל ומדרג'!$C$17,'הנחות עבודה לררל ומדרג'!$C$17,T40*$W$1)</f>
        <v>10000000</v>
      </c>
      <c r="X40" s="213">
        <f t="shared" si="8"/>
        <v>17949229.939273406</v>
      </c>
      <c r="Y40" s="115">
        <f t="shared" si="14"/>
        <v>14923844.908910107</v>
      </c>
      <c r="Z40" s="213">
        <f t="shared" si="9"/>
        <v>25411152.393728457</v>
      </c>
      <c r="AA40" s="115">
        <f t="shared" si="10"/>
        <v>7461922.4544550534</v>
      </c>
      <c r="AB40" s="279">
        <f t="shared" si="13"/>
        <v>0.56628952840206614</v>
      </c>
      <c r="AC40" s="279"/>
      <c r="AD40" s="120">
        <f>IF(B40&lt;'הנחות עבודה לררל ומדרג'!$I$3,'ררל ומדרג'!Z40,IF(B40&lt;'הנחות עבודה לררל ומדרג'!$I$4,'הנחות עבודה לררל ומדרג'!$J$3*'ררל ומדרג'!Z40,IF('ררל ומדרג'!B40&lt;'הנחות עבודה לררל ומדרג'!$I$5,'הנחות עבודה לררל ומדרג'!$J$4*'ררל ומדרג'!Z40,Z40*'הנחות עבודה לררל ומדרג'!$J$6)))</f>
        <v>6352788.0984321143</v>
      </c>
      <c r="AE40" s="120">
        <f>AD40*'הנחות עבודה לררל ומדרג'!$D$6</f>
        <v>0</v>
      </c>
      <c r="AF40" s="120">
        <f t="shared" si="11"/>
        <v>19058364.295296341</v>
      </c>
      <c r="AH40" s="120">
        <f>X40/'הנחות עבודה לררל ומדרג'!$J$10*2</f>
        <v>128208.78528052433</v>
      </c>
      <c r="AI40" s="212"/>
    </row>
    <row r="41" spans="2:35" ht="14.4" customHeight="1">
      <c r="B41" s="210">
        <f>IF(C41-$C$2&lt;'הנחות עבודה לררל ומדרג'!$C$20,'ררל ומדרג'!C41-'ררל ומדרג'!$C$2,0)</f>
        <v>38</v>
      </c>
      <c r="C41" s="114">
        <v>2064</v>
      </c>
      <c r="D41" s="115">
        <f>IF(B41&gt;0,D40*(1+'הנחות עבודה לררל ומדרג'!$C$5),0)</f>
        <v>50215170.970906258</v>
      </c>
      <c r="E41" s="115"/>
      <c r="F41" s="115">
        <f>IF(B41&gt;0,IF(F40&gt;'הנחות עבודה לררל ומדרג'!$C$9,F40+'הנחות עבודה לררל ומדרג'!$C$8,'הנחות עבודה לררל ומדרג'!$C$9),0)</f>
        <v>3600000</v>
      </c>
      <c r="G41" s="115">
        <f>IF(B41&gt;0,IF(G40&gt;'הנחות עבודה לררל ומדרג'!$C$13,G40+'הנחות עבודה לררל ומדרג'!$C$12,'הנחות עבודה לררל ומדרג'!$C$13),0)</f>
        <v>1000000</v>
      </c>
      <c r="H41" s="159">
        <f t="shared" si="5"/>
        <v>45615170.970906258</v>
      </c>
      <c r="R41" s="159">
        <f t="shared" si="6"/>
        <v>45615170.970906258</v>
      </c>
      <c r="S41" s="115">
        <v>0</v>
      </c>
      <c r="T41" s="159">
        <f t="shared" si="7"/>
        <v>45615170.970906258</v>
      </c>
      <c r="U41" s="115">
        <f>IF(T41*$U$1&gt;'הנחות עבודה לררל ומדרג'!$C$15,'הנחות עבודה לררל ומדרג'!$C$15,T41*$U$1)</f>
        <v>1000000</v>
      </c>
      <c r="V41" s="115">
        <f>IF(T41*$V$1&gt;'הנחות עבודה לררל ומדרג'!$C$16,'הנחות עבודה לררל ומדרג'!$C$16,T41*$V$1)</f>
        <v>1000000</v>
      </c>
      <c r="W41" s="115">
        <f>IF(T41*$W$1&gt;'הנחות עבודה לררל ומדרג'!$C$17,'הנחות עבודה לררל ומדרג'!$C$17,T41*$W$1)</f>
        <v>10000000</v>
      </c>
      <c r="X41" s="213">
        <f t="shared" si="8"/>
        <v>18246068.388362505</v>
      </c>
      <c r="Y41" s="115">
        <f t="shared" si="14"/>
        <v>15369102.582543753</v>
      </c>
      <c r="Z41" s="213">
        <f t="shared" si="9"/>
        <v>25930619.679634381</v>
      </c>
      <c r="AA41" s="115">
        <f t="shared" si="10"/>
        <v>7684551.2912718765</v>
      </c>
      <c r="AB41" s="279">
        <f t="shared" si="13"/>
        <v>0.56846481395790782</v>
      </c>
      <c r="AC41" s="279"/>
      <c r="AD41" s="120">
        <f>IF(B41&lt;'הנחות עבודה לררל ומדרג'!$I$3,'ררל ומדרג'!Z41,IF(B41&lt;'הנחות עבודה לררל ומדרג'!$I$4,'הנחות עבודה לררל ומדרג'!$J$3*'ררל ומדרג'!Z41,IF('ררל ומדרג'!B41&lt;'הנחות עבודה לררל ומדרג'!$I$5,'הנחות עבודה לררל ומדרג'!$J$4*'ררל ומדרג'!Z41,Z41*'הנחות עבודה לררל ומדרג'!$J$6)))</f>
        <v>6482654.9199085953</v>
      </c>
      <c r="AE41" s="120">
        <f>AD41*'הנחות עבודה לררל ומדרג'!$D$6</f>
        <v>0</v>
      </c>
      <c r="AF41" s="120">
        <f t="shared" si="11"/>
        <v>19447964.759725787</v>
      </c>
      <c r="AH41" s="120">
        <f>X41/'הנחות עבודה לררל ומדרג'!$J$10*2</f>
        <v>130329.05991687503</v>
      </c>
      <c r="AI41" s="212"/>
    </row>
    <row r="42" spans="2:35" ht="14.4" customHeight="1">
      <c r="B42" s="210">
        <f>IF(C42-$C$2&lt;'הנחות עבודה לררל ומדרג'!$C$20,'ררל ומדרג'!C42-'ררל ומדרג'!$C$2,0)</f>
        <v>39</v>
      </c>
      <c r="C42" s="114">
        <v>2065</v>
      </c>
      <c r="D42" s="115">
        <f>IF(B42&gt;0,D41*(1+'הנחות עבודה לררל ומדרג'!$C$5),0)</f>
        <v>50968398.535469845</v>
      </c>
      <c r="E42" s="115"/>
      <c r="F42" s="115">
        <f>IF(B42&gt;0,IF(F41&gt;'הנחות עבודה לררל ומדרג'!$C$9,F41+'הנחות עבודה לררל ומדרג'!$C$8,'הנחות עבודה לררל ומדרג'!$C$9),0)</f>
        <v>3600000</v>
      </c>
      <c r="G42" s="115">
        <f>IF(B42&gt;0,IF(G41&gt;'הנחות עבודה לררל ומדרג'!$C$13,G41+'הנחות עבודה לררל ומדרג'!$C$12,'הנחות עבודה לררל ומדרג'!$C$13),0)</f>
        <v>1000000</v>
      </c>
      <c r="H42" s="159">
        <f t="shared" si="5"/>
        <v>46368398.535469845</v>
      </c>
      <c r="R42" s="159">
        <f t="shared" si="6"/>
        <v>46368398.535469845</v>
      </c>
      <c r="S42" s="115">
        <v>0</v>
      </c>
      <c r="T42" s="159">
        <f t="shared" si="7"/>
        <v>46368398.535469845</v>
      </c>
      <c r="U42" s="115">
        <f>IF(T42*$U$1&gt;'הנחות עבודה לררל ומדרג'!$C$15,'הנחות עבודה לררל ומדרג'!$C$15,T42*$U$1)</f>
        <v>1000000</v>
      </c>
      <c r="V42" s="115">
        <f>IF(T42*$V$1&gt;'הנחות עבודה לררל ומדרג'!$C$16,'הנחות עבודה לררל ומדרג'!$C$16,T42*$V$1)</f>
        <v>1000000</v>
      </c>
      <c r="W42" s="115">
        <f>IF(T42*$W$1&gt;'הנחות עבודה לררל ומדרג'!$C$17,'הנחות עבודה לררל ומדרג'!$C$17,T42*$W$1)</f>
        <v>10000000</v>
      </c>
      <c r="X42" s="213">
        <f t="shared" si="8"/>
        <v>18547359.414187938</v>
      </c>
      <c r="Y42" s="115">
        <f t="shared" si="14"/>
        <v>15821039.121281907</v>
      </c>
      <c r="Z42" s="213">
        <f t="shared" si="9"/>
        <v>26457878.974828891</v>
      </c>
      <c r="AA42" s="115">
        <f t="shared" si="10"/>
        <v>7910519.5606409535</v>
      </c>
      <c r="AB42" s="279">
        <f t="shared" si="13"/>
        <v>0.57060152626556093</v>
      </c>
      <c r="AC42" s="279"/>
      <c r="AD42" s="120">
        <f>IF(B42&lt;'הנחות עבודה לררל ומדרג'!$I$3,'ררל ומדרג'!Z42,IF(B42&lt;'הנחות עבודה לררל ומדרג'!$I$4,'הנחות עבודה לררל ומדרג'!$J$3*'ררל ומדרג'!Z42,IF('ררל ומדרג'!B42&lt;'הנחות עבודה לררל ומדרג'!$I$5,'הנחות עבודה לררל ומדרג'!$J$4*'ררל ומדרג'!Z42,Z42*'הנחות עבודה לררל ומדרג'!$J$6)))</f>
        <v>6614469.7437072229</v>
      </c>
      <c r="AE42" s="120">
        <f>AD42*'הנחות עבודה לררל ומדרג'!$D$6</f>
        <v>0</v>
      </c>
      <c r="AF42" s="120">
        <f t="shared" si="11"/>
        <v>19843409.231121667</v>
      </c>
      <c r="AH42" s="120">
        <f>X42/'הנחות עבודה לררל ומדרג'!$J$10*2</f>
        <v>132481.13867277099</v>
      </c>
      <c r="AI42" s="212"/>
    </row>
    <row r="43" spans="2:35" s="128" customFormat="1" ht="14.4" customHeight="1">
      <c r="B43" s="214">
        <f>IF(C43-$C$2&lt;'הנחות עבודה לררל ומדרג'!$C$20,'ררל ומדרג'!C43-'ררל ומדרג'!$C$2,0)</f>
        <v>40</v>
      </c>
      <c r="C43" s="203">
        <v>2066</v>
      </c>
      <c r="D43" s="204">
        <f>IF(B43&gt;0,D42*(1+'הנחות עבודה לררל ומדרג'!$C$5),0)</f>
        <v>51732924.51350189</v>
      </c>
      <c r="E43" s="204"/>
      <c r="F43" s="204">
        <f>IF(B43&gt;0,IF(F42&gt;'הנחות עבודה לררל ומדרג'!$C$9,F42+'הנחות עבודה לררל ומדרג'!$C$8,'הנחות עבודה לררל ומדרג'!$C$9),0)</f>
        <v>3600000</v>
      </c>
      <c r="G43" s="115">
        <f>IF(B43&gt;0,IF(G42&gt;'הנחות עבודה לררל ומדרג'!$C$13,G42+'הנחות עבודה לררל ומדרג'!$C$12,'הנחות עבודה לררל ומדרג'!$C$13),0)</f>
        <v>1000000</v>
      </c>
      <c r="H43" s="280">
        <f t="shared" si="5"/>
        <v>47132924.51350189</v>
      </c>
      <c r="I43" s="204"/>
      <c r="J43" s="204"/>
      <c r="K43" s="204"/>
      <c r="L43" s="204"/>
      <c r="M43" s="204"/>
      <c r="N43" s="204"/>
      <c r="O43" s="204"/>
      <c r="P43" s="204"/>
      <c r="Q43" s="204"/>
      <c r="R43" s="280">
        <f t="shared" si="6"/>
        <v>47132924.51350189</v>
      </c>
      <c r="S43" s="204">
        <v>0</v>
      </c>
      <c r="T43" s="280">
        <f t="shared" si="7"/>
        <v>47132924.51350189</v>
      </c>
      <c r="U43" s="281">
        <f>IF(T43*$U$1&gt;'הנחות עבודה לררל ומדרג'!$C$15,'הנחות עבודה לררל ומדרג'!$C$15,T43*$U$1)</f>
        <v>1000000</v>
      </c>
      <c r="V43" s="281">
        <f>IF(T43*$V$1&gt;'הנחות עבודה לררל ומדרג'!$C$16,'הנחות עבודה לררל ומדרג'!$C$16,T43*$V$1)</f>
        <v>1000000</v>
      </c>
      <c r="W43" s="281">
        <f>IF(T43*$W$1&gt;'הנחות עבודה לררל ומדרג'!$C$17,'הנחות עבודה לררל ומדרג'!$C$17,T43*$W$1)</f>
        <v>10000000</v>
      </c>
      <c r="X43" s="282">
        <f t="shared" si="8"/>
        <v>18853169.805400755</v>
      </c>
      <c r="Y43" s="281">
        <f t="shared" si="14"/>
        <v>16279754.708101135</v>
      </c>
      <c r="Z43" s="282">
        <f t="shared" si="9"/>
        <v>26993047.159451321</v>
      </c>
      <c r="AA43" s="281">
        <f t="shared" si="10"/>
        <v>8139877.3540505674</v>
      </c>
      <c r="AB43" s="120"/>
      <c r="AC43" s="120"/>
      <c r="AD43" s="120">
        <f>IF(B43&lt;'הנחות עבודה לררל ומדרג'!$I$3,'ררל ומדרג'!Z43,IF(B43&lt;'הנחות עבודה לררל ומדרג'!$I$4,'הנחות עבודה לררל ומדרג'!$J$3*'ררל ומדרג'!Z43,IF('ררל ומדרג'!B43&lt;'הנחות עבודה לררל ומדרג'!$I$5,'הנחות עבודה לררל ומדרג'!$J$4*'ררל ומדרג'!Z43,Z43*'הנחות עבודה לררל ומדרג'!$J$6)))</f>
        <v>6748261.7898628302</v>
      </c>
      <c r="AE43" s="206">
        <f>AD43*'הנחות עבודה לררל ומדרג'!$D$6</f>
        <v>0</v>
      </c>
      <c r="AF43" s="120">
        <f t="shared" si="11"/>
        <v>20244785.369588491</v>
      </c>
      <c r="AG43" s="208"/>
      <c r="AH43" s="120">
        <f>X43/'הנחות עבודה לררל ומדרג'!$J$10*2</f>
        <v>134665.49861000539</v>
      </c>
      <c r="AI43" s="234"/>
    </row>
    <row r="44" spans="2:35" ht="14.4" customHeight="1">
      <c r="B44" s="210">
        <f>IF(C44-$C$2&lt;'הנחות עבודה לררל ומדרג'!$C$20,'ררל ומדרג'!C44-'ררל ומדרג'!$C$2,0)</f>
        <v>0</v>
      </c>
      <c r="C44" s="114">
        <v>2067</v>
      </c>
      <c r="D44" s="115">
        <f>IF(B44&gt;0,D43*(1+'הנחות עבודה לררל ומדרג'!$C$5),0)</f>
        <v>0</v>
      </c>
      <c r="E44" s="115"/>
      <c r="F44" s="115">
        <f>IF(B44&gt;0,IF(F43&gt;'הנחות עבודה לררל ומדרג'!$C$9,F43+'הנחות עבודה לררל ומדרג'!$C$8,'הנחות עבודה לררל ומדרג'!$C$9),0)</f>
        <v>0</v>
      </c>
      <c r="G44" s="115">
        <f>IF(B44&gt;0,IF(G43&gt;'הנחות עבודה לררל ומדרג'!$C$13,G43+'הנחות עבודה לררל ומדרג'!$C$12,'הנחות עבודה לררל ומדרג'!$C$13),0)</f>
        <v>0</v>
      </c>
      <c r="H44" s="159">
        <f t="shared" si="5"/>
        <v>0</v>
      </c>
      <c r="R44" s="159">
        <f t="shared" si="6"/>
        <v>0</v>
      </c>
      <c r="S44" s="115">
        <v>0</v>
      </c>
      <c r="T44" s="159">
        <f t="shared" si="7"/>
        <v>0</v>
      </c>
      <c r="U44" s="115">
        <f>IF(T44*$U$1&gt;'הנחות עבודה לררל ומדרג'!$C$15,'הנחות עבודה לררל ומדרג'!$C$15,T44*$U$1)</f>
        <v>0</v>
      </c>
      <c r="V44" s="115">
        <f>IF(T44*$V$1&gt;'הנחות עבודה לררל ומדרג'!$C$16,'הנחות עבודה לררל ומדרג'!$C$16,T44*$V$1)</f>
        <v>0</v>
      </c>
      <c r="W44" s="115">
        <f>IF(T44*$W$1&gt;'הנחות עבודה לררל ומדרג'!$C$17,'הנחות עבודה לררל ומדרג'!$C$17,T44*$W$1)</f>
        <v>0</v>
      </c>
      <c r="X44" s="213">
        <f t="shared" si="8"/>
        <v>0</v>
      </c>
      <c r="Y44" s="115">
        <f t="shared" si="14"/>
        <v>0</v>
      </c>
      <c r="Z44" s="213">
        <f t="shared" si="9"/>
        <v>0</v>
      </c>
      <c r="AA44" s="115">
        <f t="shared" si="10"/>
        <v>0</v>
      </c>
      <c r="AB44" s="120"/>
      <c r="AC44" s="120"/>
      <c r="AD44" s="120">
        <f>IF(B44&lt;'הנחות עבודה לררל ומדרג'!$I$3,'ררל ומדרג'!Z44,IF(B44&lt;'הנחות עבודה לררל ומדרג'!$I$4,'הנחות עבודה לררל ומדרג'!$J$3*'ררל ומדרג'!Z44,IF('ררל ומדרג'!B44&lt;'הנחות עבודה לררל ומדרג'!$I$5,'הנחות עבודה לררל ומדרג'!$J$4*'ררל ומדרג'!Z44,Z44*'הנחות עבודה לררל ומדרג'!$J$6)))</f>
        <v>0</v>
      </c>
      <c r="AE44" s="120">
        <f>AD44*'הנחות עבודה לררל ומדרג'!$D$6</f>
        <v>0</v>
      </c>
      <c r="AF44" s="120">
        <f t="shared" si="11"/>
        <v>0</v>
      </c>
      <c r="AH44" s="120">
        <f>X44/'הנחות עבודה לררל ומדרג'!$J$10*2</f>
        <v>0</v>
      </c>
      <c r="AI44" s="212"/>
    </row>
    <row r="45" spans="2:35" ht="14.4" customHeight="1">
      <c r="B45" s="210">
        <f>IF(C45-$C$2&lt;'הנחות עבודה לררל ומדרג'!$C$20,'ררל ומדרג'!C45-'ררל ומדרג'!$C$2,0)</f>
        <v>0</v>
      </c>
      <c r="C45" s="114">
        <v>2068</v>
      </c>
      <c r="D45" s="115">
        <f>IF(B45&gt;0,D44*(1+'הנחות עבודה לררל ומדרג'!$C$5),0)</f>
        <v>0</v>
      </c>
      <c r="E45" s="115"/>
      <c r="F45" s="115">
        <f>IF(B45&gt;0,IF(F44&gt;'הנחות עבודה לררל ומדרג'!$C$9,F44+'הנחות עבודה לררל ומדרג'!$C$8,'הנחות עבודה לררל ומדרג'!$C$9),0)</f>
        <v>0</v>
      </c>
      <c r="G45" s="115">
        <f>IF(B45&gt;0,IF(G44&gt;'הנחות עבודה לררל ומדרג'!$C$13,G44+'הנחות עבודה לררל ומדרג'!$C$12,'הנחות עבודה לררל ומדרג'!$C$13),0)</f>
        <v>0</v>
      </c>
      <c r="H45" s="159">
        <f t="shared" si="5"/>
        <v>0</v>
      </c>
      <c r="R45" s="159">
        <f t="shared" si="6"/>
        <v>0</v>
      </c>
      <c r="S45" s="115">
        <v>0</v>
      </c>
      <c r="T45" s="159">
        <f t="shared" si="7"/>
        <v>0</v>
      </c>
      <c r="U45" s="115">
        <f>IF(T45*$U$1&gt;'הנחות עבודה לררל ומדרג'!$C$15,'הנחות עבודה לררל ומדרג'!$C$15,T45*$U$1)</f>
        <v>0</v>
      </c>
      <c r="V45" s="115">
        <f>IF(T45*$V$1&gt;'הנחות עבודה לררל ומדרג'!$C$16,'הנחות עבודה לררל ומדרג'!$C$16,T45*$V$1)</f>
        <v>0</v>
      </c>
      <c r="W45" s="115">
        <f>IF(T45*$W$1&gt;'הנחות עבודה לררל ומדרג'!$C$17,'הנחות עבודה לררל ומדרג'!$C$17,T45*$W$1)</f>
        <v>0</v>
      </c>
      <c r="X45" s="213">
        <f t="shared" si="8"/>
        <v>0</v>
      </c>
      <c r="Y45" s="115">
        <f t="shared" si="14"/>
        <v>0</v>
      </c>
      <c r="Z45" s="213">
        <f t="shared" si="9"/>
        <v>0</v>
      </c>
      <c r="AA45" s="115">
        <f t="shared" si="10"/>
        <v>0</v>
      </c>
      <c r="AB45" s="120"/>
      <c r="AC45" s="120"/>
      <c r="AD45" s="120">
        <f>IF(B45&lt;'הנחות עבודה לררל ומדרג'!$I$3,'ררל ומדרג'!Z45,IF(B45&lt;'הנחות עבודה לררל ומדרג'!$I$4,'הנחות עבודה לררל ומדרג'!$J$3*'ררל ומדרג'!Z45,IF('ררל ומדרג'!B45&lt;'הנחות עבודה לררל ומדרג'!$I$5,'הנחות עבודה לררל ומדרג'!$J$4*'ררל ומדרג'!Z45,Z45*'הנחות עבודה לררל ומדרג'!$J$6)))</f>
        <v>0</v>
      </c>
      <c r="AE45" s="120">
        <f>AD45*'הנחות עבודה לררל ומדרג'!$D$6</f>
        <v>0</v>
      </c>
      <c r="AF45" s="120">
        <f t="shared" si="11"/>
        <v>0</v>
      </c>
      <c r="AH45" s="120">
        <f>X45/'הנחות עבודה לררל ומדרג'!$J$10*2</f>
        <v>0</v>
      </c>
      <c r="AI45" s="212"/>
    </row>
    <row r="46" spans="2:35" ht="14.4" customHeight="1">
      <c r="B46" s="210">
        <f>IF(C46-$C$2&lt;'הנחות עבודה לררל ומדרג'!$C$20,'ררל ומדרג'!C46-'ררל ומדרג'!$C$2,0)</f>
        <v>0</v>
      </c>
      <c r="C46" s="114">
        <v>2069</v>
      </c>
      <c r="D46" s="115">
        <f>IF(B46&gt;0,D45*(1+'הנחות עבודה לררל ומדרג'!$C$5),0)</f>
        <v>0</v>
      </c>
      <c r="E46" s="115"/>
      <c r="F46" s="115">
        <f>IF(B46&gt;0,IF(F45&gt;'הנחות עבודה לררל ומדרג'!$C$9,F45+'הנחות עבודה לררל ומדרג'!$C$8,'הנחות עבודה לררל ומדרג'!$C$9),0)</f>
        <v>0</v>
      </c>
      <c r="G46" s="115">
        <f>IF(B46&gt;0,IF(G45&gt;'הנחות עבודה לררל ומדרג'!$C$13,G45+'הנחות עבודה לררל ומדרג'!$C$12,'הנחות עבודה לררל ומדרג'!$C$13),0)</f>
        <v>0</v>
      </c>
      <c r="H46" s="159">
        <f t="shared" si="5"/>
        <v>0</v>
      </c>
      <c r="R46" s="159">
        <f t="shared" si="6"/>
        <v>0</v>
      </c>
      <c r="S46" s="115">
        <v>0</v>
      </c>
      <c r="T46" s="159">
        <f t="shared" si="7"/>
        <v>0</v>
      </c>
      <c r="U46" s="115">
        <f>IF(T46*$U$1&gt;'הנחות עבודה לררל ומדרג'!$C$15,'הנחות עבודה לררל ומדרג'!$C$15,T46*$U$1)</f>
        <v>0</v>
      </c>
      <c r="V46" s="115">
        <f>IF(T46*$V$1&gt;'הנחות עבודה לררל ומדרג'!$C$16,'הנחות עבודה לררל ומדרג'!$C$16,T46*$V$1)</f>
        <v>0</v>
      </c>
      <c r="W46" s="115">
        <f>IF(T46*$W$1&gt;'הנחות עבודה לררל ומדרג'!$C$17,'הנחות עבודה לררל ומדרג'!$C$17,T46*$W$1)</f>
        <v>0</v>
      </c>
      <c r="X46" s="213">
        <f t="shared" si="8"/>
        <v>0</v>
      </c>
      <c r="Y46" s="115">
        <f t="shared" si="14"/>
        <v>0</v>
      </c>
      <c r="Z46" s="213">
        <f t="shared" si="9"/>
        <v>0</v>
      </c>
      <c r="AA46" s="115">
        <f t="shared" si="10"/>
        <v>0</v>
      </c>
      <c r="AB46" s="120"/>
      <c r="AC46" s="120"/>
      <c r="AD46" s="120">
        <f>IF(B46&lt;'הנחות עבודה לררל ומדרג'!$I$3,'ררל ומדרג'!Z46,IF(B46&lt;'הנחות עבודה לררל ומדרג'!$I$4,'הנחות עבודה לררל ומדרג'!$J$3*'ררל ומדרג'!Z46,IF('ררל ומדרג'!B46&lt;'הנחות עבודה לררל ומדרג'!$I$5,'הנחות עבודה לררל ומדרג'!$J$4*'ררל ומדרג'!Z46,Z46*'הנחות עבודה לררל ומדרג'!$J$6)))</f>
        <v>0</v>
      </c>
      <c r="AE46" s="120">
        <f>AD46*'הנחות עבודה לררל ומדרג'!$D$6</f>
        <v>0</v>
      </c>
      <c r="AF46" s="120">
        <f t="shared" si="11"/>
        <v>0</v>
      </c>
      <c r="AH46" s="120">
        <f>X46/'הנחות עבודה לררל ומדרג'!$J$10*2</f>
        <v>0</v>
      </c>
      <c r="AI46" s="212"/>
    </row>
    <row r="47" spans="2:35" ht="14.4" customHeight="1">
      <c r="B47" s="210">
        <f>IF(C47-$C$2&lt;'הנחות עבודה לררל ומדרג'!$C$20,'ררל ומדרג'!C47-'ררל ומדרג'!$C$2,0)</f>
        <v>0</v>
      </c>
      <c r="C47" s="114">
        <v>2070</v>
      </c>
      <c r="D47" s="115">
        <f>IF(B47&gt;0,D46*(1+'הנחות עבודה לררל ומדרג'!$C$5),0)</f>
        <v>0</v>
      </c>
      <c r="E47" s="115"/>
      <c r="F47" s="115">
        <f>IF(B47&gt;0,IF(F46&gt;'הנחות עבודה לררל ומדרג'!$C$9,F46+'הנחות עבודה לררל ומדרג'!$C$8,'הנחות עבודה לררל ומדרג'!$C$9),0)</f>
        <v>0</v>
      </c>
      <c r="G47" s="115">
        <f>IF(B47&gt;0,IF(G46&gt;'הנחות עבודה לררל ומדרג'!$C$13,G46+'הנחות עבודה לררל ומדרג'!$C$12,'הנחות עבודה לררל ומדרג'!$C$13),0)</f>
        <v>0</v>
      </c>
      <c r="H47" s="159">
        <f t="shared" si="5"/>
        <v>0</v>
      </c>
      <c r="R47" s="159">
        <f t="shared" si="6"/>
        <v>0</v>
      </c>
      <c r="S47" s="115">
        <v>0</v>
      </c>
      <c r="T47" s="159">
        <f t="shared" si="7"/>
        <v>0</v>
      </c>
      <c r="U47" s="115">
        <f>IF(T47*$U$1&gt;'הנחות עבודה לררל ומדרג'!$C$15,'הנחות עבודה לררל ומדרג'!$C$15,T47*$U$1)</f>
        <v>0</v>
      </c>
      <c r="V47" s="115">
        <f>IF(T47*$V$1&gt;'הנחות עבודה לררל ומדרג'!$C$16,'הנחות עבודה לררל ומדרג'!$C$16,T47*$V$1)</f>
        <v>0</v>
      </c>
      <c r="W47" s="115">
        <f>IF(T47*$W$1&gt;'הנחות עבודה לררל ומדרג'!$C$17,'הנחות עבודה לררל ומדרג'!$C$17,T47*$W$1)</f>
        <v>0</v>
      </c>
      <c r="X47" s="213">
        <f t="shared" si="8"/>
        <v>0</v>
      </c>
      <c r="Y47" s="115">
        <f t="shared" si="14"/>
        <v>0</v>
      </c>
      <c r="Z47" s="213">
        <f t="shared" si="9"/>
        <v>0</v>
      </c>
      <c r="AA47" s="115">
        <f t="shared" si="10"/>
        <v>0</v>
      </c>
      <c r="AB47" s="120"/>
      <c r="AC47" s="120"/>
      <c r="AD47" s="120">
        <f>IF(B47&lt;'הנחות עבודה לררל ומדרג'!$I$3,'ררל ומדרג'!Z47,IF(B47&lt;'הנחות עבודה לררל ומדרג'!$I$4,'הנחות עבודה לררל ומדרג'!$J$3*'ררל ומדרג'!Z47,IF('ררל ומדרג'!B47&lt;'הנחות עבודה לררל ומדרג'!$I$5,'הנחות עבודה לררל ומדרג'!$J$4*'ררל ומדרג'!Z47,Z47*'הנחות עבודה לררל ומדרג'!$J$6)))</f>
        <v>0</v>
      </c>
      <c r="AE47" s="120">
        <f>AD47*'הנחות עבודה לררל ומדרג'!$D$6</f>
        <v>0</v>
      </c>
      <c r="AF47" s="120">
        <f t="shared" si="11"/>
        <v>0</v>
      </c>
      <c r="AH47" s="120">
        <f>X47/'הנחות עבודה לררל ומדרג'!$J$10*2</f>
        <v>0</v>
      </c>
      <c r="AI47" s="212"/>
    </row>
    <row r="48" spans="2:35" s="128" customFormat="1" ht="14.4" customHeight="1">
      <c r="B48" s="214">
        <f>IF(C48-$C$2&lt;'הנחות עבודה לררל ומדרג'!$C$20,'ררל ומדרג'!C48-'ררל ומדרג'!$C$2,0)</f>
        <v>0</v>
      </c>
      <c r="C48" s="203">
        <v>2071</v>
      </c>
      <c r="D48" s="204">
        <f>IF(B48&gt;0,D47*(1+'הנחות עבודה לררל ומדרג'!$C$5),0)</f>
        <v>0</v>
      </c>
      <c r="E48" s="204"/>
      <c r="F48" s="204">
        <f>IF(B48&gt;0,IF(F47&gt;'הנחות עבודה לררל ומדרג'!$C$9,F47+'הנחות עבודה לררל ומדרג'!$C$8,'הנחות עבודה לררל ומדרג'!$C$9),0)</f>
        <v>0</v>
      </c>
      <c r="G48" s="115">
        <f>IF(B48&gt;0,IF(G47&gt;'הנחות עבודה לררל ומדרג'!$C$13,G47+'הנחות עבודה לררל ומדרג'!$C$12,'הנחות עבודה לררל ומדרג'!$C$13),0)</f>
        <v>0</v>
      </c>
      <c r="H48" s="205">
        <f t="shared" si="5"/>
        <v>0</v>
      </c>
      <c r="I48" s="204"/>
      <c r="J48" s="204"/>
      <c r="K48" s="204"/>
      <c r="L48" s="204"/>
      <c r="M48" s="204"/>
      <c r="N48" s="204"/>
      <c r="O48" s="204"/>
      <c r="P48" s="204"/>
      <c r="Q48" s="204"/>
      <c r="R48" s="205">
        <f t="shared" si="6"/>
        <v>0</v>
      </c>
      <c r="S48" s="204">
        <v>0</v>
      </c>
      <c r="T48" s="205">
        <f t="shared" si="7"/>
        <v>0</v>
      </c>
      <c r="U48" s="115">
        <f>IF(T48*$U$1&gt;'הנחות עבודה לררל ומדרג'!$C$15,'הנחות עבודה לררל ומדרג'!$C$15,T48*$U$1)</f>
        <v>0</v>
      </c>
      <c r="V48" s="115">
        <f>IF(T48*$V$1&gt;'הנחות עבודה לררל ומדרג'!$C$16,'הנחות עבודה לררל ומדרג'!$C$16,T48*$V$1)</f>
        <v>0</v>
      </c>
      <c r="W48" s="115">
        <f>IF(T48*$W$1&gt;'הנחות עבודה לררל ומדרג'!$C$17,'הנחות עבודה לררל ומדרג'!$C$17,T48*$W$1)</f>
        <v>0</v>
      </c>
      <c r="X48" s="213">
        <f t="shared" si="8"/>
        <v>0</v>
      </c>
      <c r="Y48" s="115">
        <f t="shared" si="14"/>
        <v>0</v>
      </c>
      <c r="Z48" s="213">
        <f t="shared" si="9"/>
        <v>0</v>
      </c>
      <c r="AA48" s="115">
        <f t="shared" si="10"/>
        <v>0</v>
      </c>
      <c r="AB48" s="120"/>
      <c r="AC48" s="120"/>
      <c r="AD48" s="120">
        <f>IF(B48&lt;'הנחות עבודה לררל ומדרג'!$I$3,'ררל ומדרג'!Z48,IF(B48&lt;'הנחות עבודה לררל ומדרג'!$I$4,'הנחות עבודה לררל ומדרג'!$J$3*'ררל ומדרג'!Z48,IF('ררל ומדרג'!B48&lt;'הנחות עבודה לררל ומדרג'!$I$5,'הנחות עבודה לררל ומדרג'!$J$4*'ררל ומדרג'!Z48,Z48*'הנחות עבודה לררל ומדרג'!$J$6)))</f>
        <v>0</v>
      </c>
      <c r="AE48" s="206">
        <f>AD48*'הנחות עבודה לררל ומדרג'!$D$6</f>
        <v>0</v>
      </c>
      <c r="AF48" s="120">
        <f t="shared" si="11"/>
        <v>0</v>
      </c>
      <c r="AG48" s="208"/>
      <c r="AH48" s="120">
        <f>X48/'הנחות עבודה לררל ומדרג'!$J$10*2</f>
        <v>0</v>
      </c>
      <c r="AI48" s="234"/>
    </row>
    <row r="49" spans="2:35" ht="14.4" customHeight="1">
      <c r="B49" s="210">
        <f>IF(C49-$C$2&lt;'הנחות עבודה לררל ומדרג'!$C$20,'ררל ומדרג'!C49-'ררל ומדרג'!$C$2,0)</f>
        <v>0</v>
      </c>
      <c r="C49" s="114">
        <v>2072</v>
      </c>
      <c r="D49" s="115">
        <f>IF(B49&gt;0,D48*(1+'הנחות עבודה לררל ומדרג'!$C$5),0)</f>
        <v>0</v>
      </c>
      <c r="E49" s="115"/>
      <c r="F49" s="115">
        <f>IF(B49&gt;0,IF(F48&gt;'הנחות עבודה לררל ומדרג'!$C$9,F48+'הנחות עבודה לררל ומדרג'!$C$8,'הנחות עבודה לררל ומדרג'!$C$9),0)</f>
        <v>0</v>
      </c>
      <c r="G49" s="115">
        <f>IF(B49&gt;0,IF(G48&gt;'הנחות עבודה לררל ומדרג'!$C$13,G48+'הנחות עבודה לררל ומדרג'!$C$12,'הנחות עבודה לררל ומדרג'!$C$13),0)</f>
        <v>0</v>
      </c>
      <c r="H49" s="159">
        <f t="shared" si="5"/>
        <v>0</v>
      </c>
      <c r="R49" s="159">
        <f t="shared" si="6"/>
        <v>0</v>
      </c>
      <c r="S49" s="115">
        <v>0</v>
      </c>
      <c r="T49" s="159">
        <f t="shared" si="7"/>
        <v>0</v>
      </c>
      <c r="U49" s="115">
        <f>IF(T49*$U$1&gt;'הנחות עבודה לררל ומדרג'!$C$15,'הנחות עבודה לררל ומדרג'!$C$15,T49*$U$1)</f>
        <v>0</v>
      </c>
      <c r="V49" s="115">
        <f>IF(T49*$V$1&gt;'הנחות עבודה לררל ומדרג'!$C$16,'הנחות עבודה לררל ומדרג'!$C$16,T49*$V$1)</f>
        <v>0</v>
      </c>
      <c r="W49" s="115">
        <f>IF(T49*$W$1&gt;'הנחות עבודה לררל ומדרג'!$C$17,'הנחות עבודה לררל ומדרג'!$C$17,T49*$W$1)</f>
        <v>0</v>
      </c>
      <c r="X49" s="213">
        <f t="shared" si="8"/>
        <v>0</v>
      </c>
      <c r="Y49" s="115">
        <f t="shared" si="14"/>
        <v>0</v>
      </c>
      <c r="Z49" s="213">
        <f t="shared" si="9"/>
        <v>0</v>
      </c>
      <c r="AA49" s="115">
        <f t="shared" si="10"/>
        <v>0</v>
      </c>
      <c r="AB49" s="120"/>
      <c r="AC49" s="120"/>
      <c r="AD49" s="120">
        <f>IF(B49&lt;'הנחות עבודה לררל ומדרג'!$I$3,'ררל ומדרג'!Z49,IF(B49&lt;'הנחות עבודה לררל ומדרג'!$I$4,'הנחות עבודה לררל ומדרג'!$J$3*'ררל ומדרג'!Z49,IF('ררל ומדרג'!B49&lt;'הנחות עבודה לררל ומדרג'!$I$5,'הנחות עבודה לררל ומדרג'!$J$4*'ררל ומדרג'!Z49,Z49*'הנחות עבודה לררל ומדרג'!$J$6)))</f>
        <v>0</v>
      </c>
      <c r="AE49" s="120">
        <f>AD49*'הנחות עבודה לררל ומדרג'!$D$6</f>
        <v>0</v>
      </c>
      <c r="AF49" s="120">
        <f t="shared" si="11"/>
        <v>0</v>
      </c>
      <c r="AH49" s="120">
        <f>X49/'הנחות עבודה לררל ומדרג'!$J$10*2</f>
        <v>0</v>
      </c>
      <c r="AI49" s="212"/>
    </row>
    <row r="50" spans="2:35" ht="14.4" customHeight="1">
      <c r="B50" s="210">
        <f>IF(C50-$C$2&lt;'הנחות עבודה לררל ומדרג'!$C$20,'ררל ומדרג'!C50-'ררל ומדרג'!$C$2,0)</f>
        <v>0</v>
      </c>
      <c r="C50" s="114">
        <v>2073</v>
      </c>
      <c r="D50" s="115">
        <f>IF(B50&gt;0,D49*(1+'הנחות עבודה לררל ומדרג'!$C$5),0)</f>
        <v>0</v>
      </c>
      <c r="E50" s="115"/>
      <c r="F50" s="115">
        <f>IF(B50&gt;0,IF(F49&gt;'הנחות עבודה לררל ומדרג'!$C$9,F49+'הנחות עבודה לררל ומדרג'!$C$8,'הנחות עבודה לררל ומדרג'!$C$9),0)</f>
        <v>0</v>
      </c>
      <c r="G50" s="115">
        <f>IF(B50&gt;0,IF(G49&gt;'הנחות עבודה לררל ומדרג'!$C$13,G49+'הנחות עבודה לררל ומדרג'!$C$12,'הנחות עבודה לררל ומדרג'!$C$13),0)</f>
        <v>0</v>
      </c>
      <c r="H50" s="159">
        <f t="shared" si="5"/>
        <v>0</v>
      </c>
      <c r="R50" s="159">
        <f t="shared" si="6"/>
        <v>0</v>
      </c>
      <c r="S50" s="115">
        <v>0</v>
      </c>
      <c r="T50" s="159">
        <f t="shared" si="7"/>
        <v>0</v>
      </c>
      <c r="U50" s="115">
        <f>IF(T50*$U$1&gt;'הנחות עבודה לררל ומדרג'!$C$15,'הנחות עבודה לררל ומדרג'!$C$15,T50*$U$1)</f>
        <v>0</v>
      </c>
      <c r="V50" s="115">
        <f>IF(T50*$V$1&gt;'הנחות עבודה לררל ומדרג'!$C$16,'הנחות עבודה לררל ומדרג'!$C$16,T50*$V$1)</f>
        <v>0</v>
      </c>
      <c r="W50" s="115">
        <f>IF(T50*$W$1&gt;'הנחות עבודה לררל ומדרג'!$C$17,'הנחות עבודה לררל ומדרג'!$C$17,T50*$W$1)</f>
        <v>0</v>
      </c>
      <c r="X50" s="213">
        <f t="shared" si="8"/>
        <v>0</v>
      </c>
      <c r="Y50" s="115">
        <f t="shared" si="14"/>
        <v>0</v>
      </c>
      <c r="Z50" s="213">
        <f t="shared" si="9"/>
        <v>0</v>
      </c>
      <c r="AA50" s="115">
        <f t="shared" si="10"/>
        <v>0</v>
      </c>
      <c r="AB50" s="120"/>
      <c r="AC50" s="120"/>
      <c r="AD50" s="120">
        <f>IF(B50&lt;'הנחות עבודה לררל ומדרג'!$I$3,'ררל ומדרג'!Z50,IF(B50&lt;'הנחות עבודה לררל ומדרג'!$I$4,'הנחות עבודה לררל ומדרג'!$J$3*'ררל ומדרג'!Z50,IF('ררל ומדרג'!B50&lt;'הנחות עבודה לררל ומדרג'!$I$5,'הנחות עבודה לררל ומדרג'!$J$4*'ררל ומדרג'!Z50,Z50*'הנחות עבודה לררל ומדרג'!$J$6)))</f>
        <v>0</v>
      </c>
      <c r="AE50" s="120">
        <f>AD50*'הנחות עבודה לררל ומדרג'!$D$6</f>
        <v>0</v>
      </c>
      <c r="AF50" s="120">
        <f t="shared" si="11"/>
        <v>0</v>
      </c>
      <c r="AH50" s="120">
        <f>X50/'הנחות עבודה לררל ומדרג'!$J$10*2</f>
        <v>0</v>
      </c>
      <c r="AI50" s="212"/>
    </row>
    <row r="51" spans="2:35" ht="14.4" customHeight="1">
      <c r="B51" s="210">
        <f>IF(C51-$C$2&lt;'הנחות עבודה לררל ומדרג'!$C$20,'ררל ומדרג'!C51-'ררל ומדרג'!$C$2,0)</f>
        <v>0</v>
      </c>
      <c r="C51" s="114">
        <v>2074</v>
      </c>
      <c r="D51" s="115">
        <f>IF(B51&gt;0,D50*(1+'הנחות עבודה לררל ומדרג'!$C$5),0)</f>
        <v>0</v>
      </c>
      <c r="E51" s="115"/>
      <c r="F51" s="115">
        <f>IF(B51&gt;0,IF(F50&gt;'הנחות עבודה לררל ומדרג'!$C$9,F50+'הנחות עבודה לררל ומדרג'!$C$8,'הנחות עבודה לררל ומדרג'!$C$9),0)</f>
        <v>0</v>
      </c>
      <c r="G51" s="115">
        <f>IF(B51&gt;0,IF(G50&gt;'הנחות עבודה לררל ומדרג'!$C$13,G50+'הנחות עבודה לררל ומדרג'!$C$12,'הנחות עבודה לררל ומדרג'!$C$13),0)</f>
        <v>0</v>
      </c>
      <c r="H51" s="159">
        <f t="shared" si="5"/>
        <v>0</v>
      </c>
      <c r="R51" s="159">
        <f t="shared" si="6"/>
        <v>0</v>
      </c>
      <c r="S51" s="115">
        <v>0</v>
      </c>
      <c r="T51" s="159">
        <f t="shared" si="7"/>
        <v>0</v>
      </c>
      <c r="U51" s="115">
        <f>IF(T51*$U$1&gt;'הנחות עבודה לררל ומדרג'!$C$15,'הנחות עבודה לררל ומדרג'!$C$15,T51*$U$1)</f>
        <v>0</v>
      </c>
      <c r="V51" s="115">
        <f>IF(T51*$V$1&gt;'הנחות עבודה לררל ומדרג'!$C$16,'הנחות עבודה לררל ומדרג'!$C$16,T51*$V$1)</f>
        <v>0</v>
      </c>
      <c r="W51" s="115">
        <f>IF(T51*$W$1&gt;'הנחות עבודה לררל ומדרג'!$C$17,'הנחות עבודה לררל ומדרג'!$C$17,T51*$W$1)</f>
        <v>0</v>
      </c>
      <c r="X51" s="213">
        <f t="shared" si="8"/>
        <v>0</v>
      </c>
      <c r="Y51" s="115">
        <f t="shared" si="14"/>
        <v>0</v>
      </c>
      <c r="Z51" s="213">
        <f t="shared" si="9"/>
        <v>0</v>
      </c>
      <c r="AA51" s="115">
        <f t="shared" si="10"/>
        <v>0</v>
      </c>
      <c r="AB51" s="120"/>
      <c r="AC51" s="120"/>
      <c r="AD51" s="120">
        <f>IF(B51&lt;'הנחות עבודה לררל ומדרג'!$I$3,'ררל ומדרג'!Z51,IF(B51&lt;'הנחות עבודה לררל ומדרג'!$I$4,'הנחות עבודה לררל ומדרג'!$J$3*'ררל ומדרג'!Z51,IF('ררל ומדרג'!B51&lt;'הנחות עבודה לררל ומדרג'!$I$5,'הנחות עבודה לררל ומדרג'!$J$4*'ררל ומדרג'!Z51,Z51*'הנחות עבודה לררל ומדרג'!$J$6)))</f>
        <v>0</v>
      </c>
      <c r="AE51" s="120">
        <f>AD51*'הנחות עבודה לררל ומדרג'!$D$6</f>
        <v>0</v>
      </c>
      <c r="AF51" s="120">
        <f t="shared" si="11"/>
        <v>0</v>
      </c>
      <c r="AH51" s="120">
        <f>X51/'הנחות עבודה לררל ומדרג'!$J$10*2</f>
        <v>0</v>
      </c>
      <c r="AI51" s="212"/>
    </row>
    <row r="52" spans="2:35" ht="14.4" customHeight="1">
      <c r="B52" s="210">
        <f>IF(C52-$C$2&lt;'הנחות עבודה לררל ומדרג'!$C$20,'ררל ומדרג'!C52-'ררל ומדרג'!$C$2,0)</f>
        <v>0</v>
      </c>
      <c r="C52" s="114">
        <v>2075</v>
      </c>
      <c r="D52" s="115">
        <f>IF(B52&gt;0,D51*(1+'הנחות עבודה לררל ומדרג'!$C$5),0)</f>
        <v>0</v>
      </c>
      <c r="E52" s="115"/>
      <c r="F52" s="115">
        <f>IF(B52&gt;0,IF(F51&gt;'הנחות עבודה לררל ומדרג'!$C$9,F51+'הנחות עבודה לררל ומדרג'!$C$8,'הנחות עבודה לררל ומדרג'!$C$9),0)</f>
        <v>0</v>
      </c>
      <c r="G52" s="115">
        <f>IF(B52&gt;0,IF(G51&gt;'הנחות עבודה לררל ומדרג'!$C$13,G51+'הנחות עבודה לררל ומדרג'!$C$12,'הנחות עבודה לררל ומדרג'!$C$13),0)</f>
        <v>0</v>
      </c>
      <c r="H52" s="159">
        <f t="shared" si="5"/>
        <v>0</v>
      </c>
      <c r="R52" s="159">
        <f t="shared" si="6"/>
        <v>0</v>
      </c>
      <c r="S52" s="115">
        <v>0</v>
      </c>
      <c r="T52" s="159">
        <f t="shared" si="7"/>
        <v>0</v>
      </c>
      <c r="U52" s="115">
        <f>IF(T52*$U$1&gt;'הנחות עבודה לררל ומדרג'!$C$15,'הנחות עבודה לררל ומדרג'!$C$15,T52*$U$1)</f>
        <v>0</v>
      </c>
      <c r="V52" s="115">
        <f>IF(T52*$V$1&gt;'הנחות עבודה לררל ומדרג'!$C$16,'הנחות עבודה לררל ומדרג'!$C$16,T52*$V$1)</f>
        <v>0</v>
      </c>
      <c r="W52" s="115">
        <f>IF(T52*$W$1&gt;'הנחות עבודה לררל ומדרג'!$C$17,'הנחות עבודה לררל ומדרג'!$C$17,T52*$W$1)</f>
        <v>0</v>
      </c>
      <c r="X52" s="213">
        <f t="shared" si="8"/>
        <v>0</v>
      </c>
      <c r="Y52" s="115">
        <f t="shared" si="14"/>
        <v>0</v>
      </c>
      <c r="Z52" s="213">
        <f t="shared" si="9"/>
        <v>0</v>
      </c>
      <c r="AA52" s="115">
        <f t="shared" si="10"/>
        <v>0</v>
      </c>
      <c r="AB52" s="120"/>
      <c r="AC52" s="120"/>
      <c r="AD52" s="120">
        <f>IF(B52&lt;'הנחות עבודה לררל ומדרג'!$I$3,'ררל ומדרג'!Z52,IF(B52&lt;'הנחות עבודה לררל ומדרג'!$I$4,'הנחות עבודה לררל ומדרג'!$J$3*'ררל ומדרג'!Z52,IF('ררל ומדרג'!B52&lt;'הנחות עבודה לררל ומדרג'!$I$5,'הנחות עבודה לררל ומדרג'!$J$4*'ררל ומדרג'!Z52,Z52*'הנחות עבודה לררל ומדרג'!$J$6)))</f>
        <v>0</v>
      </c>
      <c r="AE52" s="120">
        <f>AD52*'הנחות עבודה לררל ומדרג'!$D$6</f>
        <v>0</v>
      </c>
      <c r="AF52" s="120">
        <f t="shared" si="11"/>
        <v>0</v>
      </c>
      <c r="AH52" s="120">
        <f>X52/'הנחות עבודה לררל ומדרג'!$J$10*2</f>
        <v>0</v>
      </c>
      <c r="AI52" s="212"/>
    </row>
    <row r="53" spans="2:35" ht="14.4" customHeight="1">
      <c r="B53" s="214">
        <f>IF(C53-$C$2&lt;'הנחות עבודה לררל ומדרג'!$C$20,'ררל ומדרג'!C53-'ררל ומדרג'!$C$2,0)</f>
        <v>0</v>
      </c>
      <c r="C53" s="203">
        <v>2076</v>
      </c>
      <c r="D53" s="204">
        <f>IF(B53&gt;0,D52*(1+'הנחות עבודה לררל ומדרג'!$C$5),0)</f>
        <v>0</v>
      </c>
      <c r="E53" s="204"/>
      <c r="F53" s="204">
        <f>IF(B53&gt;0,IF(F52&gt;'הנחות עבודה לררל ומדרג'!$C$9,F52+'הנחות עבודה לררל ומדרג'!$C$8,'הנחות עבודה לררל ומדרג'!$C$9),0)</f>
        <v>0</v>
      </c>
      <c r="G53" s="115">
        <f>IF(B53&gt;0,IF(G52&gt;'הנחות עבודה לררל ומדרג'!$C$13,G52+'הנחות עבודה לררל ומדרג'!$C$12,'הנחות עבודה לררל ומדרג'!$C$13),0)</f>
        <v>0</v>
      </c>
      <c r="H53" s="205">
        <f t="shared" si="5"/>
        <v>0</v>
      </c>
      <c r="I53" s="203"/>
      <c r="J53" s="203"/>
      <c r="K53" s="203"/>
      <c r="L53" s="203"/>
      <c r="M53" s="203"/>
      <c r="N53" s="203"/>
      <c r="O53" s="203"/>
      <c r="P53" s="203"/>
      <c r="Q53" s="203"/>
      <c r="R53" s="205">
        <f t="shared" si="6"/>
        <v>0</v>
      </c>
      <c r="S53" s="204">
        <v>0</v>
      </c>
      <c r="T53" s="205">
        <f t="shared" si="7"/>
        <v>0</v>
      </c>
      <c r="U53" s="115">
        <f>IF(T53*$U$1&gt;'הנחות עבודה לררל ומדרג'!$C$15,'הנחות עבודה לררל ומדרג'!$C$15,T53*$U$1)</f>
        <v>0</v>
      </c>
      <c r="V53" s="115">
        <f>IF(T53*$V$1&gt;'הנחות עבודה לררל ומדרג'!$C$16,'הנחות עבודה לררל ומדרג'!$C$16,T53*$V$1)</f>
        <v>0</v>
      </c>
      <c r="W53" s="115">
        <f>IF(T53*$W$1&gt;'הנחות עבודה לררל ומדרג'!$C$17,'הנחות עבודה לררל ומדרג'!$C$17,T53*$W$1)</f>
        <v>0</v>
      </c>
      <c r="X53" s="213">
        <f t="shared" si="8"/>
        <v>0</v>
      </c>
      <c r="Y53" s="115">
        <f t="shared" si="14"/>
        <v>0</v>
      </c>
      <c r="Z53" s="213">
        <f t="shared" si="9"/>
        <v>0</v>
      </c>
      <c r="AA53" s="115">
        <f t="shared" si="10"/>
        <v>0</v>
      </c>
      <c r="AB53" s="120"/>
      <c r="AC53" s="120"/>
      <c r="AD53" s="120">
        <f>IF(B53&lt;'הנחות עבודה לררל ומדרג'!$I$3,'ררל ומדרג'!Z53,IF(B53&lt;'הנחות עבודה לררל ומדרג'!$I$4,'הנחות עבודה לררל ומדרג'!$J$3*'ררל ומדרג'!Z53,IF('ררל ומדרג'!B53&lt;'הנחות עבודה לררל ומדרג'!$I$5,'הנחות עבודה לררל ומדרג'!$J$4*'ררל ומדרג'!Z53,Z53*'הנחות עבודה לררל ומדרג'!$J$6)))</f>
        <v>0</v>
      </c>
      <c r="AE53" s="120">
        <f>AD53*'הנחות עבודה לררל ומדרג'!$D$6</f>
        <v>0</v>
      </c>
      <c r="AF53" s="120">
        <f t="shared" si="11"/>
        <v>0</v>
      </c>
      <c r="AH53" s="120">
        <f>X53/'הנחות עבודה לררל ומדרג'!$J$10*2</f>
        <v>0</v>
      </c>
      <c r="AI53" s="212"/>
    </row>
    <row r="54" spans="2:35" ht="14.4" customHeight="1"/>
    <row r="55" spans="2:35" ht="14.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0487-66DB-4885-9542-4E23AC2FF395}">
  <sheetPr>
    <tabColor theme="7" tint="0.79998168889431442"/>
  </sheetPr>
  <dimension ref="B1:O20"/>
  <sheetViews>
    <sheetView rightToLeft="1" zoomScale="130" zoomScaleNormal="130" workbookViewId="0">
      <selection activeCell="C6" sqref="C6"/>
    </sheetView>
  </sheetViews>
  <sheetFormatPr defaultRowHeight="14.4"/>
  <cols>
    <col min="1" max="1" width="2.88671875" customWidth="1"/>
    <col min="2" max="2" width="22.33203125" customWidth="1"/>
    <col min="3" max="3" width="13.44140625" customWidth="1"/>
    <col min="4" max="4" width="2.44140625" customWidth="1"/>
    <col min="5" max="5" width="16" customWidth="1"/>
    <col min="6" max="6" width="11.6640625" bestFit="1" customWidth="1"/>
    <col min="7" max="7" width="12.6640625" bestFit="1" customWidth="1"/>
    <col min="8" max="8" width="4.88671875" customWidth="1"/>
    <col min="9" max="9" width="15.44140625" customWidth="1"/>
    <col min="10" max="10" width="14.33203125" customWidth="1"/>
    <col min="11" max="11" width="3.44140625" customWidth="1"/>
    <col min="13" max="13" width="11.6640625" bestFit="1" customWidth="1"/>
    <col min="14" max="14" width="13.33203125" bestFit="1" customWidth="1"/>
    <col min="15" max="15" width="11.6640625" customWidth="1"/>
    <col min="16" max="16" width="11" bestFit="1" customWidth="1"/>
  </cols>
  <sheetData>
    <row r="1" spans="2:15" ht="15" thickBot="1">
      <c r="L1" s="128" t="s">
        <v>4096</v>
      </c>
      <c r="M1" s="114"/>
      <c r="N1" s="163">
        <f ca="1">F7+J8</f>
        <v>646031311.28867888</v>
      </c>
      <c r="O1" s="114"/>
    </row>
    <row r="2" spans="2:15" ht="15" thickBot="1">
      <c r="E2" s="254">
        <v>46388</v>
      </c>
      <c r="I2" s="305" t="s">
        <v>4088</v>
      </c>
      <c r="J2" s="306"/>
      <c r="L2" s="114" t="s">
        <v>4090</v>
      </c>
      <c r="M2" s="114"/>
      <c r="N2" s="114"/>
      <c r="O2" s="114"/>
    </row>
    <row r="3" spans="2:15">
      <c r="C3" s="38" t="s">
        <v>4081</v>
      </c>
      <c r="E3" s="166" t="s">
        <v>3928</v>
      </c>
      <c r="F3" s="176">
        <f>'מניות חבר'!P288</f>
        <v>175122.35999999993</v>
      </c>
      <c r="H3" t="s">
        <v>4100</v>
      </c>
      <c r="I3" s="255">
        <v>10</v>
      </c>
      <c r="J3" s="256">
        <v>0.85</v>
      </c>
      <c r="L3" s="307" t="s">
        <v>4091</v>
      </c>
      <c r="M3" s="308"/>
      <c r="N3" s="308"/>
      <c r="O3" s="309"/>
    </row>
    <row r="4" spans="2:15" ht="15" thickBot="1">
      <c r="B4" s="114" t="s">
        <v>3893</v>
      </c>
      <c r="C4" s="243">
        <v>28946188.269243326</v>
      </c>
      <c r="E4" s="170" t="s">
        <v>3929</v>
      </c>
      <c r="F4" s="195">
        <f>מורישים!O126</f>
        <v>59981.07400000003</v>
      </c>
      <c r="H4" t="s">
        <v>4100</v>
      </c>
      <c r="I4" s="255">
        <v>15</v>
      </c>
      <c r="J4" s="256">
        <v>0.75</v>
      </c>
      <c r="L4" s="265" t="s">
        <v>4085</v>
      </c>
      <c r="M4" s="128" t="s">
        <v>4093</v>
      </c>
      <c r="N4" s="128" t="s">
        <v>4094</v>
      </c>
      <c r="O4" s="266" t="s">
        <v>3876</v>
      </c>
    </row>
    <row r="5" spans="2:15" ht="15" thickTop="1">
      <c r="B5" s="114" t="s">
        <v>3922</v>
      </c>
      <c r="C5" s="117">
        <v>1.4999999999999999E-2</v>
      </c>
      <c r="E5" s="166" t="s">
        <v>3930</v>
      </c>
      <c r="F5" s="176">
        <f>SUM(F3:F4)</f>
        <v>235103.43399999995</v>
      </c>
      <c r="H5" t="s">
        <v>4100</v>
      </c>
      <c r="I5" s="255">
        <v>20</v>
      </c>
      <c r="J5" s="256">
        <v>0.5</v>
      </c>
      <c r="L5" s="257">
        <f>F11</f>
        <v>824</v>
      </c>
      <c r="M5" s="267">
        <f ca="1">AVERAGE('ררל ומדרג'!$AD$4:$AD$13)*'הנחות עבודה לררל ומדרג'!G11/'הנחות עבודה לררל ומדרג'!$F$7</f>
        <v>32708.656590670453</v>
      </c>
      <c r="N5" s="268">
        <f ca="1">AVERAGE('ררל ומדרג'!$AF$4:$AF$13)/'הנחות עבודה לררל ומדרג'!$J$10</f>
        <v>468.13649670742285</v>
      </c>
      <c r="O5" s="269">
        <f ca="1">M5+N5</f>
        <v>33176.793087377875</v>
      </c>
    </row>
    <row r="6" spans="2:15">
      <c r="D6" s="215"/>
      <c r="H6" t="s">
        <v>4100</v>
      </c>
      <c r="I6" s="255">
        <v>25</v>
      </c>
      <c r="J6" s="256">
        <v>0.25</v>
      </c>
      <c r="L6" s="257">
        <f>F14</f>
        <v>520.20000000000005</v>
      </c>
      <c r="M6" s="267">
        <f ca="1">AVERAGE('ררל ומדרג'!$AD$4:$AD$13)*'הנחות עבודה לררל ומדרג'!G14/'הנחות עבודה לררל ומדרג'!$F$7</f>
        <v>20649.324221440256</v>
      </c>
      <c r="N6" s="268">
        <f ca="1">AVERAGE('ררל ומדרג'!$AF$4:$AF$13)/'הנחות עבודה לררל ומדרג'!$J$10</f>
        <v>468.13649670742285</v>
      </c>
      <c r="O6" s="269">
        <f t="shared" ref="O6:O8" ca="1" si="0">M6+N6</f>
        <v>21117.460718147679</v>
      </c>
    </row>
    <row r="7" spans="2:15">
      <c r="B7" s="114" t="s">
        <v>3888</v>
      </c>
      <c r="C7" s="243">
        <v>4875000</v>
      </c>
      <c r="E7" s="128" t="s">
        <v>4083</v>
      </c>
      <c r="F7" s="163">
        <f ca="1">SUMIF('ררל ומדרג'!B4:B53,"&lt;"&amp;C19,'ררל ומדרג'!Z4:Z53)</f>
        <v>276243064.62687784</v>
      </c>
      <c r="L7" s="257">
        <f>F17</f>
        <v>304.32</v>
      </c>
      <c r="M7" s="267">
        <f ca="1">AVERAGE('ררל ומדרג'!$AD$4:$AD$13)*'הנחות עבודה לררל ומדרג'!G17/'הנחות עבודה לררל ומדרג'!$F$7</f>
        <v>12079.97375445732</v>
      </c>
      <c r="N7" s="268">
        <f ca="1">AVERAGE('ררל ומדרג'!$AF$4:$AF$13)/'הנחות עבודה לררל ומדרג'!$J$10</f>
        <v>468.13649670742285</v>
      </c>
      <c r="O7" s="269">
        <f t="shared" ca="1" si="0"/>
        <v>12548.110251164742</v>
      </c>
    </row>
    <row r="8" spans="2:15" ht="15" thickBot="1">
      <c r="B8" s="114" t="s">
        <v>4084</v>
      </c>
      <c r="C8" s="156">
        <v>-200000</v>
      </c>
      <c r="F8" s="164">
        <f ca="1">'ררל ומדרג'!AD1</f>
        <v>1.0022948145496067</v>
      </c>
      <c r="H8" s="166"/>
      <c r="I8" s="38" t="s">
        <v>4097</v>
      </c>
      <c r="J8" s="163">
        <f ca="1">'ררל ומדרג'!AF2</f>
        <v>369788246.6618011</v>
      </c>
      <c r="L8" s="258">
        <v>0</v>
      </c>
      <c r="M8" s="270">
        <v>0</v>
      </c>
      <c r="N8" s="271">
        <f ca="1">AVERAGE('ררל ומדרג'!$AF$4:$AF$13)/'הנחות עבודה לררל ומדרג'!$J$10</f>
        <v>468.13649670742285</v>
      </c>
      <c r="O8" s="272">
        <f t="shared" ca="1" si="0"/>
        <v>468.13649670742285</v>
      </c>
    </row>
    <row r="9" spans="2:15" ht="15" thickBot="1">
      <c r="B9" s="114" t="s">
        <v>3921</v>
      </c>
      <c r="C9" s="156">
        <v>3600000</v>
      </c>
      <c r="L9" s="310" t="s">
        <v>4092</v>
      </c>
      <c r="M9" s="311"/>
      <c r="N9" s="311"/>
      <c r="O9" s="312"/>
    </row>
    <row r="10" spans="2:15" ht="15" thickBot="1">
      <c r="E10" s="30"/>
      <c r="F10" s="245" t="s">
        <v>4085</v>
      </c>
      <c r="G10" s="246" t="s">
        <v>4086</v>
      </c>
      <c r="I10" s="114" t="s">
        <v>3899</v>
      </c>
      <c r="J10" s="206">
        <v>280</v>
      </c>
      <c r="L10" s="265" t="s">
        <v>4085</v>
      </c>
      <c r="M10" s="128" t="s">
        <v>4093</v>
      </c>
      <c r="N10" s="128" t="s">
        <v>4094</v>
      </c>
      <c r="O10" s="266" t="s">
        <v>3876</v>
      </c>
    </row>
    <row r="11" spans="2:15">
      <c r="B11" s="114" t="s">
        <v>4124</v>
      </c>
      <c r="C11" s="243">
        <v>4000000</v>
      </c>
      <c r="E11" s="247" t="s">
        <v>3924</v>
      </c>
      <c r="F11" s="248">
        <f>'מניות חבר'!P2</f>
        <v>824</v>
      </c>
      <c r="G11" s="249">
        <f ca="1">'מניות חבר'!R2</f>
        <v>1299801.3803180098</v>
      </c>
      <c r="I11" s="259" t="s">
        <v>4089</v>
      </c>
      <c r="J11" s="260">
        <f ca="1">'ררל ומדרג'!AH24</f>
        <v>94934.501918331487</v>
      </c>
      <c r="L11" s="257">
        <f>L5</f>
        <v>824</v>
      </c>
      <c r="M11" s="267">
        <f ca="1">AVERAGE('ררל ומדרג'!$AD$14:$AD$23)*'הנחות עבודה לררל ומדרג'!G11/'הנחות עבודה לררל ומדרג'!$F$7</f>
        <v>45506.490735417174</v>
      </c>
      <c r="N11" s="273">
        <f ca="1">AVERAGE('ררל ומדרג'!$AF$14:$AF$23)/'הנחות עבודה לררל ומדרג'!$J$10</f>
        <v>13047.045781171571</v>
      </c>
      <c r="O11" s="269">
        <f ca="1">M11+N11</f>
        <v>58553.536516588749</v>
      </c>
    </row>
    <row r="12" spans="2:15">
      <c r="B12" s="114" t="s">
        <v>4084</v>
      </c>
      <c r="C12" s="156">
        <v>-100000</v>
      </c>
      <c r="E12" s="247"/>
      <c r="F12" s="248">
        <f>'מניות חבר'!P3</f>
        <v>732.72</v>
      </c>
      <c r="G12" s="249">
        <f ca="1">'מניות חבר'!R3</f>
        <v>1155813.6740128789</v>
      </c>
      <c r="I12" s="261" t="s">
        <v>3901</v>
      </c>
      <c r="J12" s="262">
        <v>10</v>
      </c>
      <c r="L12" s="257">
        <f t="shared" ref="L12:L14" si="1">L6</f>
        <v>520.20000000000005</v>
      </c>
      <c r="M12" s="267">
        <f ca="1">AVERAGE('ררל ומדרג'!$AD$14:$AD$23)*'הנחות עבודה לררל ומדרג'!G14/'הנחות עבודה לררל ומדרג'!$F$7</f>
        <v>28728.733592917499</v>
      </c>
      <c r="N12" s="273">
        <f ca="1">AVERAGE('ררל ומדרג'!$AF$14:$AF$23)/'הנחות עבודה לררל ומדרג'!$J$10</f>
        <v>13047.045781171571</v>
      </c>
      <c r="O12" s="269">
        <f t="shared" ref="O12:O14" ca="1" si="2">M12+N12</f>
        <v>41775.77937408907</v>
      </c>
    </row>
    <row r="13" spans="2:15" ht="15" thickBot="1">
      <c r="B13" s="114" t="s">
        <v>4125</v>
      </c>
      <c r="C13" s="156">
        <v>1000000</v>
      </c>
      <c r="E13" s="247"/>
      <c r="F13" s="248">
        <f>'מניות חבר'!P9</f>
        <v>670.8</v>
      </c>
      <c r="G13" s="249">
        <f ca="1">'מניות חבר'!R9</f>
        <v>1058139.279025875</v>
      </c>
      <c r="I13" s="263" t="s">
        <v>3903</v>
      </c>
      <c r="J13" s="264">
        <f ca="1">J11*J12</f>
        <v>949345.01918331487</v>
      </c>
      <c r="L13" s="257">
        <f t="shared" si="1"/>
        <v>304.32</v>
      </c>
      <c r="M13" s="267">
        <f ca="1">AVERAGE('ררל ומדרג'!$AD$14:$AD$23)*'הנחות עבודה לררל ומדרג'!G17/'הנחות עבודה לררל ומדרג'!$F$7</f>
        <v>16806.474830827854</v>
      </c>
      <c r="N13" s="273">
        <f ca="1">AVERAGE('ררל ומדרג'!$AF$14:$AF$23)/'הנחות עבודה לררל ומדרג'!$J$10</f>
        <v>13047.045781171571</v>
      </c>
      <c r="O13" s="269">
        <f t="shared" ca="1" si="2"/>
        <v>29853.520611999425</v>
      </c>
    </row>
    <row r="14" spans="2:15" ht="15" thickBot="1">
      <c r="E14" s="16"/>
      <c r="F14" s="250">
        <f>'מניות חבר'!P51</f>
        <v>520.20000000000005</v>
      </c>
      <c r="G14" s="251">
        <f ca="1">'מניות חבר'!R51</f>
        <v>820578.49276872433</v>
      </c>
      <c r="L14" s="258">
        <f t="shared" si="1"/>
        <v>0</v>
      </c>
      <c r="M14" s="274">
        <v>0</v>
      </c>
      <c r="N14" s="275">
        <f ca="1">AVERAGE('ררל ומדרג'!$AF$14:$AF$23)/'הנחות עבודה לררל ומדרג'!$J$10</f>
        <v>13047.045781171571</v>
      </c>
      <c r="O14" s="272">
        <f t="shared" ca="1" si="2"/>
        <v>13047.045781171571</v>
      </c>
    </row>
    <row r="15" spans="2:15">
      <c r="B15" s="114" t="s">
        <v>3913</v>
      </c>
      <c r="C15" s="156">
        <v>1000000</v>
      </c>
      <c r="E15" s="16"/>
      <c r="F15" s="250">
        <f>'מניות חבר'!P48</f>
        <v>432.12</v>
      </c>
      <c r="G15" s="251">
        <f ca="1">'מניות חבר'!R48</f>
        <v>681638.55881434283</v>
      </c>
      <c r="L15" s="310" t="s">
        <v>4095</v>
      </c>
      <c r="M15" s="311"/>
      <c r="N15" s="311"/>
      <c r="O15" s="312"/>
    </row>
    <row r="16" spans="2:15">
      <c r="B16" s="114" t="s">
        <v>4064</v>
      </c>
      <c r="C16" s="156">
        <v>1000000</v>
      </c>
      <c r="E16" s="16"/>
      <c r="F16" s="250">
        <f>'מניות חבר'!P76</f>
        <v>346.08</v>
      </c>
      <c r="G16" s="251">
        <f ca="1">'מניות חבר'!R76</f>
        <v>545916.57973356417</v>
      </c>
      <c r="L16" s="265" t="s">
        <v>4085</v>
      </c>
      <c r="M16" s="128" t="s">
        <v>4093</v>
      </c>
      <c r="N16" s="128" t="s">
        <v>4094</v>
      </c>
      <c r="O16" s="266" t="s">
        <v>3876</v>
      </c>
    </row>
    <row r="17" spans="2:15" ht="15" thickBot="1">
      <c r="B17" s="114" t="s">
        <v>3914</v>
      </c>
      <c r="C17" s="156">
        <v>10000000</v>
      </c>
      <c r="E17" s="21" t="s">
        <v>4087</v>
      </c>
      <c r="F17" s="252">
        <f>'מניות חבר'!P286</f>
        <v>304.32</v>
      </c>
      <c r="G17" s="253">
        <f ca="1">'מניות חבר'!R286</f>
        <v>480043.15055628243</v>
      </c>
      <c r="L17" s="257">
        <f>L11</f>
        <v>824</v>
      </c>
      <c r="M17" s="267">
        <f ca="1">AVERAGE('ררל ומדרג'!$AD$24:$AD$33)*'הנחות עבודה לררל ומדרג'!G11/'הנחות עבודה לררל ומדרג'!$F$7</f>
        <v>23034.877292768488</v>
      </c>
      <c r="N17" s="273">
        <f ca="1">AVERAGE('ררל ומדרג'!$AF$24:$AF$33)/'הנחות עבודה לררל ומדרג'!$J$10</f>
        <v>52452.176757368608</v>
      </c>
      <c r="O17" s="269">
        <f ca="1">M17+N17</f>
        <v>75487.0540501371</v>
      </c>
    </row>
    <row r="18" spans="2:15">
      <c r="L18" s="257">
        <f t="shared" ref="L18:L20" si="3">L12</f>
        <v>520.20000000000005</v>
      </c>
      <c r="M18" s="267">
        <f ca="1">AVERAGE('ררל ומדרג'!$AD$24:$AD$33)*'הנחות עבודה לררל ומדרג'!G14/'הנחות עבודה לררל ומדרג'!$F$7</f>
        <v>14542.164038468654</v>
      </c>
      <c r="N18" s="273">
        <f ca="1">AVERAGE('ררל ומדרג'!$AF$24:$AF$33)/'הנחות עבודה לררל ומדרג'!$J$10</f>
        <v>52452.176757368608</v>
      </c>
      <c r="O18" s="269">
        <f t="shared" ref="O18:O20" ca="1" si="4">M18+N18</f>
        <v>66994.340795837255</v>
      </c>
    </row>
    <row r="19" spans="2:15">
      <c r="B19" s="114" t="s">
        <v>4082</v>
      </c>
      <c r="C19" s="244">
        <v>25</v>
      </c>
      <c r="L19" s="257">
        <f t="shared" si="3"/>
        <v>304.32</v>
      </c>
      <c r="M19" s="267">
        <f ca="1">AVERAGE('ררל ומדרג'!$AD$24:$AD$33)*'הנחות עבודה לררל ומדרג'!G17/'הנחות עבודה לררל ומדרג'!$F$7</f>
        <v>8507.2498273486726</v>
      </c>
      <c r="N19" s="273">
        <f ca="1">AVERAGE('ררל ומדרג'!$AF$24:$AF$33)/'הנחות עבודה לררל ומדרג'!$J$10</f>
        <v>52452.176757368608</v>
      </c>
      <c r="O19" s="269">
        <f t="shared" ca="1" si="4"/>
        <v>60959.426584717279</v>
      </c>
    </row>
    <row r="20" spans="2:15" ht="15" thickBot="1">
      <c r="B20" s="114" t="s">
        <v>3923</v>
      </c>
      <c r="C20" s="244">
        <v>41</v>
      </c>
      <c r="L20" s="258">
        <f t="shared" si="3"/>
        <v>0</v>
      </c>
      <c r="M20" s="274">
        <v>0</v>
      </c>
      <c r="N20" s="275">
        <f ca="1">AVERAGE('ררל ומדרג'!$AF$24:$AF$33)/'הנחות עבודה לררל ומדרג'!$J$10</f>
        <v>52452.176757368608</v>
      </c>
      <c r="O20" s="272">
        <f t="shared" ca="1" si="4"/>
        <v>52452.176757368608</v>
      </c>
    </row>
  </sheetData>
  <mergeCells count="4">
    <mergeCell ref="I2:J2"/>
    <mergeCell ref="L3:O3"/>
    <mergeCell ref="L9:O9"/>
    <mergeCell ref="L15:O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F550-1B07-44F5-9EC6-9A26C307739F}">
  <sheetPr codeName="Sheet8"/>
  <dimension ref="A1:K21"/>
  <sheetViews>
    <sheetView rightToLeft="1" workbookViewId="0">
      <selection activeCell="L17" sqref="L17"/>
    </sheetView>
  </sheetViews>
  <sheetFormatPr defaultRowHeight="14.4"/>
  <cols>
    <col min="1" max="1" width="16.109375" customWidth="1"/>
    <col min="2" max="2" width="15.5546875" customWidth="1"/>
    <col min="3" max="3" width="9.88671875" bestFit="1" customWidth="1"/>
    <col min="4" max="4" width="11.33203125" bestFit="1" customWidth="1"/>
    <col min="10" max="10" width="34.88671875" bestFit="1" customWidth="1"/>
    <col min="11" max="11" width="11.5546875" bestFit="1" customWidth="1"/>
  </cols>
  <sheetData>
    <row r="1" spans="1:11" ht="15" thickBot="1">
      <c r="A1" s="314" t="s">
        <v>3737</v>
      </c>
      <c r="B1" s="314"/>
      <c r="C1" s="314"/>
      <c r="F1" s="315" t="s">
        <v>53</v>
      </c>
      <c r="G1" s="316"/>
      <c r="I1" s="317" t="s">
        <v>3798</v>
      </c>
      <c r="J1" s="317"/>
      <c r="K1" s="317"/>
    </row>
    <row r="2" spans="1:11">
      <c r="F2" s="16">
        <v>0</v>
      </c>
      <c r="G2" s="17" t="s">
        <v>75</v>
      </c>
      <c r="I2" s="30" t="s">
        <v>8</v>
      </c>
      <c r="J2" s="31" t="s">
        <v>9</v>
      </c>
      <c r="K2" s="32" t="s">
        <v>10</v>
      </c>
    </row>
    <row r="3" spans="1:11">
      <c r="A3" t="s">
        <v>3797</v>
      </c>
      <c r="C3" s="18">
        <v>4333</v>
      </c>
      <c r="D3" s="6">
        <f>C3</f>
        <v>4333</v>
      </c>
      <c r="F3" s="16">
        <v>3</v>
      </c>
      <c r="G3" s="17" t="s">
        <v>84</v>
      </c>
      <c r="I3" s="33">
        <v>1</v>
      </c>
      <c r="J3" t="s">
        <v>11</v>
      </c>
      <c r="K3" s="94"/>
    </row>
    <row r="4" spans="1:11">
      <c r="A4" t="s">
        <v>3738</v>
      </c>
      <c r="C4" s="1">
        <f>$C$3*1.65*1.4*25*0.15</f>
        <v>37534.612499999996</v>
      </c>
      <c r="D4" s="6">
        <f>D3*E4</f>
        <v>7149.45</v>
      </c>
      <c r="E4" s="20">
        <v>1.65</v>
      </c>
      <c r="F4" s="16">
        <v>6</v>
      </c>
      <c r="G4" s="17" t="s">
        <v>91</v>
      </c>
      <c r="I4" s="33">
        <v>2</v>
      </c>
      <c r="J4" t="s">
        <v>12</v>
      </c>
      <c r="K4" s="94"/>
    </row>
    <row r="5" spans="1:11">
      <c r="C5" s="1"/>
      <c r="D5" s="79">
        <f>D4*E5</f>
        <v>10009.23</v>
      </c>
      <c r="E5" s="20">
        <v>1.4</v>
      </c>
      <c r="F5" s="16">
        <v>13</v>
      </c>
      <c r="G5" s="17" t="s">
        <v>96</v>
      </c>
      <c r="I5" s="34">
        <v>3</v>
      </c>
      <c r="J5" s="35" t="s">
        <v>13</v>
      </c>
      <c r="K5" s="94">
        <v>1</v>
      </c>
    </row>
    <row r="6" spans="1:11">
      <c r="A6" t="s">
        <v>3739</v>
      </c>
      <c r="C6" s="1"/>
      <c r="D6" s="79">
        <f>D5*E6</f>
        <v>250230.75</v>
      </c>
      <c r="E6">
        <v>25</v>
      </c>
      <c r="F6" s="16">
        <v>15</v>
      </c>
      <c r="G6" s="17" t="s">
        <v>105</v>
      </c>
      <c r="I6" s="34">
        <v>4</v>
      </c>
      <c r="J6" s="35" t="s">
        <v>14</v>
      </c>
      <c r="K6" s="94">
        <v>1</v>
      </c>
    </row>
    <row r="7" spans="1:11">
      <c r="A7" t="s">
        <v>3740</v>
      </c>
      <c r="C7" s="1"/>
      <c r="D7" s="6">
        <f>D6*E7</f>
        <v>37534.612499999996</v>
      </c>
      <c r="E7">
        <v>0.15</v>
      </c>
      <c r="F7" s="16">
        <v>18</v>
      </c>
      <c r="G7" s="19" t="s">
        <v>110</v>
      </c>
      <c r="I7" s="33">
        <v>6</v>
      </c>
      <c r="J7" t="s">
        <v>15</v>
      </c>
      <c r="K7" s="94"/>
    </row>
    <row r="8" spans="1:11" ht="15" thickBot="1">
      <c r="A8" t="s">
        <v>3741</v>
      </c>
      <c r="B8" s="20">
        <v>0.1</v>
      </c>
      <c r="C8" s="1"/>
      <c r="F8" s="21">
        <v>99</v>
      </c>
      <c r="G8" s="22" t="s">
        <v>118</v>
      </c>
      <c r="I8" s="34">
        <v>8</v>
      </c>
      <c r="J8" s="35" t="s">
        <v>16</v>
      </c>
      <c r="K8" s="94">
        <v>1</v>
      </c>
    </row>
    <row r="9" spans="1:11">
      <c r="B9" s="20">
        <v>0.2</v>
      </c>
      <c r="C9" s="1"/>
      <c r="I9" s="33">
        <v>16</v>
      </c>
      <c r="J9" t="s">
        <v>17</v>
      </c>
      <c r="K9" s="94"/>
    </row>
    <row r="10" spans="1:11">
      <c r="B10" s="20">
        <v>0.5</v>
      </c>
      <c r="C10" s="1">
        <f>(C3*1.65*(1+B10))</f>
        <v>10724.174999999999</v>
      </c>
      <c r="I10" s="33">
        <v>17</v>
      </c>
      <c r="J10" t="s">
        <v>19</v>
      </c>
      <c r="K10" s="94"/>
    </row>
    <row r="11" spans="1:11">
      <c r="C11" s="1"/>
      <c r="D11" s="6">
        <f>C3</f>
        <v>4333</v>
      </c>
      <c r="I11" s="34">
        <v>18</v>
      </c>
      <c r="J11" s="35" t="s">
        <v>20</v>
      </c>
      <c r="K11" s="94">
        <v>1</v>
      </c>
    </row>
    <row r="12" spans="1:11">
      <c r="C12" s="1"/>
      <c r="D12" s="6">
        <f>D11*E12</f>
        <v>7149.45</v>
      </c>
      <c r="E12" s="20">
        <v>1.65</v>
      </c>
      <c r="I12" s="33">
        <v>30</v>
      </c>
      <c r="J12" t="s">
        <v>21</v>
      </c>
      <c r="K12" s="94"/>
    </row>
    <row r="13" spans="1:11">
      <c r="C13" s="1"/>
      <c r="D13" s="79">
        <f>D12*E13</f>
        <v>10724.174999999999</v>
      </c>
      <c r="E13" s="20">
        <v>1.5</v>
      </c>
      <c r="I13" s="34">
        <v>31</v>
      </c>
      <c r="J13" s="35" t="s">
        <v>22</v>
      </c>
      <c r="K13" s="94">
        <v>1</v>
      </c>
    </row>
    <row r="14" spans="1:11">
      <c r="A14" t="s">
        <v>3742</v>
      </c>
      <c r="C14" s="1">
        <f>C3*1.65*1.5*25*0.1</f>
        <v>26810.4375</v>
      </c>
      <c r="D14" s="79">
        <f>D13*E14</f>
        <v>268104.375</v>
      </c>
      <c r="E14">
        <v>25</v>
      </c>
      <c r="I14" s="33">
        <v>33</v>
      </c>
      <c r="J14" t="s">
        <v>24</v>
      </c>
      <c r="K14" s="94"/>
    </row>
    <row r="15" spans="1:11">
      <c r="A15" t="s">
        <v>3743</v>
      </c>
      <c r="C15" s="1">
        <f>C10/12</f>
        <v>893.68124999999998</v>
      </c>
      <c r="D15" s="79">
        <f>E15*D14</f>
        <v>26810.4375</v>
      </c>
      <c r="E15">
        <v>0.1</v>
      </c>
      <c r="I15" s="34">
        <v>35</v>
      </c>
      <c r="J15" s="35" t="s">
        <v>26</v>
      </c>
      <c r="K15" s="94">
        <v>1</v>
      </c>
    </row>
    <row r="16" spans="1:11">
      <c r="I16" s="34">
        <v>36</v>
      </c>
      <c r="J16" s="35" t="s">
        <v>27</v>
      </c>
      <c r="K16" s="94">
        <v>1</v>
      </c>
    </row>
    <row r="17" spans="4:11">
      <c r="D17" s="79">
        <f>D13*E17</f>
        <v>160862.625</v>
      </c>
      <c r="E17">
        <v>15</v>
      </c>
      <c r="I17" s="33">
        <v>61</v>
      </c>
      <c r="J17" t="s">
        <v>29</v>
      </c>
      <c r="K17" s="94"/>
    </row>
    <row r="18" spans="4:11">
      <c r="D18" s="79">
        <f>D17*E18</f>
        <v>40215.65625</v>
      </c>
      <c r="E18">
        <v>0.25</v>
      </c>
      <c r="I18" s="33">
        <v>62</v>
      </c>
      <c r="J18" t="s">
        <v>30</v>
      </c>
      <c r="K18" s="94"/>
    </row>
    <row r="19" spans="4:11">
      <c r="I19" s="33">
        <v>64</v>
      </c>
      <c r="J19" t="s">
        <v>32</v>
      </c>
      <c r="K19" s="94"/>
    </row>
    <row r="20" spans="4:11">
      <c r="D20" s="79">
        <f>D15+D18</f>
        <v>67026.09375</v>
      </c>
      <c r="I20" s="34">
        <v>235</v>
      </c>
      <c r="J20" s="35" t="s">
        <v>33</v>
      </c>
      <c r="K20" s="94">
        <v>1</v>
      </c>
    </row>
    <row r="21" spans="4:11" ht="15" thickBot="1">
      <c r="I21" s="36">
        <v>236</v>
      </c>
      <c r="J21" s="37" t="s">
        <v>34</v>
      </c>
      <c r="K21" s="95">
        <v>1</v>
      </c>
    </row>
  </sheetData>
  <mergeCells count="3">
    <mergeCell ref="A1:C1"/>
    <mergeCell ref="F1:G1"/>
    <mergeCell ref="I1:K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00B1-115D-43D3-AA59-25C44A71C74F}">
  <sheetPr codeName="Sheet9"/>
  <dimension ref="B1:J18"/>
  <sheetViews>
    <sheetView rightToLeft="1" workbookViewId="0">
      <selection activeCell="F24" sqref="F24"/>
    </sheetView>
  </sheetViews>
  <sheetFormatPr defaultRowHeight="14.4"/>
  <cols>
    <col min="1" max="1" width="3.33203125" customWidth="1"/>
    <col min="2" max="2" width="24" customWidth="1"/>
    <col min="3" max="3" width="9.88671875" customWidth="1"/>
    <col min="4" max="4" width="4.88671875" customWidth="1"/>
    <col min="5" max="5" width="4.44140625" customWidth="1"/>
    <col min="7" max="7" width="15" customWidth="1"/>
    <col min="8" max="8" width="10.5546875" bestFit="1" customWidth="1"/>
    <col min="10" max="10" width="12.5546875" bestFit="1" customWidth="1"/>
  </cols>
  <sheetData>
    <row r="1" spans="2:10">
      <c r="F1" s="81"/>
    </row>
    <row r="3" spans="2:10" s="38" customFormat="1">
      <c r="B3" s="83" t="s">
        <v>3823</v>
      </c>
      <c r="F3" s="83" t="s">
        <v>3812</v>
      </c>
      <c r="G3" s="83"/>
      <c r="J3" s="86">
        <v>45658</v>
      </c>
    </row>
    <row r="4" spans="2:10" s="38" customFormat="1">
      <c r="B4" s="83"/>
      <c r="F4"/>
      <c r="G4"/>
      <c r="H4"/>
      <c r="I4"/>
      <c r="J4"/>
    </row>
    <row r="5" spans="2:10">
      <c r="B5" s="82" t="s">
        <v>3814</v>
      </c>
      <c r="F5" s="82" t="s">
        <v>3814</v>
      </c>
      <c r="G5" s="82"/>
    </row>
    <row r="6" spans="2:10">
      <c r="B6" t="s">
        <v>3807</v>
      </c>
      <c r="C6" s="1">
        <v>4333</v>
      </c>
      <c r="F6" t="s">
        <v>3807</v>
      </c>
      <c r="H6" s="1">
        <v>4333.2694256756749</v>
      </c>
    </row>
    <row r="7" spans="2:10">
      <c r="B7" t="s">
        <v>3808</v>
      </c>
      <c r="C7" s="85">
        <f>C6*0.65</f>
        <v>2816.4500000000003</v>
      </c>
      <c r="F7" t="s">
        <v>3808</v>
      </c>
      <c r="H7" s="85">
        <v>2816.6251266891886</v>
      </c>
    </row>
    <row r="8" spans="2:10">
      <c r="B8" s="82" t="s">
        <v>3809</v>
      </c>
      <c r="C8" s="1">
        <f>C6+C7</f>
        <v>7149.4500000000007</v>
      </c>
      <c r="F8" s="82" t="s">
        <v>3809</v>
      </c>
      <c r="G8" s="82"/>
      <c r="H8" s="1">
        <v>7149.8945523648636</v>
      </c>
    </row>
    <row r="9" spans="2:10">
      <c r="B9" t="s">
        <v>3810</v>
      </c>
      <c r="C9" s="85">
        <f>C8*0.4</f>
        <v>2859.7800000000007</v>
      </c>
      <c r="F9" t="s">
        <v>3813</v>
      </c>
      <c r="H9" s="85">
        <v>3574.9472761824318</v>
      </c>
    </row>
    <row r="10" spans="2:10">
      <c r="B10" s="83" t="s">
        <v>3818</v>
      </c>
      <c r="C10" s="91">
        <f>C8+C9</f>
        <v>10009.230000000001</v>
      </c>
      <c r="F10" s="83" t="s">
        <v>3818</v>
      </c>
      <c r="G10" s="83"/>
      <c r="H10" s="91">
        <v>10724.841828547294</v>
      </c>
    </row>
    <row r="12" spans="2:10" s="38" customFormat="1">
      <c r="F12" t="s">
        <v>3815</v>
      </c>
      <c r="G12"/>
      <c r="H12" s="88">
        <v>21916</v>
      </c>
      <c r="I12"/>
      <c r="J12" s="90">
        <f>($J$3-H12)/365</f>
        <v>65.046575342465758</v>
      </c>
    </row>
    <row r="13" spans="2:10">
      <c r="F13" t="s">
        <v>3816</v>
      </c>
      <c r="H13" s="88">
        <v>31594</v>
      </c>
      <c r="I13" s="4"/>
      <c r="J13" s="87">
        <f>($J$3-H13)/365</f>
        <v>38.531506849315072</v>
      </c>
    </row>
    <row r="14" spans="2:10">
      <c r="F14" s="38" t="s">
        <v>3817</v>
      </c>
      <c r="G14" s="83"/>
      <c r="H14" s="93">
        <f>J13</f>
        <v>38.531506849315072</v>
      </c>
    </row>
    <row r="16" spans="2:10">
      <c r="B16" t="s">
        <v>3811</v>
      </c>
      <c r="C16" s="1">
        <f>D16*C10</f>
        <v>250230.75000000003</v>
      </c>
      <c r="D16">
        <v>25</v>
      </c>
      <c r="F16" t="s">
        <v>3819</v>
      </c>
      <c r="H16" s="6">
        <f>H10*I16*J16</f>
        <v>26812.10457136824</v>
      </c>
      <c r="I16">
        <v>25</v>
      </c>
      <c r="J16" s="20">
        <v>0.1</v>
      </c>
    </row>
    <row r="17" spans="2:10" ht="16.2">
      <c r="B17" s="83" t="s">
        <v>3821</v>
      </c>
      <c r="C17" s="84">
        <f>C16*D17</f>
        <v>37534.612500000003</v>
      </c>
      <c r="D17" s="20">
        <v>0.15</v>
      </c>
      <c r="F17" t="s">
        <v>3820</v>
      </c>
      <c r="H17" s="6">
        <f>I17*J17*H10</f>
        <v>36280.817665202121</v>
      </c>
      <c r="I17" s="89">
        <f>H14-I16</f>
        <v>13.531506849315072</v>
      </c>
      <c r="J17" s="20">
        <v>0.25</v>
      </c>
    </row>
    <row r="18" spans="2:10" ht="16.2">
      <c r="F18" s="83" t="s">
        <v>3822</v>
      </c>
      <c r="G18" s="84"/>
      <c r="H18" s="92">
        <f>SUM(H16:H17)</f>
        <v>63092.922236570361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6D5B-2488-42B2-AB47-69D89489BF36}">
  <sheetPr codeName="Sheet11">
    <tabColor theme="3" tint="-0.249977111117893"/>
  </sheetPr>
  <dimension ref="B1:M14"/>
  <sheetViews>
    <sheetView rightToLeft="1" zoomScale="130" zoomScaleNormal="130" workbookViewId="0">
      <selection activeCell="Q11" sqref="Q11"/>
    </sheetView>
  </sheetViews>
  <sheetFormatPr defaultRowHeight="14.4"/>
  <cols>
    <col min="1" max="1" width="2.33203125" customWidth="1"/>
    <col min="2" max="2" width="19.6640625" customWidth="1"/>
    <col min="3" max="3" width="14.44140625" customWidth="1"/>
    <col min="4" max="4" width="10.33203125" customWidth="1"/>
    <col min="5" max="5" width="13.33203125" customWidth="1"/>
    <col min="6" max="6" width="2" customWidth="1"/>
    <col min="10" max="10" width="19.6640625" customWidth="1"/>
    <col min="11" max="11" width="14.44140625" customWidth="1"/>
    <col min="12" max="12" width="10.33203125" customWidth="1"/>
    <col min="13" max="13" width="13.33203125" customWidth="1"/>
  </cols>
  <sheetData>
    <row r="1" spans="2:13" ht="15" customHeight="1"/>
    <row r="2" spans="2:13" s="41" customFormat="1" ht="19.2" customHeight="1">
      <c r="B2" s="148" t="s">
        <v>0</v>
      </c>
      <c r="C2" s="148" t="s">
        <v>3881</v>
      </c>
      <c r="D2" s="148" t="s">
        <v>3885</v>
      </c>
      <c r="E2" s="148" t="s">
        <v>3884</v>
      </c>
      <c r="J2" s="148" t="s">
        <v>0</v>
      </c>
      <c r="K2" s="148" t="s">
        <v>3881</v>
      </c>
      <c r="L2" s="148" t="s">
        <v>3885</v>
      </c>
      <c r="M2" s="148" t="s">
        <v>3884</v>
      </c>
    </row>
    <row r="3" spans="2:13" s="41" customFormat="1" ht="19.2" customHeight="1">
      <c r="B3" s="145" t="s">
        <v>3888</v>
      </c>
      <c r="C3" s="150"/>
      <c r="D3" s="150"/>
      <c r="E3" s="150">
        <v>9553044.1175263971</v>
      </c>
      <c r="J3" s="145" t="s">
        <v>3888</v>
      </c>
      <c r="K3" s="150"/>
      <c r="L3" s="150"/>
      <c r="M3" s="150"/>
    </row>
    <row r="4" spans="2:13" ht="19.2" customHeight="1">
      <c r="B4" s="144" t="s">
        <v>3891</v>
      </c>
      <c r="C4" s="151">
        <f>'תקציבים מיוחדים'!I8</f>
        <v>25816131.157509156</v>
      </c>
      <c r="D4" s="151">
        <v>20</v>
      </c>
      <c r="E4" s="151">
        <f>C4/D4</f>
        <v>1290806.5578754577</v>
      </c>
      <c r="J4" s="144" t="s">
        <v>3891</v>
      </c>
      <c r="K4" s="151">
        <f>C4</f>
        <v>25816131.157509156</v>
      </c>
      <c r="L4" s="151">
        <v>20</v>
      </c>
      <c r="M4" s="151">
        <f>E4</f>
        <v>1290806.5578754577</v>
      </c>
    </row>
    <row r="5" spans="2:13" ht="19.2" customHeight="1">
      <c r="B5" s="145" t="s">
        <v>31</v>
      </c>
      <c r="C5" s="150">
        <f>'תקציבים מיוחדים'!I9</f>
        <v>4861495.8800099995</v>
      </c>
      <c r="D5" s="150">
        <v>20</v>
      </c>
      <c r="E5" s="150">
        <f>C5/D5</f>
        <v>243074.79400049997</v>
      </c>
      <c r="J5" s="145" t="s">
        <v>31</v>
      </c>
      <c r="K5" s="150">
        <f t="shared" ref="K5:K8" si="0">C5</f>
        <v>4861495.8800099995</v>
      </c>
      <c r="L5" s="150">
        <v>20</v>
      </c>
      <c r="M5" s="150">
        <f t="shared" ref="M5:M8" si="1">E5</f>
        <v>243074.79400049997</v>
      </c>
    </row>
    <row r="6" spans="2:13" ht="19.2" customHeight="1">
      <c r="B6" s="144" t="s">
        <v>3886</v>
      </c>
      <c r="C6" s="151">
        <f>'תקציבים מיוחדים'!D11*32</f>
        <v>20275200</v>
      </c>
      <c r="D6" s="151">
        <v>10</v>
      </c>
      <c r="E6" s="151">
        <f>C6/D6</f>
        <v>2027520</v>
      </c>
      <c r="J6" s="144" t="s">
        <v>3886</v>
      </c>
      <c r="K6" s="151">
        <f t="shared" si="0"/>
        <v>20275200</v>
      </c>
      <c r="L6" s="151">
        <v>10</v>
      </c>
      <c r="M6" s="151">
        <f t="shared" si="1"/>
        <v>2027520</v>
      </c>
    </row>
    <row r="7" spans="2:13" ht="19.2" customHeight="1">
      <c r="B7" s="145" t="s">
        <v>3883</v>
      </c>
      <c r="C7" s="150">
        <f>300000*33</f>
        <v>9900000</v>
      </c>
      <c r="D7" s="150">
        <v>10</v>
      </c>
      <c r="E7" s="150">
        <f>C7/D7</f>
        <v>990000</v>
      </c>
      <c r="J7" s="145" t="s">
        <v>3883</v>
      </c>
      <c r="K7" s="150">
        <f t="shared" si="0"/>
        <v>9900000</v>
      </c>
      <c r="L7" s="150">
        <v>10</v>
      </c>
      <c r="M7" s="150">
        <f t="shared" si="1"/>
        <v>990000</v>
      </c>
    </row>
    <row r="8" spans="2:13" ht="19.2" customHeight="1">
      <c r="B8" s="144" t="s">
        <v>3882</v>
      </c>
      <c r="C8" s="151">
        <f>'תקציבים מיוחדים'!I14</f>
        <v>18394900</v>
      </c>
      <c r="D8" s="151">
        <v>20</v>
      </c>
      <c r="E8" s="151">
        <f>C8/D8</f>
        <v>919745</v>
      </c>
      <c r="J8" s="144" t="s">
        <v>3882</v>
      </c>
      <c r="K8" s="151">
        <f t="shared" si="0"/>
        <v>18394900</v>
      </c>
      <c r="L8" s="151">
        <v>20</v>
      </c>
      <c r="M8" s="151">
        <f t="shared" si="1"/>
        <v>919745</v>
      </c>
    </row>
    <row r="9" spans="2:13" ht="19.2" customHeight="1">
      <c r="B9" s="145" t="s">
        <v>3889</v>
      </c>
      <c r="C9" s="150"/>
      <c r="D9" s="150"/>
      <c r="E9" s="150">
        <v>500000</v>
      </c>
      <c r="J9" s="145" t="s">
        <v>3889</v>
      </c>
      <c r="K9" s="150"/>
      <c r="L9" s="150"/>
      <c r="M9" s="150"/>
    </row>
    <row r="10" spans="2:13" ht="19.2" customHeight="1">
      <c r="B10" s="144" t="s">
        <v>4065</v>
      </c>
      <c r="C10" s="151"/>
      <c r="D10" s="151"/>
      <c r="E10" s="151">
        <v>1250000</v>
      </c>
      <c r="J10" s="144" t="s">
        <v>4065</v>
      </c>
      <c r="K10" s="151"/>
      <c r="L10" s="151"/>
      <c r="M10" s="151"/>
    </row>
    <row r="11" spans="2:13" ht="19.2" customHeight="1">
      <c r="B11" s="145" t="s">
        <v>3890</v>
      </c>
      <c r="C11" s="150"/>
      <c r="D11" s="150"/>
      <c r="E11" s="150">
        <v>6000000</v>
      </c>
      <c r="J11" s="145" t="s">
        <v>3890</v>
      </c>
      <c r="K11" s="150"/>
      <c r="L11" s="150"/>
      <c r="M11" s="150"/>
    </row>
    <row r="12" spans="2:13" ht="19.2" customHeight="1">
      <c r="B12" s="144" t="s">
        <v>3879</v>
      </c>
      <c r="C12" s="151"/>
      <c r="D12" s="151"/>
      <c r="E12" s="151">
        <v>5775000</v>
      </c>
      <c r="J12" s="144" t="s">
        <v>3879</v>
      </c>
      <c r="K12" s="151"/>
      <c r="L12" s="151"/>
      <c r="M12" s="151"/>
    </row>
    <row r="13" spans="2:13" ht="19.2" customHeight="1">
      <c r="B13" s="149" t="s">
        <v>3876</v>
      </c>
      <c r="C13" s="146">
        <f>SUM(C4:C12)</f>
        <v>79247727.037519157</v>
      </c>
      <c r="D13" s="147"/>
      <c r="E13" s="146">
        <f>SUM(E3:E12)</f>
        <v>28549190.469402358</v>
      </c>
      <c r="J13" s="149" t="s">
        <v>3876</v>
      </c>
      <c r="K13" s="146">
        <f>SUM(K4:K12)</f>
        <v>79247727.037519157</v>
      </c>
      <c r="L13" s="147"/>
      <c r="M13" s="146">
        <f>SUM(M3:M12)</f>
        <v>5471146.3518759571</v>
      </c>
    </row>
    <row r="14" spans="2:13">
      <c r="E14" s="132"/>
      <c r="M14" s="13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5300-7E7B-4F3E-B4B2-3E0DE000C8F0}">
  <dimension ref="A1:V288"/>
  <sheetViews>
    <sheetView rightToLeft="1" tabSelected="1" zoomScale="160" zoomScaleNormal="160" workbookViewId="0">
      <pane ySplit="1" topLeftCell="A2" activePane="bottomLeft" state="frozen"/>
      <selection activeCell="N130" sqref="N130"/>
      <selection pane="bottomLeft" activeCell="B1" sqref="B1"/>
    </sheetView>
  </sheetViews>
  <sheetFormatPr defaultRowHeight="14.4"/>
  <cols>
    <col min="3" max="3" width="16.6640625" customWidth="1"/>
    <col min="4" max="6" width="0" hidden="1" customWidth="1"/>
    <col min="7" max="7" width="11.33203125" hidden="1" customWidth="1"/>
    <col min="8" max="8" width="14.6640625" hidden="1" customWidth="1"/>
    <col min="10" max="10" width="12.88671875" bestFit="1" customWidth="1"/>
    <col min="12" max="13" width="0" style="13" hidden="1" customWidth="1"/>
    <col min="14" max="14" width="15" style="4" hidden="1" customWidth="1"/>
    <col min="15" max="15" width="5.44140625" customWidth="1"/>
    <col min="16" max="16" width="12.88671875" style="38" bestFit="1" customWidth="1"/>
    <col min="17" max="17" width="17" customWidth="1"/>
    <col min="18" max="18" width="12.6640625" bestFit="1" customWidth="1"/>
    <col min="19" max="19" width="10.44140625" bestFit="1" customWidth="1"/>
    <col min="20" max="21" width="11.5546875" bestFit="1" customWidth="1"/>
  </cols>
  <sheetData>
    <row r="1" spans="1:22" ht="27.6" customHeight="1">
      <c r="A1" s="41" t="s">
        <v>3932</v>
      </c>
      <c r="B1" s="41" t="s">
        <v>3267</v>
      </c>
      <c r="C1" s="41" t="s">
        <v>3298</v>
      </c>
      <c r="D1" s="41" t="s">
        <v>3933</v>
      </c>
      <c r="E1" s="41" t="s">
        <v>3298</v>
      </c>
      <c r="F1" s="41" t="s">
        <v>3934</v>
      </c>
      <c r="G1" s="41" t="s">
        <v>35</v>
      </c>
      <c r="H1" s="41" t="s">
        <v>3935</v>
      </c>
      <c r="I1" s="41" t="s">
        <v>3936</v>
      </c>
      <c r="J1" s="41" t="s">
        <v>3930</v>
      </c>
      <c r="K1" s="41" t="s">
        <v>3937</v>
      </c>
      <c r="L1" s="13" t="s">
        <v>36</v>
      </c>
      <c r="M1" s="13" t="s">
        <v>43</v>
      </c>
      <c r="N1" s="4" t="s">
        <v>3938</v>
      </c>
      <c r="P1" s="86">
        <v>46388</v>
      </c>
      <c r="Q1">
        <f>12+4</f>
        <v>16</v>
      </c>
      <c r="R1">
        <v>824</v>
      </c>
      <c r="S1" s="98" t="s">
        <v>4099</v>
      </c>
      <c r="T1" s="98" t="s">
        <v>3925</v>
      </c>
      <c r="U1" s="98" t="s">
        <v>4098</v>
      </c>
      <c r="V1">
        <f>'הנחות עבודה לררל ומדרג'!C20</f>
        <v>41</v>
      </c>
    </row>
    <row r="2" spans="1:22">
      <c r="A2">
        <v>2</v>
      </c>
      <c r="B2">
        <v>8901061</v>
      </c>
      <c r="C2" t="s">
        <v>3341</v>
      </c>
      <c r="D2">
        <v>622022</v>
      </c>
      <c r="E2" t="s">
        <v>3939</v>
      </c>
      <c r="F2" t="s">
        <v>3940</v>
      </c>
      <c r="G2" s="217">
        <v>8159.17</v>
      </c>
      <c r="H2" t="s">
        <v>3941</v>
      </c>
      <c r="I2">
        <v>47.53</v>
      </c>
      <c r="J2">
        <v>818.36</v>
      </c>
      <c r="K2">
        <v>100</v>
      </c>
      <c r="L2" s="13" t="str">
        <f>VLOOKUP($B2,'[3]חשבונות חברה 40'!$A:$I,7,0)</f>
        <v>01061</v>
      </c>
      <c r="M2" s="13" t="str">
        <f>VLOOKUP($B2,'[3]חשבונות חברה 40'!$A:$I,5,0)</f>
        <v>0106</v>
      </c>
      <c r="N2" s="4" t="str">
        <f>IF(VLOOKUP($B2,'[3]חשבונות חברה 40'!$A:$J,10,0)=0,"",VLOOKUP($B2,'[3]חשבונות חברה 40'!$A:$J,10,0))</f>
        <v/>
      </c>
      <c r="P2" s="218">
        <f>IF(J2+$Q$1&gt;=$R$1,$R$1,J2+$Q$1)</f>
        <v>824</v>
      </c>
      <c r="Q2" s="122">
        <f t="shared" ref="Q2:Q65" si="0">P2/$P$288</f>
        <v>4.7052814957496024E-3</v>
      </c>
      <c r="R2" s="1">
        <f ca="1">'הנחות עבודה לררל ומדרג'!$F$7*Q2</f>
        <v>1299801.3803180098</v>
      </c>
      <c r="S2" s="79">
        <f t="shared" ref="S2:S65" ca="1" si="1">R2/$V$1</f>
        <v>31702.472690683164</v>
      </c>
      <c r="T2" s="79">
        <f ca="1">'ררל ומדרג'!$AH$1</f>
        <v>48975.779132102936</v>
      </c>
      <c r="U2" s="79">
        <f ca="1">S2+T2</f>
        <v>80678.2518227861</v>
      </c>
    </row>
    <row r="3" spans="1:22">
      <c r="A3">
        <v>3</v>
      </c>
      <c r="B3">
        <v>8901062</v>
      </c>
      <c r="C3" t="s">
        <v>3343</v>
      </c>
      <c r="D3">
        <v>622022</v>
      </c>
      <c r="E3" t="s">
        <v>3939</v>
      </c>
      <c r="F3" t="s">
        <v>3940</v>
      </c>
      <c r="G3" s="217">
        <v>7145.8</v>
      </c>
      <c r="H3" t="s">
        <v>3941</v>
      </c>
      <c r="I3">
        <v>39.06</v>
      </c>
      <c r="J3">
        <v>716.72</v>
      </c>
      <c r="K3">
        <v>100</v>
      </c>
      <c r="L3" s="13" t="str">
        <f>VLOOKUP($B3,'[3]חשבונות חברה 40'!$A:$I,7,0)</f>
        <v>01062</v>
      </c>
      <c r="M3" s="13" t="str">
        <f>VLOOKUP($B3,'[3]חשבונות חברה 40'!$A:$I,5,0)</f>
        <v>0106</v>
      </c>
      <c r="N3" s="4" t="str">
        <f>IF(VLOOKUP($B3,'[3]חשבונות חברה 40'!$A:$J,10,0)=0,"",VLOOKUP($B3,'[3]חשבונות חברה 40'!$A:$J,10,0))</f>
        <v/>
      </c>
      <c r="P3" s="218">
        <f t="shared" ref="P3:P66" si="2">IF(J3+$Q$1&gt;=$R$1,$R$1,J3+$Q$1)</f>
        <v>732.72</v>
      </c>
      <c r="Q3" s="122">
        <f t="shared" si="0"/>
        <v>4.1840459436476322E-3</v>
      </c>
      <c r="R3" s="1">
        <f ca="1">'הנחות עבודה לררל ומדרג'!$F$7*Q3</f>
        <v>1155813.6740128789</v>
      </c>
      <c r="S3" s="79">
        <f t="shared" ca="1" si="1"/>
        <v>28190.577414948268</v>
      </c>
      <c r="T3" s="79">
        <f ca="1">'ררל ומדרג'!$AH$1</f>
        <v>48975.779132102936</v>
      </c>
      <c r="U3" s="79">
        <f t="shared" ref="U3:U66" ca="1" si="3">S3+T3</f>
        <v>77166.356547051197</v>
      </c>
    </row>
    <row r="4" spans="1:22">
      <c r="A4">
        <v>4</v>
      </c>
      <c r="B4">
        <v>8901071</v>
      </c>
      <c r="C4" t="s">
        <v>3344</v>
      </c>
      <c r="D4">
        <v>622022</v>
      </c>
      <c r="E4" t="s">
        <v>3939</v>
      </c>
      <c r="F4" t="s">
        <v>3940</v>
      </c>
      <c r="G4" s="217">
        <v>8215.4</v>
      </c>
      <c r="H4" t="s">
        <v>3941</v>
      </c>
      <c r="I4">
        <v>48</v>
      </c>
      <c r="J4">
        <v>824</v>
      </c>
      <c r="K4">
        <v>100</v>
      </c>
      <c r="L4" s="13" t="str">
        <f>VLOOKUP($B4,'[3]חשבונות חברה 40'!$A:$I,7,0)</f>
        <v>01071</v>
      </c>
      <c r="M4" s="13" t="str">
        <f>VLOOKUP($B4,'[3]חשבונות חברה 40'!$A:$I,5,0)</f>
        <v>0107</v>
      </c>
      <c r="N4" s="4" t="str">
        <f>IF(VLOOKUP($B4,'[3]חשבונות חברה 40'!$A:$J,10,0)=0,"",VLOOKUP($B4,'[3]חשבונות חברה 40'!$A:$J,10,0))</f>
        <v/>
      </c>
      <c r="P4" s="218">
        <f t="shared" si="2"/>
        <v>824</v>
      </c>
      <c r="Q4" s="122">
        <f t="shared" si="0"/>
        <v>4.7052814957496024E-3</v>
      </c>
      <c r="R4" s="1">
        <f ca="1">'הנחות עבודה לררל ומדרג'!$F$7*Q4</f>
        <v>1299801.3803180098</v>
      </c>
      <c r="S4" s="79">
        <f t="shared" ca="1" si="1"/>
        <v>31702.472690683164</v>
      </c>
      <c r="T4" s="79">
        <f ca="1">'ררל ומדרג'!$AH$1</f>
        <v>48975.779132102936</v>
      </c>
      <c r="U4" s="79">
        <f t="shared" ca="1" si="3"/>
        <v>80678.2518227861</v>
      </c>
    </row>
    <row r="5" spans="1:22">
      <c r="A5">
        <v>5</v>
      </c>
      <c r="B5">
        <v>8901072</v>
      </c>
      <c r="C5" t="s">
        <v>3345</v>
      </c>
      <c r="D5">
        <v>622022</v>
      </c>
      <c r="E5" t="s">
        <v>3939</v>
      </c>
      <c r="F5" t="s">
        <v>3940</v>
      </c>
      <c r="G5" s="217">
        <v>8215.4</v>
      </c>
      <c r="H5" t="s">
        <v>3941</v>
      </c>
      <c r="I5">
        <v>48</v>
      </c>
      <c r="J5">
        <v>824</v>
      </c>
      <c r="K5">
        <v>100</v>
      </c>
      <c r="L5" s="13" t="str">
        <f>VLOOKUP($B5,'[3]חשבונות חברה 40'!$A:$I,7,0)</f>
        <v>01072</v>
      </c>
      <c r="M5" s="13" t="str">
        <f>VLOOKUP($B5,'[3]חשבונות חברה 40'!$A:$I,5,0)</f>
        <v>0107</v>
      </c>
      <c r="N5" s="4" t="str">
        <f>IF(VLOOKUP($B5,'[3]חשבונות חברה 40'!$A:$J,10,0)=0,"",VLOOKUP($B5,'[3]חשבונות חברה 40'!$A:$J,10,0))</f>
        <v/>
      </c>
      <c r="P5" s="218">
        <f t="shared" si="2"/>
        <v>824</v>
      </c>
      <c r="Q5" s="122">
        <f t="shared" si="0"/>
        <v>4.7052814957496024E-3</v>
      </c>
      <c r="R5" s="1">
        <f ca="1">'הנחות עבודה לררל ומדרג'!$F$7*Q5</f>
        <v>1299801.3803180098</v>
      </c>
      <c r="S5" s="79">
        <f t="shared" ca="1" si="1"/>
        <v>31702.472690683164</v>
      </c>
      <c r="T5" s="79">
        <f ca="1">'ררל ומדרג'!$AH$1</f>
        <v>48975.779132102936</v>
      </c>
      <c r="U5" s="79">
        <f t="shared" ca="1" si="3"/>
        <v>80678.2518227861</v>
      </c>
    </row>
    <row r="6" spans="1:22">
      <c r="A6">
        <v>6</v>
      </c>
      <c r="B6">
        <v>8901091</v>
      </c>
      <c r="C6" t="s">
        <v>3346</v>
      </c>
      <c r="D6">
        <v>622022</v>
      </c>
      <c r="E6" t="s">
        <v>3939</v>
      </c>
      <c r="F6" t="s">
        <v>3940</v>
      </c>
      <c r="G6" s="217">
        <v>7943.81</v>
      </c>
      <c r="H6" t="s">
        <v>3941</v>
      </c>
      <c r="I6">
        <v>45.73</v>
      </c>
      <c r="J6">
        <v>796.76</v>
      </c>
      <c r="K6">
        <v>100</v>
      </c>
      <c r="L6" s="13" t="str">
        <f>VLOOKUP($B6,'[3]חשבונות חברה 40'!$A:$I,7,0)</f>
        <v>01091</v>
      </c>
      <c r="M6" s="13" t="str">
        <f>VLOOKUP($B6,'[3]חשבונות חברה 40'!$A:$I,5,0)</f>
        <v>0109</v>
      </c>
      <c r="N6" s="4" t="str">
        <f>IF(VLOOKUP($B6,'[3]חשבונות חברה 40'!$A:$J,10,0)=0,"",VLOOKUP($B6,'[3]חשבונות חברה 40'!$A:$J,10,0))</f>
        <v/>
      </c>
      <c r="P6" s="218">
        <f t="shared" si="2"/>
        <v>812.76</v>
      </c>
      <c r="Q6" s="122">
        <f t="shared" si="0"/>
        <v>4.6410978015600079E-3</v>
      </c>
      <c r="R6" s="1">
        <f ca="1">'הנחות עבודה לררל ומדרג'!$F$7*Q6</f>
        <v>1282071.0799360019</v>
      </c>
      <c r="S6" s="79">
        <f t="shared" ca="1" si="1"/>
        <v>31270.026339902484</v>
      </c>
      <c r="T6" s="79">
        <f ca="1">'ררל ומדרג'!$AH$1</f>
        <v>48975.779132102936</v>
      </c>
      <c r="U6" s="79">
        <f t="shared" ca="1" si="3"/>
        <v>80245.805472005421</v>
      </c>
    </row>
    <row r="7" spans="1:22">
      <c r="A7">
        <v>7</v>
      </c>
      <c r="B7">
        <v>8901092</v>
      </c>
      <c r="C7" t="s">
        <v>3347</v>
      </c>
      <c r="D7">
        <v>622022</v>
      </c>
      <c r="E7" t="s">
        <v>3939</v>
      </c>
      <c r="F7" t="s">
        <v>3940</v>
      </c>
      <c r="G7" s="217">
        <v>8138.83</v>
      </c>
      <c r="H7" t="s">
        <v>3941</v>
      </c>
      <c r="I7">
        <v>47.36</v>
      </c>
      <c r="J7">
        <v>816.32</v>
      </c>
      <c r="K7">
        <v>100</v>
      </c>
      <c r="L7" s="13" t="str">
        <f>VLOOKUP($B7,'[3]חשבונות חברה 40'!$A:$I,7,0)</f>
        <v>01092</v>
      </c>
      <c r="M7" s="13" t="str">
        <f>VLOOKUP($B7,'[3]חשבונות חברה 40'!$A:$I,5,0)</f>
        <v>0109</v>
      </c>
      <c r="N7" s="4" t="str">
        <f>IF(VLOOKUP($B7,'[3]חשבונות חברה 40'!$A:$J,10,0)=0,"",VLOOKUP($B7,'[3]חשבונות חברה 40'!$A:$J,10,0))</f>
        <v/>
      </c>
      <c r="P7" s="218">
        <f t="shared" si="2"/>
        <v>824</v>
      </c>
      <c r="Q7" s="122">
        <f t="shared" si="0"/>
        <v>4.7052814957496024E-3</v>
      </c>
      <c r="R7" s="1">
        <f ca="1">'הנחות עבודה לררל ומדרג'!$F$7*Q7</f>
        <v>1299801.3803180098</v>
      </c>
      <c r="S7" s="79">
        <f t="shared" ca="1" si="1"/>
        <v>31702.472690683164</v>
      </c>
      <c r="T7" s="79">
        <f ca="1">'ררל ומדרג'!$AH$1</f>
        <v>48975.779132102936</v>
      </c>
      <c r="U7" s="79">
        <f t="shared" ca="1" si="3"/>
        <v>80678.2518227861</v>
      </c>
    </row>
    <row r="8" spans="1:22">
      <c r="A8">
        <v>8</v>
      </c>
      <c r="B8">
        <v>8901101</v>
      </c>
      <c r="C8" t="s">
        <v>3348</v>
      </c>
      <c r="D8">
        <v>622022</v>
      </c>
      <c r="E8" t="s">
        <v>3939</v>
      </c>
      <c r="F8" t="s">
        <v>3940</v>
      </c>
      <c r="G8" s="217">
        <v>8215.4</v>
      </c>
      <c r="H8" t="s">
        <v>3941</v>
      </c>
      <c r="I8">
        <v>48</v>
      </c>
      <c r="J8">
        <v>824</v>
      </c>
      <c r="K8">
        <v>100</v>
      </c>
      <c r="L8" s="13" t="str">
        <f>VLOOKUP($B8,'[3]חשבונות חברה 40'!$A:$I,7,0)</f>
        <v>01101</v>
      </c>
      <c r="M8" s="13" t="str">
        <f>VLOOKUP($B8,'[3]חשבונות חברה 40'!$A:$I,5,0)</f>
        <v>0110</v>
      </c>
      <c r="N8" s="4" t="str">
        <f>IF(VLOOKUP($B8,'[3]חשבונות חברה 40'!$A:$J,10,0)=0,"",VLOOKUP($B8,'[3]חשבונות חברה 40'!$A:$J,10,0))</f>
        <v/>
      </c>
      <c r="P8" s="218">
        <f t="shared" si="2"/>
        <v>824</v>
      </c>
      <c r="Q8" s="122">
        <f t="shared" si="0"/>
        <v>4.7052814957496024E-3</v>
      </c>
      <c r="R8" s="1">
        <f ca="1">'הנחות עבודה לררל ומדרג'!$F$7*Q8</f>
        <v>1299801.3803180098</v>
      </c>
      <c r="S8" s="79">
        <f t="shared" ca="1" si="1"/>
        <v>31702.472690683164</v>
      </c>
      <c r="T8" s="79">
        <f ca="1">'ררל ומדרג'!$AH$1</f>
        <v>48975.779132102936</v>
      </c>
      <c r="U8" s="79">
        <f t="shared" ca="1" si="3"/>
        <v>80678.2518227861</v>
      </c>
    </row>
    <row r="9" spans="1:22">
      <c r="A9">
        <v>9</v>
      </c>
      <c r="B9">
        <v>8901111</v>
      </c>
      <c r="C9" t="s">
        <v>3349</v>
      </c>
      <c r="D9">
        <v>622022</v>
      </c>
      <c r="E9" t="s">
        <v>3939</v>
      </c>
      <c r="F9" t="s">
        <v>3940</v>
      </c>
      <c r="G9" s="217">
        <v>6528.45</v>
      </c>
      <c r="H9" t="s">
        <v>3941</v>
      </c>
      <c r="I9">
        <v>33.9</v>
      </c>
      <c r="J9">
        <v>654.79999999999995</v>
      </c>
      <c r="K9">
        <v>100</v>
      </c>
      <c r="L9" s="13" t="str">
        <f>VLOOKUP($B9,'[3]חשבונות חברה 40'!$A:$I,7,0)</f>
        <v>01111</v>
      </c>
      <c r="M9" s="13" t="str">
        <f>VLOOKUP($B9,'[3]חשבונות חברה 40'!$A:$I,5,0)</f>
        <v>0111</v>
      </c>
      <c r="N9" s="4" t="str">
        <f>IF(VLOOKUP($B9,'[3]חשבונות חברה 40'!$A:$J,10,0)=0,"",VLOOKUP($B9,'[3]חשבונות חברה 40'!$A:$J,10,0))</f>
        <v/>
      </c>
      <c r="P9" s="218">
        <f t="shared" si="2"/>
        <v>670.8</v>
      </c>
      <c r="Q9" s="122">
        <f t="shared" si="0"/>
        <v>3.8304645962971276E-3</v>
      </c>
      <c r="R9" s="1">
        <f ca="1">'הנחות עבודה לררל ומדרג'!$F$7*Q9</f>
        <v>1058139.279025875</v>
      </c>
      <c r="S9" s="79">
        <f t="shared" ca="1" si="1"/>
        <v>25808.275098192073</v>
      </c>
      <c r="T9" s="79">
        <f ca="1">'ררל ומדרג'!$AH$1</f>
        <v>48975.779132102936</v>
      </c>
      <c r="U9" s="79">
        <f t="shared" ca="1" si="3"/>
        <v>74784.054230295005</v>
      </c>
    </row>
    <row r="10" spans="1:22">
      <c r="A10">
        <v>10</v>
      </c>
      <c r="B10">
        <v>8901112</v>
      </c>
      <c r="C10" t="s">
        <v>3350</v>
      </c>
      <c r="D10">
        <v>622022</v>
      </c>
      <c r="E10" t="s">
        <v>3939</v>
      </c>
      <c r="F10" t="s">
        <v>3940</v>
      </c>
      <c r="G10" s="217">
        <v>7491.56</v>
      </c>
      <c r="H10" t="s">
        <v>3941</v>
      </c>
      <c r="I10">
        <v>41.95</v>
      </c>
      <c r="J10">
        <v>751.4</v>
      </c>
      <c r="K10">
        <v>100</v>
      </c>
      <c r="L10" s="13" t="str">
        <f>VLOOKUP($B10,'[3]חשבונות חברה 40'!$A:$I,7,0)</f>
        <v>01112</v>
      </c>
      <c r="M10" s="13" t="str">
        <f>VLOOKUP($B10,'[3]חשבונות חברה 40'!$A:$I,5,0)</f>
        <v>0111</v>
      </c>
      <c r="N10" s="4" t="str">
        <f>IF(VLOOKUP($B10,'[3]חשבונות חברה 40'!$A:$J,10,0)=0,"",VLOOKUP($B10,'[3]חשבונות חברה 40'!$A:$J,10,0))</f>
        <v/>
      </c>
      <c r="P10" s="218">
        <f t="shared" si="2"/>
        <v>767.4</v>
      </c>
      <c r="Q10" s="122">
        <f t="shared" si="0"/>
        <v>4.3820789075706855E-3</v>
      </c>
      <c r="R10" s="1">
        <f ca="1">'הנחות עבודה לררל ומדרג'!$F$7*Q10</f>
        <v>1210518.9068641271</v>
      </c>
      <c r="S10" s="79">
        <f t="shared" ca="1" si="1"/>
        <v>29524.851386929931</v>
      </c>
      <c r="T10" s="79">
        <f ca="1">'ררל ומדרג'!$AH$1</f>
        <v>48975.779132102936</v>
      </c>
      <c r="U10" s="79">
        <f t="shared" ca="1" si="3"/>
        <v>78500.630519032871</v>
      </c>
    </row>
    <row r="11" spans="1:22">
      <c r="A11">
        <v>11</v>
      </c>
      <c r="B11">
        <v>8901121</v>
      </c>
      <c r="C11" t="s">
        <v>3351</v>
      </c>
      <c r="D11">
        <v>622022</v>
      </c>
      <c r="E11" t="s">
        <v>3939</v>
      </c>
      <c r="F11" t="s">
        <v>3940</v>
      </c>
      <c r="G11" s="217">
        <v>8215.4</v>
      </c>
      <c r="H11" t="s">
        <v>3941</v>
      </c>
      <c r="I11">
        <v>48</v>
      </c>
      <c r="J11">
        <v>824</v>
      </c>
      <c r="K11">
        <v>100</v>
      </c>
      <c r="L11" s="13" t="str">
        <f>VLOOKUP($B11,'[3]חשבונות חברה 40'!$A:$I,7,0)</f>
        <v>01121</v>
      </c>
      <c r="M11" s="13" t="str">
        <f>VLOOKUP($B11,'[3]חשבונות חברה 40'!$A:$I,5,0)</f>
        <v>0112</v>
      </c>
      <c r="N11" s="4" t="str">
        <f>IF(VLOOKUP($B11,'[3]חשבונות חברה 40'!$A:$J,10,0)=0,"",VLOOKUP($B11,'[3]חשבונות חברה 40'!$A:$J,10,0))</f>
        <v/>
      </c>
      <c r="P11" s="218">
        <f t="shared" si="2"/>
        <v>824</v>
      </c>
      <c r="Q11" s="122">
        <f t="shared" si="0"/>
        <v>4.7052814957496024E-3</v>
      </c>
      <c r="R11" s="1">
        <f ca="1">'הנחות עבודה לררל ומדרג'!$F$7*Q11</f>
        <v>1299801.3803180098</v>
      </c>
      <c r="S11" s="79">
        <f t="shared" ca="1" si="1"/>
        <v>31702.472690683164</v>
      </c>
      <c r="T11" s="79">
        <f ca="1">'ררל ומדרג'!$AH$1</f>
        <v>48975.779132102936</v>
      </c>
      <c r="U11" s="79">
        <f t="shared" ca="1" si="3"/>
        <v>80678.2518227861</v>
      </c>
    </row>
    <row r="12" spans="1:22">
      <c r="A12">
        <v>12</v>
      </c>
      <c r="B12">
        <v>8901122</v>
      </c>
      <c r="C12" t="s">
        <v>3352</v>
      </c>
      <c r="D12">
        <v>622022</v>
      </c>
      <c r="E12" t="s">
        <v>3939</v>
      </c>
      <c r="F12" t="s">
        <v>3940</v>
      </c>
      <c r="G12" s="217">
        <v>8215.4</v>
      </c>
      <c r="H12" t="s">
        <v>3941</v>
      </c>
      <c r="I12">
        <v>48</v>
      </c>
      <c r="J12">
        <v>824</v>
      </c>
      <c r="K12">
        <v>100</v>
      </c>
      <c r="L12" s="13" t="str">
        <f>VLOOKUP($B12,'[3]חשבונות חברה 40'!$A:$I,7,0)</f>
        <v>01122</v>
      </c>
      <c r="M12" s="13" t="str">
        <f>VLOOKUP($B12,'[3]חשבונות חברה 40'!$A:$I,5,0)</f>
        <v>0112</v>
      </c>
      <c r="N12" s="4" t="str">
        <f>IF(VLOOKUP($B12,'[3]חשבונות חברה 40'!$A:$J,10,0)=0,"",VLOOKUP($B12,'[3]חשבונות חברה 40'!$A:$J,10,0))</f>
        <v/>
      </c>
      <c r="P12" s="218">
        <f t="shared" si="2"/>
        <v>824</v>
      </c>
      <c r="Q12" s="122">
        <f t="shared" si="0"/>
        <v>4.7052814957496024E-3</v>
      </c>
      <c r="R12" s="1">
        <f ca="1">'הנחות עבודה לררל ומדרג'!$F$7*Q12</f>
        <v>1299801.3803180098</v>
      </c>
      <c r="S12" s="79">
        <f t="shared" ca="1" si="1"/>
        <v>31702.472690683164</v>
      </c>
      <c r="T12" s="79">
        <f ca="1">'ררל ומדרג'!$AH$1</f>
        <v>48975.779132102936</v>
      </c>
      <c r="U12" s="79">
        <f t="shared" ca="1" si="3"/>
        <v>80678.2518227861</v>
      </c>
    </row>
    <row r="13" spans="1:22">
      <c r="A13">
        <v>13</v>
      </c>
      <c r="B13">
        <v>8901141</v>
      </c>
      <c r="C13" t="s">
        <v>3353</v>
      </c>
      <c r="D13">
        <v>622022</v>
      </c>
      <c r="E13" t="s">
        <v>3939</v>
      </c>
      <c r="F13" t="s">
        <v>3940</v>
      </c>
      <c r="G13" s="217">
        <v>6784.48</v>
      </c>
      <c r="H13" t="s">
        <v>3941</v>
      </c>
      <c r="I13">
        <v>36.04</v>
      </c>
      <c r="J13">
        <v>680.48</v>
      </c>
      <c r="K13">
        <v>100</v>
      </c>
      <c r="L13" s="13" t="str">
        <f>VLOOKUP($B13,'[3]חשבונות חברה 40'!$A:$I,7,0)</f>
        <v>01141</v>
      </c>
      <c r="M13" s="13" t="str">
        <f>VLOOKUP($B13,'[3]חשבונות חברה 40'!$A:$I,5,0)</f>
        <v>0114</v>
      </c>
      <c r="N13" s="4" t="str">
        <f>IF(VLOOKUP($B13,'[3]חשבונות חברה 40'!$A:$J,10,0)=0,"",VLOOKUP($B13,'[3]חשבונות חברה 40'!$A:$J,10,0))</f>
        <v/>
      </c>
      <c r="P13" s="218">
        <f t="shared" si="2"/>
        <v>696.48</v>
      </c>
      <c r="Q13" s="122">
        <f t="shared" si="0"/>
        <v>3.9771049225238875E-3</v>
      </c>
      <c r="R13" s="1">
        <f ca="1">'הנחות עבודה לררל ומדרג'!$F$7*Q13</f>
        <v>1098647.6521406402</v>
      </c>
      <c r="S13" s="79">
        <f t="shared" ca="1" si="1"/>
        <v>26796.284198552199</v>
      </c>
      <c r="T13" s="79">
        <f ca="1">'ררל ומדרג'!$AH$1</f>
        <v>48975.779132102936</v>
      </c>
      <c r="U13" s="79">
        <f t="shared" ca="1" si="3"/>
        <v>75772.063330655132</v>
      </c>
    </row>
    <row r="14" spans="1:22">
      <c r="A14">
        <v>14</v>
      </c>
      <c r="B14">
        <v>8901142</v>
      </c>
      <c r="C14" t="s">
        <v>3354</v>
      </c>
      <c r="D14">
        <v>622022</v>
      </c>
      <c r="E14" t="s">
        <v>3939</v>
      </c>
      <c r="F14" t="s">
        <v>3940</v>
      </c>
      <c r="G14" s="217">
        <v>6784.48</v>
      </c>
      <c r="H14" t="s">
        <v>3941</v>
      </c>
      <c r="I14">
        <v>36.04</v>
      </c>
      <c r="J14">
        <v>680.48</v>
      </c>
      <c r="K14">
        <v>100</v>
      </c>
      <c r="L14" s="13" t="str">
        <f>VLOOKUP($B14,'[3]חשבונות חברה 40'!$A:$I,7,0)</f>
        <v>01142</v>
      </c>
      <c r="M14" s="13" t="str">
        <f>VLOOKUP($B14,'[3]חשבונות חברה 40'!$A:$I,5,0)</f>
        <v>0114</v>
      </c>
      <c r="N14" s="4" t="str">
        <f>IF(VLOOKUP($B14,'[3]חשבונות חברה 40'!$A:$J,10,0)=0,"",VLOOKUP($B14,'[3]חשבונות חברה 40'!$A:$J,10,0))</f>
        <v/>
      </c>
      <c r="P14" s="218">
        <f t="shared" si="2"/>
        <v>696.48</v>
      </c>
      <c r="Q14" s="122">
        <f t="shared" si="0"/>
        <v>3.9771049225238875E-3</v>
      </c>
      <c r="R14" s="1">
        <f ca="1">'הנחות עבודה לררל ומדרג'!$F$7*Q14</f>
        <v>1098647.6521406402</v>
      </c>
      <c r="S14" s="79">
        <f t="shared" ca="1" si="1"/>
        <v>26796.284198552199</v>
      </c>
      <c r="T14" s="79">
        <f ca="1">'ררל ומדרג'!$AH$1</f>
        <v>48975.779132102936</v>
      </c>
      <c r="U14" s="79">
        <f t="shared" ca="1" si="3"/>
        <v>75772.063330655132</v>
      </c>
    </row>
    <row r="15" spans="1:22">
      <c r="A15">
        <v>15</v>
      </c>
      <c r="B15">
        <v>8901151</v>
      </c>
      <c r="C15" t="s">
        <v>3355</v>
      </c>
      <c r="D15">
        <v>622022</v>
      </c>
      <c r="E15" t="s">
        <v>3939</v>
      </c>
      <c r="F15" t="s">
        <v>3940</v>
      </c>
      <c r="G15" s="217">
        <v>7730.85</v>
      </c>
      <c r="H15" t="s">
        <v>3941</v>
      </c>
      <c r="I15">
        <v>43.95</v>
      </c>
      <c r="J15">
        <v>775.4</v>
      </c>
      <c r="K15">
        <v>100</v>
      </c>
      <c r="L15" s="13" t="str">
        <f>VLOOKUP($B15,'[3]חשבונות חברה 40'!$A:$I,7,0)</f>
        <v>01151</v>
      </c>
      <c r="M15" s="13" t="str">
        <f>VLOOKUP($B15,'[3]חשבונות חברה 40'!$A:$I,5,0)</f>
        <v>0115</v>
      </c>
      <c r="N15" s="4" t="str">
        <f>IF(VLOOKUP($B15,'[3]חשבונות חברה 40'!$A:$J,10,0)=0,"",VLOOKUP($B15,'[3]חשבונות חברה 40'!$A:$J,10,0))</f>
        <v/>
      </c>
      <c r="P15" s="218">
        <f t="shared" si="2"/>
        <v>791.4</v>
      </c>
      <c r="Q15" s="122">
        <f t="shared" si="0"/>
        <v>4.5191259414274695E-3</v>
      </c>
      <c r="R15" s="1">
        <f ca="1">'הנחות עבודה לררל ומדרג'!$F$7*Q15</f>
        <v>1248377.1994947486</v>
      </c>
      <c r="S15" s="79">
        <f t="shared" ca="1" si="1"/>
        <v>30448.224377920698</v>
      </c>
      <c r="T15" s="79">
        <f ca="1">'ררל ומדרג'!$AH$1</f>
        <v>48975.779132102936</v>
      </c>
      <c r="U15" s="79">
        <f t="shared" ca="1" si="3"/>
        <v>79424.003510023642</v>
      </c>
    </row>
    <row r="16" spans="1:22">
      <c r="A16">
        <v>16</v>
      </c>
      <c r="B16">
        <v>8901152</v>
      </c>
      <c r="C16" t="s">
        <v>3356</v>
      </c>
      <c r="D16">
        <v>622022</v>
      </c>
      <c r="E16" t="s">
        <v>3939</v>
      </c>
      <c r="F16" t="s">
        <v>3940</v>
      </c>
      <c r="G16" s="217">
        <v>7047.69</v>
      </c>
      <c r="H16" t="s">
        <v>3941</v>
      </c>
      <c r="I16">
        <v>38.24</v>
      </c>
      <c r="J16">
        <v>706.88</v>
      </c>
      <c r="K16">
        <v>100</v>
      </c>
      <c r="L16" s="13" t="str">
        <f>VLOOKUP($B16,'[3]חשבונות חברה 40'!$A:$I,7,0)</f>
        <v>01152</v>
      </c>
      <c r="M16" s="13" t="str">
        <f>VLOOKUP($B16,'[3]חשבונות חברה 40'!$A:$I,5,0)</f>
        <v>0115</v>
      </c>
      <c r="N16" s="4" t="str">
        <f>IF(VLOOKUP($B16,'[3]חשבונות חברה 40'!$A:$J,10,0)=0,"",VLOOKUP($B16,'[3]חשבונות חברה 40'!$A:$J,10,0))</f>
        <v/>
      </c>
      <c r="P16" s="218">
        <f t="shared" si="2"/>
        <v>722.88</v>
      </c>
      <c r="Q16" s="122">
        <f t="shared" si="0"/>
        <v>4.1278566597663501E-3</v>
      </c>
      <c r="R16" s="1">
        <f ca="1">'הנחות עבודה לררל ומדרג'!$F$7*Q16</f>
        <v>1140291.7740343239</v>
      </c>
      <c r="S16" s="79">
        <f t="shared" ca="1" si="1"/>
        <v>27811.994488642045</v>
      </c>
      <c r="T16" s="79">
        <f ca="1">'ררל ומדרג'!$AH$1</f>
        <v>48975.779132102936</v>
      </c>
      <c r="U16" s="79">
        <f t="shared" ca="1" si="3"/>
        <v>76787.773620744978</v>
      </c>
    </row>
    <row r="17" spans="1:21">
      <c r="A17">
        <v>17</v>
      </c>
      <c r="B17">
        <v>8901192</v>
      </c>
      <c r="C17" t="s">
        <v>3357</v>
      </c>
      <c r="D17">
        <v>622022</v>
      </c>
      <c r="E17" t="s">
        <v>3939</v>
      </c>
      <c r="F17" t="s">
        <v>3940</v>
      </c>
      <c r="G17" s="217">
        <v>5964.94</v>
      </c>
      <c r="H17" t="s">
        <v>3941</v>
      </c>
      <c r="I17">
        <v>29.19</v>
      </c>
      <c r="J17">
        <v>598.28</v>
      </c>
      <c r="K17">
        <v>100</v>
      </c>
      <c r="L17" s="13" t="str">
        <f>VLOOKUP($B17,'[3]חשבונות חברה 40'!$A:$I,7,0)</f>
        <v>01192</v>
      </c>
      <c r="M17" s="13" t="str">
        <f>VLOOKUP($B17,'[3]חשבונות חברה 40'!$A:$I,5,0)</f>
        <v>0119</v>
      </c>
      <c r="N17" s="4" t="str">
        <f>IF(VLOOKUP($B17,'[3]חשבונות חברה 40'!$A:$J,10,0)=0,"",VLOOKUP($B17,'[3]חשבונות חברה 40'!$A:$J,10,0))</f>
        <v/>
      </c>
      <c r="P17" s="218">
        <f t="shared" si="2"/>
        <v>614.28</v>
      </c>
      <c r="Q17" s="122">
        <f t="shared" si="0"/>
        <v>3.5077188315644002E-3</v>
      </c>
      <c r="R17" s="1">
        <f ca="1">'הנחות עבודה לררל ומדרג'!$F$7*Q17</f>
        <v>968982.99988076102</v>
      </c>
      <c r="S17" s="79">
        <f t="shared" ca="1" si="1"/>
        <v>23633.731704408805</v>
      </c>
      <c r="T17" s="79">
        <f ca="1">'ררל ומדרג'!$AH$1</f>
        <v>48975.779132102936</v>
      </c>
      <c r="U17" s="79">
        <f t="shared" ca="1" si="3"/>
        <v>72609.510836511734</v>
      </c>
    </row>
    <row r="18" spans="1:21">
      <c r="A18">
        <v>18</v>
      </c>
      <c r="B18">
        <v>8901211</v>
      </c>
      <c r="C18" t="s">
        <v>3359</v>
      </c>
      <c r="D18">
        <v>622022</v>
      </c>
      <c r="E18" t="s">
        <v>3939</v>
      </c>
      <c r="F18" t="s">
        <v>3940</v>
      </c>
      <c r="G18" s="217">
        <v>6942.41</v>
      </c>
      <c r="H18" t="s">
        <v>3941</v>
      </c>
      <c r="I18">
        <v>37.36</v>
      </c>
      <c r="J18">
        <v>696.32</v>
      </c>
      <c r="K18">
        <v>100</v>
      </c>
      <c r="L18" s="13" t="str">
        <f>VLOOKUP($B18,'[3]חשבונות חברה 40'!$A:$I,7,0)</f>
        <v>01211</v>
      </c>
      <c r="M18" s="13" t="str">
        <f>VLOOKUP($B18,'[3]חשבונות חברה 40'!$A:$I,5,0)</f>
        <v>0121</v>
      </c>
      <c r="N18" s="4" t="str">
        <f>IF(VLOOKUP($B18,'[3]חשבונות חברה 40'!$A:$J,10,0)=0,"",VLOOKUP($B18,'[3]חשבונות חברה 40'!$A:$J,10,0))</f>
        <v/>
      </c>
      <c r="P18" s="218">
        <f t="shared" si="2"/>
        <v>712.32</v>
      </c>
      <c r="Q18" s="122">
        <f t="shared" si="0"/>
        <v>4.0675559648693654E-3</v>
      </c>
      <c r="R18" s="1">
        <f ca="1">'הנחות עבודה לררל ומדרג'!$F$7*Q18</f>
        <v>1123634.1252768505</v>
      </c>
      <c r="S18" s="79">
        <f t="shared" ca="1" si="1"/>
        <v>27405.71037260611</v>
      </c>
      <c r="T18" s="79">
        <f ca="1">'ררל ומדרג'!$AH$1</f>
        <v>48975.779132102936</v>
      </c>
      <c r="U18" s="79">
        <f t="shared" ca="1" si="3"/>
        <v>76381.489504709054</v>
      </c>
    </row>
    <row r="19" spans="1:21">
      <c r="A19">
        <v>19</v>
      </c>
      <c r="B19">
        <v>8901231</v>
      </c>
      <c r="C19" t="s">
        <v>3360</v>
      </c>
      <c r="D19">
        <v>622022</v>
      </c>
      <c r="E19" t="s">
        <v>3939</v>
      </c>
      <c r="F19" t="s">
        <v>3940</v>
      </c>
      <c r="G19" s="217">
        <v>4243.29</v>
      </c>
      <c r="H19" t="s">
        <v>3941</v>
      </c>
      <c r="I19">
        <v>14.8</v>
      </c>
      <c r="J19">
        <v>425.6</v>
      </c>
      <c r="K19">
        <v>100</v>
      </c>
      <c r="L19" s="13" t="str">
        <f>VLOOKUP($B19,'[3]חשבונות חברה 40'!$A:$I,7,0)</f>
        <v>01231</v>
      </c>
      <c r="M19" s="13" t="str">
        <f>VLOOKUP($B19,'[3]חשבונות חברה 40'!$A:$I,5,0)</f>
        <v>0123</v>
      </c>
      <c r="N19" s="4" t="str">
        <f>IF(VLOOKUP($B19,'[3]חשבונות חברה 40'!$A:$J,10,0)=0,"",VLOOKUP($B19,'[3]חשבונות חברה 40'!$A:$J,10,0))</f>
        <v/>
      </c>
      <c r="P19" s="218">
        <f t="shared" si="2"/>
        <v>441.6</v>
      </c>
      <c r="Q19" s="122">
        <f t="shared" si="0"/>
        <v>2.5216654229648357E-3</v>
      </c>
      <c r="R19" s="1">
        <f ca="1">'הנחות עבודה לררל ומדרג'!$F$7*Q19</f>
        <v>696592.58440343838</v>
      </c>
      <c r="S19" s="79">
        <f t="shared" ca="1" si="1"/>
        <v>16990.063034230203</v>
      </c>
      <c r="T19" s="79">
        <f ca="1">'ררל ומדרג'!$AH$1</f>
        <v>48975.779132102936</v>
      </c>
      <c r="U19" s="79">
        <f t="shared" ca="1" si="3"/>
        <v>65965.842166333139</v>
      </c>
    </row>
    <row r="20" spans="1:21">
      <c r="A20">
        <v>20</v>
      </c>
      <c r="B20">
        <v>8901232</v>
      </c>
      <c r="C20" t="s">
        <v>3361</v>
      </c>
      <c r="D20">
        <v>622022</v>
      </c>
      <c r="E20" t="s">
        <v>3939</v>
      </c>
      <c r="F20" t="s">
        <v>3940</v>
      </c>
      <c r="G20" s="217">
        <v>4647.68</v>
      </c>
      <c r="H20" t="s">
        <v>3941</v>
      </c>
      <c r="I20">
        <v>18.18</v>
      </c>
      <c r="J20">
        <v>466.16</v>
      </c>
      <c r="K20">
        <v>100</v>
      </c>
      <c r="L20" s="13" t="str">
        <f>VLOOKUP($B20,'[3]חשבונות חברה 40'!$A:$I,7,0)</f>
        <v>01482</v>
      </c>
      <c r="M20" s="13" t="str">
        <f>VLOOKUP($B20,'[3]חשבונות חברה 40'!$A:$I,5,0)</f>
        <v>0148</v>
      </c>
      <c r="N20" s="4" t="str">
        <f>IF(VLOOKUP($B20,'[3]חשבונות חברה 40'!$A:$J,10,0)=0,"",VLOOKUP($B20,'[3]חשבונות חברה 40'!$A:$J,10,0))</f>
        <v/>
      </c>
      <c r="P20" s="218">
        <f t="shared" si="2"/>
        <v>482.16</v>
      </c>
      <c r="Q20" s="122">
        <f t="shared" si="0"/>
        <v>2.7532749101828015E-3</v>
      </c>
      <c r="R20" s="1">
        <f ca="1">'הנחות עבודה לררל ומדרג'!$F$7*Q20</f>
        <v>760573.09894918895</v>
      </c>
      <c r="S20" s="79">
        <f t="shared" ca="1" si="1"/>
        <v>18550.563389004608</v>
      </c>
      <c r="T20" s="79">
        <f ca="1">'ררל ומדרג'!$AH$1</f>
        <v>48975.779132102936</v>
      </c>
      <c r="U20" s="79">
        <f t="shared" ca="1" si="3"/>
        <v>67526.342521107552</v>
      </c>
    </row>
    <row r="21" spans="1:21">
      <c r="A21">
        <v>21</v>
      </c>
      <c r="B21">
        <v>8901252</v>
      </c>
      <c r="C21" t="s">
        <v>3362</v>
      </c>
      <c r="D21">
        <v>622022</v>
      </c>
      <c r="E21" t="s">
        <v>3939</v>
      </c>
      <c r="F21" t="s">
        <v>3940</v>
      </c>
      <c r="G21" s="217">
        <v>7669.83</v>
      </c>
      <c r="H21" t="s">
        <v>3941</v>
      </c>
      <c r="I21">
        <v>43.44</v>
      </c>
      <c r="J21">
        <v>769.28</v>
      </c>
      <c r="K21">
        <v>100</v>
      </c>
      <c r="L21" s="13" t="str">
        <f>VLOOKUP($B21,'[3]חשבונות חברה 40'!$A:$I,7,0)</f>
        <v>01252</v>
      </c>
      <c r="M21" s="13" t="str">
        <f>VLOOKUP($B21,'[3]חשבונות חברה 40'!$A:$I,5,0)</f>
        <v>0125</v>
      </c>
      <c r="N21" s="4" t="str">
        <f>IF(VLOOKUP($B21,'[3]חשבונות חברה 40'!$A:$J,10,0)=0,"",VLOOKUP($B21,'[3]חשבונות חברה 40'!$A:$J,10,0))</f>
        <v/>
      </c>
      <c r="P21" s="218">
        <f t="shared" si="2"/>
        <v>785.28</v>
      </c>
      <c r="Q21" s="122">
        <f t="shared" si="0"/>
        <v>4.4841789477939901E-3</v>
      </c>
      <c r="R21" s="1">
        <f ca="1">'הנחות עבודה לררל ומדרג'!$F$7*Q21</f>
        <v>1238723.3348739403</v>
      </c>
      <c r="S21" s="79">
        <f t="shared" ca="1" si="1"/>
        <v>30212.764265218058</v>
      </c>
      <c r="T21" s="79">
        <f ca="1">'ררל ומדרג'!$AH$1</f>
        <v>48975.779132102936</v>
      </c>
      <c r="U21" s="79">
        <f t="shared" ca="1" si="3"/>
        <v>79188.543397320987</v>
      </c>
    </row>
    <row r="22" spans="1:21">
      <c r="A22">
        <v>22</v>
      </c>
      <c r="B22">
        <v>8901301</v>
      </c>
      <c r="C22" t="s">
        <v>3363</v>
      </c>
      <c r="D22">
        <v>622022</v>
      </c>
      <c r="E22" t="s">
        <v>3939</v>
      </c>
      <c r="F22" t="s">
        <v>3940</v>
      </c>
      <c r="G22" s="217">
        <v>4118.87</v>
      </c>
      <c r="H22" t="s">
        <v>3941</v>
      </c>
      <c r="I22">
        <v>13.76</v>
      </c>
      <c r="J22">
        <v>413.12</v>
      </c>
      <c r="K22">
        <v>100</v>
      </c>
      <c r="L22" s="13" t="str">
        <f>VLOOKUP($B22,'[3]חשבונות חברה 40'!$A:$I,7,0)</f>
        <v>01301</v>
      </c>
      <c r="M22" s="13" t="str">
        <f>VLOOKUP($B22,'[3]חשבונות חברה 40'!$A:$I,5,0)</f>
        <v>0130</v>
      </c>
      <c r="N22" s="4" t="str">
        <f>IF(VLOOKUP($B22,'[3]חשבונות חברה 40'!$A:$J,10,0)=0,"",VLOOKUP($B22,'[3]חשבונות חברה 40'!$A:$J,10,0))</f>
        <v/>
      </c>
      <c r="P22" s="218">
        <f t="shared" si="2"/>
        <v>429.12</v>
      </c>
      <c r="Q22" s="122">
        <f t="shared" si="0"/>
        <v>2.4504009653593074E-3</v>
      </c>
      <c r="R22" s="1">
        <f ca="1">'הנחות עבודה לררל ומדרג'!$F$7*Q22</f>
        <v>676906.27223551506</v>
      </c>
      <c r="S22" s="79">
        <f t="shared" ca="1" si="1"/>
        <v>16509.909078915003</v>
      </c>
      <c r="T22" s="79">
        <f ca="1">'ררל ומדרג'!$AH$1</f>
        <v>48975.779132102936</v>
      </c>
      <c r="U22" s="79">
        <f t="shared" ca="1" si="3"/>
        <v>65485.688211017943</v>
      </c>
    </row>
    <row r="23" spans="1:21">
      <c r="A23">
        <v>23</v>
      </c>
      <c r="B23">
        <v>8901302</v>
      </c>
      <c r="C23" t="s">
        <v>3365</v>
      </c>
      <c r="D23">
        <v>622022</v>
      </c>
      <c r="E23" t="s">
        <v>3939</v>
      </c>
      <c r="F23" t="s">
        <v>3940</v>
      </c>
      <c r="G23" s="217">
        <v>4118.87</v>
      </c>
      <c r="H23" t="s">
        <v>3941</v>
      </c>
      <c r="I23">
        <v>13.76</v>
      </c>
      <c r="J23">
        <v>413.12</v>
      </c>
      <c r="K23">
        <v>100</v>
      </c>
      <c r="L23" s="13" t="str">
        <f>VLOOKUP($B23,'[3]חשבונות חברה 40'!$A:$I,7,0)</f>
        <v>01302</v>
      </c>
      <c r="M23" s="13" t="str">
        <f>VLOOKUP($B23,'[3]חשבונות חברה 40'!$A:$I,5,0)</f>
        <v>0130</v>
      </c>
      <c r="N23" s="4" t="str">
        <f>IF(VLOOKUP($B23,'[3]חשבונות חברה 40'!$A:$J,10,0)=0,"",VLOOKUP($B23,'[3]חשבונות חברה 40'!$A:$J,10,0))</f>
        <v/>
      </c>
      <c r="P23" s="218">
        <f t="shared" si="2"/>
        <v>429.12</v>
      </c>
      <c r="Q23" s="122">
        <f t="shared" si="0"/>
        <v>2.4504009653593074E-3</v>
      </c>
      <c r="R23" s="1">
        <f ca="1">'הנחות עבודה לררל ומדרג'!$F$7*Q23</f>
        <v>676906.27223551506</v>
      </c>
      <c r="S23" s="79">
        <f t="shared" ca="1" si="1"/>
        <v>16509.909078915003</v>
      </c>
      <c r="T23" s="79">
        <f ca="1">'ררל ומדרג'!$AH$1</f>
        <v>48975.779132102936</v>
      </c>
      <c r="U23" s="79">
        <f t="shared" ca="1" si="3"/>
        <v>65485.688211017943</v>
      </c>
    </row>
    <row r="24" spans="1:21">
      <c r="A24">
        <v>24</v>
      </c>
      <c r="B24">
        <v>8901341</v>
      </c>
      <c r="C24" t="s">
        <v>3366</v>
      </c>
      <c r="D24">
        <v>622022</v>
      </c>
      <c r="E24" t="s">
        <v>3939</v>
      </c>
      <c r="F24" t="s">
        <v>3940</v>
      </c>
      <c r="G24" s="217">
        <v>3379.48</v>
      </c>
      <c r="H24" t="s">
        <v>3941</v>
      </c>
      <c r="I24">
        <v>7.58</v>
      </c>
      <c r="J24">
        <v>338.96</v>
      </c>
      <c r="K24">
        <v>100</v>
      </c>
      <c r="L24" s="13" t="str">
        <f>VLOOKUP($B24,'[3]חשבונות חברה 40'!$A:$I,7,0)</f>
        <v>01341</v>
      </c>
      <c r="M24" s="13" t="str">
        <f>VLOOKUP($B24,'[3]חשבונות חברה 40'!$A:$I,5,0)</f>
        <v>0134</v>
      </c>
      <c r="N24" s="4" t="str">
        <f>IF(VLOOKUP($B24,'[3]חשבונות חברה 40'!$A:$J,10,0)=0,"",VLOOKUP($B24,'[3]חשבונות חברה 40'!$A:$J,10,0))</f>
        <v/>
      </c>
      <c r="P24" s="218">
        <f t="shared" si="2"/>
        <v>354.96</v>
      </c>
      <c r="Q24" s="122">
        <f t="shared" si="0"/>
        <v>2.026925630741843E-3</v>
      </c>
      <c r="R24" s="1">
        <f ca="1">'הנחות עבודה לררל ומדרג'!$F$7*Q24</f>
        <v>559924.14800689404</v>
      </c>
      <c r="S24" s="79">
        <f t="shared" ca="1" si="1"/>
        <v>13656.686536753514</v>
      </c>
      <c r="T24" s="79">
        <f ca="1">'ררל ומדרג'!$AH$1</f>
        <v>48975.779132102936</v>
      </c>
      <c r="U24" s="79">
        <f t="shared" ca="1" si="3"/>
        <v>62632.46566885645</v>
      </c>
    </row>
    <row r="25" spans="1:21">
      <c r="A25">
        <v>25</v>
      </c>
      <c r="B25">
        <v>8901342</v>
      </c>
      <c r="C25" t="s">
        <v>3367</v>
      </c>
      <c r="D25">
        <v>622022</v>
      </c>
      <c r="E25" t="s">
        <v>3939</v>
      </c>
      <c r="F25" t="s">
        <v>3940</v>
      </c>
      <c r="G25" s="217">
        <v>3379.48</v>
      </c>
      <c r="H25" t="s">
        <v>3941</v>
      </c>
      <c r="I25">
        <v>7.58</v>
      </c>
      <c r="J25">
        <v>338.96</v>
      </c>
      <c r="K25">
        <v>100</v>
      </c>
      <c r="L25" s="13" t="str">
        <f>VLOOKUP($B25,'[3]חשבונות חברה 40'!$A:$I,7,0)</f>
        <v>01342</v>
      </c>
      <c r="M25" s="13" t="str">
        <f>VLOOKUP($B25,'[3]חשבונות חברה 40'!$A:$I,5,0)</f>
        <v>0134</v>
      </c>
      <c r="N25" s="4" t="str">
        <f>IF(VLOOKUP($B25,'[3]חשבונות חברה 40'!$A:$J,10,0)=0,"",VLOOKUP($B25,'[3]חשבונות חברה 40'!$A:$J,10,0))</f>
        <v/>
      </c>
      <c r="P25" s="218">
        <f t="shared" si="2"/>
        <v>354.96</v>
      </c>
      <c r="Q25" s="122">
        <f t="shared" si="0"/>
        <v>2.026925630741843E-3</v>
      </c>
      <c r="R25" s="1">
        <f ca="1">'הנחות עבודה לררל ומדרג'!$F$7*Q25</f>
        <v>559924.14800689404</v>
      </c>
      <c r="S25" s="79">
        <f t="shared" ca="1" si="1"/>
        <v>13656.686536753514</v>
      </c>
      <c r="T25" s="79">
        <f ca="1">'ררל ומדרג'!$AH$1</f>
        <v>48975.779132102936</v>
      </c>
      <c r="U25" s="79">
        <f t="shared" ca="1" si="3"/>
        <v>62632.46566885645</v>
      </c>
    </row>
    <row r="26" spans="1:21">
      <c r="A26">
        <v>26</v>
      </c>
      <c r="B26">
        <v>8901441</v>
      </c>
      <c r="C26" t="s">
        <v>363</v>
      </c>
      <c r="D26">
        <v>622022</v>
      </c>
      <c r="E26" t="s">
        <v>3939</v>
      </c>
      <c r="F26" t="s">
        <v>3940</v>
      </c>
      <c r="G26" s="217">
        <v>3530.23</v>
      </c>
      <c r="H26" t="s">
        <v>3941</v>
      </c>
      <c r="I26">
        <v>8.84</v>
      </c>
      <c r="J26">
        <v>354.08</v>
      </c>
      <c r="K26">
        <v>100</v>
      </c>
      <c r="L26" s="13" t="str">
        <f>VLOOKUP($B26,'[3]חשבונות חברה 40'!$A:$I,7,0)</f>
        <v>01441</v>
      </c>
      <c r="M26" s="13" t="str">
        <f>VLOOKUP($B26,'[3]חשבונות חברה 40'!$A:$I,5,0)</f>
        <v>0144</v>
      </c>
      <c r="N26" s="4" t="str">
        <f>IF(VLOOKUP($B26,'[3]חשבונות חברה 40'!$A:$J,10,0)=0,"",VLOOKUP($B26,'[3]חשבונות חברה 40'!$A:$J,10,0))</f>
        <v/>
      </c>
      <c r="P26" s="218">
        <f t="shared" si="2"/>
        <v>370.08</v>
      </c>
      <c r="Q26" s="122">
        <f t="shared" si="0"/>
        <v>2.1132652620716175E-3</v>
      </c>
      <c r="R26" s="1">
        <f ca="1">'הנחות עבודה לררל ומדרג'!$F$7*Q26</f>
        <v>583774.87236418575</v>
      </c>
      <c r="S26" s="79">
        <f t="shared" ca="1" si="1"/>
        <v>14238.411521077702</v>
      </c>
      <c r="T26" s="79">
        <f ca="1">'ררל ומדרג'!$AH$1</f>
        <v>48975.779132102936</v>
      </c>
      <c r="U26" s="79">
        <f t="shared" ca="1" si="3"/>
        <v>63214.190653180638</v>
      </c>
    </row>
    <row r="27" spans="1:21">
      <c r="A27">
        <v>27</v>
      </c>
      <c r="B27">
        <v>8901442</v>
      </c>
      <c r="C27" t="s">
        <v>370</v>
      </c>
      <c r="D27">
        <v>622022</v>
      </c>
      <c r="E27" t="s">
        <v>3939</v>
      </c>
      <c r="F27" t="s">
        <v>3940</v>
      </c>
      <c r="G27" s="217">
        <v>3530.23</v>
      </c>
      <c r="H27" t="s">
        <v>3941</v>
      </c>
      <c r="I27">
        <v>8.84</v>
      </c>
      <c r="J27">
        <v>354.08</v>
      </c>
      <c r="K27">
        <v>100</v>
      </c>
      <c r="L27" s="13" t="str">
        <f>VLOOKUP($B27,'[3]חשבונות חברה 40'!$A:$I,7,0)</f>
        <v>01442</v>
      </c>
      <c r="M27" s="13" t="str">
        <f>VLOOKUP($B27,'[3]חשבונות חברה 40'!$A:$I,5,0)</f>
        <v>0144</v>
      </c>
      <c r="N27" s="4" t="str">
        <f>IF(VLOOKUP($B27,'[3]חשבונות חברה 40'!$A:$J,10,0)=0,"",VLOOKUP($B27,'[3]חשבונות חברה 40'!$A:$J,10,0))</f>
        <v/>
      </c>
      <c r="P27" s="218">
        <f t="shared" si="2"/>
        <v>370.08</v>
      </c>
      <c r="Q27" s="122">
        <f t="shared" si="0"/>
        <v>2.1132652620716175E-3</v>
      </c>
      <c r="R27" s="1">
        <f ca="1">'הנחות עבודה לררל ומדרג'!$F$7*Q27</f>
        <v>583774.87236418575</v>
      </c>
      <c r="S27" s="79">
        <f t="shared" ca="1" si="1"/>
        <v>14238.411521077702</v>
      </c>
      <c r="T27" s="79">
        <f ca="1">'ררל ומדרג'!$AH$1</f>
        <v>48975.779132102936</v>
      </c>
      <c r="U27" s="79">
        <f t="shared" ca="1" si="3"/>
        <v>63214.190653180638</v>
      </c>
    </row>
    <row r="28" spans="1:21">
      <c r="A28">
        <v>28</v>
      </c>
      <c r="B28">
        <v>8902021</v>
      </c>
      <c r="C28" t="s">
        <v>3368</v>
      </c>
      <c r="D28">
        <v>622022</v>
      </c>
      <c r="E28" t="s">
        <v>3939</v>
      </c>
      <c r="F28" t="s">
        <v>3940</v>
      </c>
      <c r="G28" s="217">
        <v>8215.4</v>
      </c>
      <c r="H28" t="s">
        <v>3941</v>
      </c>
      <c r="I28">
        <v>48</v>
      </c>
      <c r="J28">
        <v>824</v>
      </c>
      <c r="K28">
        <v>100</v>
      </c>
      <c r="L28" s="13" t="str">
        <f>VLOOKUP($B28,'[3]חשבונות חברה 40'!$A:$I,7,0)</f>
        <v>02021</v>
      </c>
      <c r="M28" s="13" t="str">
        <f>VLOOKUP($B28,'[3]חשבונות חברה 40'!$A:$I,5,0)</f>
        <v>0202</v>
      </c>
      <c r="N28" s="4" t="str">
        <f>IF(VLOOKUP($B28,'[3]חשבונות חברה 40'!$A:$J,10,0)=0,"",VLOOKUP($B28,'[3]חשבונות חברה 40'!$A:$J,10,0))</f>
        <v/>
      </c>
      <c r="P28" s="218">
        <f t="shared" si="2"/>
        <v>824</v>
      </c>
      <c r="Q28" s="122">
        <f t="shared" si="0"/>
        <v>4.7052814957496024E-3</v>
      </c>
      <c r="R28" s="1">
        <f ca="1">'הנחות עבודה לררל ומדרג'!$F$7*Q28</f>
        <v>1299801.3803180098</v>
      </c>
      <c r="S28" s="79">
        <f t="shared" ca="1" si="1"/>
        <v>31702.472690683164</v>
      </c>
      <c r="T28" s="79">
        <f ca="1">'ררל ומדרג'!$AH$1</f>
        <v>48975.779132102936</v>
      </c>
      <c r="U28" s="79">
        <f t="shared" ca="1" si="3"/>
        <v>80678.2518227861</v>
      </c>
    </row>
    <row r="29" spans="1:21">
      <c r="A29">
        <v>29</v>
      </c>
      <c r="B29">
        <v>8902022</v>
      </c>
      <c r="C29" t="s">
        <v>3369</v>
      </c>
      <c r="D29">
        <v>622022</v>
      </c>
      <c r="E29" t="s">
        <v>3939</v>
      </c>
      <c r="F29" t="s">
        <v>3940</v>
      </c>
      <c r="G29" s="217">
        <v>8215.4</v>
      </c>
      <c r="H29" t="s">
        <v>3941</v>
      </c>
      <c r="I29">
        <v>48</v>
      </c>
      <c r="J29">
        <v>824</v>
      </c>
      <c r="K29">
        <v>100</v>
      </c>
      <c r="L29" s="13" t="str">
        <f>VLOOKUP($B29,'[3]חשבונות חברה 40'!$A:$I,7,0)</f>
        <v>02022</v>
      </c>
      <c r="M29" s="13" t="str">
        <f>VLOOKUP($B29,'[3]חשבונות חברה 40'!$A:$I,5,0)</f>
        <v>0202</v>
      </c>
      <c r="N29" s="4" t="str">
        <f>IF(VLOOKUP($B29,'[3]חשבונות חברה 40'!$A:$J,10,0)=0,"",VLOOKUP($B29,'[3]חשבונות חברה 40'!$A:$J,10,0))</f>
        <v/>
      </c>
      <c r="P29" s="218">
        <f t="shared" si="2"/>
        <v>824</v>
      </c>
      <c r="Q29" s="122">
        <f t="shared" si="0"/>
        <v>4.7052814957496024E-3</v>
      </c>
      <c r="R29" s="1">
        <f ca="1">'הנחות עבודה לררל ומדרג'!$F$7*Q29</f>
        <v>1299801.3803180098</v>
      </c>
      <c r="S29" s="79">
        <f t="shared" ca="1" si="1"/>
        <v>31702.472690683164</v>
      </c>
      <c r="T29" s="79">
        <f ca="1">'ררל ומדרג'!$AH$1</f>
        <v>48975.779132102936</v>
      </c>
      <c r="U29" s="79">
        <f t="shared" ca="1" si="3"/>
        <v>80678.2518227861</v>
      </c>
    </row>
    <row r="30" spans="1:21">
      <c r="A30">
        <v>30</v>
      </c>
      <c r="B30">
        <v>8902062</v>
      </c>
      <c r="C30" t="s">
        <v>3380</v>
      </c>
      <c r="D30">
        <v>622022</v>
      </c>
      <c r="E30" t="s">
        <v>3939</v>
      </c>
      <c r="F30" t="s">
        <v>3940</v>
      </c>
      <c r="G30" s="217">
        <v>7819.38</v>
      </c>
      <c r="H30" t="s">
        <v>3941</v>
      </c>
      <c r="I30">
        <v>44.69</v>
      </c>
      <c r="J30">
        <v>784.28</v>
      </c>
      <c r="K30">
        <v>100</v>
      </c>
      <c r="L30" s="13" t="str">
        <f>VLOOKUP($B30,'[3]חשבונות חברה 40'!$A:$I,7,0)</f>
        <v>02062</v>
      </c>
      <c r="M30" s="13" t="str">
        <f>VLOOKUP($B30,'[3]חשבונות חברה 40'!$A:$I,5,0)</f>
        <v>0206</v>
      </c>
      <c r="N30" s="4" t="str">
        <f>IF(VLOOKUP($B30,'[3]חשבונות חברה 40'!$A:$J,10,0)=0,"",VLOOKUP($B30,'[3]חשבונות חברה 40'!$A:$J,10,0))</f>
        <v/>
      </c>
      <c r="P30" s="218">
        <f t="shared" si="2"/>
        <v>800.28</v>
      </c>
      <c r="Q30" s="122">
        <f t="shared" si="0"/>
        <v>4.5698333439544801E-3</v>
      </c>
      <c r="R30" s="1">
        <f ca="1">'הנחות עבודה לררל ומדרג'!$F$7*Q30</f>
        <v>1262384.7677680787</v>
      </c>
      <c r="S30" s="79">
        <f t="shared" ca="1" si="1"/>
        <v>30789.872384587285</v>
      </c>
      <c r="T30" s="79">
        <f ca="1">'ררל ומדרג'!$AH$1</f>
        <v>48975.779132102936</v>
      </c>
      <c r="U30" s="79">
        <f t="shared" ca="1" si="3"/>
        <v>79765.651516690225</v>
      </c>
    </row>
    <row r="31" spans="1:21">
      <c r="A31">
        <v>31</v>
      </c>
      <c r="B31">
        <v>8902111</v>
      </c>
      <c r="C31" t="s">
        <v>3391</v>
      </c>
      <c r="D31">
        <v>622022</v>
      </c>
      <c r="E31" t="s">
        <v>3939</v>
      </c>
      <c r="F31" t="s">
        <v>3940</v>
      </c>
      <c r="G31" s="217">
        <v>4348.58</v>
      </c>
      <c r="H31" t="s">
        <v>3941</v>
      </c>
      <c r="I31">
        <v>15.68</v>
      </c>
      <c r="J31">
        <v>436.16</v>
      </c>
      <c r="K31">
        <v>100</v>
      </c>
      <c r="L31" s="13" t="str">
        <f>VLOOKUP($B31,'[3]חשבונות חברה 40'!$A:$I,7,0)</f>
        <v>02111</v>
      </c>
      <c r="M31" s="13" t="str">
        <f>VLOOKUP($B31,'[3]חשבונות חברה 40'!$A:$I,5,0)</f>
        <v>0211</v>
      </c>
      <c r="N31" s="4" t="str">
        <f>IF(VLOOKUP($B31,'[3]חשבונות חברה 40'!$A:$J,10,0)=0,"",VLOOKUP($B31,'[3]חשבונות חברה 40'!$A:$J,10,0))</f>
        <v/>
      </c>
      <c r="P31" s="218">
        <f t="shared" si="2"/>
        <v>452.16</v>
      </c>
      <c r="Q31" s="122">
        <f t="shared" si="0"/>
        <v>2.5819661178618208E-3</v>
      </c>
      <c r="R31" s="1">
        <f ca="1">'הנחות עבודה לררל ומדרג'!$F$7*Q31</f>
        <v>713250.23316091183</v>
      </c>
      <c r="S31" s="79">
        <f t="shared" ca="1" si="1"/>
        <v>17396.347150266141</v>
      </c>
      <c r="T31" s="79">
        <f ca="1">'ררל ומדרג'!$AH$1</f>
        <v>48975.779132102936</v>
      </c>
      <c r="U31" s="79">
        <f t="shared" ca="1" si="3"/>
        <v>66372.126282369078</v>
      </c>
    </row>
    <row r="32" spans="1:21">
      <c r="A32">
        <v>32</v>
      </c>
      <c r="B32">
        <v>8902112</v>
      </c>
      <c r="C32" t="s">
        <v>3392</v>
      </c>
      <c r="D32">
        <v>622022</v>
      </c>
      <c r="E32" t="s">
        <v>3939</v>
      </c>
      <c r="F32" t="s">
        <v>3940</v>
      </c>
      <c r="G32" s="217">
        <v>4348.58</v>
      </c>
      <c r="H32" t="s">
        <v>3941</v>
      </c>
      <c r="I32">
        <v>15.68</v>
      </c>
      <c r="J32">
        <v>436.16</v>
      </c>
      <c r="K32">
        <v>100</v>
      </c>
      <c r="L32" s="13" t="str">
        <f>VLOOKUP($B32,'[3]חשבונות חברה 40'!$A:$I,7,0)</f>
        <v>02112</v>
      </c>
      <c r="M32" s="13" t="str">
        <f>VLOOKUP($B32,'[3]חשבונות חברה 40'!$A:$I,5,0)</f>
        <v>0211</v>
      </c>
      <c r="N32" s="4" t="str">
        <f>IF(VLOOKUP($B32,'[3]חשבונות חברה 40'!$A:$J,10,0)=0,"",VLOOKUP($B32,'[3]חשבונות חברה 40'!$A:$J,10,0))</f>
        <v/>
      </c>
      <c r="P32" s="218">
        <f t="shared" si="2"/>
        <v>452.16</v>
      </c>
      <c r="Q32" s="122">
        <f t="shared" si="0"/>
        <v>2.5819661178618208E-3</v>
      </c>
      <c r="R32" s="1">
        <f ca="1">'הנחות עבודה לררל ומדרג'!$F$7*Q32</f>
        <v>713250.23316091183</v>
      </c>
      <c r="S32" s="79">
        <f t="shared" ca="1" si="1"/>
        <v>17396.347150266141</v>
      </c>
      <c r="T32" s="79">
        <f ca="1">'ררל ומדרג'!$AH$1</f>
        <v>48975.779132102936</v>
      </c>
      <c r="U32" s="79">
        <f t="shared" ca="1" si="3"/>
        <v>66372.126282369078</v>
      </c>
    </row>
    <row r="33" spans="1:21">
      <c r="A33">
        <v>33</v>
      </c>
      <c r="B33">
        <v>8902121</v>
      </c>
      <c r="C33" t="s">
        <v>3393</v>
      </c>
      <c r="D33">
        <v>622022</v>
      </c>
      <c r="E33" t="s">
        <v>3939</v>
      </c>
      <c r="F33" t="s">
        <v>3940</v>
      </c>
      <c r="G33" s="217">
        <v>8215.4</v>
      </c>
      <c r="H33" t="s">
        <v>3941</v>
      </c>
      <c r="I33">
        <v>48</v>
      </c>
      <c r="J33">
        <v>824</v>
      </c>
      <c r="K33">
        <v>100</v>
      </c>
      <c r="L33" s="13" t="str">
        <f>VLOOKUP($B33,'[3]חשבונות חברה 40'!$A:$I,7,0)</f>
        <v>02121</v>
      </c>
      <c r="M33" s="13" t="str">
        <f>VLOOKUP($B33,'[3]חשבונות חברה 40'!$A:$I,5,0)</f>
        <v>0212</v>
      </c>
      <c r="N33" s="4" t="str">
        <f>IF(VLOOKUP($B33,'[3]חשבונות חברה 40'!$A:$J,10,0)=0,"",VLOOKUP($B33,'[3]חשבונות חברה 40'!$A:$J,10,0))</f>
        <v/>
      </c>
      <c r="P33" s="218">
        <f t="shared" si="2"/>
        <v>824</v>
      </c>
      <c r="Q33" s="122">
        <f t="shared" si="0"/>
        <v>4.7052814957496024E-3</v>
      </c>
      <c r="R33" s="1">
        <f ca="1">'הנחות עבודה לררל ומדרג'!$F$7*Q33</f>
        <v>1299801.3803180098</v>
      </c>
      <c r="S33" s="79">
        <f t="shared" ca="1" si="1"/>
        <v>31702.472690683164</v>
      </c>
      <c r="T33" s="79">
        <f ca="1">'ררל ומדרג'!$AH$1</f>
        <v>48975.779132102936</v>
      </c>
      <c r="U33" s="79">
        <f t="shared" ca="1" si="3"/>
        <v>80678.2518227861</v>
      </c>
    </row>
    <row r="34" spans="1:21">
      <c r="A34">
        <v>34</v>
      </c>
      <c r="B34">
        <v>8902122</v>
      </c>
      <c r="C34" t="s">
        <v>3394</v>
      </c>
      <c r="D34">
        <v>622022</v>
      </c>
      <c r="E34" t="s">
        <v>3939</v>
      </c>
      <c r="F34" t="s">
        <v>3940</v>
      </c>
      <c r="G34" s="217">
        <v>7123.07</v>
      </c>
      <c r="H34" t="s">
        <v>3941</v>
      </c>
      <c r="I34">
        <v>38.869999999999997</v>
      </c>
      <c r="J34">
        <v>714.44</v>
      </c>
      <c r="K34">
        <v>100</v>
      </c>
      <c r="L34" s="13" t="str">
        <f>VLOOKUP($B34,'[3]חשבונות חברה 40'!$A:$I,7,0)</f>
        <v>02122</v>
      </c>
      <c r="M34" s="13" t="str">
        <f>VLOOKUP($B34,'[3]חשבונות חברה 40'!$A:$I,5,0)</f>
        <v>0212</v>
      </c>
      <c r="N34" s="4" t="str">
        <f>IF(VLOOKUP($B34,'[3]חשבונות חברה 40'!$A:$J,10,0)=0,"",VLOOKUP($B34,'[3]חשבונות חברה 40'!$A:$J,10,0))</f>
        <v/>
      </c>
      <c r="P34" s="218">
        <f t="shared" si="2"/>
        <v>730.44</v>
      </c>
      <c r="Q34" s="122">
        <f t="shared" si="0"/>
        <v>4.1710264754312373E-3</v>
      </c>
      <c r="R34" s="1">
        <f ca="1">'הנחות עבודה לררל ומדרג'!$F$7*Q34</f>
        <v>1152217.1362129699</v>
      </c>
      <c r="S34" s="79">
        <f t="shared" ca="1" si="1"/>
        <v>28102.856980804143</v>
      </c>
      <c r="T34" s="79">
        <f ca="1">'ררל ומדרג'!$AH$1</f>
        <v>48975.779132102936</v>
      </c>
      <c r="U34" s="79">
        <f t="shared" ca="1" si="3"/>
        <v>77078.636112907086</v>
      </c>
    </row>
    <row r="35" spans="1:21">
      <c r="A35">
        <v>35</v>
      </c>
      <c r="B35">
        <v>8902141</v>
      </c>
      <c r="C35" t="s">
        <v>3395</v>
      </c>
      <c r="D35">
        <v>622022</v>
      </c>
      <c r="E35" t="s">
        <v>3939</v>
      </c>
      <c r="F35" t="s">
        <v>3940</v>
      </c>
      <c r="G35" s="217">
        <v>6870.62</v>
      </c>
      <c r="H35" t="s">
        <v>3941</v>
      </c>
      <c r="I35">
        <v>36.76</v>
      </c>
      <c r="J35">
        <v>689.12</v>
      </c>
      <c r="K35">
        <v>100</v>
      </c>
      <c r="L35" s="13" t="str">
        <f>VLOOKUP($B35,'[3]חשבונות חברה 40'!$A:$I,7,0)</f>
        <v>02141</v>
      </c>
      <c r="M35" s="13" t="str">
        <f>VLOOKUP($B35,'[3]חשבונות חברה 40'!$A:$I,5,0)</f>
        <v>0214</v>
      </c>
      <c r="N35" s="4" t="str">
        <f>IF(VLOOKUP($B35,'[3]חשבונות חברה 40'!$A:$J,10,0)=0,"",VLOOKUP($B35,'[3]חשבונות חברה 40'!$A:$J,10,0))</f>
        <v/>
      </c>
      <c r="P35" s="218">
        <f t="shared" si="2"/>
        <v>705.12</v>
      </c>
      <c r="Q35" s="122">
        <f t="shared" si="0"/>
        <v>4.02644185471233E-3</v>
      </c>
      <c r="R35" s="1">
        <f ca="1">'הנחות עבודה לררל ומדרג'!$F$7*Q35</f>
        <v>1112276.6374876641</v>
      </c>
      <c r="S35" s="79">
        <f t="shared" ca="1" si="1"/>
        <v>27128.69847530888</v>
      </c>
      <c r="T35" s="79">
        <f ca="1">'ררל ומדרג'!$AH$1</f>
        <v>48975.779132102936</v>
      </c>
      <c r="U35" s="79">
        <f t="shared" ca="1" si="3"/>
        <v>76104.477607411813</v>
      </c>
    </row>
    <row r="36" spans="1:21">
      <c r="A36">
        <v>36</v>
      </c>
      <c r="B36">
        <v>8902142</v>
      </c>
      <c r="C36" t="s">
        <v>3396</v>
      </c>
      <c r="D36">
        <v>622022</v>
      </c>
      <c r="E36" t="s">
        <v>3939</v>
      </c>
      <c r="F36" t="s">
        <v>3940</v>
      </c>
      <c r="G36" s="217">
        <v>6887.37</v>
      </c>
      <c r="H36" t="s">
        <v>3941</v>
      </c>
      <c r="I36">
        <v>36.9</v>
      </c>
      <c r="J36">
        <v>690.8</v>
      </c>
      <c r="K36">
        <v>100</v>
      </c>
      <c r="L36" s="13" t="str">
        <f>VLOOKUP($B36,'[3]חשבונות חברה 40'!$A:$I,7,0)</f>
        <v>02142</v>
      </c>
      <c r="M36" s="13" t="str">
        <f>VLOOKUP($B36,'[3]חשבונות חברה 40'!$A:$I,5,0)</f>
        <v>0214</v>
      </c>
      <c r="N36" s="4" t="str">
        <f>IF(VLOOKUP($B36,'[3]חשבונות חברה 40'!$A:$J,10,0)=0,"",VLOOKUP($B36,'[3]חשבונות חברה 40'!$A:$J,10,0))</f>
        <v/>
      </c>
      <c r="P36" s="218">
        <f t="shared" si="2"/>
        <v>706.8</v>
      </c>
      <c r="Q36" s="122">
        <f t="shared" si="0"/>
        <v>4.0360351470823041E-3</v>
      </c>
      <c r="R36" s="1">
        <f ca="1">'הנחות עבודה לררל ומדרג'!$F$7*Q36</f>
        <v>1114926.7179718073</v>
      </c>
      <c r="S36" s="79">
        <f t="shared" ca="1" si="1"/>
        <v>27193.334584678229</v>
      </c>
      <c r="T36" s="79">
        <f ca="1">'ררל ומדרג'!$AH$1</f>
        <v>48975.779132102936</v>
      </c>
      <c r="U36" s="79">
        <f t="shared" ca="1" si="3"/>
        <v>76169.113716781168</v>
      </c>
    </row>
    <row r="37" spans="1:21">
      <c r="A37">
        <v>37</v>
      </c>
      <c r="B37">
        <v>8902161</v>
      </c>
      <c r="C37" t="s">
        <v>3397</v>
      </c>
      <c r="D37">
        <v>622022</v>
      </c>
      <c r="E37" t="s">
        <v>3939</v>
      </c>
      <c r="F37" t="s">
        <v>3940</v>
      </c>
      <c r="G37" s="217">
        <v>8215.4</v>
      </c>
      <c r="H37" t="s">
        <v>3941</v>
      </c>
      <c r="I37">
        <v>48</v>
      </c>
      <c r="J37">
        <v>824</v>
      </c>
      <c r="K37">
        <v>100</v>
      </c>
      <c r="L37" s="13" t="str">
        <f>VLOOKUP($B37,'[3]חשבונות חברה 40'!$A:$I,7,0)</f>
        <v>02161</v>
      </c>
      <c r="M37" s="13" t="str">
        <f>VLOOKUP($B37,'[3]חשבונות חברה 40'!$A:$I,5,0)</f>
        <v>0216</v>
      </c>
      <c r="N37" s="4" t="str">
        <f>IF(VLOOKUP($B37,'[3]חשבונות חברה 40'!$A:$J,10,0)=0,"",VLOOKUP($B37,'[3]חשבונות חברה 40'!$A:$J,10,0))</f>
        <v/>
      </c>
      <c r="P37" s="218">
        <f t="shared" si="2"/>
        <v>824</v>
      </c>
      <c r="Q37" s="122">
        <f t="shared" si="0"/>
        <v>4.7052814957496024E-3</v>
      </c>
      <c r="R37" s="1">
        <f ca="1">'הנחות עבודה לררל ומדרג'!$F$7*Q37</f>
        <v>1299801.3803180098</v>
      </c>
      <c r="S37" s="79">
        <f t="shared" ca="1" si="1"/>
        <v>31702.472690683164</v>
      </c>
      <c r="T37" s="79">
        <f ca="1">'ררל ומדרג'!$AH$1</f>
        <v>48975.779132102936</v>
      </c>
      <c r="U37" s="79">
        <f t="shared" ca="1" si="3"/>
        <v>80678.2518227861</v>
      </c>
    </row>
    <row r="38" spans="1:21">
      <c r="A38">
        <v>38</v>
      </c>
      <c r="B38">
        <v>8902162</v>
      </c>
      <c r="C38" t="s">
        <v>3398</v>
      </c>
      <c r="D38">
        <v>622022</v>
      </c>
      <c r="E38" t="s">
        <v>3939</v>
      </c>
      <c r="F38" t="s">
        <v>3940</v>
      </c>
      <c r="G38" s="217">
        <v>8193.86</v>
      </c>
      <c r="H38" t="s">
        <v>3941</v>
      </c>
      <c r="I38">
        <v>47.82</v>
      </c>
      <c r="J38">
        <v>821.84</v>
      </c>
      <c r="K38">
        <v>100</v>
      </c>
      <c r="L38" s="13" t="str">
        <f>VLOOKUP($B38,'[3]חשבונות חברה 40'!$A:$I,7,0)</f>
        <v>02162</v>
      </c>
      <c r="M38" s="13" t="str">
        <f>VLOOKUP($B38,'[3]חשבונות חברה 40'!$A:$I,5,0)</f>
        <v>0216</v>
      </c>
      <c r="N38" s="4" t="str">
        <f>IF(VLOOKUP($B38,'[3]חשבונות חברה 40'!$A:$J,10,0)=0,"",VLOOKUP($B38,'[3]חשבונות חברה 40'!$A:$J,10,0))</f>
        <v/>
      </c>
      <c r="P38" s="218">
        <f t="shared" si="2"/>
        <v>824</v>
      </c>
      <c r="Q38" s="122">
        <f t="shared" si="0"/>
        <v>4.7052814957496024E-3</v>
      </c>
      <c r="R38" s="1">
        <f ca="1">'הנחות עבודה לררל ומדרג'!$F$7*Q38</f>
        <v>1299801.3803180098</v>
      </c>
      <c r="S38" s="79">
        <f t="shared" ca="1" si="1"/>
        <v>31702.472690683164</v>
      </c>
      <c r="T38" s="79">
        <f ca="1">'ררל ומדרג'!$AH$1</f>
        <v>48975.779132102936</v>
      </c>
      <c r="U38" s="79">
        <f t="shared" ca="1" si="3"/>
        <v>80678.2518227861</v>
      </c>
    </row>
    <row r="39" spans="1:21">
      <c r="A39">
        <v>39</v>
      </c>
      <c r="B39">
        <v>8902171</v>
      </c>
      <c r="C39" t="s">
        <v>3399</v>
      </c>
      <c r="D39">
        <v>622022</v>
      </c>
      <c r="E39" t="s">
        <v>3939</v>
      </c>
      <c r="F39" t="s">
        <v>3940</v>
      </c>
      <c r="G39" s="217">
        <v>8215.4</v>
      </c>
      <c r="H39" t="s">
        <v>3941</v>
      </c>
      <c r="I39">
        <v>48</v>
      </c>
      <c r="J39">
        <v>824</v>
      </c>
      <c r="K39">
        <v>100</v>
      </c>
      <c r="L39" s="13" t="str">
        <f>VLOOKUP($B39,'[3]חשבונות חברה 40'!$A:$I,7,0)</f>
        <v>02171</v>
      </c>
      <c r="M39" s="13" t="str">
        <f>VLOOKUP($B39,'[3]חשבונות חברה 40'!$A:$I,5,0)</f>
        <v>0217</v>
      </c>
      <c r="N39" s="4" t="str">
        <f>IF(VLOOKUP($B39,'[3]חשבונות חברה 40'!$A:$J,10,0)=0,"",VLOOKUP($B39,'[3]חשבונות חברה 40'!$A:$J,10,0))</f>
        <v/>
      </c>
      <c r="P39" s="218">
        <f t="shared" si="2"/>
        <v>824</v>
      </c>
      <c r="Q39" s="122">
        <f t="shared" si="0"/>
        <v>4.7052814957496024E-3</v>
      </c>
      <c r="R39" s="1">
        <f ca="1">'הנחות עבודה לררל ומדרג'!$F$7*Q39</f>
        <v>1299801.3803180098</v>
      </c>
      <c r="S39" s="79">
        <f t="shared" ca="1" si="1"/>
        <v>31702.472690683164</v>
      </c>
      <c r="T39" s="79">
        <f ca="1">'ררל ומדרג'!$AH$1</f>
        <v>48975.779132102936</v>
      </c>
      <c r="U39" s="79">
        <f t="shared" ca="1" si="3"/>
        <v>80678.2518227861</v>
      </c>
    </row>
    <row r="40" spans="1:21">
      <c r="A40">
        <v>40</v>
      </c>
      <c r="B40">
        <v>8902172</v>
      </c>
      <c r="C40" t="s">
        <v>3400</v>
      </c>
      <c r="D40">
        <v>622022</v>
      </c>
      <c r="E40" t="s">
        <v>3939</v>
      </c>
      <c r="F40" t="s">
        <v>3940</v>
      </c>
      <c r="G40" s="217">
        <v>8215.4</v>
      </c>
      <c r="H40" t="s">
        <v>3941</v>
      </c>
      <c r="I40">
        <v>48</v>
      </c>
      <c r="J40">
        <v>824</v>
      </c>
      <c r="K40">
        <v>100</v>
      </c>
      <c r="L40" s="13" t="str">
        <f>VLOOKUP($B40,'[3]חשבונות חברה 40'!$A:$I,7,0)</f>
        <v>02172</v>
      </c>
      <c r="M40" s="13" t="str">
        <f>VLOOKUP($B40,'[3]חשבונות חברה 40'!$A:$I,5,0)</f>
        <v>0217</v>
      </c>
      <c r="N40" s="4" t="str">
        <f>IF(VLOOKUP($B40,'[3]חשבונות חברה 40'!$A:$J,10,0)=0,"",VLOOKUP($B40,'[3]חשבונות חברה 40'!$A:$J,10,0))</f>
        <v/>
      </c>
      <c r="P40" s="218">
        <f t="shared" si="2"/>
        <v>824</v>
      </c>
      <c r="Q40" s="122">
        <f t="shared" si="0"/>
        <v>4.7052814957496024E-3</v>
      </c>
      <c r="R40" s="1">
        <f ca="1">'הנחות עבודה לררל ומדרג'!$F$7*Q40</f>
        <v>1299801.3803180098</v>
      </c>
      <c r="S40" s="79">
        <f t="shared" ca="1" si="1"/>
        <v>31702.472690683164</v>
      </c>
      <c r="T40" s="79">
        <f ca="1">'ררל ומדרג'!$AH$1</f>
        <v>48975.779132102936</v>
      </c>
      <c r="U40" s="79">
        <f t="shared" ca="1" si="3"/>
        <v>80678.2518227861</v>
      </c>
    </row>
    <row r="41" spans="1:21">
      <c r="A41">
        <v>41</v>
      </c>
      <c r="B41">
        <v>8902181</v>
      </c>
      <c r="C41" t="s">
        <v>3401</v>
      </c>
      <c r="D41">
        <v>622022</v>
      </c>
      <c r="E41" t="s">
        <v>3939</v>
      </c>
      <c r="F41" t="s">
        <v>3940</v>
      </c>
      <c r="G41" s="217">
        <v>8215.4</v>
      </c>
      <c r="H41" t="s">
        <v>3941</v>
      </c>
      <c r="I41">
        <v>48</v>
      </c>
      <c r="J41">
        <v>824</v>
      </c>
      <c r="K41">
        <v>100</v>
      </c>
      <c r="L41" s="13" t="str">
        <f>VLOOKUP($B41,'[3]חשבונות חברה 40'!$A:$I,7,0)</f>
        <v>02181</v>
      </c>
      <c r="M41" s="13" t="str">
        <f>VLOOKUP($B41,'[3]חשבונות חברה 40'!$A:$I,5,0)</f>
        <v>0218</v>
      </c>
      <c r="N41" s="4" t="str">
        <f>IF(VLOOKUP($B41,'[3]חשבונות חברה 40'!$A:$J,10,0)=0,"",VLOOKUP($B41,'[3]חשבונות חברה 40'!$A:$J,10,0))</f>
        <v/>
      </c>
      <c r="P41" s="218">
        <f t="shared" si="2"/>
        <v>824</v>
      </c>
      <c r="Q41" s="122">
        <f t="shared" si="0"/>
        <v>4.7052814957496024E-3</v>
      </c>
      <c r="R41" s="1">
        <f ca="1">'הנחות עבודה לררל ומדרג'!$F$7*Q41</f>
        <v>1299801.3803180098</v>
      </c>
      <c r="S41" s="79">
        <f t="shared" ca="1" si="1"/>
        <v>31702.472690683164</v>
      </c>
      <c r="T41" s="79">
        <f ca="1">'ררל ומדרג'!$AH$1</f>
        <v>48975.779132102936</v>
      </c>
      <c r="U41" s="79">
        <f t="shared" ca="1" si="3"/>
        <v>80678.2518227861</v>
      </c>
    </row>
    <row r="42" spans="1:21">
      <c r="A42">
        <v>42</v>
      </c>
      <c r="B42">
        <v>8902182</v>
      </c>
      <c r="C42" t="s">
        <v>3402</v>
      </c>
      <c r="D42">
        <v>622022</v>
      </c>
      <c r="E42" t="s">
        <v>3939</v>
      </c>
      <c r="F42" t="s">
        <v>3940</v>
      </c>
      <c r="G42" s="217">
        <v>8215.4</v>
      </c>
      <c r="H42" t="s">
        <v>3941</v>
      </c>
      <c r="I42">
        <v>48</v>
      </c>
      <c r="J42">
        <v>824</v>
      </c>
      <c r="K42">
        <v>100</v>
      </c>
      <c r="L42" s="13" t="str">
        <f>VLOOKUP($B42,'[3]חשבונות חברה 40'!$A:$I,7,0)</f>
        <v>02182</v>
      </c>
      <c r="M42" s="13" t="str">
        <f>VLOOKUP($B42,'[3]חשבונות חברה 40'!$A:$I,5,0)</f>
        <v>0218</v>
      </c>
      <c r="N42" s="4" t="str">
        <f>IF(VLOOKUP($B42,'[3]חשבונות חברה 40'!$A:$J,10,0)=0,"",VLOOKUP($B42,'[3]חשבונות חברה 40'!$A:$J,10,0))</f>
        <v/>
      </c>
      <c r="P42" s="218">
        <f t="shared" si="2"/>
        <v>824</v>
      </c>
      <c r="Q42" s="122">
        <f t="shared" si="0"/>
        <v>4.7052814957496024E-3</v>
      </c>
      <c r="R42" s="1">
        <f ca="1">'הנחות עבודה לררל ומדרג'!$F$7*Q42</f>
        <v>1299801.3803180098</v>
      </c>
      <c r="S42" s="79">
        <f t="shared" ca="1" si="1"/>
        <v>31702.472690683164</v>
      </c>
      <c r="T42" s="79">
        <f ca="1">'ררל ומדרג'!$AH$1</f>
        <v>48975.779132102936</v>
      </c>
      <c r="U42" s="79">
        <f t="shared" ca="1" si="3"/>
        <v>80678.2518227861</v>
      </c>
    </row>
    <row r="43" spans="1:21">
      <c r="A43">
        <v>43</v>
      </c>
      <c r="B43">
        <v>8902191</v>
      </c>
      <c r="C43" t="s">
        <v>3403</v>
      </c>
      <c r="D43">
        <v>622022</v>
      </c>
      <c r="E43" t="s">
        <v>3939</v>
      </c>
      <c r="F43" t="s">
        <v>3940</v>
      </c>
      <c r="G43" s="217">
        <v>7887.58</v>
      </c>
      <c r="H43" t="s">
        <v>3941</v>
      </c>
      <c r="I43">
        <v>45.26</v>
      </c>
      <c r="J43">
        <v>791.12</v>
      </c>
      <c r="K43">
        <v>100</v>
      </c>
      <c r="L43" s="13" t="str">
        <f>VLOOKUP($B43,'[3]חשבונות חברה 40'!$A:$I,7,0)</f>
        <v>02191</v>
      </c>
      <c r="M43" s="13" t="str">
        <f>VLOOKUP($B43,'[3]חשבונות חברה 40'!$A:$I,5,0)</f>
        <v>0219</v>
      </c>
      <c r="N43" s="4" t="str">
        <f>IF(VLOOKUP($B43,'[3]חשבונות חברה 40'!$A:$J,10,0)=0,"",VLOOKUP($B43,'[3]חשבונות חברה 40'!$A:$J,10,0))</f>
        <v/>
      </c>
      <c r="P43" s="218">
        <f t="shared" si="2"/>
        <v>807.12</v>
      </c>
      <c r="Q43" s="122">
        <f t="shared" si="0"/>
        <v>4.6088917486036638E-3</v>
      </c>
      <c r="R43" s="1">
        <f ca="1">'הנחות עבודה לררל ומדרג'!$F$7*Q43</f>
        <v>1273174.381167806</v>
      </c>
      <c r="S43" s="79">
        <f t="shared" ca="1" si="1"/>
        <v>31053.033687019659</v>
      </c>
      <c r="T43" s="79">
        <f ca="1">'ררל ומדרג'!$AH$1</f>
        <v>48975.779132102936</v>
      </c>
      <c r="U43" s="79">
        <f t="shared" ca="1" si="3"/>
        <v>80028.812819122599</v>
      </c>
    </row>
    <row r="44" spans="1:21">
      <c r="A44">
        <v>44</v>
      </c>
      <c r="B44">
        <v>8902192</v>
      </c>
      <c r="C44" t="s">
        <v>3404</v>
      </c>
      <c r="D44">
        <v>622022</v>
      </c>
      <c r="E44" t="s">
        <v>3939</v>
      </c>
      <c r="F44" t="s">
        <v>3940</v>
      </c>
      <c r="G44" s="217">
        <v>7962.95</v>
      </c>
      <c r="H44" t="s">
        <v>3941</v>
      </c>
      <c r="I44">
        <v>45.89</v>
      </c>
      <c r="J44">
        <v>798.68</v>
      </c>
      <c r="K44">
        <v>100</v>
      </c>
      <c r="L44" s="13" t="str">
        <f>VLOOKUP($B44,'[3]חשבונות חברה 40'!$A:$I,7,0)</f>
        <v>02192</v>
      </c>
      <c r="M44" s="13" t="str">
        <f>VLOOKUP($B44,'[3]חשבונות חברה 40'!$A:$I,5,0)</f>
        <v>0219</v>
      </c>
      <c r="N44" s="4" t="str">
        <f>IF(VLOOKUP($B44,'[3]חשבונות חברה 40'!$A:$J,10,0)=0,"",VLOOKUP($B44,'[3]חשבונות חברה 40'!$A:$J,10,0))</f>
        <v/>
      </c>
      <c r="P44" s="218">
        <f t="shared" si="2"/>
        <v>814.68</v>
      </c>
      <c r="Q44" s="122">
        <f t="shared" si="0"/>
        <v>4.652061564268551E-3</v>
      </c>
      <c r="R44" s="1">
        <f ca="1">'הנחות עבודה לררל ומדרג'!$F$7*Q44</f>
        <v>1285099.7433464518</v>
      </c>
      <c r="S44" s="79">
        <f t="shared" ca="1" si="1"/>
        <v>31343.896179181749</v>
      </c>
      <c r="T44" s="79">
        <f ca="1">'ררל ומדרג'!$AH$1</f>
        <v>48975.779132102936</v>
      </c>
      <c r="U44" s="79">
        <f t="shared" ca="1" si="3"/>
        <v>80319.675311284693</v>
      </c>
    </row>
    <row r="45" spans="1:21">
      <c r="A45">
        <v>45</v>
      </c>
      <c r="B45">
        <v>8902201</v>
      </c>
      <c r="C45" t="s">
        <v>3405</v>
      </c>
      <c r="D45">
        <v>622022</v>
      </c>
      <c r="E45" t="s">
        <v>3939</v>
      </c>
      <c r="F45" t="s">
        <v>3940</v>
      </c>
      <c r="G45" s="217">
        <v>7614.8</v>
      </c>
      <c r="H45" t="s">
        <v>3941</v>
      </c>
      <c r="I45">
        <v>42.98</v>
      </c>
      <c r="J45">
        <v>763.76</v>
      </c>
      <c r="K45">
        <v>100</v>
      </c>
      <c r="L45" s="13" t="str">
        <f>VLOOKUP($B45,'[3]חשבונות חברה 40'!$A:$I,7,0)</f>
        <v>02201</v>
      </c>
      <c r="M45" s="13" t="str">
        <f>VLOOKUP($B45,'[3]חשבונות חברה 40'!$A:$I,5,0)</f>
        <v>0220</v>
      </c>
      <c r="N45" s="4" t="str">
        <f>IF(VLOOKUP($B45,'[3]חשבונות חברה 40'!$A:$J,10,0)=0,"",VLOOKUP($B45,'[3]חשבונות חברה 40'!$A:$J,10,0))</f>
        <v/>
      </c>
      <c r="P45" s="218">
        <f t="shared" si="2"/>
        <v>779.76</v>
      </c>
      <c r="Q45" s="122">
        <f t="shared" si="0"/>
        <v>4.4526581300069297E-3</v>
      </c>
      <c r="R45" s="1">
        <f ca="1">'הנחות עבודה לררל ומדרג'!$F$7*Q45</f>
        <v>1230015.9275688974</v>
      </c>
      <c r="S45" s="79">
        <f t="shared" ca="1" si="1"/>
        <v>30000.38847729018</v>
      </c>
      <c r="T45" s="79">
        <f ca="1">'ררל ומדרג'!$AH$1</f>
        <v>48975.779132102936</v>
      </c>
      <c r="U45" s="79">
        <f t="shared" ca="1" si="3"/>
        <v>78976.167609393116</v>
      </c>
    </row>
    <row r="46" spans="1:21">
      <c r="A46">
        <v>46</v>
      </c>
      <c r="B46">
        <v>8902202</v>
      </c>
      <c r="C46" t="s">
        <v>3406</v>
      </c>
      <c r="D46">
        <v>622022</v>
      </c>
      <c r="E46" t="s">
        <v>3939</v>
      </c>
      <c r="F46" t="s">
        <v>3940</v>
      </c>
      <c r="G46" s="217">
        <v>7849.29</v>
      </c>
      <c r="H46" t="s">
        <v>3941</v>
      </c>
      <c r="I46">
        <v>44.94</v>
      </c>
      <c r="J46">
        <v>787.28</v>
      </c>
      <c r="K46">
        <v>100</v>
      </c>
      <c r="L46" s="13" t="str">
        <f>VLOOKUP($B46,'[3]חשבונות חברה 40'!$A:$I,7,0)</f>
        <v>02202</v>
      </c>
      <c r="M46" s="13" t="str">
        <f>VLOOKUP($B46,'[3]חשבונות חברה 40'!$A:$I,5,0)</f>
        <v>0220</v>
      </c>
      <c r="N46" s="4" t="str">
        <f>IF(VLOOKUP($B46,'[3]חשבונות חברה 40'!$A:$J,10,0)=0,"",VLOOKUP($B46,'[3]חשבונות חברה 40'!$A:$J,10,0))</f>
        <v/>
      </c>
      <c r="P46" s="218">
        <f t="shared" si="2"/>
        <v>803.28</v>
      </c>
      <c r="Q46" s="122">
        <f t="shared" si="0"/>
        <v>4.5869642231865784E-3</v>
      </c>
      <c r="R46" s="1">
        <f ca="1">'הנחות עבודה לררל ומדרג'!$F$7*Q46</f>
        <v>1267117.0543469065</v>
      </c>
      <c r="S46" s="79">
        <f t="shared" ca="1" si="1"/>
        <v>30905.294008461133</v>
      </c>
      <c r="T46" s="79">
        <f ca="1">'ררל ומדרג'!$AH$1</f>
        <v>48975.779132102936</v>
      </c>
      <c r="U46" s="79">
        <f t="shared" ca="1" si="3"/>
        <v>79881.073140564069</v>
      </c>
    </row>
    <row r="47" spans="1:21">
      <c r="A47">
        <v>47</v>
      </c>
      <c r="B47">
        <v>8902261</v>
      </c>
      <c r="C47" t="s">
        <v>3407</v>
      </c>
      <c r="D47">
        <v>622022</v>
      </c>
      <c r="E47" t="s">
        <v>3939</v>
      </c>
      <c r="F47" t="s">
        <v>3940</v>
      </c>
      <c r="G47" s="217">
        <v>4148.78</v>
      </c>
      <c r="H47" t="s">
        <v>3941</v>
      </c>
      <c r="I47">
        <v>14.01</v>
      </c>
      <c r="J47">
        <v>416.12</v>
      </c>
      <c r="K47">
        <v>100</v>
      </c>
      <c r="L47" s="13" t="str">
        <f>VLOOKUP($B47,'[3]חשבונות חברה 40'!$A:$I,7,0)</f>
        <v>02261</v>
      </c>
      <c r="M47" s="13" t="str">
        <f>VLOOKUP($B47,'[3]חשבונות חברה 40'!$A:$I,5,0)</f>
        <v>0226</v>
      </c>
      <c r="N47" s="4" t="str">
        <f>IF(VLOOKUP($B47,'[3]חשבונות חברה 40'!$A:$J,10,0)=0,"",VLOOKUP($B47,'[3]חשבונות חברה 40'!$A:$J,10,0))</f>
        <v/>
      </c>
      <c r="P47" s="218">
        <f t="shared" si="2"/>
        <v>432.12</v>
      </c>
      <c r="Q47" s="122">
        <f t="shared" si="0"/>
        <v>2.4675318445914057E-3</v>
      </c>
      <c r="R47" s="1">
        <f ca="1">'הנחות עבודה לררל ומדרג'!$F$7*Q47</f>
        <v>681638.55881434283</v>
      </c>
      <c r="S47" s="79">
        <f t="shared" ca="1" si="1"/>
        <v>16625.330702788851</v>
      </c>
      <c r="T47" s="79">
        <f ca="1">'ררל ומדרג'!$AH$1</f>
        <v>48975.779132102936</v>
      </c>
      <c r="U47" s="79">
        <f t="shared" ca="1" si="3"/>
        <v>65601.109834891788</v>
      </c>
    </row>
    <row r="48" spans="1:21">
      <c r="A48">
        <v>48</v>
      </c>
      <c r="B48">
        <v>8902262</v>
      </c>
      <c r="C48" t="s">
        <v>3409</v>
      </c>
      <c r="D48">
        <v>622022</v>
      </c>
      <c r="E48" t="s">
        <v>3939</v>
      </c>
      <c r="F48" t="s">
        <v>3940</v>
      </c>
      <c r="G48" s="217">
        <v>4148.78</v>
      </c>
      <c r="H48" t="s">
        <v>3941</v>
      </c>
      <c r="I48">
        <v>14.01</v>
      </c>
      <c r="J48">
        <v>416.12</v>
      </c>
      <c r="K48">
        <v>100</v>
      </c>
      <c r="L48" s="13" t="str">
        <f>VLOOKUP($B48,'[3]חשבונות חברה 40'!$A:$I,7,0)</f>
        <v>02262</v>
      </c>
      <c r="M48" s="13" t="str">
        <f>VLOOKUP($B48,'[3]חשבונות חברה 40'!$A:$I,5,0)</f>
        <v>0226</v>
      </c>
      <c r="N48" s="4" t="str">
        <f>IF(VLOOKUP($B48,'[3]חשבונות חברה 40'!$A:$J,10,0)=0,"",VLOOKUP($B48,'[3]חשבונות חברה 40'!$A:$J,10,0))</f>
        <v/>
      </c>
      <c r="P48" s="218">
        <f t="shared" si="2"/>
        <v>432.12</v>
      </c>
      <c r="Q48" s="122">
        <f t="shared" si="0"/>
        <v>2.4675318445914057E-3</v>
      </c>
      <c r="R48" s="1">
        <f ca="1">'הנחות עבודה לררל ומדרג'!$F$7*Q48</f>
        <v>681638.55881434283</v>
      </c>
      <c r="S48" s="79">
        <f t="shared" ca="1" si="1"/>
        <v>16625.330702788851</v>
      </c>
      <c r="T48" s="79">
        <f ca="1">'ררל ומדרג'!$AH$1</f>
        <v>48975.779132102936</v>
      </c>
      <c r="U48" s="79">
        <f t="shared" ca="1" si="3"/>
        <v>65601.109834891788</v>
      </c>
    </row>
    <row r="49" spans="1:21">
      <c r="A49">
        <v>49</v>
      </c>
      <c r="B49">
        <v>8902271</v>
      </c>
      <c r="C49" t="s">
        <v>3410</v>
      </c>
      <c r="D49">
        <v>622022</v>
      </c>
      <c r="E49" t="s">
        <v>3939</v>
      </c>
      <c r="F49" t="s">
        <v>3940</v>
      </c>
      <c r="G49" s="217">
        <v>4364.13</v>
      </c>
      <c r="H49" t="s">
        <v>3941</v>
      </c>
      <c r="I49">
        <v>15.81</v>
      </c>
      <c r="J49">
        <v>437.72</v>
      </c>
      <c r="K49">
        <v>100</v>
      </c>
      <c r="L49" s="13" t="str">
        <f>VLOOKUP($B49,'[3]חשבונות חברה 40'!$A:$I,7,0)</f>
        <v>02271</v>
      </c>
      <c r="M49" s="13" t="str">
        <f>VLOOKUP($B49,'[3]חשבונות חברה 40'!$A:$I,5,0)</f>
        <v>0227</v>
      </c>
      <c r="N49" s="4" t="str">
        <f>IF(VLOOKUP($B49,'[3]חשבונות חברה 40'!$A:$J,10,0)=0,"",VLOOKUP($B49,'[3]חשבונות חברה 40'!$A:$J,10,0))</f>
        <v/>
      </c>
      <c r="P49" s="218">
        <f t="shared" si="2"/>
        <v>453.72</v>
      </c>
      <c r="Q49" s="122">
        <f t="shared" si="0"/>
        <v>2.5908741750625118E-3</v>
      </c>
      <c r="R49" s="1">
        <f ca="1">'הנחות עבודה לררל ומדרג'!$F$7*Q49</f>
        <v>715711.0221819022</v>
      </c>
      <c r="S49" s="79">
        <f t="shared" ca="1" si="1"/>
        <v>17456.366394680543</v>
      </c>
      <c r="T49" s="79">
        <f ca="1">'ררל ומדרג'!$AH$1</f>
        <v>48975.779132102936</v>
      </c>
      <c r="U49" s="79">
        <f t="shared" ca="1" si="3"/>
        <v>66432.145526783483</v>
      </c>
    </row>
    <row r="50" spans="1:21">
      <c r="A50">
        <v>50</v>
      </c>
      <c r="B50">
        <v>8902272</v>
      </c>
      <c r="C50" t="s">
        <v>3411</v>
      </c>
      <c r="D50">
        <v>622022</v>
      </c>
      <c r="E50" t="s">
        <v>3939</v>
      </c>
      <c r="F50" t="s">
        <v>3940</v>
      </c>
      <c r="G50" s="217">
        <v>3959.74</v>
      </c>
      <c r="H50" t="s">
        <v>3941</v>
      </c>
      <c r="I50">
        <v>12.43</v>
      </c>
      <c r="J50">
        <v>397.16</v>
      </c>
      <c r="K50">
        <v>100</v>
      </c>
      <c r="L50" s="13" t="str">
        <f>VLOOKUP($B50,'[3]חשבונות חברה 40'!$A:$I,7,0)</f>
        <v>02272</v>
      </c>
      <c r="M50" s="13" t="str">
        <f>VLOOKUP($B50,'[3]חשבונות חברה 40'!$A:$I,5,0)</f>
        <v>0227</v>
      </c>
      <c r="N50" s="4" t="str">
        <f>IF(VLOOKUP($B50,'[3]חשבונות חברה 40'!$A:$J,10,0)=0,"",VLOOKUP($B50,'[3]חשבונות חברה 40'!$A:$J,10,0))</f>
        <v/>
      </c>
      <c r="P50" s="218">
        <f t="shared" si="2"/>
        <v>413.16</v>
      </c>
      <c r="Q50" s="122">
        <f t="shared" si="0"/>
        <v>2.3592646878445459E-3</v>
      </c>
      <c r="R50" s="1">
        <f ca="1">'הנחות עבודה לררל ומדרג'!$F$7*Q50</f>
        <v>651730.50763615163</v>
      </c>
      <c r="S50" s="79">
        <f t="shared" ca="1" si="1"/>
        <v>15895.866039906137</v>
      </c>
      <c r="T50" s="79">
        <f ca="1">'ררל ומדרג'!$AH$1</f>
        <v>48975.779132102936</v>
      </c>
      <c r="U50" s="79">
        <f t="shared" ca="1" si="3"/>
        <v>64871.64517200907</v>
      </c>
    </row>
    <row r="51" spans="1:21">
      <c r="A51">
        <v>51</v>
      </c>
      <c r="B51">
        <v>8902371</v>
      </c>
      <c r="C51" t="s">
        <v>3412</v>
      </c>
      <c r="D51">
        <v>622022</v>
      </c>
      <c r="E51" t="s">
        <v>3939</v>
      </c>
      <c r="F51" t="s">
        <v>3940</v>
      </c>
      <c r="G51" s="217">
        <v>5026.95</v>
      </c>
      <c r="H51" t="s">
        <v>3941</v>
      </c>
      <c r="I51">
        <v>21.35</v>
      </c>
      <c r="J51">
        <v>504.2</v>
      </c>
      <c r="K51">
        <v>100</v>
      </c>
      <c r="L51" s="13" t="str">
        <f>VLOOKUP($B51,'[3]חשבונות חברה 40'!$A:$I,7,0)</f>
        <v>02371</v>
      </c>
      <c r="M51" s="13" t="str">
        <f>VLOOKUP($B51,'[3]חשבונות חברה 40'!$A:$I,5,0)</f>
        <v>0237</v>
      </c>
      <c r="N51" s="4" t="str">
        <f>IF(VLOOKUP($B51,'[3]חשבונות חברה 40'!$A:$J,10,0)=0,"",VLOOKUP($B51,'[3]חשבונות חברה 40'!$A:$J,10,0))</f>
        <v/>
      </c>
      <c r="P51" s="218">
        <f t="shared" si="2"/>
        <v>520.20000000000005</v>
      </c>
      <c r="Q51" s="122">
        <f t="shared" si="0"/>
        <v>2.9704944588458053E-3</v>
      </c>
      <c r="R51" s="1">
        <f ca="1">'הנחות עבודה לררל ומדרג'!$F$7*Q51</f>
        <v>820578.49276872433</v>
      </c>
      <c r="S51" s="79">
        <f t="shared" ca="1" si="1"/>
        <v>20014.109579724984</v>
      </c>
      <c r="T51" s="79">
        <f ca="1">'ררל ומדרג'!$AH$1</f>
        <v>48975.779132102936</v>
      </c>
      <c r="U51" s="79">
        <f t="shared" ca="1" si="3"/>
        <v>68989.888711827924</v>
      </c>
    </row>
    <row r="52" spans="1:21">
      <c r="A52">
        <v>52</v>
      </c>
      <c r="B52">
        <v>8902372</v>
      </c>
      <c r="C52" t="s">
        <v>3414</v>
      </c>
      <c r="D52">
        <v>622022</v>
      </c>
      <c r="E52" t="s">
        <v>3939</v>
      </c>
      <c r="F52" t="s">
        <v>3940</v>
      </c>
      <c r="G52" s="217">
        <v>5026.95</v>
      </c>
      <c r="H52" t="s">
        <v>3941</v>
      </c>
      <c r="I52">
        <v>21.35</v>
      </c>
      <c r="J52">
        <v>504.2</v>
      </c>
      <c r="K52">
        <v>100</v>
      </c>
      <c r="L52" s="13" t="str">
        <f>VLOOKUP($B52,'[3]חשבונות חברה 40'!$A:$I,7,0)</f>
        <v>02372</v>
      </c>
      <c r="M52" s="13" t="str">
        <f>VLOOKUP($B52,'[3]חשבונות חברה 40'!$A:$I,5,0)</f>
        <v>0237</v>
      </c>
      <c r="N52" s="4" t="str">
        <f>IF(VLOOKUP($B52,'[3]חשבונות חברה 40'!$A:$J,10,0)=0,"",VLOOKUP($B52,'[3]חשבונות חברה 40'!$A:$J,10,0))</f>
        <v/>
      </c>
      <c r="P52" s="218">
        <f t="shared" si="2"/>
        <v>520.20000000000005</v>
      </c>
      <c r="Q52" s="122">
        <f t="shared" si="0"/>
        <v>2.9704944588458053E-3</v>
      </c>
      <c r="R52" s="1">
        <f ca="1">'הנחות עבודה לררל ומדרג'!$F$7*Q52</f>
        <v>820578.49276872433</v>
      </c>
      <c r="S52" s="79">
        <f t="shared" ca="1" si="1"/>
        <v>20014.109579724984</v>
      </c>
      <c r="T52" s="79">
        <f ca="1">'ררל ומדרג'!$AH$1</f>
        <v>48975.779132102936</v>
      </c>
      <c r="U52" s="79">
        <f t="shared" ca="1" si="3"/>
        <v>68989.888711827924</v>
      </c>
    </row>
    <row r="53" spans="1:21">
      <c r="A53">
        <v>53</v>
      </c>
      <c r="B53">
        <v>8902492</v>
      </c>
      <c r="C53" t="s">
        <v>3418</v>
      </c>
      <c r="D53">
        <v>622022</v>
      </c>
      <c r="E53" t="s">
        <v>3939</v>
      </c>
      <c r="F53" t="s">
        <v>3940</v>
      </c>
      <c r="G53" s="217">
        <v>4420.3599999999997</v>
      </c>
      <c r="H53" t="s">
        <v>3941</v>
      </c>
      <c r="I53">
        <v>16.28</v>
      </c>
      <c r="J53">
        <v>443.36</v>
      </c>
      <c r="K53">
        <v>100</v>
      </c>
      <c r="L53" s="13" t="str">
        <f>VLOOKUP($B53,'[3]חשבונות חברה 40'!$A:$I,7,0)</f>
        <v>02492</v>
      </c>
      <c r="M53" s="13" t="str">
        <f>VLOOKUP($B53,'[3]חשבונות חברה 40'!$A:$I,5,0)</f>
        <v>0249</v>
      </c>
      <c r="N53" s="4" t="str">
        <f>IF(VLOOKUP($B53,'[3]חשבונות חברה 40'!$A:$J,10,0)=0,"",VLOOKUP($B53,'[3]חשבונות חברה 40'!$A:$J,10,0))</f>
        <v/>
      </c>
      <c r="P53" s="218">
        <f t="shared" si="2"/>
        <v>459.36</v>
      </c>
      <c r="Q53" s="122">
        <f t="shared" si="0"/>
        <v>2.6230802280188563E-3</v>
      </c>
      <c r="R53" s="1">
        <f ca="1">'הנחות עבודה לררל ומדרג'!$F$7*Q53</f>
        <v>724607.72095009836</v>
      </c>
      <c r="S53" s="79">
        <f t="shared" ca="1" si="1"/>
        <v>17673.359047563375</v>
      </c>
      <c r="T53" s="79">
        <f ca="1">'ררל ומדרג'!$AH$1</f>
        <v>48975.779132102936</v>
      </c>
      <c r="U53" s="79">
        <f t="shared" ca="1" si="3"/>
        <v>66649.138179666304</v>
      </c>
    </row>
    <row r="54" spans="1:21">
      <c r="A54">
        <v>54</v>
      </c>
      <c r="B54">
        <v>8902501</v>
      </c>
      <c r="C54" t="s">
        <v>3419</v>
      </c>
      <c r="D54">
        <v>622022</v>
      </c>
      <c r="E54" t="s">
        <v>3939</v>
      </c>
      <c r="F54" t="s">
        <v>3940</v>
      </c>
      <c r="G54" s="217">
        <v>2835.11</v>
      </c>
      <c r="H54" t="s">
        <v>3941</v>
      </c>
      <c r="I54">
        <v>3.03</v>
      </c>
      <c r="J54">
        <v>284.36</v>
      </c>
      <c r="K54">
        <v>100</v>
      </c>
      <c r="L54" s="13" t="str">
        <f>VLOOKUP($B54,'[3]חשבונות חברה 40'!$A:$I,7,0)</f>
        <v>02501</v>
      </c>
      <c r="M54" s="13" t="str">
        <f>VLOOKUP($B54,'[3]חשבונות חברה 40'!$A:$I,5,0)</f>
        <v>0250</v>
      </c>
      <c r="N54" s="4" t="str">
        <f>IF(VLOOKUP($B54,'[3]חשבונות חברה 40'!$A:$J,10,0)=0,"",VLOOKUP($B54,'[3]חשבונות חברה 40'!$A:$J,10,0))</f>
        <v/>
      </c>
      <c r="P54" s="218">
        <f t="shared" si="2"/>
        <v>300.36</v>
      </c>
      <c r="Q54" s="122">
        <f t="shared" si="0"/>
        <v>1.7151436287176586E-3</v>
      </c>
      <c r="R54" s="1">
        <f ca="1">'הנחות עבודה לררל ומדרג'!$F$7*Q54</f>
        <v>473796.53227222996</v>
      </c>
      <c r="S54" s="79">
        <f t="shared" ca="1" si="1"/>
        <v>11556.012982249511</v>
      </c>
      <c r="T54" s="79">
        <f ca="1">'ררל ומדרג'!$AH$1</f>
        <v>48975.779132102936</v>
      </c>
      <c r="U54" s="79">
        <f t="shared" ca="1" si="3"/>
        <v>60531.792114352444</v>
      </c>
    </row>
    <row r="55" spans="1:21">
      <c r="A55">
        <v>55</v>
      </c>
      <c r="B55">
        <v>8902502</v>
      </c>
      <c r="C55" t="s">
        <v>631</v>
      </c>
      <c r="D55">
        <v>622022</v>
      </c>
      <c r="E55" t="s">
        <v>3939</v>
      </c>
      <c r="F55" t="s">
        <v>3940</v>
      </c>
      <c r="G55" s="217">
        <v>2835.11</v>
      </c>
      <c r="H55" t="s">
        <v>3941</v>
      </c>
      <c r="I55">
        <v>3.03</v>
      </c>
      <c r="J55">
        <v>284.36</v>
      </c>
      <c r="K55">
        <v>100</v>
      </c>
      <c r="L55" s="13" t="str">
        <f>VLOOKUP($B55,'[3]חשבונות חברה 40'!$A:$I,7,0)</f>
        <v>02502</v>
      </c>
      <c r="M55" s="13" t="str">
        <f>VLOOKUP($B55,'[3]חשבונות חברה 40'!$A:$I,5,0)</f>
        <v>0250</v>
      </c>
      <c r="N55" s="4" t="str">
        <f>IF(VLOOKUP($B55,'[3]חשבונות חברה 40'!$A:$J,10,0)=0,"",VLOOKUP($B55,'[3]חשבונות חברה 40'!$A:$J,10,0))</f>
        <v/>
      </c>
      <c r="P55" s="218">
        <f t="shared" si="2"/>
        <v>300.36</v>
      </c>
      <c r="Q55" s="122">
        <f t="shared" si="0"/>
        <v>1.7151436287176586E-3</v>
      </c>
      <c r="R55" s="1">
        <f ca="1">'הנחות עבודה לררל ומדרג'!$F$7*Q55</f>
        <v>473796.53227222996</v>
      </c>
      <c r="S55" s="79">
        <f t="shared" ca="1" si="1"/>
        <v>11556.012982249511</v>
      </c>
      <c r="T55" s="79">
        <f ca="1">'ררל ומדרג'!$AH$1</f>
        <v>48975.779132102936</v>
      </c>
      <c r="U55" s="79">
        <f t="shared" ca="1" si="3"/>
        <v>60531.792114352444</v>
      </c>
    </row>
    <row r="56" spans="1:21">
      <c r="A56">
        <v>56</v>
      </c>
      <c r="B56">
        <v>8902521</v>
      </c>
      <c r="C56" t="s">
        <v>3420</v>
      </c>
      <c r="D56">
        <v>622022</v>
      </c>
      <c r="E56" t="s">
        <v>3939</v>
      </c>
      <c r="F56" t="s">
        <v>3940</v>
      </c>
      <c r="G56" s="217">
        <v>4385.67</v>
      </c>
      <c r="H56" t="s">
        <v>3941</v>
      </c>
      <c r="I56">
        <v>15.99</v>
      </c>
      <c r="J56">
        <v>439.88</v>
      </c>
      <c r="K56">
        <v>100</v>
      </c>
      <c r="L56" s="13" t="str">
        <f>VLOOKUP($B56,'[3]חשבונות חברה 40'!$A:$I,7,0)</f>
        <v>02521</v>
      </c>
      <c r="M56" s="13" t="str">
        <f>VLOOKUP($B56,'[3]חשבונות חברה 40'!$A:$I,5,0)</f>
        <v>0252</v>
      </c>
      <c r="N56" s="4" t="str">
        <f>IF(VLOOKUP($B56,'[3]חשבונות חברה 40'!$A:$J,10,0)=0,"",VLOOKUP($B56,'[3]חשבונות חברה 40'!$A:$J,10,0))</f>
        <v/>
      </c>
      <c r="P56" s="218">
        <f t="shared" si="2"/>
        <v>455.88</v>
      </c>
      <c r="Q56" s="122">
        <f t="shared" si="0"/>
        <v>2.6032084081096221E-3</v>
      </c>
      <c r="R56" s="1">
        <f ca="1">'הנחות עבודה לררל ומדרג'!$F$7*Q56</f>
        <v>719118.26851865812</v>
      </c>
      <c r="S56" s="79">
        <f t="shared" ca="1" si="1"/>
        <v>17539.469963869709</v>
      </c>
      <c r="T56" s="79">
        <f ca="1">'ררל ומדרג'!$AH$1</f>
        <v>48975.779132102936</v>
      </c>
      <c r="U56" s="79">
        <f t="shared" ca="1" si="3"/>
        <v>66515.249095972642</v>
      </c>
    </row>
    <row r="57" spans="1:21">
      <c r="A57">
        <v>57</v>
      </c>
      <c r="B57">
        <v>8902522</v>
      </c>
      <c r="C57" t="s">
        <v>3423</v>
      </c>
      <c r="D57">
        <v>622022</v>
      </c>
      <c r="E57" t="s">
        <v>3939</v>
      </c>
      <c r="F57" t="s">
        <v>3940</v>
      </c>
      <c r="G57" s="217">
        <v>4568.72</v>
      </c>
      <c r="H57" t="s">
        <v>3941</v>
      </c>
      <c r="I57">
        <v>17.52</v>
      </c>
      <c r="J57">
        <v>458.24</v>
      </c>
      <c r="K57">
        <v>100</v>
      </c>
      <c r="L57" s="13" t="str">
        <f>VLOOKUP($B57,'[3]חשבונות חברה 40'!$A:$I,7,0)</f>
        <v>02522</v>
      </c>
      <c r="M57" s="13" t="str">
        <f>VLOOKUP($B57,'[3]חשבונות חברה 40'!$A:$I,5,0)</f>
        <v>0252</v>
      </c>
      <c r="N57" s="4" t="str">
        <f>IF(VLOOKUP($B57,'[3]חשבונות חברה 40'!$A:$J,10,0)=0,"",VLOOKUP($B57,'[3]חשבונות חברה 40'!$A:$J,10,0))</f>
        <v/>
      </c>
      <c r="P57" s="218">
        <f t="shared" si="2"/>
        <v>474.24</v>
      </c>
      <c r="Q57" s="122">
        <f t="shared" si="0"/>
        <v>2.7080493890100626E-3</v>
      </c>
      <c r="R57" s="1">
        <f ca="1">'הנחות עבודה לררל ומדרג'!$F$7*Q57</f>
        <v>748079.86238108377</v>
      </c>
      <c r="S57" s="79">
        <f t="shared" ca="1" si="1"/>
        <v>18245.850301977654</v>
      </c>
      <c r="T57" s="79">
        <f ca="1">'ררל ומדרג'!$AH$1</f>
        <v>48975.779132102936</v>
      </c>
      <c r="U57" s="79">
        <f t="shared" ca="1" si="3"/>
        <v>67221.629434080591</v>
      </c>
    </row>
    <row r="58" spans="1:21">
      <c r="A58">
        <v>58</v>
      </c>
      <c r="B58">
        <v>8903011</v>
      </c>
      <c r="C58" t="s">
        <v>3424</v>
      </c>
      <c r="D58">
        <v>622022</v>
      </c>
      <c r="E58" t="s">
        <v>3939</v>
      </c>
      <c r="F58" t="s">
        <v>3940</v>
      </c>
      <c r="G58" s="217">
        <v>7918.69</v>
      </c>
      <c r="H58" t="s">
        <v>3941</v>
      </c>
      <c r="I58">
        <v>45.52</v>
      </c>
      <c r="J58">
        <v>794.24</v>
      </c>
      <c r="K58">
        <v>100</v>
      </c>
      <c r="L58" s="13" t="str">
        <f>VLOOKUP($B58,'[3]חשבונות חברה 40'!$A:$I,7,0)</f>
        <v>03011</v>
      </c>
      <c r="M58" s="13" t="str">
        <f>VLOOKUP($B58,'[3]חשבונות חברה 40'!$A:$I,5,0)</f>
        <v>0301</v>
      </c>
      <c r="N58" s="4" t="str">
        <f>IF(VLOOKUP($B58,'[3]חשבונות חברה 40'!$A:$J,10,0)=0,"",VLOOKUP($B58,'[3]חשבונות חברה 40'!$A:$J,10,0))</f>
        <v/>
      </c>
      <c r="P58" s="218">
        <f t="shared" si="2"/>
        <v>810.24</v>
      </c>
      <c r="Q58" s="122">
        <f t="shared" si="0"/>
        <v>4.6267078630050458E-3</v>
      </c>
      <c r="R58" s="1">
        <f ca="1">'הנחות עבודה לררל ומדרג'!$F$7*Q58</f>
        <v>1278095.9592097867</v>
      </c>
      <c r="S58" s="79">
        <f t="shared" ca="1" si="1"/>
        <v>31173.072175848458</v>
      </c>
      <c r="T58" s="79">
        <f ca="1">'ררל ומדרג'!$AH$1</f>
        <v>48975.779132102936</v>
      </c>
      <c r="U58" s="79">
        <f t="shared" ca="1" si="3"/>
        <v>80148.851307951394</v>
      </c>
    </row>
    <row r="59" spans="1:21">
      <c r="A59">
        <v>59</v>
      </c>
      <c r="B59">
        <v>8903012</v>
      </c>
      <c r="C59" t="s">
        <v>3425</v>
      </c>
      <c r="D59">
        <v>622022</v>
      </c>
      <c r="E59" t="s">
        <v>3939</v>
      </c>
      <c r="F59" t="s">
        <v>3940</v>
      </c>
      <c r="G59" s="217">
        <v>8215.4</v>
      </c>
      <c r="H59" t="s">
        <v>3941</v>
      </c>
      <c r="I59">
        <v>48</v>
      </c>
      <c r="J59">
        <v>824</v>
      </c>
      <c r="K59">
        <v>100</v>
      </c>
      <c r="L59" s="13" t="str">
        <f>VLOOKUP($B59,'[3]חשבונות חברה 40'!$A:$I,7,0)</f>
        <v>03012</v>
      </c>
      <c r="M59" s="13" t="str">
        <f>VLOOKUP($B59,'[3]חשבונות חברה 40'!$A:$I,5,0)</f>
        <v>0301</v>
      </c>
      <c r="N59" s="4" t="str">
        <f>IF(VLOOKUP($B59,'[3]חשבונות חברה 40'!$A:$J,10,0)=0,"",VLOOKUP($B59,'[3]חשבונות חברה 40'!$A:$J,10,0))</f>
        <v/>
      </c>
      <c r="P59" s="218">
        <f t="shared" si="2"/>
        <v>824</v>
      </c>
      <c r="Q59" s="122">
        <f t="shared" si="0"/>
        <v>4.7052814957496024E-3</v>
      </c>
      <c r="R59" s="1">
        <f ca="1">'הנחות עבודה לררל ומדרג'!$F$7*Q59</f>
        <v>1299801.3803180098</v>
      </c>
      <c r="S59" s="79">
        <f t="shared" ca="1" si="1"/>
        <v>31702.472690683164</v>
      </c>
      <c r="T59" s="79">
        <f ca="1">'ררל ומדרג'!$AH$1</f>
        <v>48975.779132102936</v>
      </c>
      <c r="U59" s="79">
        <f t="shared" ca="1" si="3"/>
        <v>80678.2518227861</v>
      </c>
    </row>
    <row r="60" spans="1:21">
      <c r="A60">
        <v>60</v>
      </c>
      <c r="B60">
        <v>8903022</v>
      </c>
      <c r="C60" t="s">
        <v>3429</v>
      </c>
      <c r="D60">
        <v>622022</v>
      </c>
      <c r="E60" t="s">
        <v>3939</v>
      </c>
      <c r="F60" t="s">
        <v>3940</v>
      </c>
      <c r="G60" s="217">
        <v>7442.51</v>
      </c>
      <c r="H60" t="s">
        <v>3941</v>
      </c>
      <c r="I60">
        <v>41.54</v>
      </c>
      <c r="J60">
        <v>746.48</v>
      </c>
      <c r="K60">
        <v>100</v>
      </c>
      <c r="L60" s="13" t="str">
        <f>VLOOKUP($B60,'[3]חשבונות חברה 40'!$A:$I,7,0)</f>
        <v>03022</v>
      </c>
      <c r="M60" s="13" t="str">
        <f>VLOOKUP($B60,'[3]חשבונות חברה 40'!$A:$I,5,0)</f>
        <v>0302</v>
      </c>
      <c r="N60" s="4" t="str">
        <f>IF(VLOOKUP($B60,'[3]חשבונות חברה 40'!$A:$J,10,0)=0,"",VLOOKUP($B60,'[3]חשבונות חברה 40'!$A:$J,10,0))</f>
        <v/>
      </c>
      <c r="P60" s="218">
        <f t="shared" si="2"/>
        <v>762.48</v>
      </c>
      <c r="Q60" s="122">
        <f t="shared" si="0"/>
        <v>4.3539842656300448E-3</v>
      </c>
      <c r="R60" s="1">
        <f ca="1">'הנחות עבודה לררל ומדרג'!$F$7*Q60</f>
        <v>1202757.9568748497</v>
      </c>
      <c r="S60" s="79">
        <f t="shared" ca="1" si="1"/>
        <v>29335.559923776822</v>
      </c>
      <c r="T60" s="79">
        <f ca="1">'ררל ומדרג'!$AH$1</f>
        <v>48975.779132102936</v>
      </c>
      <c r="U60" s="79">
        <f t="shared" ca="1" si="3"/>
        <v>78311.339055879755</v>
      </c>
    </row>
    <row r="61" spans="1:21">
      <c r="A61">
        <v>61</v>
      </c>
      <c r="B61">
        <v>8903031</v>
      </c>
      <c r="C61" t="s">
        <v>3430</v>
      </c>
      <c r="D61">
        <v>622022</v>
      </c>
      <c r="E61" t="s">
        <v>3939</v>
      </c>
      <c r="F61" t="s">
        <v>3940</v>
      </c>
      <c r="G61" s="217">
        <v>8215.4</v>
      </c>
      <c r="H61" t="s">
        <v>3941</v>
      </c>
      <c r="I61">
        <v>48</v>
      </c>
      <c r="J61">
        <v>824</v>
      </c>
      <c r="K61">
        <v>100</v>
      </c>
      <c r="L61" s="13" t="str">
        <f>VLOOKUP($B61,'[3]חשבונות חברה 40'!$A:$I,7,0)</f>
        <v>03031</v>
      </c>
      <c r="M61" s="13" t="str">
        <f>VLOOKUP($B61,'[3]חשבונות חברה 40'!$A:$I,5,0)</f>
        <v>0303</v>
      </c>
      <c r="N61" s="4" t="str">
        <f>IF(VLOOKUP($B61,'[3]חשבונות חברה 40'!$A:$J,10,0)=0,"",VLOOKUP($B61,'[3]חשבונות חברה 40'!$A:$J,10,0))</f>
        <v/>
      </c>
      <c r="P61" s="218">
        <f t="shared" si="2"/>
        <v>824</v>
      </c>
      <c r="Q61" s="122">
        <f t="shared" si="0"/>
        <v>4.7052814957496024E-3</v>
      </c>
      <c r="R61" s="1">
        <f ca="1">'הנחות עבודה לררל ומדרג'!$F$7*Q61</f>
        <v>1299801.3803180098</v>
      </c>
      <c r="S61" s="79">
        <f t="shared" ca="1" si="1"/>
        <v>31702.472690683164</v>
      </c>
      <c r="T61" s="79">
        <f ca="1">'ררל ומדרג'!$AH$1</f>
        <v>48975.779132102936</v>
      </c>
      <c r="U61" s="79">
        <f t="shared" ca="1" si="3"/>
        <v>80678.2518227861</v>
      </c>
    </row>
    <row r="62" spans="1:21">
      <c r="A62">
        <v>62</v>
      </c>
      <c r="B62">
        <v>8903032</v>
      </c>
      <c r="C62" t="s">
        <v>3431</v>
      </c>
      <c r="D62">
        <v>622022</v>
      </c>
      <c r="E62" t="s">
        <v>3939</v>
      </c>
      <c r="F62" t="s">
        <v>3940</v>
      </c>
      <c r="G62" s="217">
        <v>8215.4</v>
      </c>
      <c r="H62" t="s">
        <v>3941</v>
      </c>
      <c r="I62">
        <v>48</v>
      </c>
      <c r="J62">
        <v>824</v>
      </c>
      <c r="K62">
        <v>100</v>
      </c>
      <c r="L62" s="13" t="str">
        <f>VLOOKUP($B62,'[3]חשבונות חברה 40'!$A:$I,7,0)</f>
        <v>03032</v>
      </c>
      <c r="M62" s="13" t="str">
        <f>VLOOKUP($B62,'[3]חשבונות חברה 40'!$A:$I,5,0)</f>
        <v>0303</v>
      </c>
      <c r="N62" s="4" t="str">
        <f>IF(VLOOKUP($B62,'[3]חשבונות חברה 40'!$A:$J,10,0)=0,"",VLOOKUP($B62,'[3]חשבונות חברה 40'!$A:$J,10,0))</f>
        <v/>
      </c>
      <c r="P62" s="218">
        <f t="shared" si="2"/>
        <v>824</v>
      </c>
      <c r="Q62" s="122">
        <f t="shared" si="0"/>
        <v>4.7052814957496024E-3</v>
      </c>
      <c r="R62" s="1">
        <f ca="1">'הנחות עבודה לררל ומדרג'!$F$7*Q62</f>
        <v>1299801.3803180098</v>
      </c>
      <c r="S62" s="79">
        <f t="shared" ca="1" si="1"/>
        <v>31702.472690683164</v>
      </c>
      <c r="T62" s="79">
        <f ca="1">'ררל ומדרג'!$AH$1</f>
        <v>48975.779132102936</v>
      </c>
      <c r="U62" s="79">
        <f t="shared" ca="1" si="3"/>
        <v>80678.2518227861</v>
      </c>
    </row>
    <row r="63" spans="1:21">
      <c r="A63">
        <v>63</v>
      </c>
      <c r="B63">
        <v>8903041</v>
      </c>
      <c r="C63" t="s">
        <v>3432</v>
      </c>
      <c r="D63">
        <v>622022</v>
      </c>
      <c r="E63" t="s">
        <v>3939</v>
      </c>
      <c r="F63" t="s">
        <v>3940</v>
      </c>
      <c r="G63" s="217">
        <v>5954.17</v>
      </c>
      <c r="H63" t="s">
        <v>3941</v>
      </c>
      <c r="I63">
        <v>29.1</v>
      </c>
      <c r="J63">
        <v>597.20000000000005</v>
      </c>
      <c r="K63">
        <v>100</v>
      </c>
      <c r="L63" s="13" t="str">
        <f>VLOOKUP($B63,'[3]חשבונות חברה 40'!$A:$I,7,0)</f>
        <v>03041</v>
      </c>
      <c r="M63" s="13" t="str">
        <f>VLOOKUP($B63,'[3]חשבונות חברה 40'!$A:$I,5,0)</f>
        <v>0304</v>
      </c>
      <c r="N63" s="4" t="str">
        <f>IF(VLOOKUP($B63,'[3]חשבונות חברה 40'!$A:$J,10,0)=0,"",VLOOKUP($B63,'[3]חשבונות חברה 40'!$A:$J,10,0))</f>
        <v/>
      </c>
      <c r="P63" s="218">
        <f t="shared" si="2"/>
        <v>613.20000000000005</v>
      </c>
      <c r="Q63" s="122">
        <f t="shared" si="0"/>
        <v>3.501551715040845E-3</v>
      </c>
      <c r="R63" s="1">
        <f ca="1">'הנחות עבודה לררל ומדרג'!$F$7*Q63</f>
        <v>967279.37671238312</v>
      </c>
      <c r="S63" s="79">
        <f t="shared" ca="1" si="1"/>
        <v>23592.179919814222</v>
      </c>
      <c r="T63" s="79">
        <f ca="1">'ררל ומדרג'!$AH$1</f>
        <v>48975.779132102936</v>
      </c>
      <c r="U63" s="79">
        <f t="shared" ca="1" si="3"/>
        <v>72567.959051917162</v>
      </c>
    </row>
    <row r="64" spans="1:21">
      <c r="A64">
        <v>64</v>
      </c>
      <c r="B64">
        <v>8903042</v>
      </c>
      <c r="C64" t="s">
        <v>3434</v>
      </c>
      <c r="D64">
        <v>622022</v>
      </c>
      <c r="E64" t="s">
        <v>3939</v>
      </c>
      <c r="F64" t="s">
        <v>3940</v>
      </c>
      <c r="G64" s="217">
        <v>6892.16</v>
      </c>
      <c r="H64" t="s">
        <v>3941</v>
      </c>
      <c r="I64">
        <v>36.94</v>
      </c>
      <c r="J64">
        <v>691.28</v>
      </c>
      <c r="K64">
        <v>100</v>
      </c>
      <c r="L64" s="13" t="str">
        <f>VLOOKUP($B64,'[3]חשבונות חברה 40'!$A:$I,7,0)</f>
        <v>03042</v>
      </c>
      <c r="M64" s="13" t="str">
        <f>VLOOKUP($B64,'[3]חשבונות חברה 40'!$A:$I,5,0)</f>
        <v>0304</v>
      </c>
      <c r="N64" s="4" t="str">
        <f>IF(VLOOKUP($B64,'[3]חשבונות חברה 40'!$A:$J,10,0)=0,"",VLOOKUP($B64,'[3]חשבונות חברה 40'!$A:$J,10,0))</f>
        <v/>
      </c>
      <c r="P64" s="218">
        <f t="shared" si="2"/>
        <v>707.28</v>
      </c>
      <c r="Q64" s="122">
        <f t="shared" si="0"/>
        <v>4.0387760877594403E-3</v>
      </c>
      <c r="R64" s="1">
        <f ca="1">'הנחות עבודה לררל ומדרג'!$F$7*Q64</f>
        <v>1115683.8838244199</v>
      </c>
      <c r="S64" s="79">
        <f t="shared" ca="1" si="1"/>
        <v>27211.802044498047</v>
      </c>
      <c r="T64" s="79">
        <f ca="1">'ררל ומדרג'!$AH$1</f>
        <v>48975.779132102936</v>
      </c>
      <c r="U64" s="79">
        <f t="shared" ca="1" si="3"/>
        <v>76187.581176600987</v>
      </c>
    </row>
    <row r="65" spans="1:21">
      <c r="A65">
        <v>65</v>
      </c>
      <c r="B65">
        <v>8903051</v>
      </c>
      <c r="C65" t="s">
        <v>3436</v>
      </c>
      <c r="D65">
        <v>622022</v>
      </c>
      <c r="E65" t="s">
        <v>3939</v>
      </c>
      <c r="F65" t="s">
        <v>3940</v>
      </c>
      <c r="G65" s="217">
        <v>7410.21</v>
      </c>
      <c r="H65" t="s">
        <v>3941</v>
      </c>
      <c r="I65">
        <v>41.27</v>
      </c>
      <c r="J65">
        <v>743.24</v>
      </c>
      <c r="K65">
        <v>100</v>
      </c>
      <c r="L65" s="13" t="str">
        <f>VLOOKUP($B65,'[3]חשבונות חברה 40'!$A:$I,7,0)</f>
        <v>03051</v>
      </c>
      <c r="M65" s="13" t="str">
        <f>VLOOKUP($B65,'[3]חשבונות חברה 40'!$A:$I,5,0)</f>
        <v>0305</v>
      </c>
      <c r="N65" s="4" t="str">
        <f>IF(VLOOKUP($B65,'[3]חשבונות חברה 40'!$A:$J,10,0)=0,"",VLOOKUP($B65,'[3]חשבונות חברה 40'!$A:$J,10,0))</f>
        <v/>
      </c>
      <c r="P65" s="218">
        <f t="shared" si="2"/>
        <v>759.24</v>
      </c>
      <c r="Q65" s="122">
        <f t="shared" si="0"/>
        <v>4.3354829160593784E-3</v>
      </c>
      <c r="R65" s="1">
        <f ca="1">'הנחות עבודה לררל ומדרג'!$F$7*Q65</f>
        <v>1197647.0873697158</v>
      </c>
      <c r="S65" s="79">
        <f t="shared" ca="1" si="1"/>
        <v>29210.904569993068</v>
      </c>
      <c r="T65" s="79">
        <f ca="1">'ררל ומדרג'!$AH$1</f>
        <v>48975.779132102936</v>
      </c>
      <c r="U65" s="79">
        <f t="shared" ca="1" si="3"/>
        <v>78186.683702096008</v>
      </c>
    </row>
    <row r="66" spans="1:21">
      <c r="A66">
        <v>66</v>
      </c>
      <c r="B66">
        <v>8903052</v>
      </c>
      <c r="C66" t="s">
        <v>3438</v>
      </c>
      <c r="D66">
        <v>622022</v>
      </c>
      <c r="E66" t="s">
        <v>3939</v>
      </c>
      <c r="F66" t="s">
        <v>3940</v>
      </c>
      <c r="G66" s="217">
        <v>7343.21</v>
      </c>
      <c r="H66" t="s">
        <v>3941</v>
      </c>
      <c r="I66">
        <v>40.71</v>
      </c>
      <c r="J66">
        <v>736.52</v>
      </c>
      <c r="K66">
        <v>100</v>
      </c>
      <c r="L66" s="13" t="str">
        <f>VLOOKUP($B66,'[3]חשבונות חברה 40'!$A:$I,7,0)</f>
        <v>03052</v>
      </c>
      <c r="M66" s="13" t="str">
        <f>VLOOKUP($B66,'[3]חשבונות חברה 40'!$A:$I,5,0)</f>
        <v>0305</v>
      </c>
      <c r="N66" s="4" t="str">
        <f>IF(VLOOKUP($B66,'[3]חשבונות חברה 40'!$A:$J,10,0)=0,"",VLOOKUP($B66,'[3]חשבונות חברה 40'!$A:$J,10,0))</f>
        <v/>
      </c>
      <c r="P66" s="218">
        <f t="shared" si="2"/>
        <v>752.52</v>
      </c>
      <c r="Q66" s="122">
        <f t="shared" ref="Q66:Q129" si="4">P66/$P$288</f>
        <v>4.2971097465794791E-3</v>
      </c>
      <c r="R66" s="1">
        <f ca="1">'הנחות עבודה לררל ומדרג'!$F$7*Q66</f>
        <v>1187046.7654331417</v>
      </c>
      <c r="S66" s="79">
        <f t="shared" ref="S66:S129" ca="1" si="5">R66/$V$1</f>
        <v>28952.360132515652</v>
      </c>
      <c r="T66" s="79">
        <f ca="1">'ררל ומדרג'!$AH$1</f>
        <v>48975.779132102936</v>
      </c>
      <c r="U66" s="79">
        <f t="shared" ca="1" si="3"/>
        <v>77928.139264618585</v>
      </c>
    </row>
    <row r="67" spans="1:21">
      <c r="A67">
        <v>67</v>
      </c>
      <c r="B67">
        <v>8903061</v>
      </c>
      <c r="C67" t="s">
        <v>3439</v>
      </c>
      <c r="D67">
        <v>622022</v>
      </c>
      <c r="E67" t="s">
        <v>3939</v>
      </c>
      <c r="F67" t="s">
        <v>3940</v>
      </c>
      <c r="G67" s="217">
        <v>4688.3599999999997</v>
      </c>
      <c r="H67" t="s">
        <v>3941</v>
      </c>
      <c r="I67">
        <v>18.52</v>
      </c>
      <c r="J67">
        <v>470.24</v>
      </c>
      <c r="K67">
        <v>100</v>
      </c>
      <c r="L67" s="13" t="str">
        <f>VLOOKUP($B67,'[3]חשבונות חברה 40'!$A:$I,7,0)</f>
        <v>03061</v>
      </c>
      <c r="M67" s="13" t="str">
        <f>VLOOKUP($B67,'[3]חשבונות חברה 40'!$A:$I,5,0)</f>
        <v>0306</v>
      </c>
      <c r="N67" s="4" t="str">
        <f>IF(VLOOKUP($B67,'[3]חשבונות חברה 40'!$A:$J,10,0)=0,"",VLOOKUP($B67,'[3]חשבונות חברה 40'!$A:$J,10,0))</f>
        <v/>
      </c>
      <c r="P67" s="218">
        <f t="shared" ref="P67:P130" si="6">IF(J67+$Q$1&gt;=$R$1,$R$1,J67+$Q$1)</f>
        <v>486.24</v>
      </c>
      <c r="Q67" s="122">
        <f t="shared" si="4"/>
        <v>2.7765729059384546E-3</v>
      </c>
      <c r="R67" s="1">
        <f ca="1">'הנחות עבודה לררל ומדרג'!$F$7*Q67</f>
        <v>767009.00869639451</v>
      </c>
      <c r="S67" s="79">
        <f t="shared" ca="1" si="5"/>
        <v>18707.536797473036</v>
      </c>
      <c r="T67" s="79">
        <f ca="1">'ררל ומדרג'!$AH$1</f>
        <v>48975.779132102936</v>
      </c>
      <c r="U67" s="79">
        <f t="shared" ref="U67:U130" ca="1" si="7">S67+T67</f>
        <v>67683.315929575969</v>
      </c>
    </row>
    <row r="68" spans="1:21">
      <c r="A68">
        <v>68</v>
      </c>
      <c r="B68">
        <v>8903062</v>
      </c>
      <c r="C68" t="s">
        <v>3441</v>
      </c>
      <c r="D68">
        <v>622022</v>
      </c>
      <c r="E68" t="s">
        <v>3939</v>
      </c>
      <c r="F68" t="s">
        <v>3940</v>
      </c>
      <c r="G68" s="217">
        <v>5281.78</v>
      </c>
      <c r="H68" t="s">
        <v>3941</v>
      </c>
      <c r="I68">
        <v>23.48</v>
      </c>
      <c r="J68">
        <v>529.76</v>
      </c>
      <c r="K68">
        <v>100</v>
      </c>
      <c r="L68" s="13" t="str">
        <f>VLOOKUP($B68,'[3]חשבונות חברה 40'!$A:$I,7,0)</f>
        <v>03062</v>
      </c>
      <c r="M68" s="13" t="str">
        <f>VLOOKUP($B68,'[3]חשבונות חברה 40'!$A:$I,5,0)</f>
        <v>0306</v>
      </c>
      <c r="N68" s="4" t="str">
        <f>IF(VLOOKUP($B68,'[3]חשבונות חברה 40'!$A:$J,10,0)=0,"",VLOOKUP($B68,'[3]חשבונות חברה 40'!$A:$J,10,0))</f>
        <v/>
      </c>
      <c r="P68" s="218">
        <f t="shared" si="6"/>
        <v>545.76</v>
      </c>
      <c r="Q68" s="122">
        <f t="shared" si="4"/>
        <v>3.1164495499032803E-3</v>
      </c>
      <c r="R68" s="1">
        <f ca="1">'הנחות עבודה לררל ומדרג'!$F$7*Q68</f>
        <v>860897.57442033628</v>
      </c>
      <c r="S68" s="79">
        <f t="shared" ca="1" si="5"/>
        <v>20997.501815130152</v>
      </c>
      <c r="T68" s="79">
        <f ca="1">'ררל ומדרג'!$AH$1</f>
        <v>48975.779132102936</v>
      </c>
      <c r="U68" s="79">
        <f t="shared" ca="1" si="7"/>
        <v>69973.280947233085</v>
      </c>
    </row>
    <row r="69" spans="1:21">
      <c r="A69">
        <v>69</v>
      </c>
      <c r="B69">
        <v>8903071</v>
      </c>
      <c r="C69" t="s">
        <v>3442</v>
      </c>
      <c r="D69">
        <v>622022</v>
      </c>
      <c r="E69" t="s">
        <v>3939</v>
      </c>
      <c r="F69" t="s">
        <v>3940</v>
      </c>
      <c r="G69" s="217">
        <v>5870.42</v>
      </c>
      <c r="H69" t="s">
        <v>3941</v>
      </c>
      <c r="I69">
        <v>28.4</v>
      </c>
      <c r="J69">
        <v>588.79999999999995</v>
      </c>
      <c r="K69">
        <v>100</v>
      </c>
      <c r="L69" s="13" t="str">
        <f>VLOOKUP($B69,'[3]חשבונות חברה 40'!$A:$I,7,0)</f>
        <v>03071</v>
      </c>
      <c r="M69" s="13" t="str">
        <f>VLOOKUP($B69,'[3]חשבונות חברה 40'!$A:$I,5,0)</f>
        <v>0307</v>
      </c>
      <c r="N69" s="4" t="str">
        <f>IF(VLOOKUP($B69,'[3]חשבונות חברה 40'!$A:$J,10,0)=0,"",VLOOKUP($B69,'[3]חשבונות חברה 40'!$A:$J,10,0))</f>
        <v/>
      </c>
      <c r="P69" s="218">
        <f t="shared" si="6"/>
        <v>604.79999999999995</v>
      </c>
      <c r="Q69" s="122">
        <f t="shared" si="4"/>
        <v>3.4535852531909698E-3</v>
      </c>
      <c r="R69" s="1">
        <f ca="1">'הנחות עבודה לררל ומדרג'!$F$7*Q69</f>
        <v>954028.97429166536</v>
      </c>
      <c r="S69" s="79">
        <f t="shared" ca="1" si="5"/>
        <v>23268.999372967446</v>
      </c>
      <c r="T69" s="79">
        <f ca="1">'ררל ומדרג'!$AH$1</f>
        <v>48975.779132102936</v>
      </c>
      <c r="U69" s="79">
        <f t="shared" ca="1" si="7"/>
        <v>72244.778505070382</v>
      </c>
    </row>
    <row r="70" spans="1:21">
      <c r="A70">
        <v>70</v>
      </c>
      <c r="B70">
        <v>8903072</v>
      </c>
      <c r="C70" t="s">
        <v>3443</v>
      </c>
      <c r="D70">
        <v>622022</v>
      </c>
      <c r="E70" t="s">
        <v>3939</v>
      </c>
      <c r="F70" t="s">
        <v>3940</v>
      </c>
      <c r="G70" s="217">
        <v>5795.05</v>
      </c>
      <c r="H70" t="s">
        <v>3941</v>
      </c>
      <c r="I70">
        <v>27.77</v>
      </c>
      <c r="J70">
        <v>581.24</v>
      </c>
      <c r="K70">
        <v>100</v>
      </c>
      <c r="L70" s="13" t="str">
        <f>VLOOKUP($B70,'[3]חשבונות חברה 40'!$A:$I,7,0)</f>
        <v>03072</v>
      </c>
      <c r="M70" s="13" t="str">
        <f>VLOOKUP($B70,'[3]חשבונות חברה 40'!$A:$I,5,0)</f>
        <v>0307</v>
      </c>
      <c r="N70" s="4" t="str">
        <f>IF(VLOOKUP($B70,'[3]חשבונות חברה 40'!$A:$J,10,0)=0,"",VLOOKUP($B70,'[3]חשבונות חברה 40'!$A:$J,10,0))</f>
        <v/>
      </c>
      <c r="P70" s="218">
        <f t="shared" si="6"/>
        <v>597.24</v>
      </c>
      <c r="Q70" s="122">
        <f t="shared" si="4"/>
        <v>3.410415437526083E-3</v>
      </c>
      <c r="R70" s="1">
        <f ca="1">'הנחות עבודה לררל ומדרג'!$F$7*Q70</f>
        <v>942103.61211301968</v>
      </c>
      <c r="S70" s="79">
        <f t="shared" ca="1" si="5"/>
        <v>22978.136880805359</v>
      </c>
      <c r="T70" s="79">
        <f ca="1">'ררל ומדרג'!$AH$1</f>
        <v>48975.779132102936</v>
      </c>
      <c r="U70" s="79">
        <f t="shared" ca="1" si="7"/>
        <v>71953.916012908303</v>
      </c>
    </row>
    <row r="71" spans="1:21">
      <c r="A71">
        <v>71</v>
      </c>
      <c r="B71">
        <v>8903091</v>
      </c>
      <c r="C71" t="s">
        <v>3444</v>
      </c>
      <c r="D71">
        <v>622022</v>
      </c>
      <c r="E71" t="s">
        <v>3939</v>
      </c>
      <c r="F71" t="s">
        <v>3940</v>
      </c>
      <c r="G71" s="217">
        <v>4737.41</v>
      </c>
      <c r="H71" t="s">
        <v>3941</v>
      </c>
      <c r="I71">
        <v>18.93</v>
      </c>
      <c r="J71">
        <v>475.16</v>
      </c>
      <c r="K71">
        <v>100</v>
      </c>
      <c r="L71" s="13" t="str">
        <f>VLOOKUP($B71,'[3]חשבונות חברה 40'!$A:$I,7,0)</f>
        <v>03091</v>
      </c>
      <c r="M71" s="13" t="str">
        <f>VLOOKUP($B71,'[3]חשבונות חברה 40'!$A:$I,5,0)</f>
        <v>0309</v>
      </c>
      <c r="N71" s="4" t="str">
        <f>IF(VLOOKUP($B71,'[3]חשבונות חברה 40'!$A:$J,10,0)=0,"",VLOOKUP($B71,'[3]חשבונות חברה 40'!$A:$J,10,0))</f>
        <v/>
      </c>
      <c r="P71" s="218">
        <f t="shared" si="6"/>
        <v>491.16</v>
      </c>
      <c r="Q71" s="122">
        <f t="shared" si="4"/>
        <v>2.8046675478790957E-3</v>
      </c>
      <c r="R71" s="1">
        <f ca="1">'הנחות עבודה לררל ומדרג'!$F$7*Q71</f>
        <v>774769.95868567203</v>
      </c>
      <c r="S71" s="79">
        <f t="shared" ca="1" si="5"/>
        <v>18896.828260626145</v>
      </c>
      <c r="T71" s="79">
        <f ca="1">'ררל ומדרג'!$AH$1</f>
        <v>48975.779132102936</v>
      </c>
      <c r="U71" s="79">
        <f t="shared" ca="1" si="7"/>
        <v>67872.607392729085</v>
      </c>
    </row>
    <row r="72" spans="1:21">
      <c r="A72">
        <v>72</v>
      </c>
      <c r="B72">
        <v>8903092</v>
      </c>
      <c r="C72" t="s">
        <v>3445</v>
      </c>
      <c r="D72">
        <v>622022</v>
      </c>
      <c r="E72" t="s">
        <v>3939</v>
      </c>
      <c r="F72" t="s">
        <v>3940</v>
      </c>
      <c r="G72" s="217">
        <v>4737.41</v>
      </c>
      <c r="H72" t="s">
        <v>3941</v>
      </c>
      <c r="I72">
        <v>18.93</v>
      </c>
      <c r="J72">
        <v>475.16</v>
      </c>
      <c r="K72">
        <v>100</v>
      </c>
      <c r="L72" s="13" t="str">
        <f>VLOOKUP($B72,'[3]חשבונות חברה 40'!$A:$I,7,0)</f>
        <v>03092</v>
      </c>
      <c r="M72" s="13" t="str">
        <f>VLOOKUP($B72,'[3]חשבונות חברה 40'!$A:$I,5,0)</f>
        <v>0320</v>
      </c>
      <c r="N72" s="4" t="str">
        <f>IF(VLOOKUP($B72,'[3]חשבונות חברה 40'!$A:$J,10,0)=0,"",VLOOKUP($B72,'[3]חשבונות חברה 40'!$A:$J,10,0))</f>
        <v/>
      </c>
      <c r="P72" s="218">
        <f t="shared" si="6"/>
        <v>491.16</v>
      </c>
      <c r="Q72" s="122">
        <f t="shared" si="4"/>
        <v>2.8046675478790957E-3</v>
      </c>
      <c r="R72" s="1">
        <f ca="1">'הנחות עבודה לררל ומדרג'!$F$7*Q72</f>
        <v>774769.95868567203</v>
      </c>
      <c r="S72" s="79">
        <f t="shared" ca="1" si="5"/>
        <v>18896.828260626145</v>
      </c>
      <c r="T72" s="79">
        <f ca="1">'ררל ומדרג'!$AH$1</f>
        <v>48975.779132102936</v>
      </c>
      <c r="U72" s="79">
        <f t="shared" ca="1" si="7"/>
        <v>67872.607392729085</v>
      </c>
    </row>
    <row r="73" spans="1:21">
      <c r="A73">
        <v>73</v>
      </c>
      <c r="B73">
        <v>8903121</v>
      </c>
      <c r="C73" t="s">
        <v>3446</v>
      </c>
      <c r="D73">
        <v>622022</v>
      </c>
      <c r="E73" t="s">
        <v>3939</v>
      </c>
      <c r="F73" t="s">
        <v>3940</v>
      </c>
      <c r="G73" s="217">
        <v>3720.46</v>
      </c>
      <c r="H73" t="s">
        <v>3941</v>
      </c>
      <c r="I73">
        <v>10.43</v>
      </c>
      <c r="J73">
        <v>373.16</v>
      </c>
      <c r="K73">
        <v>100</v>
      </c>
      <c r="L73" s="13" t="str">
        <f>VLOOKUP($B73,'[3]חשבונות חברה 40'!$A:$I,7,0)</f>
        <v>03121</v>
      </c>
      <c r="M73" s="13" t="str">
        <f>VLOOKUP($B73,'[3]חשבונות חברה 40'!$A:$I,5,0)</f>
        <v>0312</v>
      </c>
      <c r="N73" s="4" t="str">
        <f>IF(VLOOKUP($B73,'[3]חשבונות חברה 40'!$A:$J,10,0)=0,"",VLOOKUP($B73,'[3]חשבונות חברה 40'!$A:$J,10,0))</f>
        <v/>
      </c>
      <c r="P73" s="218">
        <f t="shared" si="6"/>
        <v>389.16</v>
      </c>
      <c r="Q73" s="122">
        <f t="shared" si="4"/>
        <v>2.2222176539877614E-3</v>
      </c>
      <c r="R73" s="1">
        <f ca="1">'הנחות עבודה לררל ומדרג'!$F$7*Q73</f>
        <v>613872.21500553004</v>
      </c>
      <c r="S73" s="79">
        <f t="shared" ca="1" si="5"/>
        <v>14972.493048915367</v>
      </c>
      <c r="T73" s="79">
        <f ca="1">'ררל ומדרג'!$AH$1</f>
        <v>48975.779132102936</v>
      </c>
      <c r="U73" s="79">
        <f t="shared" ca="1" si="7"/>
        <v>63948.272181018299</v>
      </c>
    </row>
    <row r="74" spans="1:21">
      <c r="A74">
        <v>74</v>
      </c>
      <c r="B74">
        <v>8903122</v>
      </c>
      <c r="C74" t="s">
        <v>3447</v>
      </c>
      <c r="D74">
        <v>622022</v>
      </c>
      <c r="E74" t="s">
        <v>3939</v>
      </c>
      <c r="F74" t="s">
        <v>3940</v>
      </c>
      <c r="G74" s="217">
        <v>3808.99</v>
      </c>
      <c r="H74" t="s">
        <v>3941</v>
      </c>
      <c r="I74">
        <v>11.17</v>
      </c>
      <c r="J74">
        <v>382.04</v>
      </c>
      <c r="K74">
        <v>100</v>
      </c>
      <c r="L74" s="13" t="str">
        <f>VLOOKUP($B74,'[3]חשבונות חברה 40'!$A:$I,7,0)</f>
        <v>03122</v>
      </c>
      <c r="M74" s="13" t="str">
        <f>VLOOKUP($B74,'[3]חשבונות חברה 40'!$A:$I,5,0)</f>
        <v>0312</v>
      </c>
      <c r="N74" s="4" t="str">
        <f>IF(VLOOKUP($B74,'[3]חשבונות חברה 40'!$A:$J,10,0)=0,"",VLOOKUP($B74,'[3]חשבונות חברה 40'!$A:$J,10,0))</f>
        <v/>
      </c>
      <c r="P74" s="218">
        <f t="shared" si="6"/>
        <v>398.04</v>
      </c>
      <c r="Q74" s="122">
        <f t="shared" si="4"/>
        <v>2.2729250565147715E-3</v>
      </c>
      <c r="R74" s="1">
        <f ca="1">'הנחות עבודה לררל ומדרג'!$F$7*Q74</f>
        <v>627879.78327886004</v>
      </c>
      <c r="S74" s="79">
        <f t="shared" ca="1" si="5"/>
        <v>15314.141055581953</v>
      </c>
      <c r="T74" s="79">
        <f ca="1">'ררל ומדרג'!$AH$1</f>
        <v>48975.779132102936</v>
      </c>
      <c r="U74" s="79">
        <f t="shared" ca="1" si="7"/>
        <v>64289.920187684889</v>
      </c>
    </row>
    <row r="75" spans="1:21">
      <c r="A75">
        <v>75</v>
      </c>
      <c r="B75">
        <v>8903171</v>
      </c>
      <c r="C75" t="s">
        <v>3448</v>
      </c>
      <c r="D75">
        <v>622022</v>
      </c>
      <c r="E75" t="s">
        <v>3939</v>
      </c>
      <c r="F75" t="s">
        <v>3940</v>
      </c>
      <c r="G75" s="217">
        <v>3290.94</v>
      </c>
      <c r="H75" t="s">
        <v>3941</v>
      </c>
      <c r="I75">
        <v>6.84</v>
      </c>
      <c r="J75">
        <v>330.08</v>
      </c>
      <c r="K75">
        <v>100</v>
      </c>
      <c r="L75" s="13" t="str">
        <f>VLOOKUP($B75,'[3]חשבונות חברה 40'!$A:$I,7,0)</f>
        <v>03171</v>
      </c>
      <c r="M75" s="13" t="str">
        <f>VLOOKUP($B75,'[3]חשבונות חברה 40'!$A:$I,5,0)</f>
        <v>0317</v>
      </c>
      <c r="N75" s="4" t="str">
        <f>IF(VLOOKUP($B75,'[3]חשבונות חברה 40'!$A:$J,10,0)=0,"",VLOOKUP($B75,'[3]חשבונות חברה 40'!$A:$J,10,0))</f>
        <v/>
      </c>
      <c r="P75" s="218">
        <f t="shared" si="6"/>
        <v>346.08</v>
      </c>
      <c r="Q75" s="122">
        <f t="shared" si="4"/>
        <v>1.976218228214833E-3</v>
      </c>
      <c r="R75" s="1">
        <f ca="1">'הנחות עבודה לררל ומדרג'!$F$7*Q75</f>
        <v>545916.57973356417</v>
      </c>
      <c r="S75" s="79">
        <f t="shared" ca="1" si="5"/>
        <v>13315.038530086931</v>
      </c>
      <c r="T75" s="79">
        <f ca="1">'ררל ומדרג'!$AH$1</f>
        <v>48975.779132102936</v>
      </c>
      <c r="U75" s="79">
        <f t="shared" ca="1" si="7"/>
        <v>62290.817662189867</v>
      </c>
    </row>
    <row r="76" spans="1:21">
      <c r="A76">
        <v>76</v>
      </c>
      <c r="B76">
        <v>8903172</v>
      </c>
      <c r="C76" t="s">
        <v>3450</v>
      </c>
      <c r="D76">
        <v>622022</v>
      </c>
      <c r="E76" t="s">
        <v>3939</v>
      </c>
      <c r="F76" t="s">
        <v>3940</v>
      </c>
      <c r="G76" s="217">
        <v>3290.94</v>
      </c>
      <c r="H76" t="s">
        <v>3941</v>
      </c>
      <c r="I76">
        <v>6.84</v>
      </c>
      <c r="J76">
        <v>330.08</v>
      </c>
      <c r="K76">
        <v>100</v>
      </c>
      <c r="L76" s="13" t="str">
        <f>VLOOKUP($B76,'[3]חשבונות חברה 40'!$A:$I,7,0)</f>
        <v>03172</v>
      </c>
      <c r="M76" s="13" t="str">
        <f>VLOOKUP($B76,'[3]חשבונות חברה 40'!$A:$I,5,0)</f>
        <v>0317</v>
      </c>
      <c r="N76" s="4" t="str">
        <f>IF(VLOOKUP($B76,'[3]חשבונות חברה 40'!$A:$J,10,0)=0,"",VLOOKUP($B76,'[3]חשבונות חברה 40'!$A:$J,10,0))</f>
        <v/>
      </c>
      <c r="P76" s="218">
        <f t="shared" si="6"/>
        <v>346.08</v>
      </c>
      <c r="Q76" s="122">
        <f t="shared" si="4"/>
        <v>1.976218228214833E-3</v>
      </c>
      <c r="R76" s="1">
        <f ca="1">'הנחות עבודה לררל ומדרג'!$F$7*Q76</f>
        <v>545916.57973356417</v>
      </c>
      <c r="S76" s="79">
        <f t="shared" ca="1" si="5"/>
        <v>13315.038530086931</v>
      </c>
      <c r="T76" s="79">
        <f ca="1">'ררל ומדרג'!$AH$1</f>
        <v>48975.779132102936</v>
      </c>
      <c r="U76" s="79">
        <f t="shared" ca="1" si="7"/>
        <v>62290.817662189867</v>
      </c>
    </row>
    <row r="77" spans="1:21">
      <c r="A77">
        <v>77</v>
      </c>
      <c r="B77">
        <v>8904031</v>
      </c>
      <c r="C77" t="s">
        <v>3457</v>
      </c>
      <c r="D77">
        <v>622022</v>
      </c>
      <c r="E77" t="s">
        <v>3939</v>
      </c>
      <c r="F77" t="s">
        <v>3940</v>
      </c>
      <c r="G77" s="217">
        <v>8215.4</v>
      </c>
      <c r="H77" t="s">
        <v>3941</v>
      </c>
      <c r="I77">
        <v>48</v>
      </c>
      <c r="J77">
        <v>824</v>
      </c>
      <c r="K77">
        <v>100</v>
      </c>
      <c r="L77" s="13" t="str">
        <f>VLOOKUP($B77,'[3]חשבונות חברה 40'!$A:$I,7,0)</f>
        <v>04031</v>
      </c>
      <c r="M77" s="13" t="str">
        <f>VLOOKUP($B77,'[3]חשבונות חברה 40'!$A:$I,5,0)</f>
        <v>0403</v>
      </c>
      <c r="N77" s="4" t="str">
        <f>IF(VLOOKUP($B77,'[3]חשבונות חברה 40'!$A:$J,10,0)=0,"",VLOOKUP($B77,'[3]חשבונות חברה 40'!$A:$J,10,0))</f>
        <v/>
      </c>
      <c r="P77" s="218">
        <f t="shared" si="6"/>
        <v>824</v>
      </c>
      <c r="Q77" s="122">
        <f t="shared" si="4"/>
        <v>4.7052814957496024E-3</v>
      </c>
      <c r="R77" s="1">
        <f ca="1">'הנחות עבודה לררל ומדרג'!$F$7*Q77</f>
        <v>1299801.3803180098</v>
      </c>
      <c r="S77" s="79">
        <f t="shared" ca="1" si="5"/>
        <v>31702.472690683164</v>
      </c>
      <c r="T77" s="79">
        <f ca="1">'ררל ומדרג'!$AH$1</f>
        <v>48975.779132102936</v>
      </c>
      <c r="U77" s="79">
        <f t="shared" ca="1" si="7"/>
        <v>80678.2518227861</v>
      </c>
    </row>
    <row r="78" spans="1:21">
      <c r="A78">
        <v>78</v>
      </c>
      <c r="B78">
        <v>8904032</v>
      </c>
      <c r="C78" t="s">
        <v>3458</v>
      </c>
      <c r="D78">
        <v>622022</v>
      </c>
      <c r="E78" t="s">
        <v>3939</v>
      </c>
      <c r="F78" t="s">
        <v>3940</v>
      </c>
      <c r="G78" s="217">
        <v>8210.61</v>
      </c>
      <c r="H78" t="s">
        <v>3941</v>
      </c>
      <c r="I78">
        <v>47.96</v>
      </c>
      <c r="J78">
        <v>823.52</v>
      </c>
      <c r="K78">
        <v>100</v>
      </c>
      <c r="L78" s="13" t="str">
        <f>VLOOKUP($B78,'[3]חשבונות חברה 40'!$A:$I,7,0)</f>
        <v>04032</v>
      </c>
      <c r="M78" s="13" t="str">
        <f>VLOOKUP($B78,'[3]חשבונות חברה 40'!$A:$I,5,0)</f>
        <v>0403</v>
      </c>
      <c r="N78" s="4" t="str">
        <f>IF(VLOOKUP($B78,'[3]חשבונות חברה 40'!$A:$J,10,0)=0,"",VLOOKUP($B78,'[3]חשבונות חברה 40'!$A:$J,10,0))</f>
        <v/>
      </c>
      <c r="P78" s="218">
        <f t="shared" si="6"/>
        <v>824</v>
      </c>
      <c r="Q78" s="122">
        <f t="shared" si="4"/>
        <v>4.7052814957496024E-3</v>
      </c>
      <c r="R78" s="1">
        <f ca="1">'הנחות עבודה לררל ומדרג'!$F$7*Q78</f>
        <v>1299801.3803180098</v>
      </c>
      <c r="S78" s="79">
        <f t="shared" ca="1" si="5"/>
        <v>31702.472690683164</v>
      </c>
      <c r="T78" s="79">
        <f ca="1">'ררל ומדרג'!$AH$1</f>
        <v>48975.779132102936</v>
      </c>
      <c r="U78" s="79">
        <f t="shared" ca="1" si="7"/>
        <v>80678.2518227861</v>
      </c>
    </row>
    <row r="79" spans="1:21">
      <c r="A79">
        <v>79</v>
      </c>
      <c r="B79">
        <v>8904051</v>
      </c>
      <c r="C79" t="s">
        <v>917</v>
      </c>
      <c r="D79">
        <v>622022</v>
      </c>
      <c r="E79" t="s">
        <v>3939</v>
      </c>
      <c r="F79" t="s">
        <v>3940</v>
      </c>
      <c r="G79" s="217">
        <v>3739.6</v>
      </c>
      <c r="H79" t="s">
        <v>3941</v>
      </c>
      <c r="I79">
        <v>10.59</v>
      </c>
      <c r="J79">
        <v>375.08</v>
      </c>
      <c r="K79">
        <v>100</v>
      </c>
      <c r="L79" s="13" t="str">
        <f>VLOOKUP($B79,'[3]חשבונות חברה 40'!$A:$I,7,0)</f>
        <v>04051</v>
      </c>
      <c r="M79" s="13" t="str">
        <f>VLOOKUP($B79,'[3]חשבונות חברה 40'!$A:$I,5,0)</f>
        <v>0405</v>
      </c>
      <c r="N79" s="4" t="str">
        <f>IF(VLOOKUP($B79,'[3]חשבונות חברה 40'!$A:$J,10,0)=0,"",VLOOKUP($B79,'[3]חשבונות חברה 40'!$A:$J,10,0))</f>
        <v/>
      </c>
      <c r="P79" s="218">
        <f t="shared" si="6"/>
        <v>391.08</v>
      </c>
      <c r="Q79" s="122">
        <f t="shared" si="4"/>
        <v>2.2331814166963041E-3</v>
      </c>
      <c r="R79" s="1">
        <f ca="1">'הנחות עבודה לררל ומדרג'!$F$7*Q79</f>
        <v>616900.87841597979</v>
      </c>
      <c r="S79" s="79">
        <f t="shared" ca="1" si="5"/>
        <v>15046.36288819463</v>
      </c>
      <c r="T79" s="79">
        <f ca="1">'ררל ומדרג'!$AH$1</f>
        <v>48975.779132102936</v>
      </c>
      <c r="U79" s="79">
        <f t="shared" ca="1" si="7"/>
        <v>64022.142020297564</v>
      </c>
    </row>
    <row r="80" spans="1:21">
      <c r="A80">
        <v>80</v>
      </c>
      <c r="B80">
        <v>8904052</v>
      </c>
      <c r="C80" t="s">
        <v>3459</v>
      </c>
      <c r="D80">
        <v>622022</v>
      </c>
      <c r="E80" t="s">
        <v>3939</v>
      </c>
      <c r="F80" t="s">
        <v>3940</v>
      </c>
      <c r="G80" s="217">
        <v>3739.6</v>
      </c>
      <c r="H80" t="s">
        <v>3941</v>
      </c>
      <c r="I80">
        <v>10.59</v>
      </c>
      <c r="J80">
        <v>375.08</v>
      </c>
      <c r="K80">
        <v>100</v>
      </c>
      <c r="L80" s="13" t="str">
        <f>VLOOKUP($B80,'[3]חשבונות חברה 40'!$A:$I,7,0)</f>
        <v>04052</v>
      </c>
      <c r="M80" s="13" t="str">
        <f>VLOOKUP($B80,'[3]חשבונות חברה 40'!$A:$I,5,0)</f>
        <v>0405</v>
      </c>
      <c r="N80" s="4" t="str">
        <f>IF(VLOOKUP($B80,'[3]חשבונות חברה 40'!$A:$J,10,0)=0,"",VLOOKUP($B80,'[3]חשבונות חברה 40'!$A:$J,10,0))</f>
        <v/>
      </c>
      <c r="P80" s="218">
        <f t="shared" si="6"/>
        <v>391.08</v>
      </c>
      <c r="Q80" s="122">
        <f t="shared" si="4"/>
        <v>2.2331814166963041E-3</v>
      </c>
      <c r="R80" s="1">
        <f ca="1">'הנחות עבודה לררל ומדרג'!$F$7*Q80</f>
        <v>616900.87841597979</v>
      </c>
      <c r="S80" s="79">
        <f t="shared" ca="1" si="5"/>
        <v>15046.36288819463</v>
      </c>
      <c r="T80" s="79">
        <f ca="1">'ררל ומדרג'!$AH$1</f>
        <v>48975.779132102936</v>
      </c>
      <c r="U80" s="79">
        <f t="shared" ca="1" si="7"/>
        <v>64022.142020297564</v>
      </c>
    </row>
    <row r="81" spans="1:21">
      <c r="A81">
        <v>81</v>
      </c>
      <c r="B81">
        <v>8904061</v>
      </c>
      <c r="C81" t="s">
        <v>3460</v>
      </c>
      <c r="D81">
        <v>622022</v>
      </c>
      <c r="E81" t="s">
        <v>3939</v>
      </c>
      <c r="F81" t="s">
        <v>3940</v>
      </c>
      <c r="G81" s="217">
        <v>8215.4</v>
      </c>
      <c r="H81" t="s">
        <v>3941</v>
      </c>
      <c r="I81">
        <v>48</v>
      </c>
      <c r="J81">
        <v>824</v>
      </c>
      <c r="K81">
        <v>100</v>
      </c>
      <c r="L81" s="13" t="str">
        <f>VLOOKUP($B81,'[3]חשבונות חברה 40'!$A:$I,7,0)</f>
        <v>04061</v>
      </c>
      <c r="M81" s="13" t="str">
        <f>VLOOKUP($B81,'[3]חשבונות חברה 40'!$A:$I,5,0)</f>
        <v>0406</v>
      </c>
      <c r="N81" s="4" t="str">
        <f>IF(VLOOKUP($B81,'[3]חשבונות חברה 40'!$A:$J,10,0)=0,"",VLOOKUP($B81,'[3]חשבונות חברה 40'!$A:$J,10,0))</f>
        <v/>
      </c>
      <c r="P81" s="218">
        <f t="shared" si="6"/>
        <v>824</v>
      </c>
      <c r="Q81" s="122">
        <f t="shared" si="4"/>
        <v>4.7052814957496024E-3</v>
      </c>
      <c r="R81" s="1">
        <f ca="1">'הנחות עבודה לררל ומדרג'!$F$7*Q81</f>
        <v>1299801.3803180098</v>
      </c>
      <c r="S81" s="79">
        <f t="shared" ca="1" si="5"/>
        <v>31702.472690683164</v>
      </c>
      <c r="T81" s="79">
        <f ca="1">'ררל ומדרג'!$AH$1</f>
        <v>48975.779132102936</v>
      </c>
      <c r="U81" s="79">
        <f t="shared" ca="1" si="7"/>
        <v>80678.2518227861</v>
      </c>
    </row>
    <row r="82" spans="1:21">
      <c r="A82">
        <v>82</v>
      </c>
      <c r="B82">
        <v>8904062</v>
      </c>
      <c r="C82" t="s">
        <v>3462</v>
      </c>
      <c r="D82">
        <v>622022</v>
      </c>
      <c r="E82" t="s">
        <v>3939</v>
      </c>
      <c r="F82" t="s">
        <v>3940</v>
      </c>
      <c r="G82" s="217">
        <v>7960.56</v>
      </c>
      <c r="H82" t="s">
        <v>3941</v>
      </c>
      <c r="I82">
        <v>45.87</v>
      </c>
      <c r="J82">
        <v>798.44</v>
      </c>
      <c r="K82">
        <v>100</v>
      </c>
      <c r="L82" s="13" t="str">
        <f>VLOOKUP($B82,'[3]חשבונות חברה 40'!$A:$I,7,0)</f>
        <v>04062</v>
      </c>
      <c r="M82" s="13" t="str">
        <f>VLOOKUP($B82,'[3]חשבונות חברה 40'!$A:$I,5,0)</f>
        <v>0406</v>
      </c>
      <c r="N82" s="4" t="str">
        <f>IF(VLOOKUP($B82,'[3]חשבונות חברה 40'!$A:$J,10,0)=0,"",VLOOKUP($B82,'[3]חשבונות חברה 40'!$A:$J,10,0))</f>
        <v/>
      </c>
      <c r="P82" s="218">
        <f t="shared" si="6"/>
        <v>814.44</v>
      </c>
      <c r="Q82" s="122">
        <f t="shared" si="4"/>
        <v>4.6506910939299838E-3</v>
      </c>
      <c r="R82" s="1">
        <f ca="1">'הנחות עבודה לררל ומדרג'!$F$7*Q82</f>
        <v>1284721.1604201458</v>
      </c>
      <c r="S82" s="79">
        <f t="shared" ca="1" si="5"/>
        <v>31334.662449271851</v>
      </c>
      <c r="T82" s="79">
        <f ca="1">'ררל ומדרג'!$AH$1</f>
        <v>48975.779132102936</v>
      </c>
      <c r="U82" s="79">
        <f t="shared" ca="1" si="7"/>
        <v>80310.441581374791</v>
      </c>
    </row>
    <row r="83" spans="1:21">
      <c r="A83">
        <v>83</v>
      </c>
      <c r="B83">
        <v>8904071</v>
      </c>
      <c r="C83" t="s">
        <v>3463</v>
      </c>
      <c r="D83">
        <v>622022</v>
      </c>
      <c r="E83" t="s">
        <v>3939</v>
      </c>
      <c r="F83" t="s">
        <v>3940</v>
      </c>
      <c r="G83" s="217">
        <v>8215.4</v>
      </c>
      <c r="H83" t="s">
        <v>3941</v>
      </c>
      <c r="I83">
        <v>48</v>
      </c>
      <c r="J83">
        <v>824</v>
      </c>
      <c r="K83">
        <v>100</v>
      </c>
      <c r="L83" s="13" t="str">
        <f>VLOOKUP($B83,'[3]חשבונות חברה 40'!$A:$I,7,0)</f>
        <v>04071</v>
      </c>
      <c r="M83" s="13" t="str">
        <f>VLOOKUP($B83,'[3]חשבונות חברה 40'!$A:$I,5,0)</f>
        <v>0407</v>
      </c>
      <c r="N83" s="4" t="str">
        <f>IF(VLOOKUP($B83,'[3]חשבונות חברה 40'!$A:$J,10,0)=0,"",VLOOKUP($B83,'[3]חשבונות חברה 40'!$A:$J,10,0))</f>
        <v/>
      </c>
      <c r="P83" s="218">
        <f t="shared" si="6"/>
        <v>824</v>
      </c>
      <c r="Q83" s="122">
        <f t="shared" si="4"/>
        <v>4.7052814957496024E-3</v>
      </c>
      <c r="R83" s="1">
        <f ca="1">'הנחות עבודה לררל ומדרג'!$F$7*Q83</f>
        <v>1299801.3803180098</v>
      </c>
      <c r="S83" s="79">
        <f t="shared" ca="1" si="5"/>
        <v>31702.472690683164</v>
      </c>
      <c r="T83" s="79">
        <f ca="1">'ררל ומדרג'!$AH$1</f>
        <v>48975.779132102936</v>
      </c>
      <c r="U83" s="79">
        <f t="shared" ca="1" si="7"/>
        <v>80678.2518227861</v>
      </c>
    </row>
    <row r="84" spans="1:21">
      <c r="A84">
        <v>84</v>
      </c>
      <c r="B84">
        <v>8904072</v>
      </c>
      <c r="C84" t="s">
        <v>3464</v>
      </c>
      <c r="D84">
        <v>622022</v>
      </c>
      <c r="E84" t="s">
        <v>3939</v>
      </c>
      <c r="F84" t="s">
        <v>3940</v>
      </c>
      <c r="G84" s="217">
        <v>8009.61</v>
      </c>
      <c r="H84" t="s">
        <v>3941</v>
      </c>
      <c r="I84">
        <v>46.28</v>
      </c>
      <c r="J84">
        <v>803.36</v>
      </c>
      <c r="K84">
        <v>100</v>
      </c>
      <c r="L84" s="13" t="str">
        <f>VLOOKUP($B84,'[3]חשבונות חברה 40'!$A:$I,7,0)</f>
        <v>04072</v>
      </c>
      <c r="M84" s="13" t="str">
        <f>VLOOKUP($B84,'[3]חשבונות חברה 40'!$A:$I,5,0)</f>
        <v>0407</v>
      </c>
      <c r="N84" s="4" t="str">
        <f>IF(VLOOKUP($B84,'[3]חשבונות חברה 40'!$A:$J,10,0)=0,"",VLOOKUP($B84,'[3]חשבונות חברה 40'!$A:$J,10,0))</f>
        <v/>
      </c>
      <c r="P84" s="218">
        <f t="shared" si="6"/>
        <v>819.36</v>
      </c>
      <c r="Q84" s="122">
        <f t="shared" si="4"/>
        <v>4.6787857358706244E-3</v>
      </c>
      <c r="R84" s="1">
        <f ca="1">'הנחות עבודה לררל ומדרג'!$F$7*Q84</f>
        <v>1292482.110409423</v>
      </c>
      <c r="S84" s="79">
        <f t="shared" ca="1" si="5"/>
        <v>31523.953912424953</v>
      </c>
      <c r="T84" s="79">
        <f ca="1">'ררל ומדרג'!$AH$1</f>
        <v>48975.779132102936</v>
      </c>
      <c r="U84" s="79">
        <f t="shared" ca="1" si="7"/>
        <v>80499.733044527893</v>
      </c>
    </row>
    <row r="85" spans="1:21">
      <c r="A85">
        <v>85</v>
      </c>
      <c r="B85">
        <v>8904082</v>
      </c>
      <c r="C85" t="s">
        <v>3465</v>
      </c>
      <c r="D85">
        <v>622022</v>
      </c>
      <c r="E85" t="s">
        <v>3939</v>
      </c>
      <c r="F85" t="s">
        <v>3940</v>
      </c>
      <c r="G85" s="217">
        <v>6563.15</v>
      </c>
      <c r="H85" t="s">
        <v>3941</v>
      </c>
      <c r="I85">
        <v>34.19</v>
      </c>
      <c r="J85">
        <v>658.28</v>
      </c>
      <c r="K85">
        <v>100</v>
      </c>
      <c r="L85" s="13" t="str">
        <f>VLOOKUP($B85,'[3]חשבונות חברה 40'!$A:$I,7,0)</f>
        <v>04082</v>
      </c>
      <c r="M85" s="13" t="str">
        <f>VLOOKUP($B85,'[3]חשבונות חברה 40'!$A:$I,5,0)</f>
        <v>0408</v>
      </c>
      <c r="N85" s="4" t="str">
        <f>IF(VLOOKUP($B85,'[3]חשבונות חברה 40'!$A:$J,10,0)=0,"",VLOOKUP($B85,'[3]חשבונות חברה 40'!$A:$J,10,0))</f>
        <v/>
      </c>
      <c r="P85" s="218">
        <f t="shared" si="6"/>
        <v>674.28</v>
      </c>
      <c r="Q85" s="122">
        <f t="shared" si="4"/>
        <v>3.8503364162063613E-3</v>
      </c>
      <c r="R85" s="1">
        <f ca="1">'הנחות עבודה לררל ומדרג'!$F$7*Q85</f>
        <v>1063628.7314573152</v>
      </c>
      <c r="S85" s="79">
        <f t="shared" ca="1" si="5"/>
        <v>25942.164181885735</v>
      </c>
      <c r="T85" s="79">
        <f ca="1">'ררל ומדרג'!$AH$1</f>
        <v>48975.779132102936</v>
      </c>
      <c r="U85" s="79">
        <f t="shared" ca="1" si="7"/>
        <v>74917.943313988668</v>
      </c>
    </row>
    <row r="86" spans="1:21">
      <c r="A86">
        <v>86</v>
      </c>
      <c r="B86">
        <v>8904111</v>
      </c>
      <c r="C86" t="s">
        <v>966</v>
      </c>
      <c r="D86">
        <v>622022</v>
      </c>
      <c r="E86" t="s">
        <v>3939</v>
      </c>
      <c r="F86" t="s">
        <v>3940</v>
      </c>
      <c r="G86" s="217">
        <v>2854.25</v>
      </c>
      <c r="H86" t="s">
        <v>3941</v>
      </c>
      <c r="I86">
        <v>3.19</v>
      </c>
      <c r="J86">
        <v>286.27999999999997</v>
      </c>
      <c r="K86">
        <v>100</v>
      </c>
      <c r="L86" s="13" t="str">
        <f>VLOOKUP($B86,'[3]חשבונות חברה 40'!$A:$I,7,0)</f>
        <v>04111</v>
      </c>
      <c r="M86" s="13" t="str">
        <f>VLOOKUP($B86,'[3]חשבונות חברה 40'!$A:$I,5,0)</f>
        <v>0411</v>
      </c>
      <c r="N86" s="4" t="str">
        <f>IF(VLOOKUP($B86,'[3]חשבונות חברה 40'!$A:$J,10,0)=0,"",VLOOKUP($B86,'[3]חשבונות חברה 40'!$A:$J,10,0))</f>
        <v/>
      </c>
      <c r="P86" s="218">
        <f t="shared" si="6"/>
        <v>302.27999999999997</v>
      </c>
      <c r="Q86" s="122">
        <f t="shared" si="4"/>
        <v>1.7261073914262011E-3</v>
      </c>
      <c r="R86" s="1">
        <f ca="1">'הנחות עבודה לררל ומדרג'!$F$7*Q86</f>
        <v>476825.19568267959</v>
      </c>
      <c r="S86" s="79">
        <f t="shared" ca="1" si="5"/>
        <v>11629.88282152877</v>
      </c>
      <c r="T86" s="79">
        <f ca="1">'ררל ומדרג'!$AH$1</f>
        <v>48975.779132102936</v>
      </c>
      <c r="U86" s="79">
        <f t="shared" ca="1" si="7"/>
        <v>60605.661953631708</v>
      </c>
    </row>
    <row r="87" spans="1:21">
      <c r="A87">
        <v>87</v>
      </c>
      <c r="B87">
        <v>8904112</v>
      </c>
      <c r="C87" t="s">
        <v>972</v>
      </c>
      <c r="D87">
        <v>622022</v>
      </c>
      <c r="E87" t="s">
        <v>3939</v>
      </c>
      <c r="F87" t="s">
        <v>3940</v>
      </c>
      <c r="G87" s="217">
        <v>2854.25</v>
      </c>
      <c r="H87" t="s">
        <v>3941</v>
      </c>
      <c r="I87">
        <v>3.19</v>
      </c>
      <c r="J87">
        <v>286.27999999999997</v>
      </c>
      <c r="K87">
        <v>100</v>
      </c>
      <c r="L87" s="13" t="str">
        <f>VLOOKUP($B87,'[3]חשבונות חברה 40'!$A:$I,7,0)</f>
        <v>04112</v>
      </c>
      <c r="M87" s="13" t="str">
        <f>VLOOKUP($B87,'[3]חשבונות חברה 40'!$A:$I,5,0)</f>
        <v>0411</v>
      </c>
      <c r="N87" s="4" t="str">
        <f>IF(VLOOKUP($B87,'[3]חשבונות חברה 40'!$A:$J,10,0)=0,"",VLOOKUP($B87,'[3]חשבונות חברה 40'!$A:$J,10,0))</f>
        <v/>
      </c>
      <c r="P87" s="218">
        <f t="shared" si="6"/>
        <v>302.27999999999997</v>
      </c>
      <c r="Q87" s="122">
        <f t="shared" si="4"/>
        <v>1.7261073914262011E-3</v>
      </c>
      <c r="R87" s="1">
        <f ca="1">'הנחות עבודה לררל ומדרג'!$F$7*Q87</f>
        <v>476825.19568267959</v>
      </c>
      <c r="S87" s="79">
        <f t="shared" ca="1" si="5"/>
        <v>11629.88282152877</v>
      </c>
      <c r="T87" s="79">
        <f ca="1">'ררל ומדרג'!$AH$1</f>
        <v>48975.779132102936</v>
      </c>
      <c r="U87" s="79">
        <f t="shared" ca="1" si="7"/>
        <v>60605.661953631708</v>
      </c>
    </row>
    <row r="88" spans="1:21">
      <c r="A88">
        <v>88</v>
      </c>
      <c r="B88">
        <v>8904131</v>
      </c>
      <c r="C88" t="s">
        <v>3467</v>
      </c>
      <c r="D88">
        <v>622022</v>
      </c>
      <c r="E88" t="s">
        <v>3939</v>
      </c>
      <c r="F88" t="s">
        <v>3940</v>
      </c>
      <c r="G88" s="217">
        <v>6882.59</v>
      </c>
      <c r="H88" t="s">
        <v>3941</v>
      </c>
      <c r="I88">
        <v>36.86</v>
      </c>
      <c r="J88">
        <v>690.32</v>
      </c>
      <c r="K88">
        <v>100</v>
      </c>
      <c r="L88" s="13" t="str">
        <f>VLOOKUP($B88,'[3]חשבונות חברה 40'!$A:$I,7,0)</f>
        <v>04131</v>
      </c>
      <c r="M88" s="13" t="str">
        <f>VLOOKUP($B88,'[3]חשבונות חברה 40'!$A:$I,5,0)</f>
        <v>0413</v>
      </c>
      <c r="N88" s="4" t="str">
        <f>IF(VLOOKUP($B88,'[3]חשבונות חברה 40'!$A:$J,10,0)=0,"",VLOOKUP($B88,'[3]חשבונות חברה 40'!$A:$J,10,0))</f>
        <v/>
      </c>
      <c r="P88" s="218">
        <f t="shared" si="6"/>
        <v>706.32</v>
      </c>
      <c r="Q88" s="122">
        <f t="shared" si="4"/>
        <v>4.0332942064051688E-3</v>
      </c>
      <c r="R88" s="1">
        <f ca="1">'הנחות עבודה לררל ומדרג'!$F$7*Q88</f>
        <v>1114169.552119195</v>
      </c>
      <c r="S88" s="79">
        <f t="shared" ca="1" si="5"/>
        <v>27174.867124858414</v>
      </c>
      <c r="T88" s="79">
        <f ca="1">'ררל ומדרג'!$AH$1</f>
        <v>48975.779132102936</v>
      </c>
      <c r="U88" s="79">
        <f t="shared" ca="1" si="7"/>
        <v>76150.64625696135</v>
      </c>
    </row>
    <row r="89" spans="1:21">
      <c r="A89">
        <v>89</v>
      </c>
      <c r="B89">
        <v>8905022</v>
      </c>
      <c r="C89" t="s">
        <v>3478</v>
      </c>
      <c r="D89">
        <v>622022</v>
      </c>
      <c r="E89" t="s">
        <v>3939</v>
      </c>
      <c r="F89" t="s">
        <v>3940</v>
      </c>
      <c r="G89" s="217">
        <v>4538.8100000000004</v>
      </c>
      <c r="H89" t="s">
        <v>3941</v>
      </c>
      <c r="I89">
        <v>17.27</v>
      </c>
      <c r="J89">
        <v>455.24</v>
      </c>
      <c r="K89">
        <v>100</v>
      </c>
      <c r="L89" s="13" t="str">
        <f>VLOOKUP($B89,'[3]חשבונות חברה 40'!$A:$I,7,0)</f>
        <v>05022</v>
      </c>
      <c r="M89" s="13" t="str">
        <f>VLOOKUP($B89,'[3]חשבונות חברה 40'!$A:$I,5,0)</f>
        <v>0502</v>
      </c>
      <c r="N89" s="4" t="str">
        <f>IF(VLOOKUP($B89,'[3]חשבונות חברה 40'!$A:$J,10,0)=0,"",VLOOKUP($B89,'[3]חשבונות חברה 40'!$A:$J,10,0))</f>
        <v/>
      </c>
      <c r="P89" s="218">
        <f t="shared" si="6"/>
        <v>471.24</v>
      </c>
      <c r="Q89" s="122">
        <f t="shared" si="4"/>
        <v>2.6909185097779642E-3</v>
      </c>
      <c r="R89" s="1">
        <f ca="1">'הנחות עבודה לררל ומדרג'!$F$7*Q89</f>
        <v>743347.575802256</v>
      </c>
      <c r="S89" s="79">
        <f t="shared" ca="1" si="5"/>
        <v>18130.428678103806</v>
      </c>
      <c r="T89" s="79">
        <f ca="1">'ררל ומדרג'!$AH$1</f>
        <v>48975.779132102936</v>
      </c>
      <c r="U89" s="79">
        <f t="shared" ca="1" si="7"/>
        <v>67106.207810206746</v>
      </c>
    </row>
    <row r="90" spans="1:21">
      <c r="A90">
        <v>90</v>
      </c>
      <c r="B90">
        <v>8905041</v>
      </c>
      <c r="C90" t="s">
        <v>3479</v>
      </c>
      <c r="D90">
        <v>622022</v>
      </c>
      <c r="E90" t="s">
        <v>3939</v>
      </c>
      <c r="F90" t="s">
        <v>3940</v>
      </c>
      <c r="G90" s="217">
        <v>8089.77</v>
      </c>
      <c r="H90" t="s">
        <v>3941</v>
      </c>
      <c r="I90">
        <v>46.95</v>
      </c>
      <c r="J90">
        <v>811.4</v>
      </c>
      <c r="K90">
        <v>100</v>
      </c>
      <c r="L90" s="13" t="str">
        <f>VLOOKUP($B90,'[3]חשבונות חברה 40'!$A:$I,7,0)</f>
        <v>05041</v>
      </c>
      <c r="M90" s="13" t="str">
        <f>VLOOKUP($B90,'[3]חשבונות חברה 40'!$A:$I,5,0)</f>
        <v>0504</v>
      </c>
      <c r="N90" s="4" t="str">
        <f>IF(VLOOKUP($B90,'[3]חשבונות חברה 40'!$A:$J,10,0)=0,"",VLOOKUP($B90,'[3]חשבונות חברה 40'!$A:$J,10,0))</f>
        <v/>
      </c>
      <c r="P90" s="218">
        <f t="shared" si="6"/>
        <v>824</v>
      </c>
      <c r="Q90" s="122">
        <f t="shared" si="4"/>
        <v>4.7052814957496024E-3</v>
      </c>
      <c r="R90" s="1">
        <f ca="1">'הנחות עבודה לררל ומדרג'!$F$7*Q90</f>
        <v>1299801.3803180098</v>
      </c>
      <c r="S90" s="79">
        <f t="shared" ca="1" si="5"/>
        <v>31702.472690683164</v>
      </c>
      <c r="T90" s="79">
        <f ca="1">'ררל ומדרג'!$AH$1</f>
        <v>48975.779132102936</v>
      </c>
      <c r="U90" s="79">
        <f t="shared" ca="1" si="7"/>
        <v>80678.2518227861</v>
      </c>
    </row>
    <row r="91" spans="1:21">
      <c r="A91">
        <v>91</v>
      </c>
      <c r="B91">
        <v>8905042</v>
      </c>
      <c r="C91" t="s">
        <v>3480</v>
      </c>
      <c r="D91">
        <v>622022</v>
      </c>
      <c r="E91" t="s">
        <v>3939</v>
      </c>
      <c r="F91" t="s">
        <v>3940</v>
      </c>
      <c r="G91" s="217">
        <v>6803.63</v>
      </c>
      <c r="H91" t="s">
        <v>3941</v>
      </c>
      <c r="I91">
        <v>36.200000000000003</v>
      </c>
      <c r="J91">
        <v>682.4</v>
      </c>
      <c r="K91">
        <v>100</v>
      </c>
      <c r="L91" s="13" t="str">
        <f>VLOOKUP($B91,'[3]חשבונות חברה 40'!$A:$I,7,0)</f>
        <v>05042</v>
      </c>
      <c r="M91" s="13" t="str">
        <f>VLOOKUP($B91,'[3]חשבונות חברה 40'!$A:$I,5,0)</f>
        <v>0504</v>
      </c>
      <c r="N91" s="4" t="str">
        <f>IF(VLOOKUP($B91,'[3]חשבונות חברה 40'!$A:$J,10,0)=0,"",VLOOKUP($B91,'[3]חשבונות חברה 40'!$A:$J,10,0))</f>
        <v/>
      </c>
      <c r="P91" s="218">
        <f t="shared" si="6"/>
        <v>698.4</v>
      </c>
      <c r="Q91" s="122">
        <f t="shared" si="4"/>
        <v>3.9880686852324298E-3</v>
      </c>
      <c r="R91" s="1">
        <f ca="1">'הנחות עבודה לררל ומדרג'!$F$7*Q91</f>
        <v>1101676.3155510898</v>
      </c>
      <c r="S91" s="79">
        <f t="shared" ca="1" si="5"/>
        <v>26870.15403783146</v>
      </c>
      <c r="T91" s="79">
        <f ca="1">'ררל ומדרג'!$AH$1</f>
        <v>48975.779132102936</v>
      </c>
      <c r="U91" s="79">
        <f t="shared" ca="1" si="7"/>
        <v>75845.933169934404</v>
      </c>
    </row>
    <row r="92" spans="1:21">
      <c r="A92">
        <v>92</v>
      </c>
      <c r="B92">
        <v>8905052</v>
      </c>
      <c r="C92" t="s">
        <v>3481</v>
      </c>
      <c r="D92">
        <v>622022</v>
      </c>
      <c r="E92" t="s">
        <v>3939</v>
      </c>
      <c r="F92" t="s">
        <v>3940</v>
      </c>
      <c r="G92" s="217">
        <v>8215.4</v>
      </c>
      <c r="H92" t="s">
        <v>3941</v>
      </c>
      <c r="I92">
        <v>48</v>
      </c>
      <c r="J92">
        <v>824</v>
      </c>
      <c r="K92">
        <v>100</v>
      </c>
      <c r="L92" s="13" t="str">
        <f>VLOOKUP($B92,'[3]חשבונות חברה 40'!$A:$I,7,0)</f>
        <v>05052</v>
      </c>
      <c r="M92" s="13" t="str">
        <f>VLOOKUP($B92,'[3]חשבונות חברה 40'!$A:$I,5,0)</f>
        <v>0505</v>
      </c>
      <c r="N92" s="4" t="str">
        <f>IF(VLOOKUP($B92,'[3]חשבונות חברה 40'!$A:$J,10,0)=0,"",VLOOKUP($B92,'[3]חשבונות חברה 40'!$A:$J,10,0))</f>
        <v/>
      </c>
      <c r="P92" s="218">
        <f t="shared" si="6"/>
        <v>824</v>
      </c>
      <c r="Q92" s="122">
        <f t="shared" si="4"/>
        <v>4.7052814957496024E-3</v>
      </c>
      <c r="R92" s="1">
        <f ca="1">'הנחות עבודה לררל ומדרג'!$F$7*Q92</f>
        <v>1299801.3803180098</v>
      </c>
      <c r="S92" s="79">
        <f t="shared" ca="1" si="5"/>
        <v>31702.472690683164</v>
      </c>
      <c r="T92" s="79">
        <f ca="1">'ררל ומדרג'!$AH$1</f>
        <v>48975.779132102936</v>
      </c>
      <c r="U92" s="79">
        <f t="shared" ca="1" si="7"/>
        <v>80678.2518227861</v>
      </c>
    </row>
    <row r="93" spans="1:21">
      <c r="A93">
        <v>93</v>
      </c>
      <c r="B93">
        <v>8905061</v>
      </c>
      <c r="C93" t="s">
        <v>3483</v>
      </c>
      <c r="D93">
        <v>622022</v>
      </c>
      <c r="E93" t="s">
        <v>3939</v>
      </c>
      <c r="F93" t="s">
        <v>3940</v>
      </c>
      <c r="G93" s="217">
        <v>8215.4</v>
      </c>
      <c r="H93" t="s">
        <v>3941</v>
      </c>
      <c r="I93">
        <v>48</v>
      </c>
      <c r="J93">
        <v>824</v>
      </c>
      <c r="K93">
        <v>100</v>
      </c>
      <c r="L93" s="13" t="str">
        <f>VLOOKUP($B93,'[3]חשבונות חברה 40'!$A:$I,7,0)</f>
        <v>05061</v>
      </c>
      <c r="M93" s="13" t="str">
        <f>VLOOKUP($B93,'[3]חשבונות חברה 40'!$A:$I,5,0)</f>
        <v>0506</v>
      </c>
      <c r="N93" s="4" t="str">
        <f>IF(VLOOKUP($B93,'[3]חשבונות חברה 40'!$A:$J,10,0)=0,"",VLOOKUP($B93,'[3]חשבונות חברה 40'!$A:$J,10,0))</f>
        <v/>
      </c>
      <c r="P93" s="218">
        <f t="shared" si="6"/>
        <v>824</v>
      </c>
      <c r="Q93" s="122">
        <f t="shared" si="4"/>
        <v>4.7052814957496024E-3</v>
      </c>
      <c r="R93" s="1">
        <f ca="1">'הנחות עבודה לררל ומדרג'!$F$7*Q93</f>
        <v>1299801.3803180098</v>
      </c>
      <c r="S93" s="79">
        <f t="shared" ca="1" si="5"/>
        <v>31702.472690683164</v>
      </c>
      <c r="T93" s="79">
        <f ca="1">'ררל ומדרג'!$AH$1</f>
        <v>48975.779132102936</v>
      </c>
      <c r="U93" s="79">
        <f t="shared" ca="1" si="7"/>
        <v>80678.2518227861</v>
      </c>
    </row>
    <row r="94" spans="1:21">
      <c r="A94">
        <v>94</v>
      </c>
      <c r="B94">
        <v>8905062</v>
      </c>
      <c r="C94" t="s">
        <v>3484</v>
      </c>
      <c r="D94">
        <v>622022</v>
      </c>
      <c r="E94" t="s">
        <v>3939</v>
      </c>
      <c r="F94" t="s">
        <v>3940</v>
      </c>
      <c r="G94" s="217">
        <v>7755.97</v>
      </c>
      <c r="H94" t="s">
        <v>3941</v>
      </c>
      <c r="I94">
        <v>44.16</v>
      </c>
      <c r="J94">
        <v>777.92</v>
      </c>
      <c r="K94">
        <v>100</v>
      </c>
      <c r="L94" s="13" t="str">
        <f>VLOOKUP($B94,'[3]חשבונות חברה 40'!$A:$I,7,0)</f>
        <v>05062</v>
      </c>
      <c r="M94" s="13" t="str">
        <f>VLOOKUP($B94,'[3]חשבונות חברה 40'!$A:$I,5,0)</f>
        <v>0506</v>
      </c>
      <c r="N94" s="4" t="str">
        <f>IF(VLOOKUP($B94,'[3]חשבונות חברה 40'!$A:$J,10,0)=0,"",VLOOKUP($B94,'[3]חשבונות חברה 40'!$A:$J,10,0))</f>
        <v/>
      </c>
      <c r="P94" s="218">
        <f t="shared" si="6"/>
        <v>793.92</v>
      </c>
      <c r="Q94" s="122">
        <f t="shared" si="4"/>
        <v>4.5335158799824325E-3</v>
      </c>
      <c r="R94" s="1">
        <f ca="1">'הנחות עבודה לררל ומדרג'!$F$7*Q94</f>
        <v>1252352.320220964</v>
      </c>
      <c r="S94" s="79">
        <f t="shared" ca="1" si="5"/>
        <v>30545.178541974732</v>
      </c>
      <c r="T94" s="79">
        <f ca="1">'ררל ומדרג'!$AH$1</f>
        <v>48975.779132102936</v>
      </c>
      <c r="U94" s="79">
        <f t="shared" ca="1" si="7"/>
        <v>79520.957674077668</v>
      </c>
    </row>
    <row r="95" spans="1:21">
      <c r="A95">
        <v>95</v>
      </c>
      <c r="B95">
        <v>8905071</v>
      </c>
      <c r="C95" t="s">
        <v>3485</v>
      </c>
      <c r="D95">
        <v>622022</v>
      </c>
      <c r="E95" t="s">
        <v>3939</v>
      </c>
      <c r="F95" t="s">
        <v>3940</v>
      </c>
      <c r="G95" s="217">
        <v>7194.85</v>
      </c>
      <c r="H95" t="s">
        <v>3941</v>
      </c>
      <c r="I95">
        <v>39.47</v>
      </c>
      <c r="J95">
        <v>721.64</v>
      </c>
      <c r="K95">
        <v>100</v>
      </c>
      <c r="L95" s="13" t="str">
        <f>VLOOKUP($B95,'[3]חשבונות חברה 40'!$A:$I,7,0)</f>
        <v>05071</v>
      </c>
      <c r="M95" s="13" t="str">
        <f>VLOOKUP($B95,'[3]חשבונות חברה 40'!$A:$I,5,0)</f>
        <v>0507</v>
      </c>
      <c r="N95" s="4" t="str">
        <f>IF(VLOOKUP($B95,'[3]חשבונות חברה 40'!$A:$J,10,0)=0,"",VLOOKUP($B95,'[3]חשבונות חברה 40'!$A:$J,10,0))</f>
        <v/>
      </c>
      <c r="P95" s="218">
        <f t="shared" si="6"/>
        <v>737.64</v>
      </c>
      <c r="Q95" s="122">
        <f t="shared" si="4"/>
        <v>4.2121405855882728E-3</v>
      </c>
      <c r="R95" s="1">
        <f ca="1">'הנחות עבודה לררל ומדרג'!$F$7*Q95</f>
        <v>1163574.6240021563</v>
      </c>
      <c r="S95" s="79">
        <f t="shared" ca="1" si="5"/>
        <v>28379.868878101373</v>
      </c>
      <c r="T95" s="79">
        <f ca="1">'ררל ומדרג'!$AH$1</f>
        <v>48975.779132102936</v>
      </c>
      <c r="U95" s="79">
        <f t="shared" ca="1" si="7"/>
        <v>77355.648010204313</v>
      </c>
    </row>
    <row r="96" spans="1:21">
      <c r="A96">
        <v>96</v>
      </c>
      <c r="B96">
        <v>8905072</v>
      </c>
      <c r="C96" t="s">
        <v>3486</v>
      </c>
      <c r="D96">
        <v>622022</v>
      </c>
      <c r="E96" t="s">
        <v>3939</v>
      </c>
      <c r="F96" t="s">
        <v>3940</v>
      </c>
      <c r="G96" s="217">
        <v>7537.03</v>
      </c>
      <c r="H96" t="s">
        <v>3941</v>
      </c>
      <c r="I96">
        <v>42.33</v>
      </c>
      <c r="J96">
        <v>755.96</v>
      </c>
      <c r="K96">
        <v>100</v>
      </c>
      <c r="L96" s="13" t="str">
        <f>VLOOKUP($B96,'[3]חשבונות חברה 40'!$A:$I,7,0)</f>
        <v>05072</v>
      </c>
      <c r="M96" s="13" t="str">
        <f>VLOOKUP($B96,'[3]חשבונות חברה 40'!$A:$I,5,0)</f>
        <v>0507</v>
      </c>
      <c r="N96" s="4" t="str">
        <f>IF(VLOOKUP($B96,'[3]חשבונות חברה 40'!$A:$J,10,0)=0,"",VLOOKUP($B96,'[3]חשבונות חברה 40'!$A:$J,10,0))</f>
        <v/>
      </c>
      <c r="P96" s="218">
        <f t="shared" si="6"/>
        <v>771.96</v>
      </c>
      <c r="Q96" s="122">
        <f t="shared" si="4"/>
        <v>4.4081178440034752E-3</v>
      </c>
      <c r="R96" s="1">
        <f ca="1">'הנחות עבודה לררל ומדרג'!$F$7*Q96</f>
        <v>1217711.9824639454</v>
      </c>
      <c r="S96" s="79">
        <f t="shared" ca="1" si="5"/>
        <v>29700.292255218181</v>
      </c>
      <c r="T96" s="79">
        <f ca="1">'ררל ומדרג'!$AH$1</f>
        <v>48975.779132102936</v>
      </c>
      <c r="U96" s="79">
        <f t="shared" ca="1" si="7"/>
        <v>78676.071387321121</v>
      </c>
    </row>
    <row r="97" spans="1:21">
      <c r="A97">
        <v>97</v>
      </c>
      <c r="B97">
        <v>8905101</v>
      </c>
      <c r="C97" t="s">
        <v>3487</v>
      </c>
      <c r="D97">
        <v>622022</v>
      </c>
      <c r="E97" t="s">
        <v>3939</v>
      </c>
      <c r="F97" t="s">
        <v>3940</v>
      </c>
      <c r="G97" s="217">
        <v>4604.6099999999997</v>
      </c>
      <c r="H97" t="s">
        <v>3941</v>
      </c>
      <c r="I97">
        <v>17.82</v>
      </c>
      <c r="J97">
        <v>461.84</v>
      </c>
      <c r="K97">
        <v>100</v>
      </c>
      <c r="L97" s="13" t="str">
        <f>VLOOKUP($B97,'[3]חשבונות חברה 40'!$A:$I,7,0)</f>
        <v>05101</v>
      </c>
      <c r="M97" s="13" t="str">
        <f>VLOOKUP($B97,'[3]חשבונות חברה 40'!$A:$I,5,0)</f>
        <v>0510</v>
      </c>
      <c r="N97" s="4" t="str">
        <f>IF(VLOOKUP($B97,'[3]חשבונות חברה 40'!$A:$J,10,0)=0,"",VLOOKUP($B97,'[3]חשבונות חברה 40'!$A:$J,10,0))</f>
        <v/>
      </c>
      <c r="P97" s="218">
        <f t="shared" si="6"/>
        <v>477.84</v>
      </c>
      <c r="Q97" s="122">
        <f t="shared" si="4"/>
        <v>2.7286064440885799E-3</v>
      </c>
      <c r="R97" s="1">
        <f ca="1">'הנחות עבודה לררל ומדרג'!$F$7*Q97</f>
        <v>753758.60627567687</v>
      </c>
      <c r="S97" s="79">
        <f t="shared" ca="1" si="5"/>
        <v>18384.356250626264</v>
      </c>
      <c r="T97" s="79">
        <f ca="1">'ררל ומדרג'!$AH$1</f>
        <v>48975.779132102936</v>
      </c>
      <c r="U97" s="79">
        <f t="shared" ca="1" si="7"/>
        <v>67360.135382729204</v>
      </c>
    </row>
    <row r="98" spans="1:21">
      <c r="A98">
        <v>98</v>
      </c>
      <c r="B98">
        <v>8905102</v>
      </c>
      <c r="C98" t="s">
        <v>3488</v>
      </c>
      <c r="D98">
        <v>622022</v>
      </c>
      <c r="E98" t="s">
        <v>3939</v>
      </c>
      <c r="F98" t="s">
        <v>3940</v>
      </c>
      <c r="G98" s="217">
        <v>4604.6099999999997</v>
      </c>
      <c r="H98" t="s">
        <v>3941</v>
      </c>
      <c r="I98">
        <v>17.82</v>
      </c>
      <c r="J98">
        <v>461.84</v>
      </c>
      <c r="K98">
        <v>100</v>
      </c>
      <c r="L98" s="13" t="str">
        <f>VLOOKUP($B98,'[3]חשבונות חברה 40'!$A:$I,7,0)</f>
        <v>05102</v>
      </c>
      <c r="M98" s="13" t="str">
        <f>VLOOKUP($B98,'[3]חשבונות חברה 40'!$A:$I,5,0)</f>
        <v>0510</v>
      </c>
      <c r="N98" s="4" t="str">
        <f>IF(VLOOKUP($B98,'[3]חשבונות חברה 40'!$A:$J,10,0)=0,"",VLOOKUP($B98,'[3]חשבונות חברה 40'!$A:$J,10,0))</f>
        <v/>
      </c>
      <c r="P98" s="218">
        <f t="shared" si="6"/>
        <v>477.84</v>
      </c>
      <c r="Q98" s="122">
        <f t="shared" si="4"/>
        <v>2.7286064440885799E-3</v>
      </c>
      <c r="R98" s="1">
        <f ca="1">'הנחות עבודה לררל ומדרג'!$F$7*Q98</f>
        <v>753758.60627567687</v>
      </c>
      <c r="S98" s="79">
        <f t="shared" ca="1" si="5"/>
        <v>18384.356250626264</v>
      </c>
      <c r="T98" s="79">
        <f ca="1">'ררל ומדרג'!$AH$1</f>
        <v>48975.779132102936</v>
      </c>
      <c r="U98" s="79">
        <f t="shared" ca="1" si="7"/>
        <v>67360.135382729204</v>
      </c>
    </row>
    <row r="99" spans="1:21">
      <c r="A99">
        <v>99</v>
      </c>
      <c r="B99">
        <v>8905111</v>
      </c>
      <c r="C99" t="s">
        <v>3489</v>
      </c>
      <c r="D99">
        <v>622022</v>
      </c>
      <c r="E99" t="s">
        <v>3939</v>
      </c>
      <c r="F99" t="s">
        <v>3940</v>
      </c>
      <c r="G99" s="217">
        <v>4840.3</v>
      </c>
      <c r="H99" t="s">
        <v>3941</v>
      </c>
      <c r="I99">
        <v>19.79</v>
      </c>
      <c r="J99">
        <v>485.48</v>
      </c>
      <c r="K99">
        <v>100</v>
      </c>
      <c r="L99" s="13" t="str">
        <f>VLOOKUP($B99,'[3]חשבונות חברה 40'!$A:$I,7,0)</f>
        <v>05111</v>
      </c>
      <c r="M99" s="13" t="str">
        <f>VLOOKUP($B99,'[3]חשבונות חברה 40'!$A:$I,5,0)</f>
        <v>0511</v>
      </c>
      <c r="N99" s="4" t="str">
        <f>IF(VLOOKUP($B99,'[3]חשבונות חברה 40'!$A:$J,10,0)=0,"",VLOOKUP($B99,'[3]חשבונות חברה 40'!$A:$J,10,0))</f>
        <v/>
      </c>
      <c r="P99" s="218">
        <f t="shared" si="6"/>
        <v>501.48</v>
      </c>
      <c r="Q99" s="122">
        <f t="shared" si="4"/>
        <v>2.8635977724375131E-3</v>
      </c>
      <c r="R99" s="1">
        <f ca="1">'הנחות עבודה לררל ומדרג'!$F$7*Q99</f>
        <v>791049.02451683942</v>
      </c>
      <c r="S99" s="79">
        <f t="shared" ca="1" si="5"/>
        <v>19293.878646752182</v>
      </c>
      <c r="T99" s="79">
        <f ca="1">'ררל ומדרג'!$AH$1</f>
        <v>48975.779132102936</v>
      </c>
      <c r="U99" s="79">
        <f t="shared" ca="1" si="7"/>
        <v>68269.657778855122</v>
      </c>
    </row>
    <row r="100" spans="1:21">
      <c r="A100">
        <v>100</v>
      </c>
      <c r="B100">
        <v>8905112</v>
      </c>
      <c r="C100" t="s">
        <v>3490</v>
      </c>
      <c r="D100">
        <v>622022</v>
      </c>
      <c r="E100" t="s">
        <v>3939</v>
      </c>
      <c r="F100" t="s">
        <v>3940</v>
      </c>
      <c r="G100" s="217">
        <v>4027.94</v>
      </c>
      <c r="H100" t="s">
        <v>3941</v>
      </c>
      <c r="I100">
        <v>13</v>
      </c>
      <c r="J100">
        <v>404</v>
      </c>
      <c r="K100">
        <v>100</v>
      </c>
      <c r="L100" s="13" t="str">
        <f>VLOOKUP($B100,'[3]חשבונות חברה 40'!$A:$I,7,0)</f>
        <v>05112</v>
      </c>
      <c r="M100" s="13" t="str">
        <f>VLOOKUP($B100,'[3]חשבונות חברה 40'!$A:$I,5,0)</f>
        <v>0511</v>
      </c>
      <c r="N100" s="4" t="str">
        <f>IF(VLOOKUP($B100,'[3]חשבונות חברה 40'!$A:$J,10,0)=0,"",VLOOKUP($B100,'[3]חשבונות חברה 40'!$A:$J,10,0))</f>
        <v/>
      </c>
      <c r="P100" s="218">
        <f t="shared" si="6"/>
        <v>420</v>
      </c>
      <c r="Q100" s="122">
        <f t="shared" si="4"/>
        <v>2.3983230924937292E-3</v>
      </c>
      <c r="R100" s="1">
        <f ca="1">'הנחות עבודה לררל ומדרג'!$F$7*Q100</f>
        <v>662520.12103587878</v>
      </c>
      <c r="S100" s="79">
        <f t="shared" ca="1" si="5"/>
        <v>16159.027342338506</v>
      </c>
      <c r="T100" s="79">
        <f ca="1">'ררל ומדרג'!$AH$1</f>
        <v>48975.779132102936</v>
      </c>
      <c r="U100" s="79">
        <f t="shared" ca="1" si="7"/>
        <v>65134.806474441444</v>
      </c>
    </row>
    <row r="101" spans="1:21">
      <c r="A101">
        <v>101</v>
      </c>
      <c r="B101">
        <v>8905132</v>
      </c>
      <c r="C101" t="s">
        <v>3491</v>
      </c>
      <c r="D101">
        <v>622022</v>
      </c>
      <c r="E101" t="s">
        <v>3939</v>
      </c>
      <c r="F101" t="s">
        <v>3940</v>
      </c>
      <c r="G101" s="217">
        <v>4638.1099999999997</v>
      </c>
      <c r="H101" t="s">
        <v>3941</v>
      </c>
      <c r="I101">
        <v>18.100000000000001</v>
      </c>
      <c r="J101">
        <v>465.2</v>
      </c>
      <c r="K101">
        <v>100</v>
      </c>
      <c r="L101" s="13" t="str">
        <f>VLOOKUP($B101,'[3]חשבונות חברה 40'!$A:$I,7,0)</f>
        <v>08152</v>
      </c>
      <c r="M101" s="13" t="str">
        <f>VLOOKUP($B101,'[3]חשבונות חברה 40'!$A:$I,5,0)</f>
        <v>0815</v>
      </c>
      <c r="N101" s="4" t="str">
        <f>IF(VLOOKUP($B101,'[3]חשבונות חברה 40'!$A:$J,10,0)=0,"",VLOOKUP($B101,'[3]חשבונות חברה 40'!$A:$J,10,0))</f>
        <v/>
      </c>
      <c r="P101" s="218">
        <f t="shared" si="6"/>
        <v>481.2</v>
      </c>
      <c r="Q101" s="122">
        <f t="shared" si="4"/>
        <v>2.74779302882853E-3</v>
      </c>
      <c r="R101" s="1">
        <f ca="1">'הנחות עבודה לררל ומדרג'!$F$7*Q101</f>
        <v>759058.76724396402</v>
      </c>
      <c r="S101" s="79">
        <f t="shared" ca="1" si="5"/>
        <v>18513.628469364976</v>
      </c>
      <c r="T101" s="79">
        <f ca="1">'ררל ומדרג'!$AH$1</f>
        <v>48975.779132102936</v>
      </c>
      <c r="U101" s="79">
        <f t="shared" ca="1" si="7"/>
        <v>67489.407601467916</v>
      </c>
    </row>
    <row r="102" spans="1:21">
      <c r="A102">
        <v>102</v>
      </c>
      <c r="B102">
        <v>8905231</v>
      </c>
      <c r="C102" t="s">
        <v>3493</v>
      </c>
      <c r="D102">
        <v>622022</v>
      </c>
      <c r="E102" t="s">
        <v>3939</v>
      </c>
      <c r="F102" t="s">
        <v>3940</v>
      </c>
      <c r="G102" s="217">
        <v>3142.59</v>
      </c>
      <c r="H102" t="s">
        <v>3941</v>
      </c>
      <c r="I102">
        <v>5.6</v>
      </c>
      <c r="J102">
        <v>315.2</v>
      </c>
      <c r="K102">
        <v>100</v>
      </c>
      <c r="L102" s="13" t="str">
        <f>VLOOKUP($B102,'[3]חשבונות חברה 40'!$A:$I,7,0)</f>
        <v>05231</v>
      </c>
      <c r="M102" s="13" t="str">
        <f>VLOOKUP($B102,'[3]חשבונות חברה 40'!$A:$I,5,0)</f>
        <v>0523</v>
      </c>
      <c r="N102" s="4" t="str">
        <f>IF(VLOOKUP($B102,'[3]חשבונות חברה 40'!$A:$J,10,0)=0,"",VLOOKUP($B102,'[3]חשבונות חברה 40'!$A:$J,10,0))</f>
        <v/>
      </c>
      <c r="P102" s="218">
        <f t="shared" si="6"/>
        <v>331.2</v>
      </c>
      <c r="Q102" s="122">
        <f t="shared" si="4"/>
        <v>1.8912490672236266E-3</v>
      </c>
      <c r="R102" s="1">
        <f ca="1">'הנחות עבודה לררל ומדרג'!$F$7*Q102</f>
        <v>522444.43830257875</v>
      </c>
      <c r="S102" s="79">
        <f t="shared" ca="1" si="5"/>
        <v>12742.547275672652</v>
      </c>
      <c r="T102" s="79">
        <f ca="1">'ררל ומדרג'!$AH$1</f>
        <v>48975.779132102936</v>
      </c>
      <c r="U102" s="79">
        <f t="shared" ca="1" si="7"/>
        <v>61718.326407775588</v>
      </c>
    </row>
    <row r="103" spans="1:21">
      <c r="A103">
        <v>103</v>
      </c>
      <c r="B103">
        <v>8905232</v>
      </c>
      <c r="C103" t="s">
        <v>1121</v>
      </c>
      <c r="D103">
        <v>622022</v>
      </c>
      <c r="E103" t="s">
        <v>3939</v>
      </c>
      <c r="F103" t="s">
        <v>3940</v>
      </c>
      <c r="G103" s="217">
        <v>3142.59</v>
      </c>
      <c r="H103" t="s">
        <v>3941</v>
      </c>
      <c r="I103">
        <v>5.6</v>
      </c>
      <c r="J103">
        <v>315.2</v>
      </c>
      <c r="K103">
        <v>100</v>
      </c>
      <c r="L103" s="13" t="str">
        <f>VLOOKUP($B103,'[3]חשבונות חברה 40'!$A:$I,7,0)</f>
        <v>05232</v>
      </c>
      <c r="M103" s="13" t="str">
        <f>VLOOKUP($B103,'[3]חשבונות חברה 40'!$A:$I,5,0)</f>
        <v>0523</v>
      </c>
      <c r="N103" s="4" t="str">
        <f>IF(VLOOKUP($B103,'[3]חשבונות חברה 40'!$A:$J,10,0)=0,"",VLOOKUP($B103,'[3]חשבונות חברה 40'!$A:$J,10,0))</f>
        <v/>
      </c>
      <c r="P103" s="218">
        <f t="shared" si="6"/>
        <v>331.2</v>
      </c>
      <c r="Q103" s="122">
        <f t="shared" si="4"/>
        <v>1.8912490672236266E-3</v>
      </c>
      <c r="R103" s="1">
        <f ca="1">'הנחות עבודה לררל ומדרג'!$F$7*Q103</f>
        <v>522444.43830257875</v>
      </c>
      <c r="S103" s="79">
        <f t="shared" ca="1" si="5"/>
        <v>12742.547275672652</v>
      </c>
      <c r="T103" s="79">
        <f ca="1">'ררל ומדרג'!$AH$1</f>
        <v>48975.779132102936</v>
      </c>
      <c r="U103" s="79">
        <f t="shared" ca="1" si="7"/>
        <v>61718.326407775588</v>
      </c>
    </row>
    <row r="104" spans="1:21">
      <c r="A104">
        <v>104</v>
      </c>
      <c r="B104">
        <v>8906032</v>
      </c>
      <c r="C104" t="s">
        <v>3500</v>
      </c>
      <c r="D104">
        <v>622022</v>
      </c>
      <c r="E104" t="s">
        <v>3939</v>
      </c>
      <c r="F104" t="s">
        <v>3940</v>
      </c>
      <c r="G104" s="217">
        <v>7639.92</v>
      </c>
      <c r="H104" t="s">
        <v>3941</v>
      </c>
      <c r="I104">
        <v>43.19</v>
      </c>
      <c r="J104">
        <v>766.28</v>
      </c>
      <c r="K104">
        <v>100</v>
      </c>
      <c r="L104" s="13" t="str">
        <f>VLOOKUP($B104,'[3]חשבונות חברה 40'!$A:$I,7,0)</f>
        <v>06032</v>
      </c>
      <c r="M104" s="13" t="str">
        <f>VLOOKUP($B104,'[3]חשבונות חברה 40'!$A:$I,5,0)</f>
        <v>0603</v>
      </c>
      <c r="N104" s="4" t="str">
        <f>IF(VLOOKUP($B104,'[3]חשבונות חברה 40'!$A:$J,10,0)=0,"",VLOOKUP($B104,'[3]חשבונות חברה 40'!$A:$J,10,0))</f>
        <v/>
      </c>
      <c r="P104" s="218">
        <f t="shared" si="6"/>
        <v>782.28</v>
      </c>
      <c r="Q104" s="122">
        <f t="shared" si="4"/>
        <v>4.4670480685618918E-3</v>
      </c>
      <c r="R104" s="1">
        <f ca="1">'הנחות עבודה לררל ומדרג'!$F$7*Q104</f>
        <v>1233991.0482951126</v>
      </c>
      <c r="S104" s="79">
        <f t="shared" ca="1" si="5"/>
        <v>30097.34264134421</v>
      </c>
      <c r="T104" s="79">
        <f ca="1">'ררל ומדרג'!$AH$1</f>
        <v>48975.779132102936</v>
      </c>
      <c r="U104" s="79">
        <f t="shared" ca="1" si="7"/>
        <v>79073.121773447143</v>
      </c>
    </row>
    <row r="105" spans="1:21">
      <c r="A105">
        <v>105</v>
      </c>
      <c r="B105">
        <v>8906051</v>
      </c>
      <c r="C105" t="s">
        <v>3501</v>
      </c>
      <c r="D105">
        <v>622022</v>
      </c>
      <c r="E105" t="s">
        <v>3939</v>
      </c>
      <c r="F105" t="s">
        <v>3940</v>
      </c>
      <c r="G105" s="217">
        <v>8215.4</v>
      </c>
      <c r="H105" t="s">
        <v>3941</v>
      </c>
      <c r="I105">
        <v>48</v>
      </c>
      <c r="J105">
        <v>824</v>
      </c>
      <c r="K105">
        <v>100</v>
      </c>
      <c r="L105" s="13" t="str">
        <f>VLOOKUP($B105,'[3]חשבונות חברה 40'!$A:$I,7,0)</f>
        <v>06051</v>
      </c>
      <c r="M105" s="13" t="str">
        <f>VLOOKUP($B105,'[3]חשבונות חברה 40'!$A:$I,5,0)</f>
        <v>0605</v>
      </c>
      <c r="N105" s="4" t="str">
        <f>IF(VLOOKUP($B105,'[3]חשבונות חברה 40'!$A:$J,10,0)=0,"",VLOOKUP($B105,'[3]חשבונות חברה 40'!$A:$J,10,0))</f>
        <v/>
      </c>
      <c r="P105" s="218">
        <f t="shared" si="6"/>
        <v>824</v>
      </c>
      <c r="Q105" s="122">
        <f t="shared" si="4"/>
        <v>4.7052814957496024E-3</v>
      </c>
      <c r="R105" s="1">
        <f ca="1">'הנחות עבודה לררל ומדרג'!$F$7*Q105</f>
        <v>1299801.3803180098</v>
      </c>
      <c r="S105" s="79">
        <f t="shared" ca="1" si="5"/>
        <v>31702.472690683164</v>
      </c>
      <c r="T105" s="79">
        <f ca="1">'ררל ומדרג'!$AH$1</f>
        <v>48975.779132102936</v>
      </c>
      <c r="U105" s="79">
        <f t="shared" ca="1" si="7"/>
        <v>80678.2518227861</v>
      </c>
    </row>
    <row r="106" spans="1:21">
      <c r="A106">
        <v>106</v>
      </c>
      <c r="B106">
        <v>8906052</v>
      </c>
      <c r="C106" t="s">
        <v>3503</v>
      </c>
      <c r="D106">
        <v>622022</v>
      </c>
      <c r="E106" t="s">
        <v>3939</v>
      </c>
      <c r="F106" t="s">
        <v>3940</v>
      </c>
      <c r="G106" s="217">
        <v>7763.15</v>
      </c>
      <c r="H106" t="s">
        <v>3941</v>
      </c>
      <c r="I106">
        <v>44.22</v>
      </c>
      <c r="J106">
        <v>778.64</v>
      </c>
      <c r="K106">
        <v>100</v>
      </c>
      <c r="L106" s="13" t="str">
        <f>VLOOKUP($B106,'[3]חשבונות חברה 40'!$A:$I,7,0)</f>
        <v>06052</v>
      </c>
      <c r="M106" s="13" t="str">
        <f>VLOOKUP($B106,'[3]חשבונות חברה 40'!$A:$I,5,0)</f>
        <v>0605</v>
      </c>
      <c r="N106" s="4" t="str">
        <f>IF(VLOOKUP($B106,'[3]חשבונות חברה 40'!$A:$J,10,0)=0,"",VLOOKUP($B106,'[3]חשבונות חברה 40'!$A:$J,10,0))</f>
        <v/>
      </c>
      <c r="P106" s="218">
        <f t="shared" si="6"/>
        <v>794.64</v>
      </c>
      <c r="Q106" s="122">
        <f t="shared" si="4"/>
        <v>4.537627290998136E-3</v>
      </c>
      <c r="R106" s="1">
        <f ca="1">'הנחות עבודה לררל ומדרג'!$F$7*Q106</f>
        <v>1253488.0689998828</v>
      </c>
      <c r="S106" s="79">
        <f t="shared" ca="1" si="5"/>
        <v>30572.879731704459</v>
      </c>
      <c r="T106" s="79">
        <f ca="1">'ררל ומדרג'!$AH$1</f>
        <v>48975.779132102936</v>
      </c>
      <c r="U106" s="79">
        <f t="shared" ca="1" si="7"/>
        <v>79548.658863807388</v>
      </c>
    </row>
    <row r="107" spans="1:21">
      <c r="A107">
        <v>107</v>
      </c>
      <c r="B107">
        <v>8906061</v>
      </c>
      <c r="C107" t="s">
        <v>3504</v>
      </c>
      <c r="D107">
        <v>622022</v>
      </c>
      <c r="E107" t="s">
        <v>3939</v>
      </c>
      <c r="F107" t="s">
        <v>3940</v>
      </c>
      <c r="G107" s="217">
        <v>8215.4</v>
      </c>
      <c r="H107" t="s">
        <v>3941</v>
      </c>
      <c r="I107">
        <v>48</v>
      </c>
      <c r="J107">
        <v>824</v>
      </c>
      <c r="K107">
        <v>100</v>
      </c>
      <c r="L107" s="13" t="str">
        <f>VLOOKUP($B107,'[3]חשבונות חברה 40'!$A:$I,7,0)</f>
        <v>06061</v>
      </c>
      <c r="M107" s="13" t="str">
        <f>VLOOKUP($B107,'[3]חשבונות חברה 40'!$A:$I,5,0)</f>
        <v>0606</v>
      </c>
      <c r="N107" s="4" t="str">
        <f>IF(VLOOKUP($B107,'[3]חשבונות חברה 40'!$A:$J,10,0)=0,"",VLOOKUP($B107,'[3]חשבונות חברה 40'!$A:$J,10,0))</f>
        <v/>
      </c>
      <c r="P107" s="218">
        <f t="shared" si="6"/>
        <v>824</v>
      </c>
      <c r="Q107" s="122">
        <f t="shared" si="4"/>
        <v>4.7052814957496024E-3</v>
      </c>
      <c r="R107" s="1">
        <f ca="1">'הנחות עבודה לררל ומדרג'!$F$7*Q107</f>
        <v>1299801.3803180098</v>
      </c>
      <c r="S107" s="79">
        <f t="shared" ca="1" si="5"/>
        <v>31702.472690683164</v>
      </c>
      <c r="T107" s="79">
        <f ca="1">'ררל ומדרג'!$AH$1</f>
        <v>48975.779132102936</v>
      </c>
      <c r="U107" s="79">
        <f t="shared" ca="1" si="7"/>
        <v>80678.2518227861</v>
      </c>
    </row>
    <row r="108" spans="1:21">
      <c r="A108">
        <v>108</v>
      </c>
      <c r="B108">
        <v>8906081</v>
      </c>
      <c r="C108" t="s">
        <v>3505</v>
      </c>
      <c r="D108">
        <v>622022</v>
      </c>
      <c r="E108" t="s">
        <v>3939</v>
      </c>
      <c r="F108" t="s">
        <v>3940</v>
      </c>
      <c r="G108" s="217">
        <v>7350.39</v>
      </c>
      <c r="H108" t="s">
        <v>3941</v>
      </c>
      <c r="I108">
        <v>40.770000000000003</v>
      </c>
      <c r="J108">
        <v>737.24</v>
      </c>
      <c r="K108">
        <v>100</v>
      </c>
      <c r="L108" s="13" t="str">
        <f>VLOOKUP($B108,'[3]חשבונות חברה 40'!$A:$I,7,0)</f>
        <v>06081</v>
      </c>
      <c r="M108" s="13" t="str">
        <f>VLOOKUP($B108,'[3]חשבונות חברה 40'!$A:$I,5,0)</f>
        <v>0608</v>
      </c>
      <c r="N108" s="4" t="str">
        <f>IF(VLOOKUP($B108,'[3]חשבונות חברה 40'!$A:$J,10,0)=0,"",VLOOKUP($B108,'[3]חשבונות חברה 40'!$A:$J,10,0))</f>
        <v/>
      </c>
      <c r="P108" s="218">
        <f t="shared" si="6"/>
        <v>753.24</v>
      </c>
      <c r="Q108" s="122">
        <f t="shared" si="4"/>
        <v>4.3012211575951826E-3</v>
      </c>
      <c r="R108" s="1">
        <f ca="1">'הנחות עבודה לררל ומדרג'!$F$7*Q108</f>
        <v>1188182.5142120603</v>
      </c>
      <c r="S108" s="79">
        <f t="shared" ca="1" si="5"/>
        <v>28980.061322245372</v>
      </c>
      <c r="T108" s="79">
        <f ca="1">'ררל ומדרג'!$AH$1</f>
        <v>48975.779132102936</v>
      </c>
      <c r="U108" s="79">
        <f t="shared" ca="1" si="7"/>
        <v>77955.840454348305</v>
      </c>
    </row>
    <row r="109" spans="1:21">
      <c r="A109">
        <v>109</v>
      </c>
      <c r="B109">
        <v>8906082</v>
      </c>
      <c r="C109" t="s">
        <v>3506</v>
      </c>
      <c r="D109">
        <v>622022</v>
      </c>
      <c r="E109" t="s">
        <v>3939</v>
      </c>
      <c r="F109" t="s">
        <v>3940</v>
      </c>
      <c r="G109" s="217">
        <v>7989.27</v>
      </c>
      <c r="H109" t="s">
        <v>3941</v>
      </c>
      <c r="I109">
        <v>46.11</v>
      </c>
      <c r="J109">
        <v>801.32</v>
      </c>
      <c r="K109">
        <v>100</v>
      </c>
      <c r="L109" s="13" t="str">
        <f>VLOOKUP($B109,'[3]חשבונות חברה 40'!$A:$I,7,0)</f>
        <v>06082</v>
      </c>
      <c r="M109" s="13" t="str">
        <f>VLOOKUP($B109,'[3]חשבונות חברה 40'!$A:$I,5,0)</f>
        <v>0608</v>
      </c>
      <c r="N109" s="4" t="str">
        <f>IF(VLOOKUP($B109,'[3]חשבונות חברה 40'!$A:$J,10,0)=0,"",VLOOKUP($B109,'[3]חשבונות חברה 40'!$A:$J,10,0))</f>
        <v/>
      </c>
      <c r="P109" s="218">
        <f t="shared" si="6"/>
        <v>817.32</v>
      </c>
      <c r="Q109" s="122">
        <f t="shared" si="4"/>
        <v>4.6671367379927976E-3</v>
      </c>
      <c r="R109" s="1">
        <f ca="1">'הנחות עבודה לררל ומדרג'!$F$7*Q109</f>
        <v>1289264.1555358202</v>
      </c>
      <c r="S109" s="79">
        <f t="shared" ca="1" si="5"/>
        <v>31445.467208190737</v>
      </c>
      <c r="T109" s="79">
        <f ca="1">'ררל ומדרג'!$AH$1</f>
        <v>48975.779132102936</v>
      </c>
      <c r="U109" s="79">
        <f t="shared" ca="1" si="7"/>
        <v>80421.24634029367</v>
      </c>
    </row>
    <row r="110" spans="1:21">
      <c r="A110">
        <v>110</v>
      </c>
      <c r="B110">
        <v>8906131</v>
      </c>
      <c r="C110" t="s">
        <v>3507</v>
      </c>
      <c r="D110">
        <v>622022</v>
      </c>
      <c r="E110" t="s">
        <v>3939</v>
      </c>
      <c r="F110" t="s">
        <v>3940</v>
      </c>
      <c r="G110" s="217">
        <v>4169.1099999999997</v>
      </c>
      <c r="H110" t="s">
        <v>3941</v>
      </c>
      <c r="I110">
        <v>14.18</v>
      </c>
      <c r="J110">
        <v>418.16</v>
      </c>
      <c r="K110">
        <v>100</v>
      </c>
      <c r="L110" s="13" t="str">
        <f>VLOOKUP($B110,'[3]חשבונות חברה 40'!$A:$I,7,0)</f>
        <v>06131</v>
      </c>
      <c r="M110" s="13" t="str">
        <f>VLOOKUP($B110,'[3]חשבונות חברה 40'!$A:$I,5,0)</f>
        <v>0613</v>
      </c>
      <c r="N110" s="4" t="str">
        <f>IF(VLOOKUP($B110,'[3]חשבונות חברה 40'!$A:$J,10,0)=0,"",VLOOKUP($B110,'[3]חשבונות חברה 40'!$A:$J,10,0))</f>
        <v/>
      </c>
      <c r="P110" s="218">
        <f t="shared" si="6"/>
        <v>434.16</v>
      </c>
      <c r="Q110" s="122">
        <f t="shared" si="4"/>
        <v>2.4791808424692325E-3</v>
      </c>
      <c r="R110" s="1">
        <f ca="1">'הנחות עבודה לררל ומדרג'!$F$7*Q110</f>
        <v>684856.51368794567</v>
      </c>
      <c r="S110" s="79">
        <f t="shared" ca="1" si="5"/>
        <v>16703.817407023063</v>
      </c>
      <c r="T110" s="79">
        <f ca="1">'ררל ומדרג'!$AH$1</f>
        <v>48975.779132102936</v>
      </c>
      <c r="U110" s="79">
        <f t="shared" ca="1" si="7"/>
        <v>65679.596539125996</v>
      </c>
    </row>
    <row r="111" spans="1:21">
      <c r="A111">
        <v>111</v>
      </c>
      <c r="B111">
        <v>8906132</v>
      </c>
      <c r="C111" t="s">
        <v>3508</v>
      </c>
      <c r="D111">
        <v>622022</v>
      </c>
      <c r="E111" t="s">
        <v>3939</v>
      </c>
      <c r="F111" t="s">
        <v>3940</v>
      </c>
      <c r="G111" s="217">
        <v>4872.6099999999997</v>
      </c>
      <c r="H111" t="s">
        <v>3941</v>
      </c>
      <c r="I111">
        <v>20.059999999999999</v>
      </c>
      <c r="J111">
        <v>488.72</v>
      </c>
      <c r="K111">
        <v>100</v>
      </c>
      <c r="L111" s="13" t="str">
        <f>VLOOKUP($B111,'[3]חשבונות חברה 40'!$A:$I,7,0)</f>
        <v>06132</v>
      </c>
      <c r="M111" s="13" t="str">
        <f>VLOOKUP($B111,'[3]חשבונות חברה 40'!$A:$I,5,0)</f>
        <v>0613</v>
      </c>
      <c r="N111" s="4" t="str">
        <f>IF(VLOOKUP($B111,'[3]חשבונות חברה 40'!$A:$J,10,0)=0,"",VLOOKUP($B111,'[3]חשבונות חברה 40'!$A:$J,10,0))</f>
        <v/>
      </c>
      <c r="P111" s="218">
        <f t="shared" si="6"/>
        <v>504.72</v>
      </c>
      <c r="Q111" s="122">
        <f t="shared" si="4"/>
        <v>2.8820991220081791E-3</v>
      </c>
      <c r="R111" s="1">
        <f ca="1">'הנחות עבודה לררל ומדרג'!$F$7*Q111</f>
        <v>796159.89402197336</v>
      </c>
      <c r="S111" s="79">
        <f t="shared" ca="1" si="5"/>
        <v>19418.534000535936</v>
      </c>
      <c r="T111" s="79">
        <f ca="1">'ררל ומדרג'!$AH$1</f>
        <v>48975.779132102936</v>
      </c>
      <c r="U111" s="79">
        <f t="shared" ca="1" si="7"/>
        <v>68394.313132638868</v>
      </c>
    </row>
    <row r="112" spans="1:21">
      <c r="A112">
        <v>112</v>
      </c>
      <c r="B112">
        <v>8906141</v>
      </c>
      <c r="C112" t="s">
        <v>1234</v>
      </c>
      <c r="D112">
        <v>622022</v>
      </c>
      <c r="E112" t="s">
        <v>3939</v>
      </c>
      <c r="F112" t="s">
        <v>3940</v>
      </c>
      <c r="G112" s="217">
        <v>3160.54</v>
      </c>
      <c r="H112" t="s">
        <v>3941</v>
      </c>
      <c r="I112">
        <v>5.75</v>
      </c>
      <c r="J112">
        <v>317</v>
      </c>
      <c r="K112">
        <v>100</v>
      </c>
      <c r="L112" s="13" t="str">
        <f>VLOOKUP($B112,'[3]חשבונות חברה 40'!$A:$I,7,0)</f>
        <v>06141</v>
      </c>
      <c r="M112" s="13" t="str">
        <f>VLOOKUP($B112,'[3]חשבונות חברה 40'!$A:$I,5,0)</f>
        <v>0614</v>
      </c>
      <c r="N112" s="4" t="str">
        <f>IF(VLOOKUP($B112,'[3]חשבונות חברה 40'!$A:$J,10,0)=0,"",VLOOKUP($B112,'[3]חשבונות חברה 40'!$A:$J,10,0))</f>
        <v/>
      </c>
      <c r="P112" s="218">
        <f t="shared" si="6"/>
        <v>333</v>
      </c>
      <c r="Q112" s="122">
        <f t="shared" si="4"/>
        <v>1.9015275947628855E-3</v>
      </c>
      <c r="R112" s="1">
        <f ca="1">'הנחות עבודה לררל ומדרג'!$F$7*Q112</f>
        <v>525283.81024987542</v>
      </c>
      <c r="S112" s="79">
        <f t="shared" ca="1" si="5"/>
        <v>12811.800249996961</v>
      </c>
      <c r="T112" s="79">
        <f ca="1">'ררל ומדרג'!$AH$1</f>
        <v>48975.779132102936</v>
      </c>
      <c r="U112" s="79">
        <f t="shared" ca="1" si="7"/>
        <v>61787.579382099895</v>
      </c>
    </row>
    <row r="113" spans="1:21">
      <c r="A113">
        <v>113</v>
      </c>
      <c r="B113">
        <v>8906142</v>
      </c>
      <c r="C113" t="s">
        <v>1239</v>
      </c>
      <c r="D113">
        <v>622022</v>
      </c>
      <c r="E113" t="s">
        <v>3939</v>
      </c>
      <c r="F113" t="s">
        <v>3940</v>
      </c>
      <c r="G113" s="217">
        <v>3160.54</v>
      </c>
      <c r="H113" t="s">
        <v>3941</v>
      </c>
      <c r="I113">
        <v>5.75</v>
      </c>
      <c r="J113">
        <v>317</v>
      </c>
      <c r="K113">
        <v>100</v>
      </c>
      <c r="L113" s="13" t="str">
        <f>VLOOKUP($B113,'[3]חשבונות חברה 40'!$A:$I,7,0)</f>
        <v>06142</v>
      </c>
      <c r="M113" s="13" t="str">
        <f>VLOOKUP($B113,'[3]חשבונות חברה 40'!$A:$I,5,0)</f>
        <v>0614</v>
      </c>
      <c r="N113" s="4" t="str">
        <f>IF(VLOOKUP($B113,'[3]חשבונות חברה 40'!$A:$J,10,0)=0,"",VLOOKUP($B113,'[3]חשבונות חברה 40'!$A:$J,10,0))</f>
        <v/>
      </c>
      <c r="P113" s="218">
        <f t="shared" si="6"/>
        <v>333</v>
      </c>
      <c r="Q113" s="122">
        <f t="shared" si="4"/>
        <v>1.9015275947628855E-3</v>
      </c>
      <c r="R113" s="1">
        <f ca="1">'הנחות עבודה לררל ומדרג'!$F$7*Q113</f>
        <v>525283.81024987542</v>
      </c>
      <c r="S113" s="79">
        <f t="shared" ca="1" si="5"/>
        <v>12811.800249996961</v>
      </c>
      <c r="T113" s="79">
        <f ca="1">'ררל ומדרג'!$AH$1</f>
        <v>48975.779132102936</v>
      </c>
      <c r="U113" s="79">
        <f t="shared" ca="1" si="7"/>
        <v>61787.579382099895</v>
      </c>
    </row>
    <row r="114" spans="1:21">
      <c r="A114">
        <v>114</v>
      </c>
      <c r="B114">
        <v>8907011</v>
      </c>
      <c r="C114" t="s">
        <v>3509</v>
      </c>
      <c r="D114">
        <v>622022</v>
      </c>
      <c r="E114" t="s">
        <v>3939</v>
      </c>
      <c r="F114" t="s">
        <v>3940</v>
      </c>
      <c r="G114" s="217">
        <v>6104.92</v>
      </c>
      <c r="H114" t="s">
        <v>3941</v>
      </c>
      <c r="I114">
        <v>30.36</v>
      </c>
      <c r="J114">
        <v>612.32000000000005</v>
      </c>
      <c r="K114">
        <v>100</v>
      </c>
      <c r="L114" s="13" t="str">
        <f>VLOOKUP($B114,'[3]חשבונות חברה 40'!$A:$I,7,0)</f>
        <v>07011</v>
      </c>
      <c r="M114" s="13" t="str">
        <f>VLOOKUP($B114,'[3]חשבונות חברה 40'!$A:$I,5,0)</f>
        <v>0701</v>
      </c>
      <c r="N114" s="4" t="str">
        <f>IF(VLOOKUP($B114,'[3]חשבונות חברה 40'!$A:$J,10,0)=0,"",VLOOKUP($B114,'[3]חשבונות חברה 40'!$A:$J,10,0))</f>
        <v/>
      </c>
      <c r="P114" s="218">
        <f t="shared" si="6"/>
        <v>628.32000000000005</v>
      </c>
      <c r="Q114" s="122">
        <f t="shared" si="4"/>
        <v>3.5878913463706194E-3</v>
      </c>
      <c r="R114" s="1">
        <f ca="1">'הנחות עבודה לררל ומדרג'!$F$7*Q114</f>
        <v>991130.10106967483</v>
      </c>
      <c r="S114" s="79">
        <f t="shared" ca="1" si="5"/>
        <v>24173.90490413841</v>
      </c>
      <c r="T114" s="79">
        <f ca="1">'ררל ומדרג'!$AH$1</f>
        <v>48975.779132102936</v>
      </c>
      <c r="U114" s="79">
        <f t="shared" ca="1" si="7"/>
        <v>73149.68403624135</v>
      </c>
    </row>
    <row r="115" spans="1:21">
      <c r="A115">
        <v>115</v>
      </c>
      <c r="B115">
        <v>8907012</v>
      </c>
      <c r="C115" t="s">
        <v>3510</v>
      </c>
      <c r="D115">
        <v>622022</v>
      </c>
      <c r="E115" t="s">
        <v>3939</v>
      </c>
      <c r="F115" t="s">
        <v>3940</v>
      </c>
      <c r="G115" s="217">
        <v>6892.16</v>
      </c>
      <c r="H115" t="s">
        <v>3941</v>
      </c>
      <c r="I115">
        <v>36.94</v>
      </c>
      <c r="J115">
        <v>691.28</v>
      </c>
      <c r="K115">
        <v>100</v>
      </c>
      <c r="L115" s="13" t="str">
        <f>VLOOKUP($B115,'[3]חשבונות חברה 40'!$A:$I,7,0)</f>
        <v>07012</v>
      </c>
      <c r="M115" s="13" t="str">
        <f>VLOOKUP($B115,'[3]חשבונות חברה 40'!$A:$I,5,0)</f>
        <v>0701</v>
      </c>
      <c r="N115" s="4" t="str">
        <f>IF(VLOOKUP($B115,'[3]חשבונות חברה 40'!$A:$J,10,0)=0,"",VLOOKUP($B115,'[3]חשבונות חברה 40'!$A:$J,10,0))</f>
        <v/>
      </c>
      <c r="P115" s="218">
        <f t="shared" si="6"/>
        <v>707.28</v>
      </c>
      <c r="Q115" s="122">
        <f t="shared" si="4"/>
        <v>4.0387760877594403E-3</v>
      </c>
      <c r="R115" s="1">
        <f ca="1">'הנחות עבודה לררל ומדרג'!$F$7*Q115</f>
        <v>1115683.8838244199</v>
      </c>
      <c r="S115" s="79">
        <f t="shared" ca="1" si="5"/>
        <v>27211.802044498047</v>
      </c>
      <c r="T115" s="79">
        <f ca="1">'ררל ומדרג'!$AH$1</f>
        <v>48975.779132102936</v>
      </c>
      <c r="U115" s="79">
        <f t="shared" ca="1" si="7"/>
        <v>76187.581176600987</v>
      </c>
    </row>
    <row r="116" spans="1:21">
      <c r="A116">
        <v>116</v>
      </c>
      <c r="B116">
        <v>8907051</v>
      </c>
      <c r="C116" t="s">
        <v>1293</v>
      </c>
      <c r="D116">
        <v>622022</v>
      </c>
      <c r="E116" t="s">
        <v>3939</v>
      </c>
      <c r="F116" t="s">
        <v>3940</v>
      </c>
      <c r="G116" s="217">
        <v>3429.73</v>
      </c>
      <c r="H116" t="s">
        <v>3941</v>
      </c>
      <c r="I116">
        <v>8</v>
      </c>
      <c r="J116">
        <v>344</v>
      </c>
      <c r="K116">
        <v>100</v>
      </c>
      <c r="L116" s="13" t="str">
        <f>VLOOKUP($B116,'[3]חשבונות חברה 40'!$A:$I,7,0)</f>
        <v>07051</v>
      </c>
      <c r="M116" s="13" t="str">
        <f>VLOOKUP($B116,'[3]חשבונות חברה 40'!$A:$I,5,0)</f>
        <v>0705</v>
      </c>
      <c r="N116" s="4" t="str">
        <f>IF(VLOOKUP($B116,'[3]חשבונות חברה 40'!$A:$J,10,0)=0,"",VLOOKUP($B116,'[3]חשבונות חברה 40'!$A:$J,10,0))</f>
        <v/>
      </c>
      <c r="P116" s="218">
        <f t="shared" si="6"/>
        <v>360</v>
      </c>
      <c r="Q116" s="122">
        <f t="shared" si="4"/>
        <v>2.0557055078517681E-3</v>
      </c>
      <c r="R116" s="1">
        <f ca="1">'הנחות עבודה לררל ומדרג'!$F$7*Q116</f>
        <v>567874.38945932477</v>
      </c>
      <c r="S116" s="79">
        <f t="shared" ca="1" si="5"/>
        <v>13850.594864861579</v>
      </c>
      <c r="T116" s="79">
        <f ca="1">'ררל ומדרג'!$AH$1</f>
        <v>48975.779132102936</v>
      </c>
      <c r="U116" s="79">
        <f t="shared" ca="1" si="7"/>
        <v>62826.373996964518</v>
      </c>
    </row>
    <row r="117" spans="1:21">
      <c r="A117">
        <v>117</v>
      </c>
      <c r="B117">
        <v>8907052</v>
      </c>
      <c r="C117" t="s">
        <v>1300</v>
      </c>
      <c r="D117">
        <v>622022</v>
      </c>
      <c r="E117" t="s">
        <v>3939</v>
      </c>
      <c r="F117" t="s">
        <v>3940</v>
      </c>
      <c r="G117" s="217">
        <v>3429.73</v>
      </c>
      <c r="H117" t="s">
        <v>3941</v>
      </c>
      <c r="I117">
        <v>8</v>
      </c>
      <c r="J117">
        <v>344</v>
      </c>
      <c r="K117">
        <v>100</v>
      </c>
      <c r="L117" s="13" t="str">
        <f>VLOOKUP($B117,'[3]חשבונות חברה 40'!$A:$I,7,0)</f>
        <v>07052</v>
      </c>
      <c r="M117" s="13" t="str">
        <f>VLOOKUP($B117,'[3]חשבונות חברה 40'!$A:$I,5,0)</f>
        <v>0705</v>
      </c>
      <c r="N117" s="4" t="str">
        <f>IF(VLOOKUP($B117,'[3]חשבונות חברה 40'!$A:$J,10,0)=0,"",VLOOKUP($B117,'[3]חשבונות חברה 40'!$A:$J,10,0))</f>
        <v/>
      </c>
      <c r="P117" s="218">
        <f t="shared" si="6"/>
        <v>360</v>
      </c>
      <c r="Q117" s="122">
        <f t="shared" si="4"/>
        <v>2.0557055078517681E-3</v>
      </c>
      <c r="R117" s="1">
        <f ca="1">'הנחות עבודה לררל ומדרג'!$F$7*Q117</f>
        <v>567874.38945932477</v>
      </c>
      <c r="S117" s="79">
        <f t="shared" ca="1" si="5"/>
        <v>13850.594864861579</v>
      </c>
      <c r="T117" s="79">
        <f ca="1">'ררל ומדרג'!$AH$1</f>
        <v>48975.779132102936</v>
      </c>
      <c r="U117" s="79">
        <f t="shared" ca="1" si="7"/>
        <v>62826.373996964518</v>
      </c>
    </row>
    <row r="118" spans="1:21">
      <c r="A118">
        <v>118</v>
      </c>
      <c r="B118">
        <v>8908031</v>
      </c>
      <c r="C118" t="s">
        <v>3517</v>
      </c>
      <c r="D118">
        <v>622022</v>
      </c>
      <c r="E118" t="s">
        <v>3939</v>
      </c>
      <c r="F118" t="s">
        <v>3940</v>
      </c>
      <c r="G118" s="217">
        <v>8215.4</v>
      </c>
      <c r="H118" t="s">
        <v>3941</v>
      </c>
      <c r="I118">
        <v>48</v>
      </c>
      <c r="J118">
        <v>824</v>
      </c>
      <c r="K118">
        <v>100</v>
      </c>
      <c r="L118" s="13" t="str">
        <f>VLOOKUP($B118,'[3]חשבונות חברה 40'!$A:$I,7,0)</f>
        <v>08031</v>
      </c>
      <c r="M118" s="13" t="str">
        <f>VLOOKUP($B118,'[3]חשבונות חברה 40'!$A:$I,5,0)</f>
        <v>0803</v>
      </c>
      <c r="N118" s="4" t="str">
        <f>IF(VLOOKUP($B118,'[3]חשבונות חברה 40'!$A:$J,10,0)=0,"",VLOOKUP($B118,'[3]חשבונות חברה 40'!$A:$J,10,0))</f>
        <v/>
      </c>
      <c r="P118" s="218">
        <f t="shared" si="6"/>
        <v>824</v>
      </c>
      <c r="Q118" s="122">
        <f t="shared" si="4"/>
        <v>4.7052814957496024E-3</v>
      </c>
      <c r="R118" s="1">
        <f ca="1">'הנחות עבודה לררל ומדרג'!$F$7*Q118</f>
        <v>1299801.3803180098</v>
      </c>
      <c r="S118" s="79">
        <f t="shared" ca="1" si="5"/>
        <v>31702.472690683164</v>
      </c>
      <c r="T118" s="79">
        <f ca="1">'ררל ומדרג'!$AH$1</f>
        <v>48975.779132102936</v>
      </c>
      <c r="U118" s="79">
        <f t="shared" ca="1" si="7"/>
        <v>80678.2518227861</v>
      </c>
    </row>
    <row r="119" spans="1:21">
      <c r="A119">
        <v>119</v>
      </c>
      <c r="B119">
        <v>8908032</v>
      </c>
      <c r="C119" t="s">
        <v>3518</v>
      </c>
      <c r="D119">
        <v>622022</v>
      </c>
      <c r="E119" t="s">
        <v>3939</v>
      </c>
      <c r="F119" t="s">
        <v>3940</v>
      </c>
      <c r="G119" s="217">
        <v>8094.56</v>
      </c>
      <c r="H119" t="s">
        <v>3941</v>
      </c>
      <c r="I119">
        <v>46.99</v>
      </c>
      <c r="J119">
        <v>811.88</v>
      </c>
      <c r="K119">
        <v>100</v>
      </c>
      <c r="L119" s="13" t="str">
        <f>VLOOKUP($B119,'[3]חשבונות חברה 40'!$A:$I,7,0)</f>
        <v>08032</v>
      </c>
      <c r="M119" s="13" t="str">
        <f>VLOOKUP($B119,'[3]חשבונות חברה 40'!$A:$I,5,0)</f>
        <v>0803</v>
      </c>
      <c r="N119" s="4" t="str">
        <f>IF(VLOOKUP($B119,'[3]חשבונות חברה 40'!$A:$J,10,0)=0,"",VLOOKUP($B119,'[3]חשבונות חברה 40'!$A:$J,10,0))</f>
        <v/>
      </c>
      <c r="P119" s="218">
        <f t="shared" si="6"/>
        <v>824</v>
      </c>
      <c r="Q119" s="122">
        <f t="shared" si="4"/>
        <v>4.7052814957496024E-3</v>
      </c>
      <c r="R119" s="1">
        <f ca="1">'הנחות עבודה לררל ומדרג'!$F$7*Q119</f>
        <v>1299801.3803180098</v>
      </c>
      <c r="S119" s="79">
        <f t="shared" ca="1" si="5"/>
        <v>31702.472690683164</v>
      </c>
      <c r="T119" s="79">
        <f ca="1">'ררל ומדרג'!$AH$1</f>
        <v>48975.779132102936</v>
      </c>
      <c r="U119" s="79">
        <f t="shared" ca="1" si="7"/>
        <v>80678.2518227861</v>
      </c>
    </row>
    <row r="120" spans="1:21">
      <c r="A120">
        <v>120</v>
      </c>
      <c r="B120">
        <v>8908041</v>
      </c>
      <c r="C120" t="s">
        <v>3519</v>
      </c>
      <c r="D120">
        <v>622022</v>
      </c>
      <c r="E120" t="s">
        <v>3939</v>
      </c>
      <c r="F120" t="s">
        <v>3940</v>
      </c>
      <c r="G120" s="217">
        <v>8215.4</v>
      </c>
      <c r="H120" t="s">
        <v>3941</v>
      </c>
      <c r="I120">
        <v>48</v>
      </c>
      <c r="J120">
        <v>824</v>
      </c>
      <c r="K120">
        <v>100</v>
      </c>
      <c r="L120" s="13" t="str">
        <f>VLOOKUP($B120,'[3]חשבונות חברה 40'!$A:$I,7,0)</f>
        <v>08041</v>
      </c>
      <c r="M120" s="13" t="str">
        <f>VLOOKUP($B120,'[3]חשבונות חברה 40'!$A:$I,5,0)</f>
        <v>0804</v>
      </c>
      <c r="N120" s="4" t="str">
        <f>IF(VLOOKUP($B120,'[3]חשבונות חברה 40'!$A:$J,10,0)=0,"",VLOOKUP($B120,'[3]חשבונות חברה 40'!$A:$J,10,0))</f>
        <v/>
      </c>
      <c r="P120" s="218">
        <f t="shared" si="6"/>
        <v>824</v>
      </c>
      <c r="Q120" s="122">
        <f t="shared" si="4"/>
        <v>4.7052814957496024E-3</v>
      </c>
      <c r="R120" s="1">
        <f ca="1">'הנחות עבודה לררל ומדרג'!$F$7*Q120</f>
        <v>1299801.3803180098</v>
      </c>
      <c r="S120" s="79">
        <f t="shared" ca="1" si="5"/>
        <v>31702.472690683164</v>
      </c>
      <c r="T120" s="79">
        <f ca="1">'ררל ומדרג'!$AH$1</f>
        <v>48975.779132102936</v>
      </c>
      <c r="U120" s="79">
        <f t="shared" ca="1" si="7"/>
        <v>80678.2518227861</v>
      </c>
    </row>
    <row r="121" spans="1:21">
      <c r="A121">
        <v>121</v>
      </c>
      <c r="B121">
        <v>8908042</v>
      </c>
      <c r="C121" t="s">
        <v>3520</v>
      </c>
      <c r="D121">
        <v>622022</v>
      </c>
      <c r="E121" t="s">
        <v>3939</v>
      </c>
      <c r="F121" t="s">
        <v>3940</v>
      </c>
      <c r="G121" s="217">
        <v>7815.79</v>
      </c>
      <c r="H121" t="s">
        <v>3941</v>
      </c>
      <c r="I121">
        <v>44.66</v>
      </c>
      <c r="J121">
        <v>783.92</v>
      </c>
      <c r="K121">
        <v>100</v>
      </c>
      <c r="L121" s="13" t="str">
        <f>VLOOKUP($B121,'[3]חשבונות חברה 40'!$A:$I,7,0)</f>
        <v>08042</v>
      </c>
      <c r="M121" s="13" t="str">
        <f>VLOOKUP($B121,'[3]חשבונות חברה 40'!$A:$I,5,0)</f>
        <v>0804</v>
      </c>
      <c r="N121" s="4" t="str">
        <f>IF(VLOOKUP($B121,'[3]חשבונות חברה 40'!$A:$J,10,0)=0,"",VLOOKUP($B121,'[3]חשבונות חברה 40'!$A:$J,10,0))</f>
        <v/>
      </c>
      <c r="P121" s="218">
        <f t="shared" si="6"/>
        <v>799.92</v>
      </c>
      <c r="Q121" s="122">
        <f t="shared" si="4"/>
        <v>4.5677776384466283E-3</v>
      </c>
      <c r="R121" s="1">
        <f ca="1">'הנחות עבודה לררל ומדרג'!$F$7*Q121</f>
        <v>1261816.8933786193</v>
      </c>
      <c r="S121" s="79">
        <f t="shared" ca="1" si="5"/>
        <v>30776.021789722421</v>
      </c>
      <c r="T121" s="79">
        <f ca="1">'ררל ומדרג'!$AH$1</f>
        <v>48975.779132102936</v>
      </c>
      <c r="U121" s="79">
        <f t="shared" ca="1" si="7"/>
        <v>79751.800921825357</v>
      </c>
    </row>
    <row r="122" spans="1:21">
      <c r="A122">
        <v>122</v>
      </c>
      <c r="B122">
        <v>8908051</v>
      </c>
      <c r="C122" t="s">
        <v>3521</v>
      </c>
      <c r="D122">
        <v>622022</v>
      </c>
      <c r="E122" t="s">
        <v>3939</v>
      </c>
      <c r="F122" t="s">
        <v>3940</v>
      </c>
      <c r="G122" s="217">
        <v>5311.69</v>
      </c>
      <c r="H122" t="s">
        <v>3941</v>
      </c>
      <c r="I122">
        <v>23.73</v>
      </c>
      <c r="J122">
        <v>532.76</v>
      </c>
      <c r="K122">
        <v>100</v>
      </c>
      <c r="L122" s="13" t="str">
        <f>VLOOKUP($B122,'[3]חשבונות חברה 40'!$A:$I,7,0)</f>
        <v>08051</v>
      </c>
      <c r="M122" s="13" t="str">
        <f>VLOOKUP($B122,'[3]חשבונות חברה 40'!$A:$I,5,0)</f>
        <v>0805</v>
      </c>
      <c r="N122" s="4" t="str">
        <f>IF(VLOOKUP($B122,'[3]חשבונות חברה 40'!$A:$J,10,0)=0,"",VLOOKUP($B122,'[3]חשבונות חברה 40'!$A:$J,10,0))</f>
        <v/>
      </c>
      <c r="P122" s="218">
        <f t="shared" si="6"/>
        <v>548.76</v>
      </c>
      <c r="Q122" s="122">
        <f t="shared" si="4"/>
        <v>3.1335804291353782E-3</v>
      </c>
      <c r="R122" s="1">
        <f ca="1">'הנחות עבודה לררל ומדרג'!$F$7*Q122</f>
        <v>865629.86099916394</v>
      </c>
      <c r="S122" s="79">
        <f t="shared" ca="1" si="5"/>
        <v>21112.923439004</v>
      </c>
      <c r="T122" s="79">
        <f ca="1">'ררל ומדרג'!$AH$1</f>
        <v>48975.779132102936</v>
      </c>
      <c r="U122" s="79">
        <f t="shared" ca="1" si="7"/>
        <v>70088.702571106929</v>
      </c>
    </row>
    <row r="123" spans="1:21">
      <c r="A123">
        <v>123</v>
      </c>
      <c r="B123">
        <v>8908052</v>
      </c>
      <c r="C123" t="s">
        <v>3522</v>
      </c>
      <c r="D123">
        <v>622022</v>
      </c>
      <c r="E123" t="s">
        <v>3939</v>
      </c>
      <c r="F123" t="s">
        <v>3940</v>
      </c>
      <c r="G123" s="217">
        <v>4773.3100000000004</v>
      </c>
      <c r="H123" t="s">
        <v>3941</v>
      </c>
      <c r="I123">
        <v>19.23</v>
      </c>
      <c r="J123">
        <v>478.76</v>
      </c>
      <c r="K123">
        <v>100</v>
      </c>
      <c r="L123" s="13" t="str">
        <f>VLOOKUP($B123,'[3]חשבונות חברה 40'!$A:$I,7,0)</f>
        <v>08052</v>
      </c>
      <c r="M123" s="13" t="str">
        <f>VLOOKUP($B123,'[3]חשבונות חברה 40'!$A:$I,5,0)</f>
        <v>0805</v>
      </c>
      <c r="N123" s="4" t="str">
        <f>IF(VLOOKUP($B123,'[3]חשבונות חברה 40'!$A:$J,10,0)=0,"",VLOOKUP($B123,'[3]חשבונות חברה 40'!$A:$J,10,0))</f>
        <v/>
      </c>
      <c r="P123" s="218">
        <f t="shared" si="6"/>
        <v>494.76</v>
      </c>
      <c r="Q123" s="122">
        <f t="shared" si="4"/>
        <v>2.825224602957613E-3</v>
      </c>
      <c r="R123" s="1">
        <f ca="1">'הנחות עבודה לררל ומדרג'!$F$7*Q123</f>
        <v>780448.70258026524</v>
      </c>
      <c r="S123" s="79">
        <f t="shared" ca="1" si="5"/>
        <v>19035.334209274763</v>
      </c>
      <c r="T123" s="79">
        <f ca="1">'ררל ומדרג'!$AH$1</f>
        <v>48975.779132102936</v>
      </c>
      <c r="U123" s="79">
        <f t="shared" ca="1" si="7"/>
        <v>68011.113341377699</v>
      </c>
    </row>
    <row r="124" spans="1:21">
      <c r="A124">
        <v>124</v>
      </c>
      <c r="B124">
        <v>8908131</v>
      </c>
      <c r="C124" t="s">
        <v>1402</v>
      </c>
      <c r="D124">
        <v>622022</v>
      </c>
      <c r="E124" t="s">
        <v>3939</v>
      </c>
      <c r="F124" t="s">
        <v>3940</v>
      </c>
      <c r="G124" s="217">
        <v>3050.46</v>
      </c>
      <c r="H124" t="s">
        <v>3941</v>
      </c>
      <c r="I124">
        <v>4.83</v>
      </c>
      <c r="J124">
        <v>305.95999999999998</v>
      </c>
      <c r="K124">
        <v>100</v>
      </c>
      <c r="L124" s="13" t="str">
        <f>VLOOKUP($B124,'[3]חשבונות חברה 40'!$A:$I,7,0)</f>
        <v>08131</v>
      </c>
      <c r="M124" s="13" t="str">
        <f>VLOOKUP($B124,'[3]חשבונות חברה 40'!$A:$I,5,0)</f>
        <v>0813</v>
      </c>
      <c r="N124" s="4" t="str">
        <f>IF(VLOOKUP($B124,'[3]חשבונות חברה 40'!$A:$J,10,0)=0,"",VLOOKUP($B124,'[3]חשבונות חברה 40'!$A:$J,10,0))</f>
        <v/>
      </c>
      <c r="P124" s="218">
        <f t="shared" si="6"/>
        <v>321.95999999999998</v>
      </c>
      <c r="Q124" s="122">
        <f t="shared" si="4"/>
        <v>1.8384859591887644E-3</v>
      </c>
      <c r="R124" s="1">
        <f ca="1">'הנחות עבודה לררל ומדרג'!$F$7*Q124</f>
        <v>507868.99563978933</v>
      </c>
      <c r="S124" s="79">
        <f t="shared" ca="1" si="5"/>
        <v>12387.048674141202</v>
      </c>
      <c r="T124" s="79">
        <f ca="1">'ררל ומדרג'!$AH$1</f>
        <v>48975.779132102936</v>
      </c>
      <c r="U124" s="79">
        <f t="shared" ca="1" si="7"/>
        <v>61362.827806244139</v>
      </c>
    </row>
    <row r="125" spans="1:21">
      <c r="A125">
        <v>125</v>
      </c>
      <c r="B125">
        <v>8908132</v>
      </c>
      <c r="C125" t="s">
        <v>1409</v>
      </c>
      <c r="D125">
        <v>622022</v>
      </c>
      <c r="E125" t="s">
        <v>3939</v>
      </c>
      <c r="F125" t="s">
        <v>3940</v>
      </c>
      <c r="G125" s="217">
        <v>3050.46</v>
      </c>
      <c r="H125" t="s">
        <v>3941</v>
      </c>
      <c r="I125">
        <v>4.83</v>
      </c>
      <c r="J125">
        <v>305.95999999999998</v>
      </c>
      <c r="K125">
        <v>100</v>
      </c>
      <c r="L125" s="13" t="str">
        <f>VLOOKUP($B125,'[3]חשבונות חברה 40'!$A:$I,7,0)</f>
        <v>08132</v>
      </c>
      <c r="M125" s="13" t="str">
        <f>VLOOKUP($B125,'[3]חשבונות חברה 40'!$A:$I,5,0)</f>
        <v>0813</v>
      </c>
      <c r="N125" s="4" t="str">
        <f>IF(VLOOKUP($B125,'[3]חשבונות חברה 40'!$A:$J,10,0)=0,"",VLOOKUP($B125,'[3]חשבונות חברה 40'!$A:$J,10,0))</f>
        <v/>
      </c>
      <c r="P125" s="218">
        <f t="shared" si="6"/>
        <v>321.95999999999998</v>
      </c>
      <c r="Q125" s="122">
        <f t="shared" si="4"/>
        <v>1.8384859591887644E-3</v>
      </c>
      <c r="R125" s="1">
        <f ca="1">'הנחות עבודה לררל ומדרג'!$F$7*Q125</f>
        <v>507868.99563978933</v>
      </c>
      <c r="S125" s="79">
        <f t="shared" ca="1" si="5"/>
        <v>12387.048674141202</v>
      </c>
      <c r="T125" s="79">
        <f ca="1">'ררל ומדרג'!$AH$1</f>
        <v>48975.779132102936</v>
      </c>
      <c r="U125" s="79">
        <f t="shared" ca="1" si="7"/>
        <v>61362.827806244139</v>
      </c>
    </row>
    <row r="126" spans="1:21">
      <c r="A126">
        <v>126</v>
      </c>
      <c r="B126">
        <v>8908152</v>
      </c>
      <c r="C126" t="s">
        <v>1423</v>
      </c>
      <c r="D126">
        <v>622022</v>
      </c>
      <c r="E126" t="s">
        <v>3939</v>
      </c>
      <c r="F126" t="s">
        <v>3940</v>
      </c>
      <c r="G126" s="217">
        <v>3700.12</v>
      </c>
      <c r="H126" t="s">
        <v>3941</v>
      </c>
      <c r="I126">
        <v>10.26</v>
      </c>
      <c r="J126">
        <v>371.12</v>
      </c>
      <c r="K126">
        <v>100</v>
      </c>
      <c r="L126" s="13" t="str">
        <f>VLOOKUP($B126,'[3]חשבונות חברה 40'!$A:$I,7,0)</f>
        <v>08151</v>
      </c>
      <c r="M126" s="13" t="str">
        <f>VLOOKUP($B126,'[3]חשבונות חברה 40'!$A:$I,5,0)</f>
        <v>0815</v>
      </c>
      <c r="N126" s="4" t="str">
        <f>IF(VLOOKUP($B126,'[3]חשבונות חברה 40'!$A:$J,10,0)=0,"",VLOOKUP($B126,'[3]חשבונות חברה 40'!$A:$J,10,0))</f>
        <v/>
      </c>
      <c r="P126" s="218">
        <f t="shared" si="6"/>
        <v>387.12</v>
      </c>
      <c r="Q126" s="122">
        <f t="shared" si="4"/>
        <v>2.2105686561099346E-3</v>
      </c>
      <c r="R126" s="1">
        <f ca="1">'הנחות עבודה לררל ומדרג'!$F$7*Q126</f>
        <v>610654.26013192721</v>
      </c>
      <c r="S126" s="79">
        <f t="shared" ca="1" si="5"/>
        <v>14894.006344681151</v>
      </c>
      <c r="T126" s="79">
        <f ca="1">'ררל ומדרג'!$AH$1</f>
        <v>48975.779132102936</v>
      </c>
      <c r="U126" s="79">
        <f t="shared" ca="1" si="7"/>
        <v>63869.785476784091</v>
      </c>
    </row>
    <row r="127" spans="1:21">
      <c r="A127">
        <v>127</v>
      </c>
      <c r="B127">
        <v>8910021</v>
      </c>
      <c r="C127" t="s">
        <v>3523</v>
      </c>
      <c r="D127">
        <v>622022</v>
      </c>
      <c r="E127" t="s">
        <v>3939</v>
      </c>
      <c r="F127" t="s">
        <v>3940</v>
      </c>
      <c r="G127" s="217">
        <v>8215.4</v>
      </c>
      <c r="H127" t="s">
        <v>3941</v>
      </c>
      <c r="I127">
        <v>48</v>
      </c>
      <c r="J127">
        <v>824</v>
      </c>
      <c r="K127">
        <v>100</v>
      </c>
      <c r="L127" s="13">
        <f>VLOOKUP($B127,'[3]חשבונות חברה 40'!$A:$I,7,0)</f>
        <v>10021</v>
      </c>
      <c r="M127" s="13">
        <f>VLOOKUP($B127,'[3]חשבונות חברה 40'!$A:$I,5,0)</f>
        <v>1002</v>
      </c>
      <c r="N127" s="4" t="str">
        <f>IF(VLOOKUP($B127,'[3]חשבונות חברה 40'!$A:$J,10,0)=0,"",VLOOKUP($B127,'[3]חשבונות חברה 40'!$A:$J,10,0))</f>
        <v/>
      </c>
      <c r="P127" s="218">
        <f t="shared" si="6"/>
        <v>824</v>
      </c>
      <c r="Q127" s="122">
        <f t="shared" si="4"/>
        <v>4.7052814957496024E-3</v>
      </c>
      <c r="R127" s="1">
        <f ca="1">'הנחות עבודה לררל ומדרג'!$F$7*Q127</f>
        <v>1299801.3803180098</v>
      </c>
      <c r="S127" s="79">
        <f t="shared" ca="1" si="5"/>
        <v>31702.472690683164</v>
      </c>
      <c r="T127" s="79">
        <f ca="1">'ררל ומדרג'!$AH$1</f>
        <v>48975.779132102936</v>
      </c>
      <c r="U127" s="79">
        <f t="shared" ca="1" si="7"/>
        <v>80678.2518227861</v>
      </c>
    </row>
    <row r="128" spans="1:21">
      <c r="A128">
        <v>128</v>
      </c>
      <c r="B128">
        <v>8910022</v>
      </c>
      <c r="C128" t="s">
        <v>3524</v>
      </c>
      <c r="D128">
        <v>622022</v>
      </c>
      <c r="E128" t="s">
        <v>3939</v>
      </c>
      <c r="F128" t="s">
        <v>3940</v>
      </c>
      <c r="G128" s="217">
        <v>8215.4</v>
      </c>
      <c r="H128" t="s">
        <v>3941</v>
      </c>
      <c r="I128">
        <v>48</v>
      </c>
      <c r="J128">
        <v>824</v>
      </c>
      <c r="K128">
        <v>100</v>
      </c>
      <c r="L128" s="13">
        <f>VLOOKUP($B128,'[3]חשבונות חברה 40'!$A:$I,7,0)</f>
        <v>10022</v>
      </c>
      <c r="M128" s="13">
        <f>VLOOKUP($B128,'[3]חשבונות חברה 40'!$A:$I,5,0)</f>
        <v>1002</v>
      </c>
      <c r="N128" s="4" t="str">
        <f>IF(VLOOKUP($B128,'[3]חשבונות חברה 40'!$A:$J,10,0)=0,"",VLOOKUP($B128,'[3]חשבונות חברה 40'!$A:$J,10,0))</f>
        <v/>
      </c>
      <c r="P128" s="218">
        <f t="shared" si="6"/>
        <v>824</v>
      </c>
      <c r="Q128" s="122">
        <f t="shared" si="4"/>
        <v>4.7052814957496024E-3</v>
      </c>
      <c r="R128" s="1">
        <f ca="1">'הנחות עבודה לררל ומדרג'!$F$7*Q128</f>
        <v>1299801.3803180098</v>
      </c>
      <c r="S128" s="79">
        <f t="shared" ca="1" si="5"/>
        <v>31702.472690683164</v>
      </c>
      <c r="T128" s="79">
        <f ca="1">'ררל ומדרג'!$AH$1</f>
        <v>48975.779132102936</v>
      </c>
      <c r="U128" s="79">
        <f t="shared" ca="1" si="7"/>
        <v>80678.2518227861</v>
      </c>
    </row>
    <row r="129" spans="1:21">
      <c r="A129">
        <v>129</v>
      </c>
      <c r="B129">
        <v>8910031</v>
      </c>
      <c r="C129" t="s">
        <v>3525</v>
      </c>
      <c r="D129">
        <v>622022</v>
      </c>
      <c r="E129" t="s">
        <v>3939</v>
      </c>
      <c r="F129" t="s">
        <v>3940</v>
      </c>
      <c r="G129" s="217">
        <v>8215.4</v>
      </c>
      <c r="H129" t="s">
        <v>3941</v>
      </c>
      <c r="I129">
        <v>48</v>
      </c>
      <c r="J129">
        <v>824</v>
      </c>
      <c r="K129">
        <v>100</v>
      </c>
      <c r="L129" s="13">
        <f>VLOOKUP($B129,'[3]חשבונות חברה 40'!$A:$I,7,0)</f>
        <v>10031</v>
      </c>
      <c r="M129" s="13">
        <f>VLOOKUP($B129,'[3]חשבונות חברה 40'!$A:$I,5,0)</f>
        <v>1003</v>
      </c>
      <c r="N129" s="4" t="str">
        <f>IF(VLOOKUP($B129,'[3]חשבונות חברה 40'!$A:$J,10,0)=0,"",VLOOKUP($B129,'[3]חשבונות חברה 40'!$A:$J,10,0))</f>
        <v/>
      </c>
      <c r="P129" s="218">
        <f t="shared" si="6"/>
        <v>824</v>
      </c>
      <c r="Q129" s="122">
        <f t="shared" si="4"/>
        <v>4.7052814957496024E-3</v>
      </c>
      <c r="R129" s="1">
        <f ca="1">'הנחות עבודה לררל ומדרג'!$F$7*Q129</f>
        <v>1299801.3803180098</v>
      </c>
      <c r="S129" s="79">
        <f t="shared" ca="1" si="5"/>
        <v>31702.472690683164</v>
      </c>
      <c r="T129" s="79">
        <f ca="1">'ררל ומדרג'!$AH$1</f>
        <v>48975.779132102936</v>
      </c>
      <c r="U129" s="79">
        <f t="shared" ca="1" si="7"/>
        <v>80678.2518227861</v>
      </c>
    </row>
    <row r="130" spans="1:21">
      <c r="A130">
        <v>130</v>
      </c>
      <c r="B130">
        <v>8910032</v>
      </c>
      <c r="C130" t="s">
        <v>3526</v>
      </c>
      <c r="D130">
        <v>622022</v>
      </c>
      <c r="E130" t="s">
        <v>3939</v>
      </c>
      <c r="F130" t="s">
        <v>3940</v>
      </c>
      <c r="G130" s="217">
        <v>8215.4</v>
      </c>
      <c r="H130" t="s">
        <v>3941</v>
      </c>
      <c r="I130">
        <v>48</v>
      </c>
      <c r="J130">
        <v>824</v>
      </c>
      <c r="K130">
        <v>100</v>
      </c>
      <c r="L130" s="13">
        <f>VLOOKUP($B130,'[3]חשבונות חברה 40'!$A:$I,7,0)</f>
        <v>10032</v>
      </c>
      <c r="M130" s="13">
        <f>VLOOKUP($B130,'[3]חשבונות חברה 40'!$A:$I,5,0)</f>
        <v>1003</v>
      </c>
      <c r="N130" s="4" t="str">
        <f>IF(VLOOKUP($B130,'[3]חשבונות חברה 40'!$A:$J,10,0)=0,"",VLOOKUP($B130,'[3]חשבונות חברה 40'!$A:$J,10,0))</f>
        <v/>
      </c>
      <c r="P130" s="218">
        <f t="shared" si="6"/>
        <v>824</v>
      </c>
      <c r="Q130" s="122">
        <f t="shared" ref="Q130:Q193" si="8">P130/$P$288</f>
        <v>4.7052814957496024E-3</v>
      </c>
      <c r="R130" s="1">
        <f ca="1">'הנחות עבודה לררל ומדרג'!$F$7*Q130</f>
        <v>1299801.3803180098</v>
      </c>
      <c r="S130" s="79">
        <f t="shared" ref="S130:S193" ca="1" si="9">R130/$V$1</f>
        <v>31702.472690683164</v>
      </c>
      <c r="T130" s="79">
        <f ca="1">'ררל ומדרג'!$AH$1</f>
        <v>48975.779132102936</v>
      </c>
      <c r="U130" s="79">
        <f t="shared" ca="1" si="7"/>
        <v>80678.2518227861</v>
      </c>
    </row>
    <row r="131" spans="1:21">
      <c r="A131">
        <v>131</v>
      </c>
      <c r="B131">
        <v>8910041</v>
      </c>
      <c r="C131" t="s">
        <v>3527</v>
      </c>
      <c r="D131">
        <v>622022</v>
      </c>
      <c r="E131" t="s">
        <v>3939</v>
      </c>
      <c r="F131" t="s">
        <v>3940</v>
      </c>
      <c r="G131" s="217">
        <v>5451.67</v>
      </c>
      <c r="H131" t="s">
        <v>3941</v>
      </c>
      <c r="I131">
        <v>24.9</v>
      </c>
      <c r="J131">
        <v>546.79999999999995</v>
      </c>
      <c r="K131">
        <v>100</v>
      </c>
      <c r="L131" s="13">
        <f>VLOOKUP($B131,'[3]חשבונות חברה 40'!$A:$I,7,0)</f>
        <v>10111</v>
      </c>
      <c r="M131" s="13">
        <f>VLOOKUP($B131,'[3]חשבונות חברה 40'!$A:$I,5,0)</f>
        <v>1011</v>
      </c>
      <c r="N131" s="4" t="str">
        <f>IF(VLOOKUP($B131,'[3]חשבונות חברה 40'!$A:$J,10,0)=0,"",VLOOKUP($B131,'[3]חשבונות חברה 40'!$A:$J,10,0))</f>
        <v/>
      </c>
      <c r="P131" s="218">
        <f t="shared" ref="P131:P194" si="10">IF(J131+$Q$1&gt;=$R$1,$R$1,J131+$Q$1)</f>
        <v>562.79999999999995</v>
      </c>
      <c r="Q131" s="122">
        <f t="shared" si="8"/>
        <v>3.213752943941597E-3</v>
      </c>
      <c r="R131" s="1">
        <f ca="1">'הנחות עבודה לררל ומדרג'!$F$7*Q131</f>
        <v>887776.96218807751</v>
      </c>
      <c r="S131" s="79">
        <f t="shared" ca="1" si="9"/>
        <v>21653.096638733598</v>
      </c>
      <c r="T131" s="79">
        <f ca="1">'ררל ומדרג'!$AH$1</f>
        <v>48975.779132102936</v>
      </c>
      <c r="U131" s="79">
        <f t="shared" ref="U131:U194" ca="1" si="11">S131+T131</f>
        <v>70628.87577083653</v>
      </c>
    </row>
    <row r="132" spans="1:21">
      <c r="A132">
        <v>132</v>
      </c>
      <c r="B132">
        <v>8910042</v>
      </c>
      <c r="C132" t="s">
        <v>3528</v>
      </c>
      <c r="D132">
        <v>622022</v>
      </c>
      <c r="E132" t="s">
        <v>3939</v>
      </c>
      <c r="F132" t="s">
        <v>3940</v>
      </c>
      <c r="G132" s="217">
        <v>6892.16</v>
      </c>
      <c r="H132" t="s">
        <v>3941</v>
      </c>
      <c r="I132">
        <v>36.94</v>
      </c>
      <c r="J132">
        <v>691.28</v>
      </c>
      <c r="K132">
        <v>100</v>
      </c>
      <c r="L132" s="13">
        <f>VLOOKUP($B132,'[3]חשבונות חברה 40'!$A:$I,7,0)</f>
        <v>10042</v>
      </c>
      <c r="M132" s="13">
        <f>VLOOKUP($B132,'[3]חשבונות חברה 40'!$A:$I,5,0)</f>
        <v>1004</v>
      </c>
      <c r="N132" s="4" t="str">
        <f>IF(VLOOKUP($B132,'[3]חשבונות חברה 40'!$A:$J,10,0)=0,"",VLOOKUP($B132,'[3]חשבונות חברה 40'!$A:$J,10,0))</f>
        <v/>
      </c>
      <c r="P132" s="218">
        <f t="shared" si="10"/>
        <v>707.28</v>
      </c>
      <c r="Q132" s="122">
        <f t="shared" si="8"/>
        <v>4.0387760877594403E-3</v>
      </c>
      <c r="R132" s="1">
        <f ca="1">'הנחות עבודה לררל ומדרג'!$F$7*Q132</f>
        <v>1115683.8838244199</v>
      </c>
      <c r="S132" s="79">
        <f t="shared" ca="1" si="9"/>
        <v>27211.802044498047</v>
      </c>
      <c r="T132" s="79">
        <f ca="1">'ררל ומדרג'!$AH$1</f>
        <v>48975.779132102936</v>
      </c>
      <c r="U132" s="79">
        <f t="shared" ca="1" si="11"/>
        <v>76187.581176600987</v>
      </c>
    </row>
    <row r="133" spans="1:21">
      <c r="A133">
        <v>133</v>
      </c>
      <c r="B133">
        <v>8910051</v>
      </c>
      <c r="C133" t="s">
        <v>3529</v>
      </c>
      <c r="D133">
        <v>622022</v>
      </c>
      <c r="E133" t="s">
        <v>3939</v>
      </c>
      <c r="F133" t="s">
        <v>3940</v>
      </c>
      <c r="G133" s="217">
        <v>6134.83</v>
      </c>
      <c r="H133" t="s">
        <v>3941</v>
      </c>
      <c r="I133">
        <v>30.61</v>
      </c>
      <c r="J133">
        <v>615.32000000000005</v>
      </c>
      <c r="K133">
        <v>100</v>
      </c>
      <c r="L133" s="13">
        <f>VLOOKUP($B133,'[3]חשבונות חברה 40'!$A:$I,7,0)</f>
        <v>10051</v>
      </c>
      <c r="M133" s="13">
        <f>VLOOKUP($B133,'[3]חשבונות חברה 40'!$A:$I,5,0)</f>
        <v>1005</v>
      </c>
      <c r="N133" s="4" t="str">
        <f>IF(VLOOKUP($B133,'[3]חשבונות חברה 40'!$A:$J,10,0)=0,"",VLOOKUP($B133,'[3]חשבונות חברה 40'!$A:$J,10,0))</f>
        <v/>
      </c>
      <c r="P133" s="218">
        <f t="shared" si="10"/>
        <v>631.32000000000005</v>
      </c>
      <c r="Q133" s="122">
        <f t="shared" si="8"/>
        <v>3.6050222256027173E-3</v>
      </c>
      <c r="R133" s="1">
        <f ca="1">'הנחות עבודה לררל ומדרג'!$F$7*Q133</f>
        <v>995862.38764850248</v>
      </c>
      <c r="S133" s="79">
        <f t="shared" ca="1" si="9"/>
        <v>24289.326528012254</v>
      </c>
      <c r="T133" s="79">
        <f ca="1">'ררל ומדרג'!$AH$1</f>
        <v>48975.779132102936</v>
      </c>
      <c r="U133" s="79">
        <f t="shared" ca="1" si="11"/>
        <v>73265.105660115194</v>
      </c>
    </row>
    <row r="134" spans="1:21">
      <c r="A134">
        <v>134</v>
      </c>
      <c r="B134">
        <v>8910052</v>
      </c>
      <c r="C134" t="s">
        <v>3530</v>
      </c>
      <c r="D134">
        <v>622022</v>
      </c>
      <c r="E134" t="s">
        <v>3939</v>
      </c>
      <c r="F134" t="s">
        <v>3940</v>
      </c>
      <c r="G134" s="217">
        <v>5107.1099999999997</v>
      </c>
      <c r="H134" t="s">
        <v>3941</v>
      </c>
      <c r="I134">
        <v>22.02</v>
      </c>
      <c r="J134">
        <v>512.24</v>
      </c>
      <c r="K134">
        <v>100</v>
      </c>
      <c r="L134" s="13">
        <f>VLOOKUP($B134,'[3]חשבונות חברה 40'!$A:$I,7,0)</f>
        <v>10052</v>
      </c>
      <c r="M134" s="13">
        <f>VLOOKUP($B134,'[3]חשבונות חברה 40'!$A:$I,5,0)</f>
        <v>1005</v>
      </c>
      <c r="N134" s="4" t="str">
        <f>IF(VLOOKUP($B134,'[3]חשבונות חברה 40'!$A:$J,10,0)=0,"",VLOOKUP($B134,'[3]חשבונות חברה 40'!$A:$J,10,0))</f>
        <v/>
      </c>
      <c r="P134" s="218">
        <f t="shared" si="10"/>
        <v>528.24</v>
      </c>
      <c r="Q134" s="122">
        <f t="shared" si="8"/>
        <v>3.0164052151878278E-3</v>
      </c>
      <c r="R134" s="1">
        <f ca="1">'הנחות עבודה לררל ומדרג'!$F$7*Q134</f>
        <v>833261.02079998248</v>
      </c>
      <c r="S134" s="79">
        <f t="shared" ca="1" si="9"/>
        <v>20323.439531706888</v>
      </c>
      <c r="T134" s="79">
        <f ca="1">'ררל ומדרג'!$AH$1</f>
        <v>48975.779132102936</v>
      </c>
      <c r="U134" s="79">
        <f t="shared" ca="1" si="11"/>
        <v>69299.218663809821</v>
      </c>
    </row>
    <row r="135" spans="1:21">
      <c r="A135">
        <v>135</v>
      </c>
      <c r="B135">
        <v>8911021</v>
      </c>
      <c r="C135" t="s">
        <v>3535</v>
      </c>
      <c r="D135">
        <v>622022</v>
      </c>
      <c r="E135" t="s">
        <v>3939</v>
      </c>
      <c r="F135" t="s">
        <v>3940</v>
      </c>
      <c r="G135" s="217">
        <v>7471.23</v>
      </c>
      <c r="H135" t="s">
        <v>3941</v>
      </c>
      <c r="I135">
        <v>41.78</v>
      </c>
      <c r="J135">
        <v>749.36</v>
      </c>
      <c r="K135">
        <v>100</v>
      </c>
      <c r="L135" s="13">
        <f>VLOOKUP($B135,'[3]חשבונות חברה 40'!$A:$I,7,0)</f>
        <v>11021</v>
      </c>
      <c r="M135" s="13">
        <f>VLOOKUP($B135,'[3]חשבונות חברה 40'!$A:$I,5,0)</f>
        <v>1102</v>
      </c>
      <c r="N135" s="4" t="str">
        <f>IF(VLOOKUP($B135,'[3]חשבונות חברה 40'!$A:$J,10,0)=0,"",VLOOKUP($B135,'[3]חשבונות חברה 40'!$A:$J,10,0))</f>
        <v/>
      </c>
      <c r="P135" s="218">
        <f t="shared" si="10"/>
        <v>765.36</v>
      </c>
      <c r="Q135" s="122">
        <f t="shared" si="8"/>
        <v>4.3704299096928587E-3</v>
      </c>
      <c r="R135" s="1">
        <f ca="1">'הנחות עבודה לררל ומדרג'!$F$7*Q135</f>
        <v>1207300.9519905243</v>
      </c>
      <c r="S135" s="79">
        <f t="shared" ca="1" si="9"/>
        <v>29446.364682695716</v>
      </c>
      <c r="T135" s="79">
        <f ca="1">'ררל ומדרג'!$AH$1</f>
        <v>48975.779132102936</v>
      </c>
      <c r="U135" s="79">
        <f t="shared" ca="1" si="11"/>
        <v>78422.143814798648</v>
      </c>
    </row>
    <row r="136" spans="1:21">
      <c r="A136">
        <v>136</v>
      </c>
      <c r="B136">
        <v>8911022</v>
      </c>
      <c r="C136" t="s">
        <v>3536</v>
      </c>
      <c r="D136">
        <v>622022</v>
      </c>
      <c r="E136" t="s">
        <v>3939</v>
      </c>
      <c r="F136" t="s">
        <v>3940</v>
      </c>
      <c r="G136" s="217">
        <v>7766.74</v>
      </c>
      <c r="H136" t="s">
        <v>3941</v>
      </c>
      <c r="I136">
        <v>44.25</v>
      </c>
      <c r="J136">
        <v>779</v>
      </c>
      <c r="K136">
        <v>100</v>
      </c>
      <c r="L136" s="13">
        <f>VLOOKUP($B136,'[3]חשבונות חברה 40'!$A:$I,7,0)</f>
        <v>11022</v>
      </c>
      <c r="M136" s="13">
        <f>VLOOKUP($B136,'[3]חשבונות חברה 40'!$A:$I,5,0)</f>
        <v>1102</v>
      </c>
      <c r="N136" s="4" t="str">
        <f>IF(VLOOKUP($B136,'[3]חשבונות חברה 40'!$A:$J,10,0)=0,"",VLOOKUP($B136,'[3]חשבונות חברה 40'!$A:$J,10,0))</f>
        <v/>
      </c>
      <c r="P136" s="218">
        <f t="shared" si="10"/>
        <v>795</v>
      </c>
      <c r="Q136" s="122">
        <f t="shared" si="8"/>
        <v>4.5396829965059877E-3</v>
      </c>
      <c r="R136" s="1">
        <f ca="1">'הנחות עבודה לררל ומדרג'!$F$7*Q136</f>
        <v>1254055.9433893419</v>
      </c>
      <c r="S136" s="79">
        <f t="shared" ca="1" si="9"/>
        <v>30586.730326569315</v>
      </c>
      <c r="T136" s="79">
        <f ca="1">'ררל ומדרג'!$AH$1</f>
        <v>48975.779132102936</v>
      </c>
      <c r="U136" s="79">
        <f t="shared" ca="1" si="11"/>
        <v>79562.509458672255</v>
      </c>
    </row>
    <row r="137" spans="1:21">
      <c r="A137">
        <v>137</v>
      </c>
      <c r="B137">
        <v>8911032</v>
      </c>
      <c r="C137" t="s">
        <v>3539</v>
      </c>
      <c r="D137">
        <v>622022</v>
      </c>
      <c r="E137" t="s">
        <v>3939</v>
      </c>
      <c r="F137" t="s">
        <v>3940</v>
      </c>
      <c r="G137" s="217">
        <v>7046.5</v>
      </c>
      <c r="H137" t="s">
        <v>3941</v>
      </c>
      <c r="I137">
        <v>38.229999999999997</v>
      </c>
      <c r="J137">
        <v>706.76</v>
      </c>
      <c r="K137">
        <v>100</v>
      </c>
      <c r="L137" s="13">
        <f>VLOOKUP($B137,'[3]חשבונות חברה 40'!$A:$I,7,0)</f>
        <v>11032</v>
      </c>
      <c r="M137" s="13">
        <f>VLOOKUP($B137,'[3]חשבונות חברה 40'!$A:$I,5,0)</f>
        <v>1103</v>
      </c>
      <c r="N137" s="4" t="str">
        <f>IF(VLOOKUP($B137,'[3]חשבונות חברה 40'!$A:$J,10,0)=0,"",VLOOKUP($B137,'[3]חשבונות חברה 40'!$A:$J,10,0))</f>
        <v/>
      </c>
      <c r="P137" s="218">
        <f t="shared" si="10"/>
        <v>722.76</v>
      </c>
      <c r="Q137" s="122">
        <f t="shared" si="8"/>
        <v>4.1271714245970665E-3</v>
      </c>
      <c r="R137" s="1">
        <f ca="1">'הנחות עבודה לררל ומדרג'!$F$7*Q137</f>
        <v>1140102.4825711709</v>
      </c>
      <c r="S137" s="79">
        <f t="shared" ca="1" si="9"/>
        <v>27807.377623687094</v>
      </c>
      <c r="T137" s="79">
        <f ca="1">'ררל ומדרג'!$AH$1</f>
        <v>48975.779132102936</v>
      </c>
      <c r="U137" s="79">
        <f t="shared" ca="1" si="11"/>
        <v>76783.156755790027</v>
      </c>
    </row>
    <row r="138" spans="1:21">
      <c r="A138">
        <v>138</v>
      </c>
      <c r="B138">
        <v>8911041</v>
      </c>
      <c r="C138" t="s">
        <v>3540</v>
      </c>
      <c r="D138">
        <v>622022</v>
      </c>
      <c r="E138" t="s">
        <v>3939</v>
      </c>
      <c r="F138" t="s">
        <v>3940</v>
      </c>
      <c r="G138" s="217">
        <v>8215.4</v>
      </c>
      <c r="H138" t="s">
        <v>3941</v>
      </c>
      <c r="I138">
        <v>48</v>
      </c>
      <c r="J138">
        <v>824</v>
      </c>
      <c r="K138">
        <v>100</v>
      </c>
      <c r="L138" s="13">
        <f>VLOOKUP($B138,'[3]חשבונות חברה 40'!$A:$I,7,0)</f>
        <v>11041</v>
      </c>
      <c r="M138" s="13">
        <f>VLOOKUP($B138,'[3]חשבונות חברה 40'!$A:$I,5,0)</f>
        <v>1104</v>
      </c>
      <c r="N138" s="4" t="str">
        <f>IF(VLOOKUP($B138,'[3]חשבונות חברה 40'!$A:$J,10,0)=0,"",VLOOKUP($B138,'[3]חשבונות חברה 40'!$A:$J,10,0))</f>
        <v/>
      </c>
      <c r="P138" s="218">
        <f t="shared" si="10"/>
        <v>824</v>
      </c>
      <c r="Q138" s="122">
        <f t="shared" si="8"/>
        <v>4.7052814957496024E-3</v>
      </c>
      <c r="R138" s="1">
        <f ca="1">'הנחות עבודה לררל ומדרג'!$F$7*Q138</f>
        <v>1299801.3803180098</v>
      </c>
      <c r="S138" s="79">
        <f t="shared" ca="1" si="9"/>
        <v>31702.472690683164</v>
      </c>
      <c r="T138" s="79">
        <f ca="1">'ררל ומדרג'!$AH$1</f>
        <v>48975.779132102936</v>
      </c>
      <c r="U138" s="79">
        <f t="shared" ca="1" si="11"/>
        <v>80678.2518227861</v>
      </c>
    </row>
    <row r="139" spans="1:21">
      <c r="A139">
        <v>139</v>
      </c>
      <c r="B139">
        <v>8911042</v>
      </c>
      <c r="C139" t="s">
        <v>3541</v>
      </c>
      <c r="D139">
        <v>622022</v>
      </c>
      <c r="E139" t="s">
        <v>3939</v>
      </c>
      <c r="F139" t="s">
        <v>3940</v>
      </c>
      <c r="G139" s="217">
        <v>7866.04</v>
      </c>
      <c r="H139" t="s">
        <v>3941</v>
      </c>
      <c r="I139">
        <v>45.08</v>
      </c>
      <c r="J139">
        <v>788.96</v>
      </c>
      <c r="K139">
        <v>100</v>
      </c>
      <c r="L139" s="13">
        <f>VLOOKUP($B139,'[3]חשבונות חברה 40'!$A:$I,7,0)</f>
        <v>11042</v>
      </c>
      <c r="M139" s="13">
        <f>VLOOKUP($B139,'[3]חשבונות חברה 40'!$A:$I,5,0)</f>
        <v>1104</v>
      </c>
      <c r="N139" s="4" t="str">
        <f>IF(VLOOKUP($B139,'[3]חשבונות חברה 40'!$A:$J,10,0)=0,"",VLOOKUP($B139,'[3]חשבונות חברה 40'!$A:$J,10,0))</f>
        <v/>
      </c>
      <c r="P139" s="218">
        <f t="shared" si="10"/>
        <v>804.96</v>
      </c>
      <c r="Q139" s="122">
        <f t="shared" si="8"/>
        <v>4.5965575155565534E-3</v>
      </c>
      <c r="R139" s="1">
        <f ca="1">'הנחות עבודה לררל ומדרג'!$F$7*Q139</f>
        <v>1269767.1348310499</v>
      </c>
      <c r="S139" s="79">
        <f t="shared" ca="1" si="9"/>
        <v>30969.930117830485</v>
      </c>
      <c r="T139" s="79">
        <f ca="1">'ררל ומדרג'!$AH$1</f>
        <v>48975.779132102936</v>
      </c>
      <c r="U139" s="79">
        <f t="shared" ca="1" si="11"/>
        <v>79945.709249933425</v>
      </c>
    </row>
    <row r="140" spans="1:21">
      <c r="A140">
        <v>140</v>
      </c>
      <c r="B140">
        <v>8911071</v>
      </c>
      <c r="C140" t="s">
        <v>3542</v>
      </c>
      <c r="D140">
        <v>622022</v>
      </c>
      <c r="E140" t="s">
        <v>3939</v>
      </c>
      <c r="F140" t="s">
        <v>3940</v>
      </c>
      <c r="G140" s="217">
        <v>4115.28</v>
      </c>
      <c r="H140" t="s">
        <v>3941</v>
      </c>
      <c r="I140">
        <v>13.73</v>
      </c>
      <c r="J140">
        <v>412.76</v>
      </c>
      <c r="K140">
        <v>100</v>
      </c>
      <c r="L140" s="13">
        <f>VLOOKUP($B140,'[3]חשבונות חברה 40'!$A:$I,7,0)</f>
        <v>11071</v>
      </c>
      <c r="M140" s="13">
        <f>VLOOKUP($B140,'[3]חשבונות חברה 40'!$A:$I,5,0)</f>
        <v>1107</v>
      </c>
      <c r="N140" s="4" t="str">
        <f>IF(VLOOKUP($B140,'[3]חשבונות חברה 40'!$A:$J,10,0)=0,"",VLOOKUP($B140,'[3]חשבונות חברה 40'!$A:$J,10,0))</f>
        <v/>
      </c>
      <c r="P140" s="218">
        <f t="shared" si="10"/>
        <v>428.76</v>
      </c>
      <c r="Q140" s="122">
        <f t="shared" si="8"/>
        <v>2.4483452598514557E-3</v>
      </c>
      <c r="R140" s="1">
        <f ca="1">'הנחות עבודה לררל ומדרג'!$F$7*Q140</f>
        <v>676338.39784605568</v>
      </c>
      <c r="S140" s="79">
        <f t="shared" ca="1" si="9"/>
        <v>16496.05848405014</v>
      </c>
      <c r="T140" s="79">
        <f ca="1">'ררל ומדרג'!$AH$1</f>
        <v>48975.779132102936</v>
      </c>
      <c r="U140" s="79">
        <f t="shared" ca="1" si="11"/>
        <v>65471.837616153076</v>
      </c>
    </row>
    <row r="141" spans="1:21">
      <c r="A141">
        <v>141</v>
      </c>
      <c r="B141">
        <v>8911072</v>
      </c>
      <c r="C141" t="s">
        <v>3543</v>
      </c>
      <c r="D141">
        <v>622022</v>
      </c>
      <c r="E141" t="s">
        <v>3939</v>
      </c>
      <c r="F141" t="s">
        <v>3940</v>
      </c>
      <c r="G141" s="217">
        <v>4684.7700000000004</v>
      </c>
      <c r="H141" t="s">
        <v>3941</v>
      </c>
      <c r="I141">
        <v>18.489999999999998</v>
      </c>
      <c r="J141">
        <v>469.88</v>
      </c>
      <c r="K141">
        <v>100</v>
      </c>
      <c r="L141" s="13">
        <f>VLOOKUP($B141,'[3]חשבונות חברה 40'!$A:$I,7,0)</f>
        <v>11072</v>
      </c>
      <c r="M141" s="13">
        <f>VLOOKUP($B141,'[3]חשבונות חברה 40'!$A:$I,5,0)</f>
        <v>1107</v>
      </c>
      <c r="N141" s="4" t="str">
        <f>IF(VLOOKUP($B141,'[3]חשבונות חברה 40'!$A:$J,10,0)=0,"",VLOOKUP($B141,'[3]חשבונות חברה 40'!$A:$J,10,0))</f>
        <v/>
      </c>
      <c r="P141" s="218">
        <f t="shared" si="10"/>
        <v>485.88</v>
      </c>
      <c r="Q141" s="122">
        <f t="shared" si="8"/>
        <v>2.7745172004306029E-3</v>
      </c>
      <c r="R141" s="1">
        <f ca="1">'הנחות עבודה לררל ומדרג'!$F$7*Q141</f>
        <v>766441.13430693524</v>
      </c>
      <c r="S141" s="79">
        <f t="shared" ca="1" si="9"/>
        <v>18693.686202608176</v>
      </c>
      <c r="T141" s="79">
        <f ca="1">'ררל ומדרג'!$AH$1</f>
        <v>48975.779132102936</v>
      </c>
      <c r="U141" s="79">
        <f t="shared" ca="1" si="11"/>
        <v>67669.465334711116</v>
      </c>
    </row>
    <row r="142" spans="1:21">
      <c r="A142">
        <v>142</v>
      </c>
      <c r="B142">
        <v>8911121</v>
      </c>
      <c r="C142" t="s">
        <v>3544</v>
      </c>
      <c r="D142">
        <v>622022</v>
      </c>
      <c r="E142" t="s">
        <v>3939</v>
      </c>
      <c r="F142" t="s">
        <v>3940</v>
      </c>
      <c r="G142" s="217">
        <v>4997.04</v>
      </c>
      <c r="H142" t="s">
        <v>3941</v>
      </c>
      <c r="I142">
        <v>21.1</v>
      </c>
      <c r="J142">
        <v>501.2</v>
      </c>
      <c r="K142">
        <v>100</v>
      </c>
      <c r="L142" s="13">
        <f>VLOOKUP($B142,'[3]חשבונות חברה 40'!$A:$I,7,0)</f>
        <v>11121</v>
      </c>
      <c r="M142" s="13">
        <f>VLOOKUP($B142,'[3]חשבונות חברה 40'!$A:$I,5,0)</f>
        <v>1112</v>
      </c>
      <c r="N142" s="4" t="str">
        <f>IF(VLOOKUP($B142,'[3]חשבונות חברה 40'!$A:$J,10,0)=0,"",VLOOKUP($B142,'[3]חשבונות חברה 40'!$A:$J,10,0))</f>
        <v/>
      </c>
      <c r="P142" s="218">
        <f t="shared" si="10"/>
        <v>517.20000000000005</v>
      </c>
      <c r="Q142" s="122">
        <f t="shared" si="8"/>
        <v>2.9533635796137069E-3</v>
      </c>
      <c r="R142" s="1">
        <f ca="1">'הנחות עבודה לררל ומדרג'!$F$7*Q142</f>
        <v>815846.20618989656</v>
      </c>
      <c r="S142" s="79">
        <f t="shared" ca="1" si="9"/>
        <v>19898.687955851135</v>
      </c>
      <c r="T142" s="79">
        <f ca="1">'ררל ומדרג'!$AH$1</f>
        <v>48975.779132102936</v>
      </c>
      <c r="U142" s="79">
        <f t="shared" ca="1" si="11"/>
        <v>68874.467087954079</v>
      </c>
    </row>
    <row r="143" spans="1:21">
      <c r="A143">
        <v>143</v>
      </c>
      <c r="B143">
        <v>8911122</v>
      </c>
      <c r="C143" t="s">
        <v>3545</v>
      </c>
      <c r="D143">
        <v>622022</v>
      </c>
      <c r="E143" t="s">
        <v>3939</v>
      </c>
      <c r="F143" t="s">
        <v>3940</v>
      </c>
      <c r="G143" s="217">
        <v>4997.04</v>
      </c>
      <c r="H143" t="s">
        <v>3941</v>
      </c>
      <c r="I143">
        <v>21.1</v>
      </c>
      <c r="J143">
        <v>501.2</v>
      </c>
      <c r="K143">
        <v>100</v>
      </c>
      <c r="L143" s="13">
        <f>VLOOKUP($B143,'[3]חשבונות חברה 40'!$A:$I,7,0)</f>
        <v>11122</v>
      </c>
      <c r="M143" s="13">
        <f>VLOOKUP($B143,'[3]חשבונות חברה 40'!$A:$I,5,0)</f>
        <v>1112</v>
      </c>
      <c r="N143" s="4" t="str">
        <f>IF(VLOOKUP($B143,'[3]חשבונות חברה 40'!$A:$J,10,0)=0,"",VLOOKUP($B143,'[3]חשבונות חברה 40'!$A:$J,10,0))</f>
        <v/>
      </c>
      <c r="P143" s="218">
        <f t="shared" si="10"/>
        <v>517.20000000000005</v>
      </c>
      <c r="Q143" s="122">
        <f t="shared" si="8"/>
        <v>2.9533635796137069E-3</v>
      </c>
      <c r="R143" s="1">
        <f ca="1">'הנחות עבודה לררל ומדרג'!$F$7*Q143</f>
        <v>815846.20618989656</v>
      </c>
      <c r="S143" s="79">
        <f t="shared" ca="1" si="9"/>
        <v>19898.687955851135</v>
      </c>
      <c r="T143" s="79">
        <f ca="1">'ררל ומדרג'!$AH$1</f>
        <v>48975.779132102936</v>
      </c>
      <c r="U143" s="79">
        <f t="shared" ca="1" si="11"/>
        <v>68874.467087954079</v>
      </c>
    </row>
    <row r="144" spans="1:21">
      <c r="A144">
        <v>144</v>
      </c>
      <c r="B144">
        <v>8911191</v>
      </c>
      <c r="C144" t="s">
        <v>3546</v>
      </c>
      <c r="D144">
        <v>622022</v>
      </c>
      <c r="E144" t="s">
        <v>3939</v>
      </c>
      <c r="F144" t="s">
        <v>3940</v>
      </c>
      <c r="G144" s="217">
        <v>4866.63</v>
      </c>
      <c r="H144" t="s">
        <v>3941</v>
      </c>
      <c r="I144">
        <v>20.010000000000002</v>
      </c>
      <c r="J144">
        <v>488.12</v>
      </c>
      <c r="K144">
        <v>100</v>
      </c>
      <c r="L144" s="13">
        <f>VLOOKUP($B144,'[3]חשבונות חברה 40'!$A:$I,7,0)</f>
        <v>11191</v>
      </c>
      <c r="M144" s="13">
        <f>VLOOKUP($B144,'[3]חשבונות חברה 40'!$A:$I,5,0)</f>
        <v>1119</v>
      </c>
      <c r="N144" s="4" t="str">
        <f>IF(VLOOKUP($B144,'[3]חשבונות חברה 40'!$A:$J,10,0)=0,"",VLOOKUP($B144,'[3]חשבונות חברה 40'!$A:$J,10,0))</f>
        <v/>
      </c>
      <c r="P144" s="218">
        <f t="shared" si="10"/>
        <v>504.12</v>
      </c>
      <c r="Q144" s="122">
        <f t="shared" si="8"/>
        <v>2.8786729461617593E-3</v>
      </c>
      <c r="R144" s="1">
        <f ca="1">'הנחות עבודה לררל ומדרג'!$F$7*Q144</f>
        <v>795213.43670620769</v>
      </c>
      <c r="S144" s="79">
        <f t="shared" ca="1" si="9"/>
        <v>19395.449675761163</v>
      </c>
      <c r="T144" s="79">
        <f ca="1">'ררל ומדרג'!$AH$1</f>
        <v>48975.779132102936</v>
      </c>
      <c r="U144" s="79">
        <f t="shared" ca="1" si="11"/>
        <v>68371.2288078641</v>
      </c>
    </row>
    <row r="145" spans="1:21">
      <c r="A145">
        <v>145</v>
      </c>
      <c r="B145">
        <v>8911192</v>
      </c>
      <c r="C145" t="s">
        <v>3548</v>
      </c>
      <c r="D145">
        <v>622022</v>
      </c>
      <c r="E145" t="s">
        <v>3939</v>
      </c>
      <c r="F145" t="s">
        <v>3940</v>
      </c>
      <c r="G145" s="217">
        <v>6488.97</v>
      </c>
      <c r="H145" t="s">
        <v>3941</v>
      </c>
      <c r="I145">
        <v>33.57</v>
      </c>
      <c r="J145">
        <v>650.84</v>
      </c>
      <c r="K145">
        <v>100</v>
      </c>
      <c r="L145" s="13">
        <f>VLOOKUP($B145,'[3]חשבונות חברה 40'!$A:$I,7,0)</f>
        <v>11192</v>
      </c>
      <c r="M145" s="13">
        <f>VLOOKUP($B145,'[3]חשבונות חברה 40'!$A:$I,5,0)</f>
        <v>1119</v>
      </c>
      <c r="N145" s="4" t="str">
        <f>IF(VLOOKUP($B145,'[3]חשבונות חברה 40'!$A:$J,10,0)=0,"",VLOOKUP($B145,'[3]חשבונות חברה 40'!$A:$J,10,0))</f>
        <v/>
      </c>
      <c r="P145" s="218">
        <f t="shared" si="10"/>
        <v>666.84</v>
      </c>
      <c r="Q145" s="122">
        <f t="shared" si="8"/>
        <v>3.8078518357107585E-3</v>
      </c>
      <c r="R145" s="1">
        <f ca="1">'הנחות עבודה לררל ומדרג'!$F$7*Q145</f>
        <v>1051892.6607418226</v>
      </c>
      <c r="S145" s="79">
        <f t="shared" ca="1" si="9"/>
        <v>25655.918554678599</v>
      </c>
      <c r="T145" s="79">
        <f ca="1">'ררל ומדרג'!$AH$1</f>
        <v>48975.779132102936</v>
      </c>
      <c r="U145" s="79">
        <f t="shared" ca="1" si="11"/>
        <v>74631.697686781539</v>
      </c>
    </row>
    <row r="146" spans="1:21">
      <c r="A146">
        <v>146</v>
      </c>
      <c r="B146">
        <v>8912032</v>
      </c>
      <c r="C146" t="s">
        <v>3554</v>
      </c>
      <c r="D146">
        <v>622022</v>
      </c>
      <c r="E146" t="s">
        <v>3939</v>
      </c>
      <c r="F146" t="s">
        <v>3940</v>
      </c>
      <c r="G146" s="217">
        <v>8215.4</v>
      </c>
      <c r="H146" t="s">
        <v>3941</v>
      </c>
      <c r="I146">
        <v>48</v>
      </c>
      <c r="J146">
        <v>824</v>
      </c>
      <c r="K146">
        <v>100</v>
      </c>
      <c r="L146" s="13">
        <f>VLOOKUP($B146,'[3]חשבונות חברה 40'!$A:$I,7,0)</f>
        <v>12032</v>
      </c>
      <c r="M146" s="13">
        <f>VLOOKUP($B146,'[3]חשבונות חברה 40'!$A:$I,5,0)</f>
        <v>1203</v>
      </c>
      <c r="N146" s="4" t="str">
        <f>IF(VLOOKUP($B146,'[3]חשבונות חברה 40'!$A:$J,10,0)=0,"",VLOOKUP($B146,'[3]חשבונות חברה 40'!$A:$J,10,0))</f>
        <v/>
      </c>
      <c r="P146" s="218">
        <f t="shared" si="10"/>
        <v>824</v>
      </c>
      <c r="Q146" s="122">
        <f t="shared" si="8"/>
        <v>4.7052814957496024E-3</v>
      </c>
      <c r="R146" s="1">
        <f ca="1">'הנחות עבודה לררל ומדרג'!$F$7*Q146</f>
        <v>1299801.3803180098</v>
      </c>
      <c r="S146" s="79">
        <f t="shared" ca="1" si="9"/>
        <v>31702.472690683164</v>
      </c>
      <c r="T146" s="79">
        <f ca="1">'ררל ומדרג'!$AH$1</f>
        <v>48975.779132102936</v>
      </c>
      <c r="U146" s="79">
        <f t="shared" ca="1" si="11"/>
        <v>80678.2518227861</v>
      </c>
    </row>
    <row r="147" spans="1:21">
      <c r="A147">
        <v>147</v>
      </c>
      <c r="B147">
        <v>8912051</v>
      </c>
      <c r="C147" t="s">
        <v>3555</v>
      </c>
      <c r="D147">
        <v>622022</v>
      </c>
      <c r="E147" t="s">
        <v>3939</v>
      </c>
      <c r="F147" t="s">
        <v>3940</v>
      </c>
      <c r="G147" s="217">
        <v>8215.4</v>
      </c>
      <c r="H147" t="s">
        <v>3941</v>
      </c>
      <c r="I147">
        <v>48</v>
      </c>
      <c r="J147">
        <v>824</v>
      </c>
      <c r="K147">
        <v>100</v>
      </c>
      <c r="L147" s="13">
        <f>VLOOKUP($B147,'[3]חשבונות חברה 40'!$A:$I,7,0)</f>
        <v>12051</v>
      </c>
      <c r="M147" s="13">
        <f>VLOOKUP($B147,'[3]חשבונות חברה 40'!$A:$I,5,0)</f>
        <v>1205</v>
      </c>
      <c r="N147" s="4" t="str">
        <f>IF(VLOOKUP($B147,'[3]חשבונות חברה 40'!$A:$J,10,0)=0,"",VLOOKUP($B147,'[3]חשבונות חברה 40'!$A:$J,10,0))</f>
        <v/>
      </c>
      <c r="P147" s="218">
        <f t="shared" si="10"/>
        <v>824</v>
      </c>
      <c r="Q147" s="122">
        <f t="shared" si="8"/>
        <v>4.7052814957496024E-3</v>
      </c>
      <c r="R147" s="1">
        <f ca="1">'הנחות עבודה לררל ומדרג'!$F$7*Q147</f>
        <v>1299801.3803180098</v>
      </c>
      <c r="S147" s="79">
        <f t="shared" ca="1" si="9"/>
        <v>31702.472690683164</v>
      </c>
      <c r="T147" s="79">
        <f ca="1">'ררל ומדרג'!$AH$1</f>
        <v>48975.779132102936</v>
      </c>
      <c r="U147" s="79">
        <f t="shared" ca="1" si="11"/>
        <v>80678.2518227861</v>
      </c>
    </row>
    <row r="148" spans="1:21">
      <c r="A148">
        <v>148</v>
      </c>
      <c r="B148">
        <v>8912052</v>
      </c>
      <c r="C148" t="s">
        <v>3556</v>
      </c>
      <c r="D148">
        <v>622022</v>
      </c>
      <c r="E148" t="s">
        <v>3939</v>
      </c>
      <c r="F148" t="s">
        <v>3940</v>
      </c>
      <c r="G148" s="217">
        <v>8215.4</v>
      </c>
      <c r="H148" t="s">
        <v>3941</v>
      </c>
      <c r="I148">
        <v>48</v>
      </c>
      <c r="J148">
        <v>824</v>
      </c>
      <c r="K148">
        <v>100</v>
      </c>
      <c r="L148" s="13">
        <f>VLOOKUP($B148,'[3]חשבונות חברה 40'!$A:$I,7,0)</f>
        <v>12052</v>
      </c>
      <c r="M148" s="13">
        <f>VLOOKUP($B148,'[3]חשבונות חברה 40'!$A:$I,5,0)</f>
        <v>1205</v>
      </c>
      <c r="N148" s="4" t="str">
        <f>IF(VLOOKUP($B148,'[3]חשבונות חברה 40'!$A:$J,10,0)=0,"",VLOOKUP($B148,'[3]חשבונות חברה 40'!$A:$J,10,0))</f>
        <v/>
      </c>
      <c r="P148" s="218">
        <f t="shared" si="10"/>
        <v>824</v>
      </c>
      <c r="Q148" s="122">
        <f t="shared" si="8"/>
        <v>4.7052814957496024E-3</v>
      </c>
      <c r="R148" s="1">
        <f ca="1">'הנחות עבודה לררל ומדרג'!$F$7*Q148</f>
        <v>1299801.3803180098</v>
      </c>
      <c r="S148" s="79">
        <f t="shared" ca="1" si="9"/>
        <v>31702.472690683164</v>
      </c>
      <c r="T148" s="79">
        <f ca="1">'ררל ומדרג'!$AH$1</f>
        <v>48975.779132102936</v>
      </c>
      <c r="U148" s="79">
        <f t="shared" ca="1" si="11"/>
        <v>80678.2518227861</v>
      </c>
    </row>
    <row r="149" spans="1:21">
      <c r="A149">
        <v>149</v>
      </c>
      <c r="B149">
        <v>8912071</v>
      </c>
      <c r="C149" t="s">
        <v>3559</v>
      </c>
      <c r="D149">
        <v>622022</v>
      </c>
      <c r="E149" t="s">
        <v>3939</v>
      </c>
      <c r="F149" t="s">
        <v>3940</v>
      </c>
      <c r="G149" s="217">
        <v>8215.4</v>
      </c>
      <c r="H149" t="s">
        <v>3941</v>
      </c>
      <c r="I149">
        <v>48</v>
      </c>
      <c r="J149">
        <v>824</v>
      </c>
      <c r="K149">
        <v>100</v>
      </c>
      <c r="L149" s="13">
        <f>VLOOKUP($B149,'[3]חשבונות חברה 40'!$A:$I,7,0)</f>
        <v>12071</v>
      </c>
      <c r="M149" s="13">
        <f>VLOOKUP($B149,'[3]חשבונות חברה 40'!$A:$I,5,0)</f>
        <v>1207</v>
      </c>
      <c r="N149" s="4" t="str">
        <f>IF(VLOOKUP($B149,'[3]חשבונות חברה 40'!$A:$J,10,0)=0,"",VLOOKUP($B149,'[3]חשבונות חברה 40'!$A:$J,10,0))</f>
        <v/>
      </c>
      <c r="P149" s="218">
        <f t="shared" si="10"/>
        <v>824</v>
      </c>
      <c r="Q149" s="122">
        <f t="shared" si="8"/>
        <v>4.7052814957496024E-3</v>
      </c>
      <c r="R149" s="1">
        <f ca="1">'הנחות עבודה לררל ומדרג'!$F$7*Q149</f>
        <v>1299801.3803180098</v>
      </c>
      <c r="S149" s="79">
        <f t="shared" ca="1" si="9"/>
        <v>31702.472690683164</v>
      </c>
      <c r="T149" s="79">
        <f ca="1">'ררל ומדרג'!$AH$1</f>
        <v>48975.779132102936</v>
      </c>
      <c r="U149" s="79">
        <f t="shared" ca="1" si="11"/>
        <v>80678.2518227861</v>
      </c>
    </row>
    <row r="150" spans="1:21">
      <c r="A150">
        <v>150</v>
      </c>
      <c r="B150">
        <v>8912072</v>
      </c>
      <c r="C150" t="s">
        <v>3560</v>
      </c>
      <c r="D150">
        <v>622022</v>
      </c>
      <c r="E150" t="s">
        <v>3939</v>
      </c>
      <c r="F150" t="s">
        <v>3940</v>
      </c>
      <c r="G150" s="217">
        <v>8215.4</v>
      </c>
      <c r="H150" t="s">
        <v>3941</v>
      </c>
      <c r="I150">
        <v>48</v>
      </c>
      <c r="J150">
        <v>824</v>
      </c>
      <c r="K150">
        <v>100</v>
      </c>
      <c r="L150" s="13">
        <f>VLOOKUP($B150,'[3]חשבונות חברה 40'!$A:$I,7,0)</f>
        <v>12072</v>
      </c>
      <c r="M150" s="13">
        <f>VLOOKUP($B150,'[3]חשבונות חברה 40'!$A:$I,5,0)</f>
        <v>1207</v>
      </c>
      <c r="N150" s="4" t="str">
        <f>IF(VLOOKUP($B150,'[3]חשבונות חברה 40'!$A:$J,10,0)=0,"",VLOOKUP($B150,'[3]חשבונות חברה 40'!$A:$J,10,0))</f>
        <v/>
      </c>
      <c r="P150" s="218">
        <f t="shared" si="10"/>
        <v>824</v>
      </c>
      <c r="Q150" s="122">
        <f t="shared" si="8"/>
        <v>4.7052814957496024E-3</v>
      </c>
      <c r="R150" s="1">
        <f ca="1">'הנחות עבודה לררל ומדרג'!$F$7*Q150</f>
        <v>1299801.3803180098</v>
      </c>
      <c r="S150" s="79">
        <f t="shared" ca="1" si="9"/>
        <v>31702.472690683164</v>
      </c>
      <c r="T150" s="79">
        <f ca="1">'ררל ומדרג'!$AH$1</f>
        <v>48975.779132102936</v>
      </c>
      <c r="U150" s="79">
        <f t="shared" ca="1" si="11"/>
        <v>80678.2518227861</v>
      </c>
    </row>
    <row r="151" spans="1:21">
      <c r="A151">
        <v>151</v>
      </c>
      <c r="B151">
        <v>8912081</v>
      </c>
      <c r="C151" t="s">
        <v>3561</v>
      </c>
      <c r="D151">
        <v>622022</v>
      </c>
      <c r="E151" t="s">
        <v>3939</v>
      </c>
      <c r="F151" t="s">
        <v>3940</v>
      </c>
      <c r="G151" s="217">
        <v>8215.4</v>
      </c>
      <c r="H151" t="s">
        <v>3941</v>
      </c>
      <c r="I151">
        <v>48</v>
      </c>
      <c r="J151">
        <v>824</v>
      </c>
      <c r="K151">
        <v>100</v>
      </c>
      <c r="L151" s="13">
        <f>VLOOKUP($B151,'[3]חשבונות חברה 40'!$A:$I,7,0)</f>
        <v>12081</v>
      </c>
      <c r="M151" s="13">
        <f>VLOOKUP($B151,'[3]חשבונות חברה 40'!$A:$I,5,0)</f>
        <v>1208</v>
      </c>
      <c r="N151" s="4" t="str">
        <f>IF(VLOOKUP($B151,'[3]חשבונות חברה 40'!$A:$J,10,0)=0,"",VLOOKUP($B151,'[3]חשבונות חברה 40'!$A:$J,10,0))</f>
        <v/>
      </c>
      <c r="P151" s="218">
        <f t="shared" si="10"/>
        <v>824</v>
      </c>
      <c r="Q151" s="122">
        <f t="shared" si="8"/>
        <v>4.7052814957496024E-3</v>
      </c>
      <c r="R151" s="1">
        <f ca="1">'הנחות עבודה לררל ומדרג'!$F$7*Q151</f>
        <v>1299801.3803180098</v>
      </c>
      <c r="S151" s="79">
        <f t="shared" ca="1" si="9"/>
        <v>31702.472690683164</v>
      </c>
      <c r="T151" s="79">
        <f ca="1">'ררל ומדרג'!$AH$1</f>
        <v>48975.779132102936</v>
      </c>
      <c r="U151" s="79">
        <f t="shared" ca="1" si="11"/>
        <v>80678.2518227861</v>
      </c>
    </row>
    <row r="152" spans="1:21">
      <c r="A152">
        <v>152</v>
      </c>
      <c r="B152">
        <v>8912082</v>
      </c>
      <c r="C152" t="s">
        <v>3562</v>
      </c>
      <c r="D152">
        <v>622022</v>
      </c>
      <c r="E152" t="s">
        <v>3939</v>
      </c>
      <c r="F152" t="s">
        <v>3940</v>
      </c>
      <c r="G152" s="217">
        <v>7964.15</v>
      </c>
      <c r="H152" t="s">
        <v>3941</v>
      </c>
      <c r="I152">
        <v>45.9</v>
      </c>
      <c r="J152">
        <v>798.8</v>
      </c>
      <c r="K152">
        <v>100</v>
      </c>
      <c r="L152" s="13">
        <f>VLOOKUP($B152,'[3]חשבונות חברה 40'!$A:$I,7,0)</f>
        <v>12082</v>
      </c>
      <c r="M152" s="13">
        <f>VLOOKUP($B152,'[3]חשבונות חברה 40'!$A:$I,5,0)</f>
        <v>1208</v>
      </c>
      <c r="N152" s="4" t="str">
        <f>IF(VLOOKUP($B152,'[3]חשבונות חברה 40'!$A:$J,10,0)=0,"",VLOOKUP($B152,'[3]חשבונות חברה 40'!$A:$J,10,0))</f>
        <v/>
      </c>
      <c r="P152" s="218">
        <f t="shared" si="10"/>
        <v>814.8</v>
      </c>
      <c r="Q152" s="122">
        <f t="shared" si="8"/>
        <v>4.6527467994378346E-3</v>
      </c>
      <c r="R152" s="1">
        <f ca="1">'הנחות עבודה לררל ומדרג'!$F$7*Q152</f>
        <v>1285289.0348096048</v>
      </c>
      <c r="S152" s="79">
        <f t="shared" ca="1" si="9"/>
        <v>31348.5130441367</v>
      </c>
      <c r="T152" s="79">
        <f ca="1">'ררל ומדרג'!$AH$1</f>
        <v>48975.779132102936</v>
      </c>
      <c r="U152" s="79">
        <f t="shared" ca="1" si="11"/>
        <v>80324.292176239629</v>
      </c>
    </row>
    <row r="153" spans="1:21">
      <c r="A153">
        <v>153</v>
      </c>
      <c r="B153">
        <v>8912091</v>
      </c>
      <c r="C153" t="s">
        <v>3563</v>
      </c>
      <c r="D153">
        <v>622022</v>
      </c>
      <c r="E153" t="s">
        <v>3939</v>
      </c>
      <c r="F153" t="s">
        <v>3940</v>
      </c>
      <c r="G153" s="217">
        <v>7595.65</v>
      </c>
      <c r="H153" t="s">
        <v>3941</v>
      </c>
      <c r="I153">
        <v>42.82</v>
      </c>
      <c r="J153">
        <v>761.84</v>
      </c>
      <c r="K153">
        <v>100</v>
      </c>
      <c r="L153" s="13">
        <f>VLOOKUP($B153,'[3]חשבונות חברה 40'!$A:$I,7,0)</f>
        <v>12091</v>
      </c>
      <c r="M153" s="13">
        <f>VLOOKUP($B153,'[3]חשבונות חברה 40'!$A:$I,5,0)</f>
        <v>1209</v>
      </c>
      <c r="N153" s="4" t="str">
        <f>IF(VLOOKUP($B153,'[3]חשבונות חברה 40'!$A:$J,10,0)=0,"",VLOOKUP($B153,'[3]חשבונות חברה 40'!$A:$J,10,0))</f>
        <v/>
      </c>
      <c r="P153" s="218">
        <f t="shared" si="10"/>
        <v>777.84</v>
      </c>
      <c r="Q153" s="122">
        <f t="shared" si="8"/>
        <v>4.4416943672983874E-3</v>
      </c>
      <c r="R153" s="1">
        <f ca="1">'הנחות עבודה לררל ומדרג'!$F$7*Q153</f>
        <v>1226987.2641584477</v>
      </c>
      <c r="S153" s="79">
        <f t="shared" ca="1" si="9"/>
        <v>29926.518638010919</v>
      </c>
      <c r="T153" s="79">
        <f ca="1">'ררל ומדרג'!$AH$1</f>
        <v>48975.779132102936</v>
      </c>
      <c r="U153" s="79">
        <f t="shared" ca="1" si="11"/>
        <v>78902.297770113859</v>
      </c>
    </row>
    <row r="154" spans="1:21">
      <c r="A154">
        <v>154</v>
      </c>
      <c r="B154">
        <v>8912092</v>
      </c>
      <c r="C154" t="s">
        <v>3564</v>
      </c>
      <c r="D154">
        <v>622022</v>
      </c>
      <c r="E154" t="s">
        <v>3939</v>
      </c>
      <c r="F154" t="s">
        <v>3940</v>
      </c>
      <c r="G154" s="217">
        <v>8028.76</v>
      </c>
      <c r="H154" t="s">
        <v>3941</v>
      </c>
      <c r="I154">
        <v>46.44</v>
      </c>
      <c r="J154">
        <v>805.28</v>
      </c>
      <c r="K154">
        <v>100</v>
      </c>
      <c r="L154" s="13">
        <f>VLOOKUP($B154,'[3]חשבונות חברה 40'!$A:$I,7,0)</f>
        <v>12092</v>
      </c>
      <c r="M154" s="13">
        <f>VLOOKUP($B154,'[3]חשבונות חברה 40'!$A:$I,5,0)</f>
        <v>1209</v>
      </c>
      <c r="N154" s="4" t="str">
        <f>IF(VLOOKUP($B154,'[3]חשבונות חברה 40'!$A:$J,10,0)=0,"",VLOOKUP($B154,'[3]חשבונות חברה 40'!$A:$J,10,0))</f>
        <v/>
      </c>
      <c r="P154" s="218">
        <f t="shared" si="10"/>
        <v>821.28</v>
      </c>
      <c r="Q154" s="122">
        <f t="shared" si="8"/>
        <v>4.6897494985791667E-3</v>
      </c>
      <c r="R154" s="1">
        <f ca="1">'הנחות עבודה לררל ומדרג'!$F$7*Q154</f>
        <v>1295510.7738198726</v>
      </c>
      <c r="S154" s="79">
        <f t="shared" ca="1" si="9"/>
        <v>31597.823751704211</v>
      </c>
      <c r="T154" s="79">
        <f ca="1">'ררל ומדרג'!$AH$1</f>
        <v>48975.779132102936</v>
      </c>
      <c r="U154" s="79">
        <f t="shared" ca="1" si="11"/>
        <v>80573.602883807151</v>
      </c>
    </row>
    <row r="155" spans="1:21">
      <c r="A155">
        <v>155</v>
      </c>
      <c r="B155">
        <v>8912101</v>
      </c>
      <c r="C155" t="s">
        <v>3565</v>
      </c>
      <c r="D155">
        <v>622022</v>
      </c>
      <c r="E155" t="s">
        <v>3939</v>
      </c>
      <c r="F155" t="s">
        <v>3940</v>
      </c>
      <c r="G155" s="217">
        <v>7916.29</v>
      </c>
      <c r="H155" t="s">
        <v>3941</v>
      </c>
      <c r="I155">
        <v>45.5</v>
      </c>
      <c r="J155">
        <v>794</v>
      </c>
      <c r="K155">
        <v>100</v>
      </c>
      <c r="L155" s="13">
        <f>VLOOKUP($B155,'[3]חשבונות חברה 40'!$A:$I,7,0)</f>
        <v>12101</v>
      </c>
      <c r="M155" s="13">
        <f>VLOOKUP($B155,'[3]חשבונות חברה 40'!$A:$I,5,0)</f>
        <v>1210</v>
      </c>
      <c r="N155" s="4" t="str">
        <f>IF(VLOOKUP($B155,'[3]חשבונות חברה 40'!$A:$J,10,0)=0,"",VLOOKUP($B155,'[3]חשבונות חברה 40'!$A:$J,10,0))</f>
        <v/>
      </c>
      <c r="P155" s="218">
        <f t="shared" si="10"/>
        <v>810</v>
      </c>
      <c r="Q155" s="122">
        <f t="shared" si="8"/>
        <v>4.6253373926664777E-3</v>
      </c>
      <c r="R155" s="1">
        <f ca="1">'הנחות עבודה לררל ומדרג'!$F$7*Q155</f>
        <v>1277717.3762834806</v>
      </c>
      <c r="S155" s="79">
        <f t="shared" ca="1" si="9"/>
        <v>31163.838445938549</v>
      </c>
      <c r="T155" s="79">
        <f ca="1">'ררל ומדרג'!$AH$1</f>
        <v>48975.779132102936</v>
      </c>
      <c r="U155" s="79">
        <f t="shared" ca="1" si="11"/>
        <v>80139.617578041478</v>
      </c>
    </row>
    <row r="156" spans="1:21">
      <c r="A156">
        <v>156</v>
      </c>
      <c r="B156">
        <v>8912102</v>
      </c>
      <c r="C156" t="s">
        <v>3566</v>
      </c>
      <c r="D156">
        <v>622022</v>
      </c>
      <c r="E156" t="s">
        <v>3939</v>
      </c>
      <c r="F156" t="s">
        <v>3940</v>
      </c>
      <c r="G156" s="217">
        <v>8151.99</v>
      </c>
      <c r="H156" t="s">
        <v>3941</v>
      </c>
      <c r="I156">
        <v>47.47</v>
      </c>
      <c r="J156">
        <v>817.64</v>
      </c>
      <c r="K156">
        <v>100</v>
      </c>
      <c r="L156" s="13">
        <f>VLOOKUP($B156,'[3]חשבונות חברה 40'!$A:$I,7,0)</f>
        <v>12102</v>
      </c>
      <c r="M156" s="13">
        <f>VLOOKUP($B156,'[3]חשבונות חברה 40'!$A:$I,5,0)</f>
        <v>1210</v>
      </c>
      <c r="N156" s="4" t="str">
        <f>IF(VLOOKUP($B156,'[3]חשבונות חברה 40'!$A:$J,10,0)=0,"",VLOOKUP($B156,'[3]חשבונות חברה 40'!$A:$J,10,0))</f>
        <v/>
      </c>
      <c r="P156" s="218">
        <f t="shared" si="10"/>
        <v>824</v>
      </c>
      <c r="Q156" s="122">
        <f t="shared" si="8"/>
        <v>4.7052814957496024E-3</v>
      </c>
      <c r="R156" s="1">
        <f ca="1">'הנחות עבודה לררל ומדרג'!$F$7*Q156</f>
        <v>1299801.3803180098</v>
      </c>
      <c r="S156" s="79">
        <f t="shared" ca="1" si="9"/>
        <v>31702.472690683164</v>
      </c>
      <c r="T156" s="79">
        <f ca="1">'ררל ומדרג'!$AH$1</f>
        <v>48975.779132102936</v>
      </c>
      <c r="U156" s="79">
        <f t="shared" ca="1" si="11"/>
        <v>80678.2518227861</v>
      </c>
    </row>
    <row r="157" spans="1:21">
      <c r="A157">
        <v>157</v>
      </c>
      <c r="B157">
        <v>8912112</v>
      </c>
      <c r="C157" t="s">
        <v>3567</v>
      </c>
      <c r="D157">
        <v>622022</v>
      </c>
      <c r="E157" t="s">
        <v>3939</v>
      </c>
      <c r="F157" t="s">
        <v>3940</v>
      </c>
      <c r="G157" s="217">
        <v>6567.93</v>
      </c>
      <c r="H157" t="s">
        <v>3941</v>
      </c>
      <c r="I157">
        <v>34.229999999999997</v>
      </c>
      <c r="J157">
        <v>658.76</v>
      </c>
      <c r="K157">
        <v>100</v>
      </c>
      <c r="L157" s="13">
        <f>VLOOKUP($B157,'[3]חשבונות חברה 40'!$A:$I,7,0)</f>
        <v>12112</v>
      </c>
      <c r="M157" s="13">
        <f>VLOOKUP($B157,'[3]חשבונות חברה 40'!$A:$I,5,0)</f>
        <v>1211</v>
      </c>
      <c r="N157" s="4" t="str">
        <f>IF(VLOOKUP($B157,'[3]חשבונות חברה 40'!$A:$J,10,0)=0,"",VLOOKUP($B157,'[3]חשבונות חברה 40'!$A:$J,10,0))</f>
        <v/>
      </c>
      <c r="P157" s="218">
        <f t="shared" si="10"/>
        <v>674.76</v>
      </c>
      <c r="Q157" s="122">
        <f t="shared" si="8"/>
        <v>3.853077356883497E-3</v>
      </c>
      <c r="R157" s="1">
        <f ca="1">'הנחות עבודה לררל ומדרג'!$F$7*Q157</f>
        <v>1064385.8973099275</v>
      </c>
      <c r="S157" s="79">
        <f t="shared" ca="1" si="9"/>
        <v>25960.63164170555</v>
      </c>
      <c r="T157" s="79">
        <f ca="1">'ררל ומדרג'!$AH$1</f>
        <v>48975.779132102936</v>
      </c>
      <c r="U157" s="79">
        <f t="shared" ca="1" si="11"/>
        <v>74936.410773808486</v>
      </c>
    </row>
    <row r="158" spans="1:21">
      <c r="A158">
        <v>158</v>
      </c>
      <c r="B158">
        <v>8912131</v>
      </c>
      <c r="C158" t="s">
        <v>3570</v>
      </c>
      <c r="D158">
        <v>622022</v>
      </c>
      <c r="E158" t="s">
        <v>3939</v>
      </c>
      <c r="F158" t="s">
        <v>3940</v>
      </c>
      <c r="G158" s="217">
        <v>3569.71</v>
      </c>
      <c r="H158" t="s">
        <v>3941</v>
      </c>
      <c r="I158">
        <v>9.17</v>
      </c>
      <c r="J158">
        <v>358.04</v>
      </c>
      <c r="K158">
        <v>100</v>
      </c>
      <c r="L158" s="13">
        <f>VLOOKUP($B158,'[3]חשבונות חברה 40'!$A:$I,7,0)</f>
        <v>12131</v>
      </c>
      <c r="M158" s="13">
        <f>VLOOKUP($B158,'[3]חשבונות חברה 40'!$A:$I,5,0)</f>
        <v>1213</v>
      </c>
      <c r="N158" s="4" t="str">
        <f>IF(VLOOKUP($B158,'[3]חשבונות חברה 40'!$A:$J,10,0)=0,"",VLOOKUP($B158,'[3]חשבונות חברה 40'!$A:$J,10,0))</f>
        <v/>
      </c>
      <c r="P158" s="218">
        <f t="shared" si="10"/>
        <v>374.04</v>
      </c>
      <c r="Q158" s="122">
        <f t="shared" si="8"/>
        <v>2.1358780226579869E-3</v>
      </c>
      <c r="R158" s="1">
        <f ca="1">'הנחות עבודה לררל ומדרג'!$F$7*Q158</f>
        <v>590021.49064823834</v>
      </c>
      <c r="S158" s="79">
        <f t="shared" ca="1" si="9"/>
        <v>14390.768064591179</v>
      </c>
      <c r="T158" s="79">
        <f ca="1">'ררל ומדרג'!$AH$1</f>
        <v>48975.779132102936</v>
      </c>
      <c r="U158" s="79">
        <f t="shared" ca="1" si="11"/>
        <v>63366.547196694111</v>
      </c>
    </row>
    <row r="159" spans="1:21">
      <c r="A159">
        <v>159</v>
      </c>
      <c r="B159">
        <v>8912132</v>
      </c>
      <c r="C159" t="s">
        <v>1770</v>
      </c>
      <c r="D159">
        <v>622022</v>
      </c>
      <c r="E159" t="s">
        <v>3939</v>
      </c>
      <c r="F159" t="s">
        <v>3940</v>
      </c>
      <c r="G159" s="217">
        <v>3569.71</v>
      </c>
      <c r="H159" t="s">
        <v>3941</v>
      </c>
      <c r="I159">
        <v>9.17</v>
      </c>
      <c r="J159">
        <v>358.04</v>
      </c>
      <c r="K159">
        <v>100</v>
      </c>
      <c r="L159" s="13">
        <f>VLOOKUP($B159,'[3]חשבונות חברה 40'!$A:$I,7,0)</f>
        <v>12132</v>
      </c>
      <c r="M159" s="13">
        <f>VLOOKUP($B159,'[3]חשבונות חברה 40'!$A:$I,5,0)</f>
        <v>1213</v>
      </c>
      <c r="N159" s="4" t="str">
        <f>IF(VLOOKUP($B159,'[3]חשבונות חברה 40'!$A:$J,10,0)=0,"",VLOOKUP($B159,'[3]חשבונות חברה 40'!$A:$J,10,0))</f>
        <v/>
      </c>
      <c r="P159" s="218">
        <f t="shared" si="10"/>
        <v>374.04</v>
      </c>
      <c r="Q159" s="122">
        <f t="shared" si="8"/>
        <v>2.1358780226579869E-3</v>
      </c>
      <c r="R159" s="1">
        <f ca="1">'הנחות עבודה לררל ומדרג'!$F$7*Q159</f>
        <v>590021.49064823834</v>
      </c>
      <c r="S159" s="79">
        <f t="shared" ca="1" si="9"/>
        <v>14390.768064591179</v>
      </c>
      <c r="T159" s="79">
        <f ca="1">'ררל ומדרג'!$AH$1</f>
        <v>48975.779132102936</v>
      </c>
      <c r="U159" s="79">
        <f t="shared" ca="1" si="11"/>
        <v>63366.547196694111</v>
      </c>
    </row>
    <row r="160" spans="1:21">
      <c r="A160">
        <v>160</v>
      </c>
      <c r="B160">
        <v>8912141</v>
      </c>
      <c r="C160" t="s">
        <v>3571</v>
      </c>
      <c r="D160">
        <v>622022</v>
      </c>
      <c r="E160" t="s">
        <v>3939</v>
      </c>
      <c r="F160" t="s">
        <v>3940</v>
      </c>
      <c r="G160" s="217">
        <v>8215.4</v>
      </c>
      <c r="H160" t="s">
        <v>3941</v>
      </c>
      <c r="I160">
        <v>48</v>
      </c>
      <c r="J160">
        <v>824</v>
      </c>
      <c r="K160">
        <v>100</v>
      </c>
      <c r="L160" s="13">
        <f>VLOOKUP($B160,'[3]חשבונות חברה 40'!$A:$I,7,0)</f>
        <v>12141</v>
      </c>
      <c r="M160" s="13">
        <f>VLOOKUP($B160,'[3]חשבונות חברה 40'!$A:$I,5,0)</f>
        <v>1214</v>
      </c>
      <c r="N160" s="4" t="str">
        <f>IF(VLOOKUP($B160,'[3]חשבונות חברה 40'!$A:$J,10,0)=0,"",VLOOKUP($B160,'[3]חשבונות חברה 40'!$A:$J,10,0))</f>
        <v/>
      </c>
      <c r="P160" s="218">
        <f t="shared" si="10"/>
        <v>824</v>
      </c>
      <c r="Q160" s="122">
        <f t="shared" si="8"/>
        <v>4.7052814957496024E-3</v>
      </c>
      <c r="R160" s="1">
        <f ca="1">'הנחות עבודה לררל ומדרג'!$F$7*Q160</f>
        <v>1299801.3803180098</v>
      </c>
      <c r="S160" s="79">
        <f t="shared" ca="1" si="9"/>
        <v>31702.472690683164</v>
      </c>
      <c r="T160" s="79">
        <f ca="1">'ררל ומדרג'!$AH$1</f>
        <v>48975.779132102936</v>
      </c>
      <c r="U160" s="79">
        <f t="shared" ca="1" si="11"/>
        <v>80678.2518227861</v>
      </c>
    </row>
    <row r="161" spans="1:21">
      <c r="A161">
        <v>161</v>
      </c>
      <c r="B161">
        <v>8912142</v>
      </c>
      <c r="C161" t="s">
        <v>3572</v>
      </c>
      <c r="D161">
        <v>622022</v>
      </c>
      <c r="E161" t="s">
        <v>3939</v>
      </c>
      <c r="F161" t="s">
        <v>3940</v>
      </c>
      <c r="G161" s="217">
        <v>7830.15</v>
      </c>
      <c r="H161" t="s">
        <v>3941</v>
      </c>
      <c r="I161">
        <v>44.78</v>
      </c>
      <c r="J161">
        <v>785.36</v>
      </c>
      <c r="K161">
        <v>100</v>
      </c>
      <c r="L161" s="13">
        <f>VLOOKUP($B161,'[3]חשבונות חברה 40'!$A:$I,7,0)</f>
        <v>12142</v>
      </c>
      <c r="M161" s="13">
        <f>VLOOKUP($B161,'[3]חשבונות חברה 40'!$A:$I,5,0)</f>
        <v>1214</v>
      </c>
      <c r="N161" s="4" t="str">
        <f>IF(VLOOKUP($B161,'[3]חשבונות חברה 40'!$A:$J,10,0)=0,"",VLOOKUP($B161,'[3]חשבונות חברה 40'!$A:$J,10,0))</f>
        <v/>
      </c>
      <c r="P161" s="218">
        <f t="shared" si="10"/>
        <v>801.36</v>
      </c>
      <c r="Q161" s="122">
        <f t="shared" si="8"/>
        <v>4.5760004604780361E-3</v>
      </c>
      <c r="R161" s="1">
        <f ca="1">'הנחות עבודה לררל ומדרג'!$F$7*Q161</f>
        <v>1264088.3909364569</v>
      </c>
      <c r="S161" s="79">
        <f t="shared" ca="1" si="9"/>
        <v>30831.424169181875</v>
      </c>
      <c r="T161" s="79">
        <f ca="1">'ררל ומדרג'!$AH$1</f>
        <v>48975.779132102936</v>
      </c>
      <c r="U161" s="79">
        <f t="shared" ca="1" si="11"/>
        <v>79807.203301284811</v>
      </c>
    </row>
    <row r="162" spans="1:21">
      <c r="A162">
        <v>162</v>
      </c>
      <c r="B162">
        <v>8912151</v>
      </c>
      <c r="C162" t="s">
        <v>3573</v>
      </c>
      <c r="D162">
        <v>622022</v>
      </c>
      <c r="E162" t="s">
        <v>3939</v>
      </c>
      <c r="F162" t="s">
        <v>3940</v>
      </c>
      <c r="G162" s="217">
        <v>8215.4</v>
      </c>
      <c r="H162" t="s">
        <v>3941</v>
      </c>
      <c r="I162">
        <v>48</v>
      </c>
      <c r="J162">
        <v>824</v>
      </c>
      <c r="K162">
        <v>100</v>
      </c>
      <c r="L162" s="13">
        <f>VLOOKUP($B162,'[3]חשבונות חברה 40'!$A:$I,7,0)</f>
        <v>12151</v>
      </c>
      <c r="M162" s="13">
        <f>VLOOKUP($B162,'[3]חשבונות חברה 40'!$A:$I,5,0)</f>
        <v>1215</v>
      </c>
      <c r="N162" s="4" t="str">
        <f>IF(VLOOKUP($B162,'[3]חשבונות חברה 40'!$A:$J,10,0)=0,"",VLOOKUP($B162,'[3]חשבונות חברה 40'!$A:$J,10,0))</f>
        <v/>
      </c>
      <c r="P162" s="218">
        <f t="shared" si="10"/>
        <v>824</v>
      </c>
      <c r="Q162" s="122">
        <f t="shared" si="8"/>
        <v>4.7052814957496024E-3</v>
      </c>
      <c r="R162" s="1">
        <f ca="1">'הנחות עבודה לררל ומדרג'!$F$7*Q162</f>
        <v>1299801.3803180098</v>
      </c>
      <c r="S162" s="79">
        <f t="shared" ca="1" si="9"/>
        <v>31702.472690683164</v>
      </c>
      <c r="T162" s="79">
        <f ca="1">'ררל ומדרג'!$AH$1</f>
        <v>48975.779132102936</v>
      </c>
      <c r="U162" s="79">
        <f t="shared" ca="1" si="11"/>
        <v>80678.2518227861</v>
      </c>
    </row>
    <row r="163" spans="1:21">
      <c r="A163">
        <v>163</v>
      </c>
      <c r="B163">
        <v>8912152</v>
      </c>
      <c r="C163" t="s">
        <v>3575</v>
      </c>
      <c r="D163">
        <v>622022</v>
      </c>
      <c r="E163" t="s">
        <v>3939</v>
      </c>
      <c r="F163" t="s">
        <v>3940</v>
      </c>
      <c r="G163" s="217">
        <v>8215.4</v>
      </c>
      <c r="H163" t="s">
        <v>3941</v>
      </c>
      <c r="I163">
        <v>48</v>
      </c>
      <c r="J163">
        <v>824</v>
      </c>
      <c r="K163">
        <v>100</v>
      </c>
      <c r="L163" s="13">
        <f>VLOOKUP($B163,'[3]חשבונות חברה 40'!$A:$I,7,0)</f>
        <v>12152</v>
      </c>
      <c r="M163" s="13">
        <f>VLOOKUP($B163,'[3]חשבונות חברה 40'!$A:$I,5,0)</f>
        <v>1215</v>
      </c>
      <c r="N163" s="4" t="str">
        <f>IF(VLOOKUP($B163,'[3]חשבונות חברה 40'!$A:$J,10,0)=0,"",VLOOKUP($B163,'[3]חשבונות חברה 40'!$A:$J,10,0))</f>
        <v/>
      </c>
      <c r="P163" s="218">
        <f t="shared" si="10"/>
        <v>824</v>
      </c>
      <c r="Q163" s="122">
        <f t="shared" si="8"/>
        <v>4.7052814957496024E-3</v>
      </c>
      <c r="R163" s="1">
        <f ca="1">'הנחות עבודה לררל ומדרג'!$F$7*Q163</f>
        <v>1299801.3803180098</v>
      </c>
      <c r="S163" s="79">
        <f t="shared" ca="1" si="9"/>
        <v>31702.472690683164</v>
      </c>
      <c r="T163" s="79">
        <f ca="1">'ררל ומדרג'!$AH$1</f>
        <v>48975.779132102936</v>
      </c>
      <c r="U163" s="79">
        <f t="shared" ca="1" si="11"/>
        <v>80678.2518227861</v>
      </c>
    </row>
    <row r="164" spans="1:21">
      <c r="A164">
        <v>164</v>
      </c>
      <c r="B164">
        <v>8912161</v>
      </c>
      <c r="C164" t="s">
        <v>3576</v>
      </c>
      <c r="D164">
        <v>622022</v>
      </c>
      <c r="E164" t="s">
        <v>3939</v>
      </c>
      <c r="F164" t="s">
        <v>3940</v>
      </c>
      <c r="G164" s="217">
        <v>8215.4</v>
      </c>
      <c r="H164" t="s">
        <v>3941</v>
      </c>
      <c r="I164">
        <v>48</v>
      </c>
      <c r="J164">
        <v>824</v>
      </c>
      <c r="K164">
        <v>100</v>
      </c>
      <c r="L164" s="13">
        <f>VLOOKUP($B164,'[3]חשבונות חברה 40'!$A:$I,7,0)</f>
        <v>12161</v>
      </c>
      <c r="M164" s="13">
        <f>VLOOKUP($B164,'[3]חשבונות חברה 40'!$A:$I,5,0)</f>
        <v>1216</v>
      </c>
      <c r="N164" s="4" t="str">
        <f>IF(VLOOKUP($B164,'[3]חשבונות חברה 40'!$A:$J,10,0)=0,"",VLOOKUP($B164,'[3]חשבונות חברה 40'!$A:$J,10,0))</f>
        <v/>
      </c>
      <c r="P164" s="218">
        <f t="shared" si="10"/>
        <v>824</v>
      </c>
      <c r="Q164" s="122">
        <f t="shared" si="8"/>
        <v>4.7052814957496024E-3</v>
      </c>
      <c r="R164" s="1">
        <f ca="1">'הנחות עבודה לררל ומדרג'!$F$7*Q164</f>
        <v>1299801.3803180098</v>
      </c>
      <c r="S164" s="79">
        <f t="shared" ca="1" si="9"/>
        <v>31702.472690683164</v>
      </c>
      <c r="T164" s="79">
        <f ca="1">'ררל ומדרג'!$AH$1</f>
        <v>48975.779132102936</v>
      </c>
      <c r="U164" s="79">
        <f t="shared" ca="1" si="11"/>
        <v>80678.2518227861</v>
      </c>
    </row>
    <row r="165" spans="1:21">
      <c r="A165">
        <v>165</v>
      </c>
      <c r="B165">
        <v>8912162</v>
      </c>
      <c r="C165" t="s">
        <v>3577</v>
      </c>
      <c r="D165">
        <v>622022</v>
      </c>
      <c r="E165" t="s">
        <v>3939</v>
      </c>
      <c r="F165" t="s">
        <v>3940</v>
      </c>
      <c r="G165" s="217">
        <v>8215.4</v>
      </c>
      <c r="H165" t="s">
        <v>3941</v>
      </c>
      <c r="I165">
        <v>48</v>
      </c>
      <c r="J165">
        <v>824</v>
      </c>
      <c r="K165">
        <v>100</v>
      </c>
      <c r="L165" s="13">
        <f>VLOOKUP($B165,'[3]חשבונות חברה 40'!$A:$I,7,0)</f>
        <v>12162</v>
      </c>
      <c r="M165" s="13">
        <f>VLOOKUP($B165,'[3]חשבונות חברה 40'!$A:$I,5,0)</f>
        <v>1216</v>
      </c>
      <c r="N165" s="4" t="str">
        <f>IF(VLOOKUP($B165,'[3]חשבונות חברה 40'!$A:$J,10,0)=0,"",VLOOKUP($B165,'[3]חשבונות חברה 40'!$A:$J,10,0))</f>
        <v/>
      </c>
      <c r="P165" s="218">
        <f t="shared" si="10"/>
        <v>824</v>
      </c>
      <c r="Q165" s="122">
        <f t="shared" si="8"/>
        <v>4.7052814957496024E-3</v>
      </c>
      <c r="R165" s="1">
        <f ca="1">'הנחות עבודה לררל ומדרג'!$F$7*Q165</f>
        <v>1299801.3803180098</v>
      </c>
      <c r="S165" s="79">
        <f t="shared" ca="1" si="9"/>
        <v>31702.472690683164</v>
      </c>
      <c r="T165" s="79">
        <f ca="1">'ררל ומדרג'!$AH$1</f>
        <v>48975.779132102936</v>
      </c>
      <c r="U165" s="79">
        <f t="shared" ca="1" si="11"/>
        <v>80678.2518227861</v>
      </c>
    </row>
    <row r="166" spans="1:21">
      <c r="A166">
        <v>166</v>
      </c>
      <c r="B166">
        <v>8912181</v>
      </c>
      <c r="C166" t="s">
        <v>3578</v>
      </c>
      <c r="D166">
        <v>622022</v>
      </c>
      <c r="E166" t="s">
        <v>3939</v>
      </c>
      <c r="F166" t="s">
        <v>3940</v>
      </c>
      <c r="G166" s="217">
        <v>7809.81</v>
      </c>
      <c r="H166" t="s">
        <v>3941</v>
      </c>
      <c r="I166">
        <v>44.61</v>
      </c>
      <c r="J166">
        <v>783.32</v>
      </c>
      <c r="K166">
        <v>100</v>
      </c>
      <c r="L166" s="13">
        <f>VLOOKUP($B166,'[3]חשבונות חברה 40'!$A:$I,7,0)</f>
        <v>12181</v>
      </c>
      <c r="M166" s="13">
        <f>VLOOKUP($B166,'[3]חשבונות חברה 40'!$A:$I,5,0)</f>
        <v>1218</v>
      </c>
      <c r="N166" s="4" t="str">
        <f>IF(VLOOKUP($B166,'[3]חשבונות חברה 40'!$A:$J,10,0)=0,"",VLOOKUP($B166,'[3]חשבונות חברה 40'!$A:$J,10,0))</f>
        <v/>
      </c>
      <c r="P166" s="218">
        <f t="shared" si="10"/>
        <v>799.32</v>
      </c>
      <c r="Q166" s="122">
        <f t="shared" si="8"/>
        <v>4.5643514626002094E-3</v>
      </c>
      <c r="R166" s="1">
        <f ca="1">'הנחות עבודה לררל ומדרג'!$F$7*Q166</f>
        <v>1260870.436062854</v>
      </c>
      <c r="S166" s="79">
        <f t="shared" ca="1" si="9"/>
        <v>30752.937464947659</v>
      </c>
      <c r="T166" s="79">
        <f ca="1">'ררל ומדרג'!$AH$1</f>
        <v>48975.779132102936</v>
      </c>
      <c r="U166" s="79">
        <f t="shared" ca="1" si="11"/>
        <v>79728.716597050603</v>
      </c>
    </row>
    <row r="167" spans="1:21">
      <c r="A167">
        <v>167</v>
      </c>
      <c r="B167">
        <v>8912182</v>
      </c>
      <c r="C167" t="s">
        <v>3579</v>
      </c>
      <c r="D167">
        <v>622022</v>
      </c>
      <c r="E167" t="s">
        <v>3939</v>
      </c>
      <c r="F167" t="s">
        <v>3940</v>
      </c>
      <c r="G167" s="217">
        <v>5111.8900000000003</v>
      </c>
      <c r="H167" t="s">
        <v>3941</v>
      </c>
      <c r="I167">
        <v>22.06</v>
      </c>
      <c r="J167">
        <v>512.72</v>
      </c>
      <c r="K167">
        <v>100</v>
      </c>
      <c r="L167" s="13">
        <f>VLOOKUP($B167,'[3]חשבונות חברה 40'!$A:$I,7,0)</f>
        <v>12182</v>
      </c>
      <c r="M167" s="13">
        <f>VLOOKUP($B167,'[3]חשבונות חברה 40'!$A:$I,5,0)</f>
        <v>1218</v>
      </c>
      <c r="N167" s="4" t="str">
        <f>IF(VLOOKUP($B167,'[3]חשבונות חברה 40'!$A:$J,10,0)=0,"",VLOOKUP($B167,'[3]חשבונות חברה 40'!$A:$J,10,0))</f>
        <v/>
      </c>
      <c r="P167" s="218">
        <f t="shared" si="10"/>
        <v>528.72</v>
      </c>
      <c r="Q167" s="122">
        <f t="shared" si="8"/>
        <v>3.0191461558649636E-3</v>
      </c>
      <c r="R167" s="1">
        <f ca="1">'הנחות עבודה לררל ומדרג'!$F$7*Q167</f>
        <v>834018.18665259494</v>
      </c>
      <c r="S167" s="79">
        <f t="shared" ca="1" si="9"/>
        <v>20341.906991526706</v>
      </c>
      <c r="T167" s="79">
        <f ca="1">'ררל ומדרג'!$AH$1</f>
        <v>48975.779132102936</v>
      </c>
      <c r="U167" s="79">
        <f t="shared" ca="1" si="11"/>
        <v>69317.686123629639</v>
      </c>
    </row>
    <row r="168" spans="1:21">
      <c r="A168">
        <v>168</v>
      </c>
      <c r="B168">
        <v>8912191</v>
      </c>
      <c r="C168" t="s">
        <v>3580</v>
      </c>
      <c r="D168">
        <v>622022</v>
      </c>
      <c r="E168" t="s">
        <v>3939</v>
      </c>
      <c r="F168" t="s">
        <v>3940</v>
      </c>
      <c r="G168" s="217">
        <v>5217.18</v>
      </c>
      <c r="H168" t="s">
        <v>3941</v>
      </c>
      <c r="I168">
        <v>22.94</v>
      </c>
      <c r="J168">
        <v>523.28</v>
      </c>
      <c r="K168">
        <v>100</v>
      </c>
      <c r="L168" s="13">
        <f>VLOOKUP($B168,'[3]חשבונות חברה 40'!$A:$I,7,0)</f>
        <v>12191</v>
      </c>
      <c r="M168" s="13">
        <f>VLOOKUP($B168,'[3]חשבונות חברה 40'!$A:$I,5,0)</f>
        <v>1219</v>
      </c>
      <c r="N168" s="4" t="str">
        <f>IF(VLOOKUP($B168,'[3]חשבונות חברה 40'!$A:$J,10,0)=0,"",VLOOKUP($B168,'[3]חשבונות חברה 40'!$A:$J,10,0))</f>
        <v/>
      </c>
      <c r="P168" s="218">
        <f t="shared" si="10"/>
        <v>539.28</v>
      </c>
      <c r="Q168" s="122">
        <f t="shared" si="8"/>
        <v>3.0794468507619483E-3</v>
      </c>
      <c r="R168" s="1">
        <f ca="1">'הנחות עבודה לררל ומדרג'!$F$7*Q168</f>
        <v>850675.83541006839</v>
      </c>
      <c r="S168" s="79">
        <f t="shared" ca="1" si="9"/>
        <v>20748.191107562645</v>
      </c>
      <c r="T168" s="79">
        <f ca="1">'ררל ומדרג'!$AH$1</f>
        <v>48975.779132102936</v>
      </c>
      <c r="U168" s="79">
        <f t="shared" ca="1" si="11"/>
        <v>69723.970239665578</v>
      </c>
    </row>
    <row r="169" spans="1:21">
      <c r="A169">
        <v>169</v>
      </c>
      <c r="B169">
        <v>8912192</v>
      </c>
      <c r="C169" t="s">
        <v>3583</v>
      </c>
      <c r="D169">
        <v>622022</v>
      </c>
      <c r="E169" t="s">
        <v>3939</v>
      </c>
      <c r="F169" t="s">
        <v>3940</v>
      </c>
      <c r="G169" s="217">
        <v>4976.7</v>
      </c>
      <c r="H169" t="s">
        <v>3941</v>
      </c>
      <c r="I169">
        <v>20.93</v>
      </c>
      <c r="J169">
        <v>499.16</v>
      </c>
      <c r="K169">
        <v>100</v>
      </c>
      <c r="L169" s="13">
        <f>VLOOKUP($B169,'[3]חשבונות חברה 40'!$A:$I,7,0)</f>
        <v>12192</v>
      </c>
      <c r="M169" s="13">
        <f>VLOOKUP($B169,'[3]חשבונות חברה 40'!$A:$I,5,0)</f>
        <v>1219</v>
      </c>
      <c r="N169" s="4" t="str">
        <f>IF(VLOOKUP($B169,'[3]חשבונות חברה 40'!$A:$J,10,0)=0,"",VLOOKUP($B169,'[3]חשבונות חברה 40'!$A:$J,10,0))</f>
        <v/>
      </c>
      <c r="P169" s="218">
        <f t="shared" si="10"/>
        <v>515.16000000000008</v>
      </c>
      <c r="Q169" s="122">
        <f t="shared" si="8"/>
        <v>2.9417145817358806E-3</v>
      </c>
      <c r="R169" s="1">
        <f ca="1">'הנחות עבודה לררל ומדרג'!$F$7*Q169</f>
        <v>812628.25131629384</v>
      </c>
      <c r="S169" s="79">
        <f t="shared" ca="1" si="9"/>
        <v>19820.201251616923</v>
      </c>
      <c r="T169" s="79">
        <f ca="1">'ררל ומדרג'!$AH$1</f>
        <v>48975.779132102936</v>
      </c>
      <c r="U169" s="79">
        <f t="shared" ca="1" si="11"/>
        <v>68795.980383719856</v>
      </c>
    </row>
    <row r="170" spans="1:21">
      <c r="A170">
        <v>170</v>
      </c>
      <c r="B170">
        <v>8912221</v>
      </c>
      <c r="C170" t="s">
        <v>3584</v>
      </c>
      <c r="D170">
        <v>622022</v>
      </c>
      <c r="E170" t="s">
        <v>3939</v>
      </c>
      <c r="F170" t="s">
        <v>3940</v>
      </c>
      <c r="G170" s="217">
        <v>7247.5</v>
      </c>
      <c r="H170" t="s">
        <v>3941</v>
      </c>
      <c r="I170">
        <v>39.909999999999997</v>
      </c>
      <c r="J170">
        <v>726.92</v>
      </c>
      <c r="K170">
        <v>100</v>
      </c>
      <c r="L170" s="13">
        <f>VLOOKUP($B170,'[3]חשבונות חברה 40'!$A:$I,7,0)</f>
        <v>12221</v>
      </c>
      <c r="M170" s="13">
        <f>VLOOKUP($B170,'[3]חשבונות חברה 40'!$A:$I,5,0)</f>
        <v>1222</v>
      </c>
      <c r="N170" s="4" t="str">
        <f>IF(VLOOKUP($B170,'[3]חשבונות חברה 40'!$A:$J,10,0)=0,"",VLOOKUP($B170,'[3]חשבונות חברה 40'!$A:$J,10,0))</f>
        <v/>
      </c>
      <c r="P170" s="218">
        <f t="shared" si="10"/>
        <v>742.92</v>
      </c>
      <c r="Q170" s="122">
        <f t="shared" si="8"/>
        <v>4.2422909330367652E-3</v>
      </c>
      <c r="R170" s="1">
        <f ca="1">'הנחות עבודה לררל ומדרג'!$F$7*Q170</f>
        <v>1171903.4483808931</v>
      </c>
      <c r="S170" s="79">
        <f t="shared" ca="1" si="9"/>
        <v>28583.010936119343</v>
      </c>
      <c r="T170" s="79">
        <f ca="1">'ררל ומדרג'!$AH$1</f>
        <v>48975.779132102936</v>
      </c>
      <c r="U170" s="79">
        <f t="shared" ca="1" si="11"/>
        <v>77558.790068222283</v>
      </c>
    </row>
    <row r="171" spans="1:21">
      <c r="A171">
        <v>171</v>
      </c>
      <c r="B171">
        <v>8912222</v>
      </c>
      <c r="C171" t="s">
        <v>3586</v>
      </c>
      <c r="D171">
        <v>622022</v>
      </c>
      <c r="E171" t="s">
        <v>3939</v>
      </c>
      <c r="F171" t="s">
        <v>3940</v>
      </c>
      <c r="G171" s="217">
        <v>6438.72</v>
      </c>
      <c r="H171" t="s">
        <v>3941</v>
      </c>
      <c r="I171">
        <v>33.15</v>
      </c>
      <c r="J171">
        <v>645.79999999999995</v>
      </c>
      <c r="K171">
        <v>100</v>
      </c>
      <c r="L171" s="13">
        <f>VLOOKUP($B171,'[3]חשבונות חברה 40'!$A:$I,7,0)</f>
        <v>12222</v>
      </c>
      <c r="M171" s="13">
        <f>VLOOKUP($B171,'[3]חשבונות חברה 40'!$A:$I,5,0)</f>
        <v>1222</v>
      </c>
      <c r="N171" s="4" t="str">
        <f>IF(VLOOKUP($B171,'[3]חשבונות חברה 40'!$A:$J,10,0)=0,"",VLOOKUP($B171,'[3]חשבונות חברה 40'!$A:$J,10,0))</f>
        <v/>
      </c>
      <c r="P171" s="218">
        <f t="shared" si="10"/>
        <v>661.8</v>
      </c>
      <c r="Q171" s="122">
        <f t="shared" si="8"/>
        <v>3.7790719586008334E-3</v>
      </c>
      <c r="R171" s="1">
        <f ca="1">'הנחות עבודה לררל ומדרג'!$F$7*Q171</f>
        <v>1043942.4192893918</v>
      </c>
      <c r="S171" s="79">
        <f t="shared" ca="1" si="9"/>
        <v>25462.010226570532</v>
      </c>
      <c r="T171" s="79">
        <f ca="1">'ררל ומדרג'!$AH$1</f>
        <v>48975.779132102936</v>
      </c>
      <c r="U171" s="79">
        <f t="shared" ca="1" si="11"/>
        <v>74437.789358673472</v>
      </c>
    </row>
    <row r="172" spans="1:21">
      <c r="A172">
        <v>172</v>
      </c>
      <c r="B172">
        <v>8912231</v>
      </c>
      <c r="C172" t="s">
        <v>3587</v>
      </c>
      <c r="D172">
        <v>622022</v>
      </c>
      <c r="E172" t="s">
        <v>3939</v>
      </c>
      <c r="F172" t="s">
        <v>3940</v>
      </c>
      <c r="G172" s="217">
        <v>6040.31</v>
      </c>
      <c r="H172" t="s">
        <v>3941</v>
      </c>
      <c r="I172">
        <v>29.82</v>
      </c>
      <c r="J172">
        <v>605.84</v>
      </c>
      <c r="K172">
        <v>100</v>
      </c>
      <c r="L172" s="13">
        <f>VLOOKUP($B172,'[3]חשבונות חברה 40'!$A:$I,7,0)</f>
        <v>12231</v>
      </c>
      <c r="M172" s="13">
        <f>VLOOKUP($B172,'[3]חשבונות חברה 40'!$A:$I,5,0)</f>
        <v>1223</v>
      </c>
      <c r="N172" s="4" t="str">
        <f>IF(VLOOKUP($B172,'[3]חשבונות חברה 40'!$A:$J,10,0)=0,"",VLOOKUP($B172,'[3]חשבונות חברה 40'!$A:$J,10,0))</f>
        <v/>
      </c>
      <c r="P172" s="218">
        <f t="shared" si="10"/>
        <v>621.84</v>
      </c>
      <c r="Q172" s="122">
        <f t="shared" si="8"/>
        <v>3.5508886472292874E-3</v>
      </c>
      <c r="R172" s="1">
        <f ca="1">'הנחות עבודה לררל ומדרג'!$F$7*Q172</f>
        <v>980908.36205940694</v>
      </c>
      <c r="S172" s="79">
        <f t="shared" ca="1" si="9"/>
        <v>23924.594196570903</v>
      </c>
      <c r="T172" s="79">
        <f ca="1">'ררל ומדרג'!$AH$1</f>
        <v>48975.779132102936</v>
      </c>
      <c r="U172" s="79">
        <f t="shared" ca="1" si="11"/>
        <v>72900.373328673842</v>
      </c>
    </row>
    <row r="173" spans="1:21">
      <c r="A173">
        <v>173</v>
      </c>
      <c r="B173">
        <v>8912232</v>
      </c>
      <c r="C173" t="s">
        <v>3588</v>
      </c>
      <c r="D173">
        <v>622022</v>
      </c>
      <c r="E173" t="s">
        <v>3939</v>
      </c>
      <c r="F173" t="s">
        <v>3940</v>
      </c>
      <c r="G173" s="217">
        <v>5346.39</v>
      </c>
      <c r="H173" t="s">
        <v>3941</v>
      </c>
      <c r="I173">
        <v>24.02</v>
      </c>
      <c r="J173">
        <v>536.24</v>
      </c>
      <c r="K173">
        <v>100</v>
      </c>
      <c r="L173" s="13">
        <f>VLOOKUP($B173,'[3]חשבונות חברה 40'!$A:$I,7,0)</f>
        <v>12232</v>
      </c>
      <c r="M173" s="13">
        <f>VLOOKUP($B173,'[3]חשבונות חברה 40'!$A:$I,5,0)</f>
        <v>1223</v>
      </c>
      <c r="N173" s="4" t="str">
        <f>IF(VLOOKUP($B173,'[3]חשבונות חברה 40'!$A:$J,10,0)=0,"",VLOOKUP($B173,'[3]חשבונות חברה 40'!$A:$J,10,0))</f>
        <v/>
      </c>
      <c r="P173" s="218">
        <f t="shared" si="10"/>
        <v>552.24</v>
      </c>
      <c r="Q173" s="122">
        <f t="shared" si="8"/>
        <v>3.1534522490446124E-3</v>
      </c>
      <c r="R173" s="1">
        <f ca="1">'הנחות עבודה לררל ומדרג'!$F$7*Q173</f>
        <v>871119.31343060418</v>
      </c>
      <c r="S173" s="79">
        <f t="shared" ca="1" si="9"/>
        <v>21246.812522697663</v>
      </c>
      <c r="T173" s="79">
        <f ca="1">'ררל ומדרג'!$AH$1</f>
        <v>48975.779132102936</v>
      </c>
      <c r="U173" s="79">
        <f t="shared" ca="1" si="11"/>
        <v>70222.591654800606</v>
      </c>
    </row>
    <row r="174" spans="1:21">
      <c r="A174">
        <v>174</v>
      </c>
      <c r="B174">
        <v>8912241</v>
      </c>
      <c r="C174" t="s">
        <v>3589</v>
      </c>
      <c r="D174">
        <v>622022</v>
      </c>
      <c r="E174" t="s">
        <v>3939</v>
      </c>
      <c r="F174" t="s">
        <v>3940</v>
      </c>
      <c r="G174" s="217">
        <v>4328.24</v>
      </c>
      <c r="H174" t="s">
        <v>3941</v>
      </c>
      <c r="I174">
        <v>15.51</v>
      </c>
      <c r="J174">
        <v>434.12</v>
      </c>
      <c r="K174">
        <v>100</v>
      </c>
      <c r="L174" s="13">
        <f>VLOOKUP($B174,'[3]חשבונות חברה 40'!$A:$I,7,0)</f>
        <v>12241</v>
      </c>
      <c r="M174" s="13">
        <f>VLOOKUP($B174,'[3]חשבונות חברה 40'!$A:$I,5,0)</f>
        <v>1224</v>
      </c>
      <c r="N174" s="4" t="str">
        <f>IF(VLOOKUP($B174,'[3]חשבונות חברה 40'!$A:$J,10,0)=0,"",VLOOKUP($B174,'[3]חשבונות חברה 40'!$A:$J,10,0))</f>
        <v/>
      </c>
      <c r="P174" s="218">
        <f t="shared" si="10"/>
        <v>450.12</v>
      </c>
      <c r="Q174" s="122">
        <f t="shared" si="8"/>
        <v>2.570317119983994E-3</v>
      </c>
      <c r="R174" s="1">
        <f ca="1">'הנחות עבודה לררל ומדרג'!$F$7*Q174</f>
        <v>710032.27828730899</v>
      </c>
      <c r="S174" s="79">
        <f t="shared" ca="1" si="9"/>
        <v>17317.860446031926</v>
      </c>
      <c r="T174" s="79">
        <f ca="1">'ררל ומדרג'!$AH$1</f>
        <v>48975.779132102936</v>
      </c>
      <c r="U174" s="79">
        <f t="shared" ca="1" si="11"/>
        <v>66293.639578134869</v>
      </c>
    </row>
    <row r="175" spans="1:21">
      <c r="A175">
        <v>175</v>
      </c>
      <c r="B175">
        <v>8912242</v>
      </c>
      <c r="C175" t="s">
        <v>3592</v>
      </c>
      <c r="D175">
        <v>622022</v>
      </c>
      <c r="E175" t="s">
        <v>3939</v>
      </c>
      <c r="F175" t="s">
        <v>3940</v>
      </c>
      <c r="G175" s="217">
        <v>3969.31</v>
      </c>
      <c r="H175" t="s">
        <v>3941</v>
      </c>
      <c r="I175">
        <v>12.51</v>
      </c>
      <c r="J175">
        <v>398.12</v>
      </c>
      <c r="K175">
        <v>100</v>
      </c>
      <c r="L175" s="13">
        <f>VLOOKUP($B175,'[3]חשבונות חברה 40'!$A:$I,7,0)</f>
        <v>12242</v>
      </c>
      <c r="M175" s="13">
        <f>VLOOKUP($B175,'[3]חשבונות חברה 40'!$A:$I,5,0)</f>
        <v>1224</v>
      </c>
      <c r="N175" s="4" t="str">
        <f>IF(VLOOKUP($B175,'[3]חשבונות חברה 40'!$A:$J,10,0)=0,"",VLOOKUP($B175,'[3]חשבונות חברה 40'!$A:$J,10,0))</f>
        <v/>
      </c>
      <c r="P175" s="218">
        <f t="shared" si="10"/>
        <v>414.12</v>
      </c>
      <c r="Q175" s="122">
        <f t="shared" si="8"/>
        <v>2.364746569198817E-3</v>
      </c>
      <c r="R175" s="1">
        <f ca="1">'הנחות עבודה לררל ומדרג'!$F$7*Q175</f>
        <v>653244.83934137644</v>
      </c>
      <c r="S175" s="79">
        <f t="shared" ca="1" si="9"/>
        <v>15932.800959545766</v>
      </c>
      <c r="T175" s="79">
        <f ca="1">'ררל ומדרג'!$AH$1</f>
        <v>48975.779132102936</v>
      </c>
      <c r="U175" s="79">
        <f t="shared" ca="1" si="11"/>
        <v>64908.580091648706</v>
      </c>
    </row>
    <row r="176" spans="1:21">
      <c r="A176">
        <v>176</v>
      </c>
      <c r="B176">
        <v>8912302</v>
      </c>
      <c r="C176" t="s">
        <v>3594</v>
      </c>
      <c r="D176">
        <v>622022</v>
      </c>
      <c r="E176" t="s">
        <v>3939</v>
      </c>
      <c r="F176" t="s">
        <v>3940</v>
      </c>
      <c r="G176" s="217">
        <v>5530.64</v>
      </c>
      <c r="H176" t="s">
        <v>3941</v>
      </c>
      <c r="I176">
        <v>25.56</v>
      </c>
      <c r="J176">
        <v>554.72</v>
      </c>
      <c r="K176">
        <v>100</v>
      </c>
      <c r="L176" s="13">
        <f>VLOOKUP($B176,'[3]חשבונות חברה 40'!$A:$I,7,0)</f>
        <v>12302</v>
      </c>
      <c r="M176" s="13">
        <f>VLOOKUP($B176,'[3]חשבונות חברה 40'!$A:$I,5,0)</f>
        <v>1230</v>
      </c>
      <c r="N176" s="4" t="str">
        <f>IF(VLOOKUP($B176,'[3]חשבונות חברה 40'!$A:$J,10,0)=0,"",VLOOKUP($B176,'[3]חשבונות חברה 40'!$A:$J,10,0))</f>
        <v/>
      </c>
      <c r="P176" s="218">
        <f t="shared" si="10"/>
        <v>570.72</v>
      </c>
      <c r="Q176" s="122">
        <f t="shared" si="8"/>
        <v>3.2589784651143364E-3</v>
      </c>
      <c r="R176" s="1">
        <f ca="1">'הנחות עבודה לררל ומדרג'!$F$7*Q176</f>
        <v>900270.1987561828</v>
      </c>
      <c r="S176" s="79">
        <f t="shared" ca="1" si="9"/>
        <v>21957.809725760555</v>
      </c>
      <c r="T176" s="79">
        <f ca="1">'ררל ומדרג'!$AH$1</f>
        <v>48975.779132102936</v>
      </c>
      <c r="U176" s="79">
        <f t="shared" ca="1" si="11"/>
        <v>70933.588857863491</v>
      </c>
    </row>
    <row r="177" spans="1:21">
      <c r="A177">
        <v>177</v>
      </c>
      <c r="B177">
        <v>8912391</v>
      </c>
      <c r="C177" t="s">
        <v>1950</v>
      </c>
      <c r="D177">
        <v>622022</v>
      </c>
      <c r="E177" t="s">
        <v>3939</v>
      </c>
      <c r="F177" t="s">
        <v>3940</v>
      </c>
      <c r="G177" s="217">
        <v>3130.62</v>
      </c>
      <c r="H177" t="s">
        <v>3941</v>
      </c>
      <c r="I177">
        <v>5.5</v>
      </c>
      <c r="J177">
        <v>314</v>
      </c>
      <c r="K177">
        <v>100</v>
      </c>
      <c r="L177" s="13">
        <f>VLOOKUP($B177,'[3]חשבונות חברה 40'!$A:$I,7,0)</f>
        <v>12391</v>
      </c>
      <c r="M177" s="13">
        <f>VLOOKUP($B177,'[3]חשבונות חברה 40'!$A:$I,5,0)</f>
        <v>1239</v>
      </c>
      <c r="N177" s="4" t="str">
        <f>IF(VLOOKUP($B177,'[3]חשבונות חברה 40'!$A:$J,10,0)=0,"",VLOOKUP($B177,'[3]חשבונות חברה 40'!$A:$J,10,0))</f>
        <v/>
      </c>
      <c r="P177" s="218">
        <f t="shared" si="10"/>
        <v>330</v>
      </c>
      <c r="Q177" s="122">
        <f t="shared" si="8"/>
        <v>1.8843967155307874E-3</v>
      </c>
      <c r="R177" s="1">
        <f ca="1">'הנחות עבודה לררל ומדרג'!$F$7*Q177</f>
        <v>520551.52367104765</v>
      </c>
      <c r="S177" s="79">
        <f t="shared" ca="1" si="9"/>
        <v>12696.378626123113</v>
      </c>
      <c r="T177" s="79">
        <f ca="1">'ררל ומדרג'!$AH$1</f>
        <v>48975.779132102936</v>
      </c>
      <c r="U177" s="79">
        <f t="shared" ca="1" si="11"/>
        <v>61672.157758226051</v>
      </c>
    </row>
    <row r="178" spans="1:21">
      <c r="A178">
        <v>178</v>
      </c>
      <c r="B178">
        <v>8912392</v>
      </c>
      <c r="C178" t="s">
        <v>3595</v>
      </c>
      <c r="D178">
        <v>622022</v>
      </c>
      <c r="E178" t="s">
        <v>3939</v>
      </c>
      <c r="F178" t="s">
        <v>3940</v>
      </c>
      <c r="G178" s="217">
        <v>3130.62</v>
      </c>
      <c r="H178" t="s">
        <v>3941</v>
      </c>
      <c r="I178">
        <v>5.5</v>
      </c>
      <c r="J178">
        <v>314</v>
      </c>
      <c r="K178">
        <v>100</v>
      </c>
      <c r="L178" s="13">
        <f>VLOOKUP($B178,'[3]חשבונות חברה 40'!$A:$I,7,0)</f>
        <v>12392</v>
      </c>
      <c r="M178" s="13">
        <f>VLOOKUP($B178,'[3]חשבונות חברה 40'!$A:$I,5,0)</f>
        <v>1239</v>
      </c>
      <c r="N178" s="4" t="str">
        <f>IF(VLOOKUP($B178,'[3]חשבונות חברה 40'!$A:$J,10,0)=0,"",VLOOKUP($B178,'[3]חשבונות חברה 40'!$A:$J,10,0))</f>
        <v/>
      </c>
      <c r="P178" s="218">
        <f t="shared" si="10"/>
        <v>330</v>
      </c>
      <c r="Q178" s="122">
        <f t="shared" si="8"/>
        <v>1.8843967155307874E-3</v>
      </c>
      <c r="R178" s="1">
        <f ca="1">'הנחות עבודה לררל ומדרג'!$F$7*Q178</f>
        <v>520551.52367104765</v>
      </c>
      <c r="S178" s="79">
        <f t="shared" ca="1" si="9"/>
        <v>12696.378626123113</v>
      </c>
      <c r="T178" s="79">
        <f ca="1">'ררל ומדרג'!$AH$1</f>
        <v>48975.779132102936</v>
      </c>
      <c r="U178" s="79">
        <f t="shared" ca="1" si="11"/>
        <v>61672.157758226051</v>
      </c>
    </row>
    <row r="179" spans="1:21">
      <c r="A179">
        <v>179</v>
      </c>
      <c r="B179">
        <v>8912611</v>
      </c>
      <c r="C179" t="s">
        <v>3596</v>
      </c>
      <c r="D179">
        <v>622022</v>
      </c>
      <c r="E179" t="s">
        <v>3939</v>
      </c>
      <c r="F179" t="s">
        <v>3940</v>
      </c>
      <c r="G179" s="217">
        <v>3909.49</v>
      </c>
      <c r="H179" t="s">
        <v>3941</v>
      </c>
      <c r="I179">
        <v>12.01</v>
      </c>
      <c r="J179">
        <v>392.12</v>
      </c>
      <c r="K179">
        <v>100</v>
      </c>
      <c r="L179" s="13">
        <f>VLOOKUP($B179,'[3]חשבונות חברה 40'!$A:$I,7,0)</f>
        <v>12611</v>
      </c>
      <c r="M179" s="13">
        <f>VLOOKUP($B179,'[3]חשבונות חברה 40'!$A:$I,5,0)</f>
        <v>1261</v>
      </c>
      <c r="N179" s="4" t="str">
        <f>IF(VLOOKUP($B179,'[3]חשבונות חברה 40'!$A:$J,10,0)=0,"",VLOOKUP($B179,'[3]חשבונות חברה 40'!$A:$J,10,0))</f>
        <v/>
      </c>
      <c r="P179" s="218">
        <f t="shared" si="10"/>
        <v>408.12</v>
      </c>
      <c r="Q179" s="122">
        <f t="shared" si="8"/>
        <v>2.3304848107346212E-3</v>
      </c>
      <c r="R179" s="1">
        <f ca="1">'הנחות עבודה לררל ומדרג'!$F$7*Q179</f>
        <v>643780.26618372113</v>
      </c>
      <c r="S179" s="79">
        <f t="shared" ca="1" si="9"/>
        <v>15701.957711798077</v>
      </c>
      <c r="T179" s="79">
        <f ca="1">'ררל ומדרג'!$AH$1</f>
        <v>48975.779132102936</v>
      </c>
      <c r="U179" s="79">
        <f t="shared" ca="1" si="11"/>
        <v>64677.736843901017</v>
      </c>
    </row>
    <row r="180" spans="1:21">
      <c r="A180">
        <v>180</v>
      </c>
      <c r="B180">
        <v>8912612</v>
      </c>
      <c r="C180" t="s">
        <v>3598</v>
      </c>
      <c r="D180">
        <v>622022</v>
      </c>
      <c r="E180" t="s">
        <v>3939</v>
      </c>
      <c r="F180" t="s">
        <v>3940</v>
      </c>
      <c r="G180" s="217">
        <v>3909.49</v>
      </c>
      <c r="H180" t="s">
        <v>3941</v>
      </c>
      <c r="I180">
        <v>12.01</v>
      </c>
      <c r="J180">
        <v>392.12</v>
      </c>
      <c r="K180">
        <v>100</v>
      </c>
      <c r="L180" s="13">
        <f>VLOOKUP($B180,'[3]חשבונות חברה 40'!$A:$I,7,0)</f>
        <v>12612</v>
      </c>
      <c r="M180" s="13">
        <f>VLOOKUP($B180,'[3]חשבונות חברה 40'!$A:$I,5,0)</f>
        <v>1261</v>
      </c>
      <c r="N180" s="4" t="str">
        <f>IF(VLOOKUP($B180,'[3]חשבונות חברה 40'!$A:$J,10,0)=0,"",VLOOKUP($B180,'[3]חשבונות חברה 40'!$A:$J,10,0))</f>
        <v/>
      </c>
      <c r="P180" s="218">
        <f t="shared" si="10"/>
        <v>408.12</v>
      </c>
      <c r="Q180" s="122">
        <f t="shared" si="8"/>
        <v>2.3304848107346212E-3</v>
      </c>
      <c r="R180" s="1">
        <f ca="1">'הנחות עבודה לררל ומדרג'!$F$7*Q180</f>
        <v>643780.26618372113</v>
      </c>
      <c r="S180" s="79">
        <f t="shared" ca="1" si="9"/>
        <v>15701.957711798077</v>
      </c>
      <c r="T180" s="79">
        <f ca="1">'ררל ומדרג'!$AH$1</f>
        <v>48975.779132102936</v>
      </c>
      <c r="U180" s="79">
        <f t="shared" ca="1" si="11"/>
        <v>64677.736843901017</v>
      </c>
    </row>
    <row r="181" spans="1:21">
      <c r="A181">
        <v>181</v>
      </c>
      <c r="B181">
        <v>8913011</v>
      </c>
      <c r="C181" t="s">
        <v>3600</v>
      </c>
      <c r="D181">
        <v>622022</v>
      </c>
      <c r="E181" t="s">
        <v>3939</v>
      </c>
      <c r="F181" t="s">
        <v>3940</v>
      </c>
      <c r="G181" s="217">
        <v>4408.3999999999996</v>
      </c>
      <c r="H181" t="s">
        <v>3941</v>
      </c>
      <c r="I181">
        <v>16.18</v>
      </c>
      <c r="J181">
        <v>442.16</v>
      </c>
      <c r="K181">
        <v>100</v>
      </c>
      <c r="L181" s="13">
        <f>VLOOKUP($B181,'[3]חשבונות חברה 40'!$A:$I,7,0)</f>
        <v>13011</v>
      </c>
      <c r="M181" s="13">
        <f>VLOOKUP($B181,'[3]חשבונות חברה 40'!$A:$I,5,0)</f>
        <v>1301</v>
      </c>
      <c r="N181" s="4" t="str">
        <f>IF(VLOOKUP($B181,'[3]חשבונות חברה 40'!$A:$J,10,0)=0,"",VLOOKUP($B181,'[3]חשבונות חברה 40'!$A:$J,10,0))</f>
        <v/>
      </c>
      <c r="P181" s="218">
        <f t="shared" si="10"/>
        <v>458.16</v>
      </c>
      <c r="Q181" s="122">
        <f t="shared" si="8"/>
        <v>2.616227876326017E-3</v>
      </c>
      <c r="R181" s="1">
        <f ca="1">'הנחות עבודה לררל ומדרג'!$F$7*Q181</f>
        <v>722714.80631856725</v>
      </c>
      <c r="S181" s="79">
        <f t="shared" ca="1" si="9"/>
        <v>17627.190398013834</v>
      </c>
      <c r="T181" s="79">
        <f ca="1">'ררל ומדרג'!$AH$1</f>
        <v>48975.779132102936</v>
      </c>
      <c r="U181" s="79">
        <f t="shared" ca="1" si="11"/>
        <v>66602.969530116767</v>
      </c>
    </row>
    <row r="182" spans="1:21">
      <c r="A182">
        <v>182</v>
      </c>
      <c r="B182">
        <v>8913012</v>
      </c>
      <c r="C182" t="s">
        <v>3602</v>
      </c>
      <c r="D182">
        <v>622022</v>
      </c>
      <c r="E182" t="s">
        <v>3939</v>
      </c>
      <c r="F182" t="s">
        <v>3940</v>
      </c>
      <c r="G182" s="217">
        <v>4408.3999999999996</v>
      </c>
      <c r="H182" t="s">
        <v>3941</v>
      </c>
      <c r="I182">
        <v>16.18</v>
      </c>
      <c r="J182">
        <v>442.16</v>
      </c>
      <c r="K182">
        <v>100</v>
      </c>
      <c r="L182" s="13">
        <f>VLOOKUP($B182,'[3]חשבונות חברה 40'!$A:$I,7,0)</f>
        <v>13012</v>
      </c>
      <c r="M182" s="13">
        <f>VLOOKUP($B182,'[3]חשבונות חברה 40'!$A:$I,5,0)</f>
        <v>1301</v>
      </c>
      <c r="N182" s="4" t="str">
        <f>IF(VLOOKUP($B182,'[3]חשבונות חברה 40'!$A:$J,10,0)=0,"",VLOOKUP($B182,'[3]חשבונות חברה 40'!$A:$J,10,0))</f>
        <v/>
      </c>
      <c r="P182" s="218">
        <f t="shared" si="10"/>
        <v>458.16</v>
      </c>
      <c r="Q182" s="122">
        <f t="shared" si="8"/>
        <v>2.616227876326017E-3</v>
      </c>
      <c r="R182" s="1">
        <f ca="1">'הנחות עבודה לררל ומדרג'!$F$7*Q182</f>
        <v>722714.80631856725</v>
      </c>
      <c r="S182" s="79">
        <f t="shared" ca="1" si="9"/>
        <v>17627.190398013834</v>
      </c>
      <c r="T182" s="79">
        <f ca="1">'ררל ומדרג'!$AH$1</f>
        <v>48975.779132102936</v>
      </c>
      <c r="U182" s="79">
        <f t="shared" ca="1" si="11"/>
        <v>66602.969530116767</v>
      </c>
    </row>
    <row r="183" spans="1:21">
      <c r="A183">
        <v>183</v>
      </c>
      <c r="B183">
        <v>8913041</v>
      </c>
      <c r="C183" t="s">
        <v>2035</v>
      </c>
      <c r="D183">
        <v>622022</v>
      </c>
      <c r="E183" t="s">
        <v>3939</v>
      </c>
      <c r="F183" t="s">
        <v>3940</v>
      </c>
      <c r="G183" s="217">
        <v>3050.46</v>
      </c>
      <c r="H183" t="s">
        <v>3941</v>
      </c>
      <c r="I183">
        <v>4.83</v>
      </c>
      <c r="J183">
        <v>305.95999999999998</v>
      </c>
      <c r="K183">
        <v>100</v>
      </c>
      <c r="L183" s="13">
        <f>VLOOKUP($B183,'[3]חשבונות חברה 40'!$A:$I,7,0)</f>
        <v>13041</v>
      </c>
      <c r="M183" s="13">
        <f>VLOOKUP($B183,'[3]חשבונות חברה 40'!$A:$I,5,0)</f>
        <v>1304</v>
      </c>
      <c r="N183" s="4" t="str">
        <f>IF(VLOOKUP($B183,'[3]חשבונות חברה 40'!$A:$J,10,0)=0,"",VLOOKUP($B183,'[3]חשבונות חברה 40'!$A:$J,10,0))</f>
        <v/>
      </c>
      <c r="P183" s="218">
        <f t="shared" si="10"/>
        <v>321.95999999999998</v>
      </c>
      <c r="Q183" s="122">
        <f t="shared" si="8"/>
        <v>1.8384859591887644E-3</v>
      </c>
      <c r="R183" s="1">
        <f ca="1">'הנחות עבודה לררל ומדרג'!$F$7*Q183</f>
        <v>507868.99563978933</v>
      </c>
      <c r="S183" s="79">
        <f t="shared" ca="1" si="9"/>
        <v>12387.048674141202</v>
      </c>
      <c r="T183" s="79">
        <f ca="1">'ררל ומדרג'!$AH$1</f>
        <v>48975.779132102936</v>
      </c>
      <c r="U183" s="79">
        <f t="shared" ca="1" si="11"/>
        <v>61362.827806244139</v>
      </c>
    </row>
    <row r="184" spans="1:21">
      <c r="A184">
        <v>184</v>
      </c>
      <c r="B184">
        <v>8913042</v>
      </c>
      <c r="C184" t="s">
        <v>2042</v>
      </c>
      <c r="D184">
        <v>622022</v>
      </c>
      <c r="E184" t="s">
        <v>3939</v>
      </c>
      <c r="F184" t="s">
        <v>3940</v>
      </c>
      <c r="G184" s="217">
        <v>3050.46</v>
      </c>
      <c r="H184" t="s">
        <v>3941</v>
      </c>
      <c r="I184">
        <v>4.83</v>
      </c>
      <c r="J184">
        <v>305.95999999999998</v>
      </c>
      <c r="K184">
        <v>100</v>
      </c>
      <c r="L184" s="13">
        <f>VLOOKUP($B184,'[3]חשבונות חברה 40'!$A:$I,7,0)</f>
        <v>13042</v>
      </c>
      <c r="M184" s="13">
        <f>VLOOKUP($B184,'[3]חשבונות חברה 40'!$A:$I,5,0)</f>
        <v>1304</v>
      </c>
      <c r="N184" s="4" t="str">
        <f>IF(VLOOKUP($B184,'[3]חשבונות חברה 40'!$A:$J,10,0)=0,"",VLOOKUP($B184,'[3]חשבונות חברה 40'!$A:$J,10,0))</f>
        <v/>
      </c>
      <c r="P184" s="218">
        <f t="shared" si="10"/>
        <v>321.95999999999998</v>
      </c>
      <c r="Q184" s="122">
        <f t="shared" si="8"/>
        <v>1.8384859591887644E-3</v>
      </c>
      <c r="R184" s="1">
        <f ca="1">'הנחות עבודה לררל ומדרג'!$F$7*Q184</f>
        <v>507868.99563978933</v>
      </c>
      <c r="S184" s="79">
        <f t="shared" ca="1" si="9"/>
        <v>12387.048674141202</v>
      </c>
      <c r="T184" s="79">
        <f ca="1">'ררל ומדרג'!$AH$1</f>
        <v>48975.779132102936</v>
      </c>
      <c r="U184" s="79">
        <f t="shared" ca="1" si="11"/>
        <v>61362.827806244139</v>
      </c>
    </row>
    <row r="185" spans="1:21">
      <c r="A185">
        <v>185</v>
      </c>
      <c r="B185">
        <v>8913061</v>
      </c>
      <c r="C185" t="s">
        <v>3603</v>
      </c>
      <c r="D185">
        <v>622022</v>
      </c>
      <c r="E185" t="s">
        <v>3939</v>
      </c>
      <c r="F185" t="s">
        <v>3940</v>
      </c>
      <c r="G185" s="217">
        <v>2844.68</v>
      </c>
      <c r="H185" t="s">
        <v>3941</v>
      </c>
      <c r="I185">
        <v>3.11</v>
      </c>
      <c r="J185">
        <v>285.32</v>
      </c>
      <c r="K185">
        <v>100</v>
      </c>
      <c r="L185" s="13">
        <f>VLOOKUP($B185,'[3]חשבונות חברה 40'!$A:$I,7,0)</f>
        <v>13061</v>
      </c>
      <c r="M185" s="13">
        <f>VLOOKUP($B185,'[3]חשבונות חברה 40'!$A:$I,5,0)</f>
        <v>1306</v>
      </c>
      <c r="N185" s="4" t="str">
        <f>IF(VLOOKUP($B185,'[3]חשבונות חברה 40'!$A:$J,10,0)=0,"",VLOOKUP($B185,'[3]חשבונות חברה 40'!$A:$J,10,0))</f>
        <v/>
      </c>
      <c r="P185" s="218">
        <f t="shared" si="10"/>
        <v>301.32</v>
      </c>
      <c r="Q185" s="122">
        <f t="shared" si="8"/>
        <v>1.7206255100719297E-3</v>
      </c>
      <c r="R185" s="1">
        <f ca="1">'הנחות עבודה לררל ומדרג'!$F$7*Q185</f>
        <v>475310.86397745472</v>
      </c>
      <c r="S185" s="79">
        <f t="shared" ca="1" si="9"/>
        <v>11592.94790188914</v>
      </c>
      <c r="T185" s="79">
        <f ca="1">'ררל ומדרג'!$AH$1</f>
        <v>48975.779132102936</v>
      </c>
      <c r="U185" s="79">
        <f t="shared" ca="1" si="11"/>
        <v>60568.72703399208</v>
      </c>
    </row>
    <row r="186" spans="1:21">
      <c r="A186">
        <v>186</v>
      </c>
      <c r="B186">
        <v>8913062</v>
      </c>
      <c r="C186" t="s">
        <v>2071</v>
      </c>
      <c r="D186">
        <v>622022</v>
      </c>
      <c r="E186" t="s">
        <v>3939</v>
      </c>
      <c r="F186" t="s">
        <v>3940</v>
      </c>
      <c r="G186" s="217">
        <v>2844.68</v>
      </c>
      <c r="H186" t="s">
        <v>3941</v>
      </c>
      <c r="I186">
        <v>3.11</v>
      </c>
      <c r="J186">
        <v>285.32</v>
      </c>
      <c r="K186">
        <v>100</v>
      </c>
      <c r="L186" s="13">
        <f>VLOOKUP($B186,'[3]חשבונות חברה 40'!$A:$I,7,0)</f>
        <v>13062</v>
      </c>
      <c r="M186" s="13">
        <f>VLOOKUP($B186,'[3]חשבונות חברה 40'!$A:$I,5,0)</f>
        <v>1306</v>
      </c>
      <c r="N186" s="4" t="str">
        <f>IF(VLOOKUP($B186,'[3]חשבונות חברה 40'!$A:$J,10,0)=0,"",VLOOKUP($B186,'[3]חשבונות חברה 40'!$A:$J,10,0))</f>
        <v/>
      </c>
      <c r="P186" s="218">
        <f t="shared" si="10"/>
        <v>301.32</v>
      </c>
      <c r="Q186" s="122">
        <f t="shared" si="8"/>
        <v>1.7206255100719297E-3</v>
      </c>
      <c r="R186" s="1">
        <f ca="1">'הנחות עבודה לררל ומדרג'!$F$7*Q186</f>
        <v>475310.86397745472</v>
      </c>
      <c r="S186" s="79">
        <f t="shared" ca="1" si="9"/>
        <v>11592.94790188914</v>
      </c>
      <c r="T186" s="79">
        <f ca="1">'ררל ומדרג'!$AH$1</f>
        <v>48975.779132102936</v>
      </c>
      <c r="U186" s="79">
        <f t="shared" ca="1" si="11"/>
        <v>60568.72703399208</v>
      </c>
    </row>
    <row r="187" spans="1:21">
      <c r="A187">
        <v>187</v>
      </c>
      <c r="B187">
        <v>8914012</v>
      </c>
      <c r="C187" t="s">
        <v>3604</v>
      </c>
      <c r="D187">
        <v>622022</v>
      </c>
      <c r="E187" t="s">
        <v>3939</v>
      </c>
      <c r="F187" t="s">
        <v>3940</v>
      </c>
      <c r="G187" s="217">
        <v>8215.4</v>
      </c>
      <c r="H187" t="s">
        <v>3941</v>
      </c>
      <c r="I187">
        <v>48</v>
      </c>
      <c r="J187">
        <v>824</v>
      </c>
      <c r="K187">
        <v>100</v>
      </c>
      <c r="L187" s="13">
        <f>VLOOKUP($B187,'[3]חשבונות חברה 40'!$A:$I,7,0)</f>
        <v>14012</v>
      </c>
      <c r="M187" s="13">
        <f>VLOOKUP($B187,'[3]חשבונות חברה 40'!$A:$I,5,0)</f>
        <v>1401</v>
      </c>
      <c r="N187" s="4" t="str">
        <f>IF(VLOOKUP($B187,'[3]חשבונות חברה 40'!$A:$J,10,0)=0,"",VLOOKUP($B187,'[3]חשבונות חברה 40'!$A:$J,10,0))</f>
        <v/>
      </c>
      <c r="P187" s="218">
        <f t="shared" si="10"/>
        <v>824</v>
      </c>
      <c r="Q187" s="122">
        <f t="shared" si="8"/>
        <v>4.7052814957496024E-3</v>
      </c>
      <c r="R187" s="1">
        <f ca="1">'הנחות עבודה לררל ומדרג'!$F$7*Q187</f>
        <v>1299801.3803180098</v>
      </c>
      <c r="S187" s="79">
        <f t="shared" ca="1" si="9"/>
        <v>31702.472690683164</v>
      </c>
      <c r="T187" s="79">
        <f ca="1">'ררל ומדרג'!$AH$1</f>
        <v>48975.779132102936</v>
      </c>
      <c r="U187" s="79">
        <f t="shared" ca="1" si="11"/>
        <v>80678.2518227861</v>
      </c>
    </row>
    <row r="188" spans="1:21">
      <c r="A188">
        <v>188</v>
      </c>
      <c r="B188">
        <v>8915012</v>
      </c>
      <c r="C188" t="s">
        <v>3605</v>
      </c>
      <c r="D188">
        <v>622022</v>
      </c>
      <c r="E188" t="s">
        <v>3939</v>
      </c>
      <c r="F188" t="s">
        <v>3940</v>
      </c>
      <c r="G188" s="217">
        <v>7682.99</v>
      </c>
      <c r="H188" t="s">
        <v>3941</v>
      </c>
      <c r="I188">
        <v>43.55</v>
      </c>
      <c r="J188">
        <v>770.6</v>
      </c>
      <c r="K188">
        <v>100</v>
      </c>
      <c r="L188" s="13">
        <f>VLOOKUP($B188,'[3]חשבונות חברה 40'!$A:$I,7,0)</f>
        <v>15012</v>
      </c>
      <c r="M188" s="13">
        <f>VLOOKUP($B188,'[3]חשבונות חברה 40'!$A:$I,5,0)</f>
        <v>1501</v>
      </c>
      <c r="N188" s="4" t="str">
        <f>IF(VLOOKUP($B188,'[3]חשבונות חברה 40'!$A:$J,10,0)=0,"",VLOOKUP($B188,'[3]חשבונות חברה 40'!$A:$J,10,0))</f>
        <v/>
      </c>
      <c r="P188" s="218">
        <f t="shared" si="10"/>
        <v>786.6</v>
      </c>
      <c r="Q188" s="122">
        <f t="shared" si="8"/>
        <v>4.4917165346561134E-3</v>
      </c>
      <c r="R188" s="1">
        <f ca="1">'הנחות עבודה לררל ומדרג'!$F$7*Q188</f>
        <v>1240805.5409686246</v>
      </c>
      <c r="S188" s="79">
        <f t="shared" ca="1" si="9"/>
        <v>30263.549779722551</v>
      </c>
      <c r="T188" s="79">
        <f ca="1">'ררל ומדרג'!$AH$1</f>
        <v>48975.779132102936</v>
      </c>
      <c r="U188" s="79">
        <f t="shared" ca="1" si="11"/>
        <v>79239.328911825491</v>
      </c>
    </row>
    <row r="189" spans="1:21">
      <c r="A189">
        <v>189</v>
      </c>
      <c r="B189">
        <v>8915021</v>
      </c>
      <c r="C189" t="s">
        <v>3606</v>
      </c>
      <c r="D189">
        <v>622022</v>
      </c>
      <c r="E189" t="s">
        <v>3939</v>
      </c>
      <c r="F189" t="s">
        <v>3940</v>
      </c>
      <c r="G189" s="217">
        <v>7032.14</v>
      </c>
      <c r="H189" t="s">
        <v>3941</v>
      </c>
      <c r="I189">
        <v>38.11</v>
      </c>
      <c r="J189">
        <v>705.32</v>
      </c>
      <c r="K189">
        <v>100</v>
      </c>
      <c r="L189" s="13">
        <f>VLOOKUP($B189,'[3]חשבונות חברה 40'!$A:$I,7,0)</f>
        <v>15021</v>
      </c>
      <c r="M189" s="13">
        <f>VLOOKUP($B189,'[3]חשבונות חברה 40'!$A:$I,5,0)</f>
        <v>1502</v>
      </c>
      <c r="N189" s="4" t="str">
        <f>IF(VLOOKUP($B189,'[3]חשבונות חברה 40'!$A:$J,10,0)=0,"",VLOOKUP($B189,'[3]חשבונות חברה 40'!$A:$J,10,0))</f>
        <v/>
      </c>
      <c r="P189" s="218">
        <f t="shared" si="10"/>
        <v>721.32</v>
      </c>
      <c r="Q189" s="122">
        <f t="shared" si="8"/>
        <v>4.1189486025656596E-3</v>
      </c>
      <c r="R189" s="1">
        <f ca="1">'הנחות עבודה לררל ומדרג'!$F$7*Q189</f>
        <v>1137830.9850133336</v>
      </c>
      <c r="S189" s="79">
        <f t="shared" ca="1" si="9"/>
        <v>27751.975244227648</v>
      </c>
      <c r="T189" s="79">
        <f ca="1">'ררל ומדרג'!$AH$1</f>
        <v>48975.779132102936</v>
      </c>
      <c r="U189" s="79">
        <f t="shared" ca="1" si="11"/>
        <v>76727.754376330588</v>
      </c>
    </row>
    <row r="190" spans="1:21">
      <c r="A190">
        <v>190</v>
      </c>
      <c r="B190">
        <v>8915022</v>
      </c>
      <c r="C190" t="s">
        <v>3607</v>
      </c>
      <c r="D190">
        <v>622022</v>
      </c>
      <c r="E190" t="s">
        <v>3939</v>
      </c>
      <c r="F190" t="s">
        <v>3940</v>
      </c>
      <c r="G190" s="217">
        <v>7032.14</v>
      </c>
      <c r="H190" t="s">
        <v>3941</v>
      </c>
      <c r="I190">
        <v>38.11</v>
      </c>
      <c r="J190">
        <v>705.32</v>
      </c>
      <c r="K190">
        <v>100</v>
      </c>
      <c r="L190" s="13">
        <f>VLOOKUP($B190,'[3]חשבונות חברה 40'!$A:$I,7,0)</f>
        <v>15022</v>
      </c>
      <c r="M190" s="13">
        <f>VLOOKUP($B190,'[3]חשבונות חברה 40'!$A:$I,5,0)</f>
        <v>1502</v>
      </c>
      <c r="N190" s="4" t="str">
        <f>IF(VLOOKUP($B190,'[3]חשבונות חברה 40'!$A:$J,10,0)=0,"",VLOOKUP($B190,'[3]חשבונות חברה 40'!$A:$J,10,0))</f>
        <v/>
      </c>
      <c r="P190" s="218">
        <f t="shared" si="10"/>
        <v>721.32</v>
      </c>
      <c r="Q190" s="122">
        <f t="shared" si="8"/>
        <v>4.1189486025656596E-3</v>
      </c>
      <c r="R190" s="1">
        <f ca="1">'הנחות עבודה לררל ומדרג'!$F$7*Q190</f>
        <v>1137830.9850133336</v>
      </c>
      <c r="S190" s="79">
        <f t="shared" ca="1" si="9"/>
        <v>27751.975244227648</v>
      </c>
      <c r="T190" s="79">
        <f ca="1">'ררל ומדרג'!$AH$1</f>
        <v>48975.779132102936</v>
      </c>
      <c r="U190" s="79">
        <f t="shared" ca="1" si="11"/>
        <v>76727.754376330588</v>
      </c>
    </row>
    <row r="191" spans="1:21">
      <c r="A191">
        <v>191</v>
      </c>
      <c r="B191">
        <v>8915031</v>
      </c>
      <c r="C191" t="s">
        <v>3608</v>
      </c>
      <c r="D191">
        <v>622022</v>
      </c>
      <c r="E191" t="s">
        <v>3939</v>
      </c>
      <c r="F191" t="s">
        <v>3940</v>
      </c>
      <c r="G191" s="217">
        <v>5851.28</v>
      </c>
      <c r="H191" t="s">
        <v>3941</v>
      </c>
      <c r="I191">
        <v>28.24</v>
      </c>
      <c r="J191">
        <v>586.88</v>
      </c>
      <c r="K191">
        <v>100</v>
      </c>
      <c r="L191" s="13">
        <f>VLOOKUP($B191,'[3]חשבונות חברה 40'!$A:$I,7,0)</f>
        <v>15031</v>
      </c>
      <c r="M191" s="13">
        <f>VLOOKUP($B191,'[3]חשבונות חברה 40'!$A:$I,5,0)</f>
        <v>1503</v>
      </c>
      <c r="N191" s="4" t="str">
        <f>IF(VLOOKUP($B191,'[3]חשבונות חברה 40'!$A:$J,10,0)=0,"",VLOOKUP($B191,'[3]חשבונות חברה 40'!$A:$J,10,0))</f>
        <v/>
      </c>
      <c r="P191" s="218">
        <f t="shared" si="10"/>
        <v>602.88</v>
      </c>
      <c r="Q191" s="122">
        <f t="shared" si="8"/>
        <v>3.4426214904824276E-3</v>
      </c>
      <c r="R191" s="1">
        <f ca="1">'הנחות עבודה לררל ומדרג'!$F$7*Q191</f>
        <v>951000.31088121573</v>
      </c>
      <c r="S191" s="79">
        <f t="shared" ca="1" si="9"/>
        <v>23195.129533688189</v>
      </c>
      <c r="T191" s="79">
        <f ca="1">'ררל ומדרג'!$AH$1</f>
        <v>48975.779132102936</v>
      </c>
      <c r="U191" s="79">
        <f t="shared" ca="1" si="11"/>
        <v>72170.908665791125</v>
      </c>
    </row>
    <row r="192" spans="1:21">
      <c r="A192">
        <v>192</v>
      </c>
      <c r="B192">
        <v>8915032</v>
      </c>
      <c r="C192" t="s">
        <v>3610</v>
      </c>
      <c r="D192">
        <v>622022</v>
      </c>
      <c r="E192" t="s">
        <v>3939</v>
      </c>
      <c r="F192" t="s">
        <v>3940</v>
      </c>
      <c r="G192" s="217">
        <v>6533.23</v>
      </c>
      <c r="H192" t="s">
        <v>3941</v>
      </c>
      <c r="I192">
        <v>33.94</v>
      </c>
      <c r="J192">
        <v>655.28</v>
      </c>
      <c r="K192">
        <v>100</v>
      </c>
      <c r="L192" s="13">
        <f>VLOOKUP($B192,'[3]חשבונות חברה 40'!$A:$I,7,0)</f>
        <v>15032</v>
      </c>
      <c r="M192" s="13">
        <f>VLOOKUP($B192,'[3]חשבונות חברה 40'!$A:$I,5,0)</f>
        <v>1503</v>
      </c>
      <c r="N192" s="4" t="str">
        <f>IF(VLOOKUP($B192,'[3]חשבונות חברה 40'!$A:$J,10,0)=0,"",VLOOKUP($B192,'[3]חשבונות חברה 40'!$A:$J,10,0))</f>
        <v/>
      </c>
      <c r="P192" s="218">
        <f t="shared" si="10"/>
        <v>671.28</v>
      </c>
      <c r="Q192" s="122">
        <f t="shared" si="8"/>
        <v>3.8332055369742634E-3</v>
      </c>
      <c r="R192" s="1">
        <f ca="1">'הנחות עבודה לררל ומדרג'!$F$7*Q192</f>
        <v>1058896.4448784874</v>
      </c>
      <c r="S192" s="79">
        <f t="shared" ca="1" si="9"/>
        <v>25826.742558011887</v>
      </c>
      <c r="T192" s="79">
        <f ca="1">'ררל ומדרג'!$AH$1</f>
        <v>48975.779132102936</v>
      </c>
      <c r="U192" s="79">
        <f t="shared" ca="1" si="11"/>
        <v>74802.521690114823</v>
      </c>
    </row>
    <row r="193" spans="1:21">
      <c r="A193">
        <v>193</v>
      </c>
      <c r="B193">
        <v>8915061</v>
      </c>
      <c r="C193" t="s">
        <v>3611</v>
      </c>
      <c r="D193">
        <v>622022</v>
      </c>
      <c r="E193" t="s">
        <v>3939</v>
      </c>
      <c r="F193" t="s">
        <v>3940</v>
      </c>
      <c r="G193" s="217">
        <v>3250.27</v>
      </c>
      <c r="H193" t="s">
        <v>3941</v>
      </c>
      <c r="I193">
        <v>6.5</v>
      </c>
      <c r="J193">
        <v>326</v>
      </c>
      <c r="K193">
        <v>100</v>
      </c>
      <c r="L193" s="13">
        <f>VLOOKUP($B193,'[3]חשבונות חברה 40'!$A:$I,7,0)</f>
        <v>15061</v>
      </c>
      <c r="M193" s="13">
        <f>VLOOKUP($B193,'[3]חשבונות חברה 40'!$A:$I,5,0)</f>
        <v>1506</v>
      </c>
      <c r="N193" s="4" t="str">
        <f>IF(VLOOKUP($B193,'[3]חשבונות חברה 40'!$A:$J,10,0)=0,"",VLOOKUP($B193,'[3]חשבונות חברה 40'!$A:$J,10,0))</f>
        <v/>
      </c>
      <c r="P193" s="218">
        <f t="shared" si="10"/>
        <v>342</v>
      </c>
      <c r="Q193" s="122">
        <f t="shared" si="8"/>
        <v>1.9529202324591796E-3</v>
      </c>
      <c r="R193" s="1">
        <f ca="1">'הנחות עבודה לררל ומדרג'!$F$7*Q193</f>
        <v>539480.66998635849</v>
      </c>
      <c r="S193" s="79">
        <f t="shared" ca="1" si="9"/>
        <v>13158.0651216185</v>
      </c>
      <c r="T193" s="79">
        <f ca="1">'ררל ומדרג'!$AH$1</f>
        <v>48975.779132102936</v>
      </c>
      <c r="U193" s="79">
        <f t="shared" ca="1" si="11"/>
        <v>62133.844253721436</v>
      </c>
    </row>
    <row r="194" spans="1:21">
      <c r="A194">
        <v>194</v>
      </c>
      <c r="B194">
        <v>8915062</v>
      </c>
      <c r="C194" t="s">
        <v>3612</v>
      </c>
      <c r="D194">
        <v>622022</v>
      </c>
      <c r="E194" t="s">
        <v>3939</v>
      </c>
      <c r="F194" t="s">
        <v>3940</v>
      </c>
      <c r="G194" s="217">
        <v>3250.27</v>
      </c>
      <c r="H194" t="s">
        <v>3941</v>
      </c>
      <c r="I194">
        <v>6.5</v>
      </c>
      <c r="J194">
        <v>326</v>
      </c>
      <c r="K194">
        <v>100</v>
      </c>
      <c r="L194" s="13">
        <f>VLOOKUP($B194,'[3]חשבונות חברה 40'!$A:$I,7,0)</f>
        <v>15062</v>
      </c>
      <c r="M194" s="13">
        <f>VLOOKUP($B194,'[3]חשבונות חברה 40'!$A:$I,5,0)</f>
        <v>1506</v>
      </c>
      <c r="N194" s="4" t="str">
        <f>IF(VLOOKUP($B194,'[3]חשבונות חברה 40'!$A:$J,10,0)=0,"",VLOOKUP($B194,'[3]חשבונות חברה 40'!$A:$J,10,0))</f>
        <v/>
      </c>
      <c r="P194" s="218">
        <f t="shared" si="10"/>
        <v>342</v>
      </c>
      <c r="Q194" s="122">
        <f t="shared" ref="Q194:Q257" si="12">P194/$P$288</f>
        <v>1.9529202324591796E-3</v>
      </c>
      <c r="R194" s="1">
        <f ca="1">'הנחות עבודה לררל ומדרג'!$F$7*Q194</f>
        <v>539480.66998635849</v>
      </c>
      <c r="S194" s="79">
        <f t="shared" ref="S194:S257" ca="1" si="13">R194/$V$1</f>
        <v>13158.0651216185</v>
      </c>
      <c r="T194" s="79">
        <f ca="1">'ררל ומדרג'!$AH$1</f>
        <v>48975.779132102936</v>
      </c>
      <c r="U194" s="79">
        <f t="shared" ca="1" si="11"/>
        <v>62133.844253721436</v>
      </c>
    </row>
    <row r="195" spans="1:21">
      <c r="A195">
        <v>195</v>
      </c>
      <c r="B195">
        <v>8916021</v>
      </c>
      <c r="C195" t="s">
        <v>3615</v>
      </c>
      <c r="D195">
        <v>622022</v>
      </c>
      <c r="E195" t="s">
        <v>3939</v>
      </c>
      <c r="F195" t="s">
        <v>3940</v>
      </c>
      <c r="G195" s="217">
        <v>7580.1</v>
      </c>
      <c r="H195" t="s">
        <v>3941</v>
      </c>
      <c r="I195">
        <v>42.69</v>
      </c>
      <c r="J195">
        <v>760.28</v>
      </c>
      <c r="K195">
        <v>100</v>
      </c>
      <c r="L195" s="13">
        <f>VLOOKUP($B195,'[3]חשבונות חברה 40'!$A:$I,7,0)</f>
        <v>16021</v>
      </c>
      <c r="M195" s="13">
        <f>VLOOKUP($B195,'[3]חשבונות חברה 40'!$A:$I,5,0)</f>
        <v>1602</v>
      </c>
      <c r="N195" s="4" t="str">
        <f>IF(VLOOKUP($B195,'[3]חשבונות חברה 40'!$A:$J,10,0)=0,"",VLOOKUP($B195,'[3]חשבונות חברה 40'!$A:$J,10,0))</f>
        <v/>
      </c>
      <c r="P195" s="218">
        <f t="shared" ref="P195:P258" si="14">IF(J195+$Q$1&gt;=$R$1,$R$1,J195+$Q$1)</f>
        <v>776.28</v>
      </c>
      <c r="Q195" s="122">
        <f t="shared" si="12"/>
        <v>4.432786310097696E-3</v>
      </c>
      <c r="R195" s="1">
        <f ca="1">'הנחות עבודה לררל ומדרג'!$F$7*Q195</f>
        <v>1224526.4751374573</v>
      </c>
      <c r="S195" s="79">
        <f t="shared" ca="1" si="13"/>
        <v>29866.499393596518</v>
      </c>
      <c r="T195" s="79">
        <f ca="1">'ררל ומדרג'!$AH$1</f>
        <v>48975.779132102936</v>
      </c>
      <c r="U195" s="79">
        <f t="shared" ref="U195:U258" ca="1" si="15">S195+T195</f>
        <v>78842.278525699454</v>
      </c>
    </row>
    <row r="196" spans="1:21">
      <c r="A196">
        <v>196</v>
      </c>
      <c r="B196">
        <v>8916022</v>
      </c>
      <c r="C196" t="s">
        <v>3616</v>
      </c>
      <c r="D196">
        <v>622022</v>
      </c>
      <c r="E196" t="s">
        <v>3939</v>
      </c>
      <c r="F196" t="s">
        <v>3940</v>
      </c>
      <c r="G196" s="217">
        <v>7885.19</v>
      </c>
      <c r="H196" t="s">
        <v>3941</v>
      </c>
      <c r="I196">
        <v>45.24</v>
      </c>
      <c r="J196">
        <v>790.88</v>
      </c>
      <c r="K196">
        <v>100</v>
      </c>
      <c r="L196" s="13">
        <f>VLOOKUP($B196,'[3]חשבונות חברה 40'!$A:$I,7,0)</f>
        <v>16022</v>
      </c>
      <c r="M196" s="13">
        <f>VLOOKUP($B196,'[3]חשבונות חברה 40'!$A:$I,5,0)</f>
        <v>1602</v>
      </c>
      <c r="N196" s="4" t="str">
        <f>IF(VLOOKUP($B196,'[3]חשבונות חברה 40'!$A:$J,10,0)=0,"",VLOOKUP($B196,'[3]חשבונות חברה 40'!$A:$J,10,0))</f>
        <v/>
      </c>
      <c r="P196" s="218">
        <f t="shared" si="14"/>
        <v>806.88</v>
      </c>
      <c r="Q196" s="122">
        <f t="shared" si="12"/>
        <v>4.6075212782650957E-3</v>
      </c>
      <c r="R196" s="1">
        <f ca="1">'הנחות עבודה לררל ומדרג'!$F$7*Q196</f>
        <v>1272795.7982414996</v>
      </c>
      <c r="S196" s="79">
        <f t="shared" ca="1" si="13"/>
        <v>31043.799957109746</v>
      </c>
      <c r="T196" s="79">
        <f ca="1">'ררל ומדרג'!$AH$1</f>
        <v>48975.779132102936</v>
      </c>
      <c r="U196" s="79">
        <f t="shared" ca="1" si="15"/>
        <v>80019.579089212682</v>
      </c>
    </row>
    <row r="197" spans="1:21">
      <c r="A197">
        <v>197</v>
      </c>
      <c r="B197">
        <v>8916071</v>
      </c>
      <c r="C197" t="s">
        <v>3617</v>
      </c>
      <c r="D197">
        <v>622022</v>
      </c>
      <c r="E197" t="s">
        <v>3939</v>
      </c>
      <c r="F197" t="s">
        <v>3940</v>
      </c>
      <c r="G197" s="217">
        <v>2882.97</v>
      </c>
      <c r="H197" t="s">
        <v>3941</v>
      </c>
      <c r="I197">
        <v>3.43</v>
      </c>
      <c r="J197">
        <v>289.16000000000003</v>
      </c>
      <c r="K197">
        <v>100</v>
      </c>
      <c r="L197" s="13">
        <f>VLOOKUP($B197,'[3]חשבונות חברה 40'!$A:$I,7,0)</f>
        <v>16071</v>
      </c>
      <c r="M197" s="13">
        <f>VLOOKUP($B197,'[3]חשבונות חברה 40'!$A:$I,5,0)</f>
        <v>1607</v>
      </c>
      <c r="N197" s="4" t="str">
        <f>IF(VLOOKUP($B197,'[3]חשבונות חברה 40'!$A:$J,10,0)=0,"",VLOOKUP($B197,'[3]חשבונות חברה 40'!$A:$J,10,0))</f>
        <v/>
      </c>
      <c r="P197" s="218">
        <f t="shared" si="14"/>
        <v>305.16000000000003</v>
      </c>
      <c r="Q197" s="122">
        <f t="shared" si="12"/>
        <v>1.7425530354890156E-3</v>
      </c>
      <c r="R197" s="1">
        <f ca="1">'הנחות עבודה לררל ומדרג'!$F$7*Q197</f>
        <v>481368.19079835428</v>
      </c>
      <c r="S197" s="79">
        <f t="shared" ca="1" si="13"/>
        <v>11740.687580447666</v>
      </c>
      <c r="T197" s="79">
        <f ca="1">'ררל ומדרג'!$AH$1</f>
        <v>48975.779132102936</v>
      </c>
      <c r="U197" s="79">
        <f t="shared" ca="1" si="15"/>
        <v>60716.466712550602</v>
      </c>
    </row>
    <row r="198" spans="1:21">
      <c r="A198">
        <v>198</v>
      </c>
      <c r="B198">
        <v>8916072</v>
      </c>
      <c r="C198" t="s">
        <v>3619</v>
      </c>
      <c r="D198">
        <v>622022</v>
      </c>
      <c r="E198" t="s">
        <v>3939</v>
      </c>
      <c r="F198" t="s">
        <v>3940</v>
      </c>
      <c r="G198" s="217">
        <v>2882.97</v>
      </c>
      <c r="H198" t="s">
        <v>3941</v>
      </c>
      <c r="I198">
        <v>3.43</v>
      </c>
      <c r="J198">
        <v>289.16000000000003</v>
      </c>
      <c r="K198">
        <v>100</v>
      </c>
      <c r="L198" s="13">
        <f>VLOOKUP($B198,'[3]חשבונות חברה 40'!$A:$I,7,0)</f>
        <v>16072</v>
      </c>
      <c r="M198" s="13">
        <f>VLOOKUP($B198,'[3]חשבונות חברה 40'!$A:$I,5,0)</f>
        <v>1607</v>
      </c>
      <c r="N198" s="4" t="str">
        <f>IF(VLOOKUP($B198,'[3]חשבונות חברה 40'!$A:$J,10,0)=0,"",VLOOKUP($B198,'[3]חשבונות חברה 40'!$A:$J,10,0))</f>
        <v/>
      </c>
      <c r="P198" s="218">
        <f t="shared" si="14"/>
        <v>305.16000000000003</v>
      </c>
      <c r="Q198" s="122">
        <f t="shared" si="12"/>
        <v>1.7425530354890156E-3</v>
      </c>
      <c r="R198" s="1">
        <f ca="1">'הנחות עבודה לררל ומדרג'!$F$7*Q198</f>
        <v>481368.19079835428</v>
      </c>
      <c r="S198" s="79">
        <f t="shared" ca="1" si="13"/>
        <v>11740.687580447666</v>
      </c>
      <c r="T198" s="79">
        <f ca="1">'ררל ומדרג'!$AH$1</f>
        <v>48975.779132102936</v>
      </c>
      <c r="U198" s="79">
        <f t="shared" ca="1" si="15"/>
        <v>60716.466712550602</v>
      </c>
    </row>
    <row r="199" spans="1:21">
      <c r="A199">
        <v>199</v>
      </c>
      <c r="B199">
        <v>8917032</v>
      </c>
      <c r="C199" t="s">
        <v>3623</v>
      </c>
      <c r="D199">
        <v>622022</v>
      </c>
      <c r="E199" t="s">
        <v>3939</v>
      </c>
      <c r="F199" t="s">
        <v>3940</v>
      </c>
      <c r="G199" s="217">
        <v>6809.61</v>
      </c>
      <c r="H199" t="s">
        <v>3941</v>
      </c>
      <c r="I199">
        <v>36.25</v>
      </c>
      <c r="J199">
        <v>683</v>
      </c>
      <c r="K199">
        <v>100</v>
      </c>
      <c r="L199" s="13">
        <f>VLOOKUP($B199,'[3]חשבונות חברה 40'!$A:$I,7,0)</f>
        <v>17032</v>
      </c>
      <c r="M199" s="13">
        <f>VLOOKUP($B199,'[3]חשבונות חברה 40'!$A:$I,5,0)</f>
        <v>1703</v>
      </c>
      <c r="N199" s="4" t="str">
        <f>IF(VLOOKUP($B199,'[3]חשבונות חברה 40'!$A:$J,10,0)=0,"",VLOOKUP($B199,'[3]חשבונות חברה 40'!$A:$J,10,0))</f>
        <v/>
      </c>
      <c r="P199" s="218">
        <f t="shared" si="14"/>
        <v>699</v>
      </c>
      <c r="Q199" s="122">
        <f t="shared" si="12"/>
        <v>3.9914948610788497E-3</v>
      </c>
      <c r="R199" s="1">
        <f ca="1">'הנחות עבודה לררל ומדרג'!$F$7*Q199</f>
        <v>1102622.7728668554</v>
      </c>
      <c r="S199" s="79">
        <f t="shared" ca="1" si="13"/>
        <v>26893.238362606229</v>
      </c>
      <c r="T199" s="79">
        <f ca="1">'ררל ומדרג'!$AH$1</f>
        <v>48975.779132102936</v>
      </c>
      <c r="U199" s="79">
        <f t="shared" ca="1" si="15"/>
        <v>75869.017494709173</v>
      </c>
    </row>
    <row r="200" spans="1:21">
      <c r="A200">
        <v>200</v>
      </c>
      <c r="B200">
        <v>8917061</v>
      </c>
      <c r="C200" t="s">
        <v>3624</v>
      </c>
      <c r="D200">
        <v>622022</v>
      </c>
      <c r="E200" t="s">
        <v>3939</v>
      </c>
      <c r="F200" t="s">
        <v>3940</v>
      </c>
      <c r="G200" s="217">
        <v>7076.41</v>
      </c>
      <c r="H200" t="s">
        <v>3941</v>
      </c>
      <c r="I200">
        <v>38.479999999999997</v>
      </c>
      <c r="J200">
        <v>709.76</v>
      </c>
      <c r="K200">
        <v>100</v>
      </c>
      <c r="L200" s="13">
        <f>VLOOKUP($B200,'[3]חשבונות חברה 40'!$A:$I,7,0)</f>
        <v>17061</v>
      </c>
      <c r="M200" s="13">
        <f>VLOOKUP($B200,'[3]חשבונות חברה 40'!$A:$I,5,0)</f>
        <v>1706</v>
      </c>
      <c r="N200" s="4" t="str">
        <f>IF(VLOOKUP($B200,'[3]חשבונות חברה 40'!$A:$J,10,0)=0,"",VLOOKUP($B200,'[3]חשבונות חברה 40'!$A:$J,10,0))</f>
        <v/>
      </c>
      <c r="P200" s="218">
        <f t="shared" si="14"/>
        <v>725.76</v>
      </c>
      <c r="Q200" s="122">
        <f t="shared" si="12"/>
        <v>4.144302303829164E-3</v>
      </c>
      <c r="R200" s="1">
        <f ca="1">'הנחות עבודה לררל ומדרג'!$F$7*Q200</f>
        <v>1144834.7691499984</v>
      </c>
      <c r="S200" s="79">
        <f t="shared" ca="1" si="13"/>
        <v>27922.799247560939</v>
      </c>
      <c r="T200" s="79">
        <f ca="1">'ררל ומדרג'!$AH$1</f>
        <v>48975.779132102936</v>
      </c>
      <c r="U200" s="79">
        <f t="shared" ca="1" si="15"/>
        <v>76898.578379663872</v>
      </c>
    </row>
    <row r="201" spans="1:21">
      <c r="A201">
        <v>201</v>
      </c>
      <c r="B201">
        <v>8917071</v>
      </c>
      <c r="C201" t="s">
        <v>3625</v>
      </c>
      <c r="D201">
        <v>622022</v>
      </c>
      <c r="E201" t="s">
        <v>3939</v>
      </c>
      <c r="F201" t="s">
        <v>3940</v>
      </c>
      <c r="G201" s="217">
        <v>7800.24</v>
      </c>
      <c r="H201" t="s">
        <v>3941</v>
      </c>
      <c r="I201">
        <v>44.53</v>
      </c>
      <c r="J201">
        <v>782.36</v>
      </c>
      <c r="K201">
        <v>100</v>
      </c>
      <c r="L201" s="13">
        <f>VLOOKUP($B201,'[3]חשבונות חברה 40'!$A:$I,7,0)</f>
        <v>17071</v>
      </c>
      <c r="M201" s="13">
        <f>VLOOKUP($B201,'[3]חשבונות חברה 40'!$A:$I,5,0)</f>
        <v>1707</v>
      </c>
      <c r="N201" s="4" t="str">
        <f>IF(VLOOKUP($B201,'[3]חשבונות חברה 40'!$A:$J,10,0)=0,"",VLOOKUP($B201,'[3]חשבונות חברה 40'!$A:$J,10,0))</f>
        <v/>
      </c>
      <c r="P201" s="218">
        <f t="shared" si="14"/>
        <v>798.36</v>
      </c>
      <c r="Q201" s="122">
        <f t="shared" si="12"/>
        <v>4.5588695812459378E-3</v>
      </c>
      <c r="R201" s="1">
        <f ca="1">'הנחות עבודה לררל ומדרג'!$F$7*Q201</f>
        <v>1259356.1043576291</v>
      </c>
      <c r="S201" s="79">
        <f t="shared" ca="1" si="13"/>
        <v>30716.002545308027</v>
      </c>
      <c r="T201" s="79">
        <f ca="1">'ררל ומדרג'!$AH$1</f>
        <v>48975.779132102936</v>
      </c>
      <c r="U201" s="79">
        <f t="shared" ca="1" si="15"/>
        <v>79691.781677410967</v>
      </c>
    </row>
    <row r="202" spans="1:21">
      <c r="A202">
        <v>202</v>
      </c>
      <c r="B202">
        <v>8917072</v>
      </c>
      <c r="C202" t="s">
        <v>3626</v>
      </c>
      <c r="D202">
        <v>622022</v>
      </c>
      <c r="E202" t="s">
        <v>3939</v>
      </c>
      <c r="F202" t="s">
        <v>3940</v>
      </c>
      <c r="G202" s="217">
        <v>8215.4</v>
      </c>
      <c r="H202" t="s">
        <v>3941</v>
      </c>
      <c r="I202">
        <v>48</v>
      </c>
      <c r="J202">
        <v>824</v>
      </c>
      <c r="K202">
        <v>100</v>
      </c>
      <c r="L202" s="13">
        <f>VLOOKUP($B202,'[3]חשבונות חברה 40'!$A:$I,7,0)</f>
        <v>17072</v>
      </c>
      <c r="M202" s="13">
        <f>VLOOKUP($B202,'[3]חשבונות חברה 40'!$A:$I,5,0)</f>
        <v>1707</v>
      </c>
      <c r="N202" s="4" t="str">
        <f>IF(VLOOKUP($B202,'[3]חשבונות חברה 40'!$A:$J,10,0)=0,"",VLOOKUP($B202,'[3]חשבונות חברה 40'!$A:$J,10,0))</f>
        <v/>
      </c>
      <c r="P202" s="218">
        <f t="shared" si="14"/>
        <v>824</v>
      </c>
      <c r="Q202" s="122">
        <f t="shared" si="12"/>
        <v>4.7052814957496024E-3</v>
      </c>
      <c r="R202" s="1">
        <f ca="1">'הנחות עבודה לררל ומדרג'!$F$7*Q202</f>
        <v>1299801.3803180098</v>
      </c>
      <c r="S202" s="79">
        <f t="shared" ca="1" si="13"/>
        <v>31702.472690683164</v>
      </c>
      <c r="T202" s="79">
        <f ca="1">'ררל ומדרג'!$AH$1</f>
        <v>48975.779132102936</v>
      </c>
      <c r="U202" s="79">
        <f t="shared" ca="1" si="15"/>
        <v>80678.2518227861</v>
      </c>
    </row>
    <row r="203" spans="1:21">
      <c r="A203">
        <v>203</v>
      </c>
      <c r="B203">
        <v>8917082</v>
      </c>
      <c r="C203" t="s">
        <v>3627</v>
      </c>
      <c r="D203">
        <v>622022</v>
      </c>
      <c r="E203" t="s">
        <v>3939</v>
      </c>
      <c r="F203" t="s">
        <v>3940</v>
      </c>
      <c r="G203" s="217">
        <v>6064.24</v>
      </c>
      <c r="H203" t="s">
        <v>3941</v>
      </c>
      <c r="I203">
        <v>30.02</v>
      </c>
      <c r="J203">
        <v>608.24</v>
      </c>
      <c r="K203">
        <v>100</v>
      </c>
      <c r="L203" s="13">
        <f>VLOOKUP($B203,'[3]חשבונות חברה 40'!$A:$I,7,0)</f>
        <v>17082</v>
      </c>
      <c r="M203" s="13">
        <f>VLOOKUP($B203,'[3]חשבונות חברה 40'!$A:$I,5,0)</f>
        <v>1708</v>
      </c>
      <c r="N203" s="4" t="str">
        <f>IF(VLOOKUP($B203,'[3]חשבונות חברה 40'!$A:$J,10,0)=0,"",VLOOKUP($B203,'[3]חשבונות חברה 40'!$A:$J,10,0))</f>
        <v/>
      </c>
      <c r="P203" s="218">
        <f t="shared" si="14"/>
        <v>624.24</v>
      </c>
      <c r="Q203" s="122">
        <f t="shared" si="12"/>
        <v>3.5645933506149659E-3</v>
      </c>
      <c r="R203" s="1">
        <f ca="1">'הנחות עבודה לררל ומדרג'!$F$7*Q203</f>
        <v>984694.19132246904</v>
      </c>
      <c r="S203" s="79">
        <f t="shared" ca="1" si="13"/>
        <v>24016.931495669978</v>
      </c>
      <c r="T203" s="79">
        <f ca="1">'ררל ומדרג'!$AH$1</f>
        <v>48975.779132102936</v>
      </c>
      <c r="U203" s="79">
        <f t="shared" ca="1" si="15"/>
        <v>72992.710627772918</v>
      </c>
    </row>
    <row r="204" spans="1:21">
      <c r="A204">
        <v>204</v>
      </c>
      <c r="B204">
        <v>8917101</v>
      </c>
      <c r="C204" t="s">
        <v>3628</v>
      </c>
      <c r="D204">
        <v>622022</v>
      </c>
      <c r="E204" t="s">
        <v>3939</v>
      </c>
      <c r="F204" t="s">
        <v>3940</v>
      </c>
      <c r="G204" s="217">
        <v>6795.25</v>
      </c>
      <c r="H204" t="s">
        <v>3941</v>
      </c>
      <c r="I204">
        <v>36.130000000000003</v>
      </c>
      <c r="J204">
        <v>681.56</v>
      </c>
      <c r="K204">
        <v>100</v>
      </c>
      <c r="L204" s="13">
        <f>VLOOKUP($B204,'[3]חשבונות חברה 40'!$A:$I,7,0)</f>
        <v>17101</v>
      </c>
      <c r="M204" s="13">
        <f>VLOOKUP($B204,'[3]חשבונות חברה 40'!$A:$I,5,0)</f>
        <v>1710</v>
      </c>
      <c r="N204" s="4" t="str">
        <f>IF(VLOOKUP($B204,'[3]חשבונות חברה 40'!$A:$J,10,0)=0,"",VLOOKUP($B204,'[3]חשבונות חברה 40'!$A:$J,10,0))</f>
        <v/>
      </c>
      <c r="P204" s="218">
        <f t="shared" si="14"/>
        <v>697.56</v>
      </c>
      <c r="Q204" s="122">
        <f t="shared" si="12"/>
        <v>3.9832720390474419E-3</v>
      </c>
      <c r="R204" s="1">
        <f ca="1">'הנחות עבודה לררל ומדרג'!$F$7*Q204</f>
        <v>1100351.2753090179</v>
      </c>
      <c r="S204" s="79">
        <f t="shared" ca="1" si="13"/>
        <v>26837.835983146779</v>
      </c>
      <c r="T204" s="79">
        <f ca="1">'ררל ומדרג'!$AH$1</f>
        <v>48975.779132102936</v>
      </c>
      <c r="U204" s="79">
        <f t="shared" ca="1" si="15"/>
        <v>75813.615115249719</v>
      </c>
    </row>
    <row r="205" spans="1:21">
      <c r="A205">
        <v>205</v>
      </c>
      <c r="B205">
        <v>8917102</v>
      </c>
      <c r="C205" t="s">
        <v>3629</v>
      </c>
      <c r="D205">
        <v>622022</v>
      </c>
      <c r="E205" t="s">
        <v>3939</v>
      </c>
      <c r="F205" t="s">
        <v>3940</v>
      </c>
      <c r="G205" s="217">
        <v>6795.25</v>
      </c>
      <c r="H205" t="s">
        <v>3941</v>
      </c>
      <c r="I205">
        <v>36.130000000000003</v>
      </c>
      <c r="J205">
        <v>681.56</v>
      </c>
      <c r="K205">
        <v>100</v>
      </c>
      <c r="L205" s="13">
        <f>VLOOKUP($B205,'[3]חשבונות חברה 40'!$A:$I,7,0)</f>
        <v>17102</v>
      </c>
      <c r="M205" s="13">
        <f>VLOOKUP($B205,'[3]חשבונות חברה 40'!$A:$I,5,0)</f>
        <v>1710</v>
      </c>
      <c r="N205" s="4" t="str">
        <f>IF(VLOOKUP($B205,'[3]חשבונות חברה 40'!$A:$J,10,0)=0,"",VLOOKUP($B205,'[3]חשבונות חברה 40'!$A:$J,10,0))</f>
        <v/>
      </c>
      <c r="P205" s="218">
        <f t="shared" si="14"/>
        <v>697.56</v>
      </c>
      <c r="Q205" s="122">
        <f t="shared" si="12"/>
        <v>3.9832720390474419E-3</v>
      </c>
      <c r="R205" s="1">
        <f ca="1">'הנחות עבודה לררל ומדרג'!$F$7*Q205</f>
        <v>1100351.2753090179</v>
      </c>
      <c r="S205" s="79">
        <f t="shared" ca="1" si="13"/>
        <v>26837.835983146779</v>
      </c>
      <c r="T205" s="79">
        <f ca="1">'ררל ומדרג'!$AH$1</f>
        <v>48975.779132102936</v>
      </c>
      <c r="U205" s="79">
        <f t="shared" ca="1" si="15"/>
        <v>75813.615115249719</v>
      </c>
    </row>
    <row r="206" spans="1:21">
      <c r="A206">
        <v>206</v>
      </c>
      <c r="B206">
        <v>8917121</v>
      </c>
      <c r="C206" t="s">
        <v>3630</v>
      </c>
      <c r="D206">
        <v>622022</v>
      </c>
      <c r="E206" t="s">
        <v>3939</v>
      </c>
      <c r="F206" t="s">
        <v>3940</v>
      </c>
      <c r="G206" s="217">
        <v>3454.85</v>
      </c>
      <c r="H206" t="s">
        <v>3941</v>
      </c>
      <c r="I206">
        <v>8.2100000000000009</v>
      </c>
      <c r="J206">
        <v>346.52</v>
      </c>
      <c r="K206">
        <v>100</v>
      </c>
      <c r="L206" s="13">
        <f>VLOOKUP($B206,'[3]חשבונות חברה 40'!$A:$I,7,0)</f>
        <v>17121</v>
      </c>
      <c r="M206" s="13">
        <f>VLOOKUP($B206,'[3]חשבונות חברה 40'!$A:$I,5,0)</f>
        <v>1712</v>
      </c>
      <c r="N206" s="4" t="str">
        <f>IF(VLOOKUP($B206,'[3]חשבונות חברה 40'!$A:$J,10,0)=0,"",VLOOKUP($B206,'[3]חשבונות חברה 40'!$A:$J,10,0))</f>
        <v/>
      </c>
      <c r="P206" s="218">
        <f t="shared" si="14"/>
        <v>362.52</v>
      </c>
      <c r="Q206" s="122">
        <f t="shared" si="12"/>
        <v>2.0700954464067303E-3</v>
      </c>
      <c r="R206" s="1">
        <f ca="1">'הנחות עבודה לררל ומדרג'!$F$7*Q206</f>
        <v>571849.51018553996</v>
      </c>
      <c r="S206" s="79">
        <f t="shared" ca="1" si="13"/>
        <v>13947.549028915608</v>
      </c>
      <c r="T206" s="79">
        <f ca="1">'ררל ומדרג'!$AH$1</f>
        <v>48975.779132102936</v>
      </c>
      <c r="U206" s="79">
        <f t="shared" ca="1" si="15"/>
        <v>62923.328161018544</v>
      </c>
    </row>
    <row r="207" spans="1:21">
      <c r="A207">
        <v>207</v>
      </c>
      <c r="B207">
        <v>8917122</v>
      </c>
      <c r="C207" t="s">
        <v>3631</v>
      </c>
      <c r="D207">
        <v>622022</v>
      </c>
      <c r="E207" t="s">
        <v>3939</v>
      </c>
      <c r="F207" t="s">
        <v>3940</v>
      </c>
      <c r="G207" s="217">
        <v>3340</v>
      </c>
      <c r="H207" t="s">
        <v>3941</v>
      </c>
      <c r="I207">
        <v>7.25</v>
      </c>
      <c r="J207">
        <v>335</v>
      </c>
      <c r="K207">
        <v>100</v>
      </c>
      <c r="L207" s="13">
        <f>VLOOKUP($B207,'[3]חשבונות חברה 40'!$A:$I,7,0)</f>
        <v>17122</v>
      </c>
      <c r="M207" s="13">
        <f>VLOOKUP($B207,'[3]חשבונות חברה 40'!$A:$I,5,0)</f>
        <v>1712</v>
      </c>
      <c r="N207" s="4" t="str">
        <f>IF(VLOOKUP($B207,'[3]חשבונות חברה 40'!$A:$J,10,0)=0,"",VLOOKUP($B207,'[3]חשבונות חברה 40'!$A:$J,10,0))</f>
        <v/>
      </c>
      <c r="P207" s="218">
        <f t="shared" si="14"/>
        <v>351</v>
      </c>
      <c r="Q207" s="122">
        <f t="shared" si="12"/>
        <v>2.004312870155474E-3</v>
      </c>
      <c r="R207" s="1">
        <f ca="1">'הנחות עבודה לררל ומדרג'!$F$7*Q207</f>
        <v>553677.52972284157</v>
      </c>
      <c r="S207" s="79">
        <f t="shared" ca="1" si="13"/>
        <v>13504.329993240039</v>
      </c>
      <c r="T207" s="79">
        <f ca="1">'ררל ומדרג'!$AH$1</f>
        <v>48975.779132102936</v>
      </c>
      <c r="U207" s="79">
        <f t="shared" ca="1" si="15"/>
        <v>62480.109125342977</v>
      </c>
    </row>
    <row r="208" spans="1:21">
      <c r="A208">
        <v>208</v>
      </c>
      <c r="B208">
        <v>8917141</v>
      </c>
      <c r="C208" t="s">
        <v>2266</v>
      </c>
      <c r="D208">
        <v>622022</v>
      </c>
      <c r="E208" t="s">
        <v>3939</v>
      </c>
      <c r="F208" t="s">
        <v>3940</v>
      </c>
      <c r="G208" s="217">
        <v>3500.32</v>
      </c>
      <c r="H208" t="s">
        <v>3941</v>
      </c>
      <c r="I208">
        <v>8.59</v>
      </c>
      <c r="J208">
        <v>351.08</v>
      </c>
      <c r="K208">
        <v>100</v>
      </c>
      <c r="L208" s="13">
        <f>VLOOKUP($B208,'[3]חשבונות חברה 40'!$A:$I,7,0)</f>
        <v>17141</v>
      </c>
      <c r="M208" s="13">
        <f>VLOOKUP($B208,'[3]חשבונות חברה 40'!$A:$I,5,0)</f>
        <v>1714</v>
      </c>
      <c r="N208" s="4" t="str">
        <f>IF(VLOOKUP($B208,'[3]חשבונות חברה 40'!$A:$J,10,0)=0,"",VLOOKUP($B208,'[3]חשבונות חברה 40'!$A:$J,10,0))</f>
        <v/>
      </c>
      <c r="P208" s="218">
        <f t="shared" si="14"/>
        <v>367.08</v>
      </c>
      <c r="Q208" s="122">
        <f t="shared" si="12"/>
        <v>2.0961343828395196E-3</v>
      </c>
      <c r="R208" s="1">
        <f ca="1">'הנחות עבודה לררל ומדרג'!$F$7*Q208</f>
        <v>579042.5857853581</v>
      </c>
      <c r="S208" s="79">
        <f t="shared" ca="1" si="13"/>
        <v>14122.989897203855</v>
      </c>
      <c r="T208" s="79">
        <f ca="1">'ררל ומדרג'!$AH$1</f>
        <v>48975.779132102936</v>
      </c>
      <c r="U208" s="79">
        <f t="shared" ca="1" si="15"/>
        <v>63098.769029306794</v>
      </c>
    </row>
    <row r="209" spans="1:21">
      <c r="A209">
        <v>209</v>
      </c>
      <c r="B209">
        <v>8917142</v>
      </c>
      <c r="C209" t="s">
        <v>3633</v>
      </c>
      <c r="D209">
        <v>622022</v>
      </c>
      <c r="E209" t="s">
        <v>3939</v>
      </c>
      <c r="F209" t="s">
        <v>3940</v>
      </c>
      <c r="G209" s="217">
        <v>4378.49</v>
      </c>
      <c r="H209" t="s">
        <v>3941</v>
      </c>
      <c r="I209">
        <v>15.93</v>
      </c>
      <c r="J209">
        <v>439.16</v>
      </c>
      <c r="K209">
        <v>100</v>
      </c>
      <c r="L209" s="13">
        <f>VLOOKUP($B209,'[3]חשבונות חברה 40'!$A:$I,7,0)</f>
        <v>17142</v>
      </c>
      <c r="M209" s="13">
        <f>VLOOKUP($B209,'[3]חשבונות חברה 40'!$A:$I,5,0)</f>
        <v>1714</v>
      </c>
      <c r="N209" s="4" t="str">
        <f>IF(VLOOKUP($B209,'[3]חשבונות חברה 40'!$A:$J,10,0)=0,"",VLOOKUP($B209,'[3]חשבונות חברה 40'!$A:$J,10,0))</f>
        <v/>
      </c>
      <c r="P209" s="218">
        <f t="shared" si="14"/>
        <v>455.16</v>
      </c>
      <c r="Q209" s="122">
        <f t="shared" si="12"/>
        <v>2.5990969970939187E-3</v>
      </c>
      <c r="R209" s="1">
        <f ca="1">'הנחות עבודה לררל ומדרג'!$F$7*Q209</f>
        <v>717982.51973973948</v>
      </c>
      <c r="S209" s="79">
        <f t="shared" ca="1" si="13"/>
        <v>17511.768774139986</v>
      </c>
      <c r="T209" s="79">
        <f ca="1">'ררל ומדרג'!$AH$1</f>
        <v>48975.779132102936</v>
      </c>
      <c r="U209" s="79">
        <f t="shared" ca="1" si="15"/>
        <v>66487.547906242922</v>
      </c>
    </row>
    <row r="210" spans="1:21">
      <c r="A210">
        <v>210</v>
      </c>
      <c r="B210">
        <v>8919061</v>
      </c>
      <c r="C210" t="s">
        <v>3636</v>
      </c>
      <c r="D210">
        <v>622022</v>
      </c>
      <c r="E210" t="s">
        <v>3939</v>
      </c>
      <c r="F210" t="s">
        <v>3940</v>
      </c>
      <c r="G210" s="217">
        <v>7520.28</v>
      </c>
      <c r="H210" t="s">
        <v>3941</v>
      </c>
      <c r="I210">
        <v>42.19</v>
      </c>
      <c r="J210">
        <v>754.28</v>
      </c>
      <c r="K210">
        <v>100</v>
      </c>
      <c r="L210" s="13">
        <f>VLOOKUP($B210,'[3]חשבונות חברה 40'!$A:$I,7,0)</f>
        <v>19061</v>
      </c>
      <c r="M210" s="13">
        <f>VLOOKUP($B210,'[3]חשבונות חברה 40'!$A:$I,5,0)</f>
        <v>1906</v>
      </c>
      <c r="N210" s="4" t="str">
        <f>IF(VLOOKUP($B210,'[3]חשבונות חברה 40'!$A:$J,10,0)=0,"",VLOOKUP($B210,'[3]חשבונות חברה 40'!$A:$J,10,0))</f>
        <v/>
      </c>
      <c r="P210" s="218">
        <f t="shared" si="14"/>
        <v>770.28</v>
      </c>
      <c r="Q210" s="122">
        <f t="shared" si="12"/>
        <v>4.3985245516334993E-3</v>
      </c>
      <c r="R210" s="1">
        <f ca="1">'הנחות עבודה לררל ומדרג'!$F$7*Q210</f>
        <v>1215061.9019798017</v>
      </c>
      <c r="S210" s="79">
        <f t="shared" ca="1" si="13"/>
        <v>29635.656145848821</v>
      </c>
      <c r="T210" s="79">
        <f ca="1">'ררל ומדרג'!$AH$1</f>
        <v>48975.779132102936</v>
      </c>
      <c r="U210" s="79">
        <f t="shared" ca="1" si="15"/>
        <v>78611.435277951765</v>
      </c>
    </row>
    <row r="211" spans="1:21">
      <c r="A211">
        <v>211</v>
      </c>
      <c r="B211">
        <v>8919062</v>
      </c>
      <c r="C211" t="s">
        <v>3637</v>
      </c>
      <c r="D211">
        <v>622022</v>
      </c>
      <c r="E211" t="s">
        <v>3939</v>
      </c>
      <c r="F211" t="s">
        <v>3940</v>
      </c>
      <c r="G211" s="217">
        <v>6682.79</v>
      </c>
      <c r="H211" t="s">
        <v>3941</v>
      </c>
      <c r="I211">
        <v>35.19</v>
      </c>
      <c r="J211">
        <v>670.28</v>
      </c>
      <c r="K211">
        <v>100</v>
      </c>
      <c r="L211" s="13">
        <f>VLOOKUP($B211,'[3]חשבונות חברה 40'!$A:$I,7,0)</f>
        <v>19062</v>
      </c>
      <c r="M211" s="13">
        <f>VLOOKUP($B211,'[3]חשבונות חברה 40'!$A:$I,5,0)</f>
        <v>1906</v>
      </c>
      <c r="N211" s="4" t="str">
        <f>IF(VLOOKUP($B211,'[3]חשבונות חברה 40'!$A:$J,10,0)=0,"",VLOOKUP($B211,'[3]חשבונות חברה 40'!$A:$J,10,0))</f>
        <v/>
      </c>
      <c r="P211" s="218">
        <f t="shared" si="14"/>
        <v>686.28</v>
      </c>
      <c r="Q211" s="122">
        <f t="shared" si="12"/>
        <v>3.9188599331347537E-3</v>
      </c>
      <c r="R211" s="1">
        <f ca="1">'הנחות עבודה לררל ומדרג'!$F$7*Q211</f>
        <v>1082557.877772626</v>
      </c>
      <c r="S211" s="79">
        <f t="shared" ca="1" si="13"/>
        <v>26403.85067738112</v>
      </c>
      <c r="T211" s="79">
        <f ca="1">'ררל ומדרג'!$AH$1</f>
        <v>48975.779132102936</v>
      </c>
      <c r="U211" s="79">
        <f t="shared" ca="1" si="15"/>
        <v>75379.62980948406</v>
      </c>
    </row>
    <row r="212" spans="1:21">
      <c r="A212">
        <v>212</v>
      </c>
      <c r="B212">
        <v>8919071</v>
      </c>
      <c r="C212" t="s">
        <v>3638</v>
      </c>
      <c r="D212">
        <v>622022</v>
      </c>
      <c r="E212" t="s">
        <v>3939</v>
      </c>
      <c r="F212" t="s">
        <v>3940</v>
      </c>
      <c r="G212" s="217">
        <v>8215.4</v>
      </c>
      <c r="H212" t="s">
        <v>3941</v>
      </c>
      <c r="I212">
        <v>48</v>
      </c>
      <c r="J212">
        <v>824</v>
      </c>
      <c r="K212">
        <v>100</v>
      </c>
      <c r="L212" s="13">
        <f>VLOOKUP($B212,'[3]חשבונות חברה 40'!$A:$I,7,0)</f>
        <v>19071</v>
      </c>
      <c r="M212" s="13">
        <f>VLOOKUP($B212,'[3]חשבונות חברה 40'!$A:$I,5,0)</f>
        <v>1907</v>
      </c>
      <c r="N212" s="4" t="str">
        <f>IF(VLOOKUP($B212,'[3]חשבונות חברה 40'!$A:$J,10,0)=0,"",VLOOKUP($B212,'[3]חשבונות חברה 40'!$A:$J,10,0))</f>
        <v/>
      </c>
      <c r="P212" s="218">
        <f t="shared" si="14"/>
        <v>824</v>
      </c>
      <c r="Q212" s="122">
        <f t="shared" si="12"/>
        <v>4.7052814957496024E-3</v>
      </c>
      <c r="R212" s="1">
        <f ca="1">'הנחות עבודה לררל ומדרג'!$F$7*Q212</f>
        <v>1299801.3803180098</v>
      </c>
      <c r="S212" s="79">
        <f t="shared" ca="1" si="13"/>
        <v>31702.472690683164</v>
      </c>
      <c r="T212" s="79">
        <f ca="1">'ררל ומדרג'!$AH$1</f>
        <v>48975.779132102936</v>
      </c>
      <c r="U212" s="79">
        <f t="shared" ca="1" si="15"/>
        <v>80678.2518227861</v>
      </c>
    </row>
    <row r="213" spans="1:21">
      <c r="A213">
        <v>213</v>
      </c>
      <c r="B213">
        <v>8919072</v>
      </c>
      <c r="C213" t="s">
        <v>3639</v>
      </c>
      <c r="D213">
        <v>622022</v>
      </c>
      <c r="E213" t="s">
        <v>3939</v>
      </c>
      <c r="F213" t="s">
        <v>3940</v>
      </c>
      <c r="G213" s="217">
        <v>7866.04</v>
      </c>
      <c r="H213" t="s">
        <v>3941</v>
      </c>
      <c r="I213">
        <v>45.08</v>
      </c>
      <c r="J213">
        <v>788.96</v>
      </c>
      <c r="K213">
        <v>100</v>
      </c>
      <c r="L213" s="13">
        <f>VLOOKUP($B213,'[3]חשבונות חברה 40'!$A:$I,7,0)</f>
        <v>19072</v>
      </c>
      <c r="M213" s="13">
        <f>VLOOKUP($B213,'[3]חשבונות חברה 40'!$A:$I,5,0)</f>
        <v>1907</v>
      </c>
      <c r="N213" s="4" t="str">
        <f>IF(VLOOKUP($B213,'[3]חשבונות חברה 40'!$A:$J,10,0)=0,"",VLOOKUP($B213,'[3]חשבונות חברה 40'!$A:$J,10,0))</f>
        <v/>
      </c>
      <c r="P213" s="218">
        <f t="shared" si="14"/>
        <v>804.96</v>
      </c>
      <c r="Q213" s="122">
        <f t="shared" si="12"/>
        <v>4.5965575155565534E-3</v>
      </c>
      <c r="R213" s="1">
        <f ca="1">'הנחות עבודה לררל ומדרג'!$F$7*Q213</f>
        <v>1269767.1348310499</v>
      </c>
      <c r="S213" s="79">
        <f t="shared" ca="1" si="13"/>
        <v>30969.930117830485</v>
      </c>
      <c r="T213" s="79">
        <f ca="1">'ררל ומדרג'!$AH$1</f>
        <v>48975.779132102936</v>
      </c>
      <c r="U213" s="79">
        <f t="shared" ca="1" si="15"/>
        <v>79945.709249933425</v>
      </c>
    </row>
    <row r="214" spans="1:21">
      <c r="A214">
        <v>214</v>
      </c>
      <c r="B214">
        <v>8919081</v>
      </c>
      <c r="C214" t="s">
        <v>3640</v>
      </c>
      <c r="D214">
        <v>622022</v>
      </c>
      <c r="E214" t="s">
        <v>3939</v>
      </c>
      <c r="F214" t="s">
        <v>3940</v>
      </c>
      <c r="G214" s="217">
        <v>8215.4</v>
      </c>
      <c r="H214" t="s">
        <v>3941</v>
      </c>
      <c r="I214">
        <v>48</v>
      </c>
      <c r="J214">
        <v>824</v>
      </c>
      <c r="K214">
        <v>100</v>
      </c>
      <c r="L214" s="13">
        <f>VLOOKUP($B214,'[3]חשבונות חברה 40'!$A:$I,7,0)</f>
        <v>19081</v>
      </c>
      <c r="M214" s="13">
        <f>VLOOKUP($B214,'[3]חשבונות חברה 40'!$A:$I,5,0)</f>
        <v>1908</v>
      </c>
      <c r="N214" s="4" t="str">
        <f>IF(VLOOKUP($B214,'[3]חשבונות חברה 40'!$A:$J,10,0)=0,"",VLOOKUP($B214,'[3]חשבונות חברה 40'!$A:$J,10,0))</f>
        <v/>
      </c>
      <c r="P214" s="218">
        <f t="shared" si="14"/>
        <v>824</v>
      </c>
      <c r="Q214" s="122">
        <f t="shared" si="12"/>
        <v>4.7052814957496024E-3</v>
      </c>
      <c r="R214" s="1">
        <f ca="1">'הנחות עבודה לררל ומדרג'!$F$7*Q214</f>
        <v>1299801.3803180098</v>
      </c>
      <c r="S214" s="79">
        <f t="shared" ca="1" si="13"/>
        <v>31702.472690683164</v>
      </c>
      <c r="T214" s="79">
        <f ca="1">'ררל ומדרג'!$AH$1</f>
        <v>48975.779132102936</v>
      </c>
      <c r="U214" s="79">
        <f t="shared" ca="1" si="15"/>
        <v>80678.2518227861</v>
      </c>
    </row>
    <row r="215" spans="1:21">
      <c r="A215">
        <v>215</v>
      </c>
      <c r="B215">
        <v>8919082</v>
      </c>
      <c r="C215" t="s">
        <v>3641</v>
      </c>
      <c r="D215">
        <v>622022</v>
      </c>
      <c r="E215" t="s">
        <v>3939</v>
      </c>
      <c r="F215" t="s">
        <v>3940</v>
      </c>
      <c r="G215" s="217">
        <v>8008.42</v>
      </c>
      <c r="H215" t="s">
        <v>3941</v>
      </c>
      <c r="I215">
        <v>46.27</v>
      </c>
      <c r="J215">
        <v>803.24</v>
      </c>
      <c r="K215">
        <v>100</v>
      </c>
      <c r="L215" s="13">
        <f>VLOOKUP($B215,'[3]חשבונות חברה 40'!$A:$I,7,0)</f>
        <v>19082</v>
      </c>
      <c r="M215" s="13">
        <f>VLOOKUP($B215,'[3]חשבונות חברה 40'!$A:$I,5,0)</f>
        <v>1908</v>
      </c>
      <c r="N215" s="4" t="str">
        <f>IF(VLOOKUP($B215,'[3]חשבונות חברה 40'!$A:$J,10,0)=0,"",VLOOKUP($B215,'[3]חשבונות חברה 40'!$A:$J,10,0))</f>
        <v/>
      </c>
      <c r="P215" s="218">
        <f t="shared" si="14"/>
        <v>819.24</v>
      </c>
      <c r="Q215" s="122">
        <f t="shared" si="12"/>
        <v>4.6781005007013399E-3</v>
      </c>
      <c r="R215" s="1">
        <f ca="1">'הנחות עבודה לררל ומדרג'!$F$7*Q215</f>
        <v>1292292.8189462698</v>
      </c>
      <c r="S215" s="79">
        <f t="shared" ca="1" si="13"/>
        <v>31519.337047469995</v>
      </c>
      <c r="T215" s="79">
        <f ca="1">'ררל ומדרג'!$AH$1</f>
        <v>48975.779132102936</v>
      </c>
      <c r="U215" s="79">
        <f t="shared" ca="1" si="15"/>
        <v>80495.116179572928</v>
      </c>
    </row>
    <row r="216" spans="1:21">
      <c r="A216">
        <v>216</v>
      </c>
      <c r="B216">
        <v>8919101</v>
      </c>
      <c r="C216" t="s">
        <v>2357</v>
      </c>
      <c r="D216">
        <v>622022</v>
      </c>
      <c r="E216" t="s">
        <v>3939</v>
      </c>
      <c r="F216" t="s">
        <v>3940</v>
      </c>
      <c r="G216" s="217">
        <v>2830.32</v>
      </c>
      <c r="H216" t="s">
        <v>3941</v>
      </c>
      <c r="I216">
        <v>2.99</v>
      </c>
      <c r="J216">
        <v>283.88</v>
      </c>
      <c r="K216">
        <v>100</v>
      </c>
      <c r="L216" s="13">
        <f>VLOOKUP($B216,'[3]חשבונות חברה 40'!$A:$I,7,0)</f>
        <v>19101</v>
      </c>
      <c r="M216" s="13">
        <f>VLOOKUP($B216,'[3]חשבונות חברה 40'!$A:$I,5,0)</f>
        <v>1910</v>
      </c>
      <c r="N216" s="4" t="str">
        <f>IF(VLOOKUP($B216,'[3]חשבונות חברה 40'!$A:$J,10,0)=0,"",VLOOKUP($B216,'[3]חשבונות חברה 40'!$A:$J,10,0))</f>
        <v/>
      </c>
      <c r="P216" s="218">
        <f t="shared" si="14"/>
        <v>299.88</v>
      </c>
      <c r="Q216" s="122">
        <f t="shared" si="12"/>
        <v>1.7124026880405228E-3</v>
      </c>
      <c r="R216" s="1">
        <f ca="1">'הנחות עבודה לררל ומדרג'!$F$7*Q216</f>
        <v>473039.36641961749</v>
      </c>
      <c r="S216" s="79">
        <f t="shared" ca="1" si="13"/>
        <v>11537.545522429695</v>
      </c>
      <c r="T216" s="79">
        <f ca="1">'ררל ומדרג'!$AH$1</f>
        <v>48975.779132102936</v>
      </c>
      <c r="U216" s="79">
        <f t="shared" ca="1" si="15"/>
        <v>60513.324654532633</v>
      </c>
    </row>
    <row r="217" spans="1:21">
      <c r="A217">
        <v>217</v>
      </c>
      <c r="B217">
        <v>8919102</v>
      </c>
      <c r="C217" t="s">
        <v>2362</v>
      </c>
      <c r="D217">
        <v>622022</v>
      </c>
      <c r="E217" t="s">
        <v>3939</v>
      </c>
      <c r="F217" t="s">
        <v>3940</v>
      </c>
      <c r="G217" s="217">
        <v>2830.32</v>
      </c>
      <c r="H217" t="s">
        <v>3941</v>
      </c>
      <c r="I217">
        <v>2.99</v>
      </c>
      <c r="J217">
        <v>283.88</v>
      </c>
      <c r="K217">
        <v>100</v>
      </c>
      <c r="L217" s="13">
        <f>VLOOKUP($B217,'[3]חשבונות חברה 40'!$A:$I,7,0)</f>
        <v>19102</v>
      </c>
      <c r="M217" s="13">
        <f>VLOOKUP($B217,'[3]חשבונות חברה 40'!$A:$I,5,0)</f>
        <v>1910</v>
      </c>
      <c r="N217" s="4" t="str">
        <f>IF(VLOOKUP($B217,'[3]חשבונות חברה 40'!$A:$J,10,0)=0,"",VLOOKUP($B217,'[3]חשבונות חברה 40'!$A:$J,10,0))</f>
        <v/>
      </c>
      <c r="P217" s="218">
        <f t="shared" si="14"/>
        <v>299.88</v>
      </c>
      <c r="Q217" s="122">
        <f t="shared" si="12"/>
        <v>1.7124026880405228E-3</v>
      </c>
      <c r="R217" s="1">
        <f ca="1">'הנחות עבודה לררל ומדרג'!$F$7*Q217</f>
        <v>473039.36641961749</v>
      </c>
      <c r="S217" s="79">
        <f t="shared" ca="1" si="13"/>
        <v>11537.545522429695</v>
      </c>
      <c r="T217" s="79">
        <f ca="1">'ררל ומדרג'!$AH$1</f>
        <v>48975.779132102936</v>
      </c>
      <c r="U217" s="79">
        <f t="shared" ca="1" si="15"/>
        <v>60513.324654532633</v>
      </c>
    </row>
    <row r="218" spans="1:21">
      <c r="A218">
        <v>218</v>
      </c>
      <c r="B218">
        <v>8919111</v>
      </c>
      <c r="C218" t="s">
        <v>3643</v>
      </c>
      <c r="D218">
        <v>622022</v>
      </c>
      <c r="E218" t="s">
        <v>3939</v>
      </c>
      <c r="F218" t="s">
        <v>3940</v>
      </c>
      <c r="G218" s="217">
        <v>6929.25</v>
      </c>
      <c r="H218" t="s">
        <v>3941</v>
      </c>
      <c r="I218">
        <v>37.25</v>
      </c>
      <c r="J218">
        <v>695</v>
      </c>
      <c r="K218">
        <v>100</v>
      </c>
      <c r="L218" s="13">
        <f>VLOOKUP($B218,'[3]חשבונות חברה 40'!$A:$I,7,0)</f>
        <v>19111</v>
      </c>
      <c r="M218" s="13">
        <f>VLOOKUP($B218,'[3]חשבונות חברה 40'!$A:$I,5,0)</f>
        <v>1911</v>
      </c>
      <c r="N218" s="4" t="str">
        <f>IF(VLOOKUP($B218,'[3]חשבונות חברה 40'!$A:$J,10,0)=0,"",VLOOKUP($B218,'[3]חשבונות חברה 40'!$A:$J,10,0))</f>
        <v/>
      </c>
      <c r="P218" s="218">
        <f t="shared" si="14"/>
        <v>711</v>
      </c>
      <c r="Q218" s="122">
        <f t="shared" si="12"/>
        <v>4.0600183780072421E-3</v>
      </c>
      <c r="R218" s="1">
        <f ca="1">'הנחות עבודה לררל ומדרג'!$F$7*Q218</f>
        <v>1121551.9191821665</v>
      </c>
      <c r="S218" s="79">
        <f t="shared" ca="1" si="13"/>
        <v>27354.924858101622</v>
      </c>
      <c r="T218" s="79">
        <f ca="1">'ררל ומדרג'!$AH$1</f>
        <v>48975.779132102936</v>
      </c>
      <c r="U218" s="79">
        <f t="shared" ca="1" si="15"/>
        <v>76330.703990204551</v>
      </c>
    </row>
    <row r="219" spans="1:21">
      <c r="A219">
        <v>219</v>
      </c>
      <c r="B219">
        <v>8919112</v>
      </c>
      <c r="C219" t="s">
        <v>3644</v>
      </c>
      <c r="D219">
        <v>622022</v>
      </c>
      <c r="E219" t="s">
        <v>3939</v>
      </c>
      <c r="F219" t="s">
        <v>3940</v>
      </c>
      <c r="G219" s="217">
        <v>7239.12</v>
      </c>
      <c r="H219" t="s">
        <v>3941</v>
      </c>
      <c r="I219">
        <v>39.840000000000003</v>
      </c>
      <c r="J219">
        <v>726.08</v>
      </c>
      <c r="K219">
        <v>100</v>
      </c>
      <c r="L219" s="13">
        <f>VLOOKUP($B219,'[3]חשבונות חברה 40'!$A:$I,7,0)</f>
        <v>19112</v>
      </c>
      <c r="M219" s="13">
        <f>VLOOKUP($B219,'[3]חשבונות חברה 40'!$A:$I,5,0)</f>
        <v>1911</v>
      </c>
      <c r="N219" s="4" t="str">
        <f>IF(VLOOKUP($B219,'[3]חשבונות חברה 40'!$A:$J,10,0)=0,"",VLOOKUP($B219,'[3]חשבונות חברה 40'!$A:$J,10,0))</f>
        <v/>
      </c>
      <c r="P219" s="218">
        <f t="shared" si="14"/>
        <v>742.08</v>
      </c>
      <c r="Q219" s="122">
        <f t="shared" si="12"/>
        <v>4.2374942868517781E-3</v>
      </c>
      <c r="R219" s="1">
        <f ca="1">'הנחות עבודה לררל ומדרג'!$F$7*Q219</f>
        <v>1170578.4081388214</v>
      </c>
      <c r="S219" s="79">
        <f t="shared" ca="1" si="13"/>
        <v>28550.692881434668</v>
      </c>
      <c r="T219" s="79">
        <f ca="1">'ררל ומדרג'!$AH$1</f>
        <v>48975.779132102936</v>
      </c>
      <c r="U219" s="79">
        <f t="shared" ca="1" si="15"/>
        <v>77526.472013537597</v>
      </c>
    </row>
    <row r="220" spans="1:21">
      <c r="A220">
        <v>220</v>
      </c>
      <c r="B220">
        <v>8919131</v>
      </c>
      <c r="C220" t="s">
        <v>3645</v>
      </c>
      <c r="D220">
        <v>622022</v>
      </c>
      <c r="E220" t="s">
        <v>3939</v>
      </c>
      <c r="F220" t="s">
        <v>3940</v>
      </c>
      <c r="G220" s="217">
        <v>7284.58</v>
      </c>
      <c r="H220" t="s">
        <v>3941</v>
      </c>
      <c r="I220">
        <v>40.22</v>
      </c>
      <c r="J220">
        <v>730.64</v>
      </c>
      <c r="K220">
        <v>100</v>
      </c>
      <c r="L220" s="13">
        <f>VLOOKUP($B220,'[3]חשבונות חברה 40'!$A:$I,7,0)</f>
        <v>19052</v>
      </c>
      <c r="M220" s="13">
        <f>VLOOKUP($B220,'[3]חשבונות חברה 40'!$A:$I,5,0)</f>
        <v>1905</v>
      </c>
      <c r="N220" s="4" t="str">
        <f>IF(VLOOKUP($B220,'[3]חשבונות חברה 40'!$A:$J,10,0)=0,"",VLOOKUP($B220,'[3]חשבונות חברה 40'!$A:$J,10,0))</f>
        <v/>
      </c>
      <c r="P220" s="218">
        <f t="shared" si="14"/>
        <v>746.64</v>
      </c>
      <c r="Q220" s="122">
        <f t="shared" si="12"/>
        <v>4.263533223284567E-3</v>
      </c>
      <c r="R220" s="1">
        <f ca="1">'הנחות עבודה לררל ומדרג'!$F$7*Q220</f>
        <v>1177771.4837386394</v>
      </c>
      <c r="S220" s="79">
        <f t="shared" ca="1" si="13"/>
        <v>28726.133749722911</v>
      </c>
      <c r="T220" s="79">
        <f ca="1">'ררל ומדרג'!$AH$1</f>
        <v>48975.779132102936</v>
      </c>
      <c r="U220" s="79">
        <f t="shared" ca="1" si="15"/>
        <v>77701.912881825847</v>
      </c>
    </row>
    <row r="221" spans="1:21">
      <c r="A221">
        <v>221</v>
      </c>
      <c r="B221">
        <v>8919132</v>
      </c>
      <c r="C221" t="s">
        <v>3646</v>
      </c>
      <c r="D221">
        <v>622022</v>
      </c>
      <c r="E221" t="s">
        <v>3939</v>
      </c>
      <c r="F221" t="s">
        <v>3940</v>
      </c>
      <c r="G221" s="217">
        <v>5935.03</v>
      </c>
      <c r="H221" t="s">
        <v>3941</v>
      </c>
      <c r="I221">
        <v>28.94</v>
      </c>
      <c r="J221">
        <v>595.28</v>
      </c>
      <c r="K221">
        <v>100</v>
      </c>
      <c r="L221" s="13">
        <f>VLOOKUP($B221,'[3]חשבונות חברה 40'!$A:$I,7,0)</f>
        <v>19132</v>
      </c>
      <c r="M221" s="13">
        <f>VLOOKUP($B221,'[3]חשבונות חברה 40'!$A:$I,5,0)</f>
        <v>1913</v>
      </c>
      <c r="N221" s="4" t="str">
        <f>IF(VLOOKUP($B221,'[3]חשבונות חברה 40'!$A:$J,10,0)=0,"",VLOOKUP($B221,'[3]חשבונות חברה 40'!$A:$J,10,0))</f>
        <v/>
      </c>
      <c r="P221" s="218">
        <f t="shared" si="14"/>
        <v>611.28</v>
      </c>
      <c r="Q221" s="122">
        <f t="shared" si="12"/>
        <v>3.4905879523323018E-3</v>
      </c>
      <c r="R221" s="1">
        <f ca="1">'הנחות עבודה לררל ומדרג'!$F$7*Q221</f>
        <v>964250.71330193325</v>
      </c>
      <c r="S221" s="79">
        <f t="shared" ca="1" si="13"/>
        <v>23518.310080534957</v>
      </c>
      <c r="T221" s="79">
        <f ca="1">'ררל ומדרג'!$AH$1</f>
        <v>48975.779132102936</v>
      </c>
      <c r="U221" s="79">
        <f t="shared" ca="1" si="15"/>
        <v>72494.089212637889</v>
      </c>
    </row>
    <row r="222" spans="1:21">
      <c r="A222">
        <v>222</v>
      </c>
      <c r="B222">
        <v>8919137</v>
      </c>
      <c r="C222" t="s">
        <v>3647</v>
      </c>
      <c r="D222">
        <v>622022</v>
      </c>
      <c r="E222" t="s">
        <v>3939</v>
      </c>
      <c r="F222" t="s">
        <v>3940</v>
      </c>
      <c r="G222" s="217">
        <v>7371.92</v>
      </c>
      <c r="H222" t="s">
        <v>3941</v>
      </c>
      <c r="I222">
        <v>40.950000000000003</v>
      </c>
      <c r="J222">
        <v>739.4</v>
      </c>
      <c r="K222">
        <v>100</v>
      </c>
      <c r="L222" s="13">
        <f>VLOOKUP($B222,'[3]חשבונות חברה 40'!$A:$I,7,0)</f>
        <v>19131</v>
      </c>
      <c r="M222" s="13">
        <f>VLOOKUP($B222,'[3]חשבונות חברה 40'!$A:$I,5,0)</f>
        <v>1913</v>
      </c>
      <c r="N222" s="4" t="str">
        <f>IF(VLOOKUP($B222,'[3]חשבונות חברה 40'!$A:$J,10,0)=0,"",VLOOKUP($B222,'[3]חשבונות חברה 40'!$A:$J,10,0))</f>
        <v/>
      </c>
      <c r="P222" s="218">
        <f t="shared" si="14"/>
        <v>755.4</v>
      </c>
      <c r="Q222" s="122">
        <f t="shared" si="12"/>
        <v>4.313555390642293E-3</v>
      </c>
      <c r="R222" s="1">
        <f ca="1">'הנחות עבודה לררל ומדרג'!$F$7*Q222</f>
        <v>1191589.7605488163</v>
      </c>
      <c r="S222" s="79">
        <f t="shared" ca="1" si="13"/>
        <v>29063.164891434542</v>
      </c>
      <c r="T222" s="79">
        <f ca="1">'ררל ומדרג'!$AH$1</f>
        <v>48975.779132102936</v>
      </c>
      <c r="U222" s="79">
        <f t="shared" ca="1" si="15"/>
        <v>78038.944023537479</v>
      </c>
    </row>
    <row r="223" spans="1:21">
      <c r="A223">
        <v>223</v>
      </c>
      <c r="B223">
        <v>8919141</v>
      </c>
      <c r="C223" t="s">
        <v>3648</v>
      </c>
      <c r="D223">
        <v>622022</v>
      </c>
      <c r="E223" t="s">
        <v>3939</v>
      </c>
      <c r="F223" t="s">
        <v>3940</v>
      </c>
      <c r="G223" s="217">
        <v>6498.54</v>
      </c>
      <c r="H223" t="s">
        <v>3941</v>
      </c>
      <c r="I223">
        <v>33.65</v>
      </c>
      <c r="J223">
        <v>651.79999999999995</v>
      </c>
      <c r="K223">
        <v>100</v>
      </c>
      <c r="L223" s="13">
        <f>VLOOKUP($B223,'[3]חשבונות חברה 40'!$A:$I,7,0)</f>
        <v>19141</v>
      </c>
      <c r="M223" s="13">
        <f>VLOOKUP($B223,'[3]חשבונות חברה 40'!$A:$I,5,0)</f>
        <v>1914</v>
      </c>
      <c r="N223" s="4" t="str">
        <f>IF(VLOOKUP($B223,'[3]חשבונות חברה 40'!$A:$J,10,0)=0,"",VLOOKUP($B223,'[3]חשבונות חברה 40'!$A:$J,10,0))</f>
        <v/>
      </c>
      <c r="P223" s="218">
        <f t="shared" si="14"/>
        <v>667.8</v>
      </c>
      <c r="Q223" s="122">
        <f t="shared" si="12"/>
        <v>3.8133337170650292E-3</v>
      </c>
      <c r="R223" s="1">
        <f ca="1">'הנחות עבודה לררל ומדרג'!$F$7*Q223</f>
        <v>1053406.9924470473</v>
      </c>
      <c r="S223" s="79">
        <f t="shared" ca="1" si="13"/>
        <v>25692.853474318224</v>
      </c>
      <c r="T223" s="79">
        <f ca="1">'ררל ומדרג'!$AH$1</f>
        <v>48975.779132102936</v>
      </c>
      <c r="U223" s="79">
        <f t="shared" ca="1" si="15"/>
        <v>74668.632606421161</v>
      </c>
    </row>
    <row r="224" spans="1:21">
      <c r="A224">
        <v>224</v>
      </c>
      <c r="B224">
        <v>8919142</v>
      </c>
      <c r="C224" t="s">
        <v>3650</v>
      </c>
      <c r="D224">
        <v>622022</v>
      </c>
      <c r="E224" t="s">
        <v>3939</v>
      </c>
      <c r="F224" t="s">
        <v>3940</v>
      </c>
      <c r="G224" s="217">
        <v>5461.25</v>
      </c>
      <c r="H224" t="s">
        <v>3941</v>
      </c>
      <c r="I224">
        <v>24.98</v>
      </c>
      <c r="J224">
        <v>547.76</v>
      </c>
      <c r="K224">
        <v>100</v>
      </c>
      <c r="L224" s="13">
        <f>VLOOKUP($B224,'[3]חשבונות חברה 40'!$A:$I,7,0)</f>
        <v>19142</v>
      </c>
      <c r="M224" s="13">
        <f>VLOOKUP($B224,'[3]חשבונות חברה 40'!$A:$I,5,0)</f>
        <v>1914</v>
      </c>
      <c r="N224" s="4" t="str">
        <f>IF(VLOOKUP($B224,'[3]חשבונות חברה 40'!$A:$J,10,0)=0,"",VLOOKUP($B224,'[3]חשבונות חברה 40'!$A:$J,10,0))</f>
        <v/>
      </c>
      <c r="P224" s="218">
        <f t="shared" si="14"/>
        <v>563.76</v>
      </c>
      <c r="Q224" s="122">
        <f t="shared" si="12"/>
        <v>3.2192348252958686E-3</v>
      </c>
      <c r="R224" s="1">
        <f ca="1">'הנחות עבודה לררל ומדרג'!$F$7*Q224</f>
        <v>889291.29389330244</v>
      </c>
      <c r="S224" s="79">
        <f t="shared" ca="1" si="13"/>
        <v>21690.03155837323</v>
      </c>
      <c r="T224" s="79">
        <f ca="1">'ררל ומדרג'!$AH$1</f>
        <v>48975.779132102936</v>
      </c>
      <c r="U224" s="79">
        <f t="shared" ca="1" si="15"/>
        <v>70665.810690476166</v>
      </c>
    </row>
    <row r="225" spans="1:21">
      <c r="A225">
        <v>225</v>
      </c>
      <c r="B225">
        <v>8919221</v>
      </c>
      <c r="C225" t="s">
        <v>2427</v>
      </c>
      <c r="D225">
        <v>622022</v>
      </c>
      <c r="E225" t="s">
        <v>3939</v>
      </c>
      <c r="F225" t="s">
        <v>3940</v>
      </c>
      <c r="G225" s="217">
        <v>3435.71</v>
      </c>
      <c r="H225" t="s">
        <v>3941</v>
      </c>
      <c r="I225">
        <v>8.0500000000000007</v>
      </c>
      <c r="J225">
        <v>344.6</v>
      </c>
      <c r="K225">
        <v>100</v>
      </c>
      <c r="L225" s="13">
        <f>VLOOKUP($B225,'[3]חשבונות חברה 40'!$A:$I,7,0)</f>
        <v>19221</v>
      </c>
      <c r="M225" s="13">
        <f>VLOOKUP($B225,'[3]חשבונות חברה 40'!$A:$I,5,0)</f>
        <v>1922</v>
      </c>
      <c r="N225" s="4" t="str">
        <f>IF(VLOOKUP($B225,'[3]חשבונות חברה 40'!$A:$J,10,0)=0,"",VLOOKUP($B225,'[3]חשבונות חברה 40'!$A:$J,10,0))</f>
        <v/>
      </c>
      <c r="P225" s="218">
        <f t="shared" si="14"/>
        <v>360.6</v>
      </c>
      <c r="Q225" s="122">
        <f t="shared" si="12"/>
        <v>2.059131683698188E-3</v>
      </c>
      <c r="R225" s="1">
        <f ca="1">'הנחות עבודה לררל ומדרג'!$F$7*Q225</f>
        <v>568820.84677509032</v>
      </c>
      <c r="S225" s="79">
        <f t="shared" ca="1" si="13"/>
        <v>13873.67918963635</v>
      </c>
      <c r="T225" s="79">
        <f ca="1">'ררל ומדרג'!$AH$1</f>
        <v>48975.779132102936</v>
      </c>
      <c r="U225" s="79">
        <f t="shared" ca="1" si="15"/>
        <v>62849.458321739286</v>
      </c>
    </row>
    <row r="226" spans="1:21">
      <c r="A226">
        <v>226</v>
      </c>
      <c r="B226">
        <v>8919222</v>
      </c>
      <c r="C226" t="s">
        <v>3651</v>
      </c>
      <c r="D226">
        <v>622022</v>
      </c>
      <c r="E226" t="s">
        <v>3939</v>
      </c>
      <c r="F226" t="s">
        <v>3940</v>
      </c>
      <c r="G226" s="217">
        <v>3435.71</v>
      </c>
      <c r="H226" t="s">
        <v>3941</v>
      </c>
      <c r="I226">
        <v>8.0500000000000007</v>
      </c>
      <c r="J226">
        <v>344.6</v>
      </c>
      <c r="K226">
        <v>100</v>
      </c>
      <c r="L226" s="13">
        <f>VLOOKUP($B226,'[3]חשבונות חברה 40'!$A:$I,7,0)</f>
        <v>19222</v>
      </c>
      <c r="M226" s="13">
        <f>VLOOKUP($B226,'[3]חשבונות חברה 40'!$A:$I,5,0)</f>
        <v>1922</v>
      </c>
      <c r="N226" s="4" t="str">
        <f>IF(VLOOKUP($B226,'[3]חשבונות חברה 40'!$A:$J,10,0)=0,"",VLOOKUP($B226,'[3]חשבונות חברה 40'!$A:$J,10,0))</f>
        <v/>
      </c>
      <c r="P226" s="218">
        <f t="shared" si="14"/>
        <v>360.6</v>
      </c>
      <c r="Q226" s="122">
        <f t="shared" si="12"/>
        <v>2.059131683698188E-3</v>
      </c>
      <c r="R226" s="1">
        <f ca="1">'הנחות עבודה לררל ומדרג'!$F$7*Q226</f>
        <v>568820.84677509032</v>
      </c>
      <c r="S226" s="79">
        <f t="shared" ca="1" si="13"/>
        <v>13873.67918963635</v>
      </c>
      <c r="T226" s="79">
        <f ca="1">'ררל ומדרג'!$AH$1</f>
        <v>48975.779132102936</v>
      </c>
      <c r="U226" s="79">
        <f t="shared" ca="1" si="15"/>
        <v>62849.458321739286</v>
      </c>
    </row>
    <row r="227" spans="1:21">
      <c r="A227">
        <v>227</v>
      </c>
      <c r="B227">
        <v>8919231</v>
      </c>
      <c r="C227" t="s">
        <v>3652</v>
      </c>
      <c r="D227">
        <v>622022</v>
      </c>
      <c r="E227" t="s">
        <v>3939</v>
      </c>
      <c r="F227" t="s">
        <v>3940</v>
      </c>
      <c r="G227" s="217">
        <v>4049.47</v>
      </c>
      <c r="H227" t="s">
        <v>3941</v>
      </c>
      <c r="I227">
        <v>13.18</v>
      </c>
      <c r="J227">
        <v>406.16</v>
      </c>
      <c r="K227">
        <v>100</v>
      </c>
      <c r="L227" s="13">
        <f>VLOOKUP($B227,'[3]חשבונות חברה 40'!$A:$I,7,0)</f>
        <v>19231</v>
      </c>
      <c r="M227" s="13">
        <f>VLOOKUP($B227,'[3]חשבונות חברה 40'!$A:$I,5,0)</f>
        <v>1923</v>
      </c>
      <c r="N227" s="4" t="str">
        <f>IF(VLOOKUP($B227,'[3]חשבונות חברה 40'!$A:$J,10,0)=0,"",VLOOKUP($B227,'[3]חשבונות חברה 40'!$A:$J,10,0))</f>
        <v/>
      </c>
      <c r="P227" s="218">
        <f t="shared" si="14"/>
        <v>422.16</v>
      </c>
      <c r="Q227" s="122">
        <f t="shared" si="12"/>
        <v>2.41065732554084E-3</v>
      </c>
      <c r="R227" s="1">
        <f ca="1">'הנחות עבודה לררל ומדרג'!$F$7*Q227</f>
        <v>665927.36737263482</v>
      </c>
      <c r="S227" s="79">
        <f t="shared" ca="1" si="13"/>
        <v>16242.130911527678</v>
      </c>
      <c r="T227" s="79">
        <f ca="1">'ררל ומדרג'!$AH$1</f>
        <v>48975.779132102936</v>
      </c>
      <c r="U227" s="79">
        <f t="shared" ca="1" si="15"/>
        <v>65217.910043630618</v>
      </c>
    </row>
    <row r="228" spans="1:21">
      <c r="A228">
        <v>228</v>
      </c>
      <c r="B228">
        <v>8919232</v>
      </c>
      <c r="C228" t="s">
        <v>3653</v>
      </c>
      <c r="D228">
        <v>622022</v>
      </c>
      <c r="E228" t="s">
        <v>3939</v>
      </c>
      <c r="F228" t="s">
        <v>3940</v>
      </c>
      <c r="G228" s="217">
        <v>4049.47</v>
      </c>
      <c r="H228" t="s">
        <v>3941</v>
      </c>
      <c r="I228">
        <v>13.18</v>
      </c>
      <c r="J228">
        <v>406.16</v>
      </c>
      <c r="K228">
        <v>100</v>
      </c>
      <c r="L228" s="13">
        <f>VLOOKUP($B228,'[3]חשבונות חברה 40'!$A:$I,7,0)</f>
        <v>19232</v>
      </c>
      <c r="M228" s="13">
        <f>VLOOKUP($B228,'[3]חשבונות חברה 40'!$A:$I,5,0)</f>
        <v>1923</v>
      </c>
      <c r="N228" s="4" t="str">
        <f>IF(VLOOKUP($B228,'[3]חשבונות חברה 40'!$A:$J,10,0)=0,"",VLOOKUP($B228,'[3]חשבונות חברה 40'!$A:$J,10,0))</f>
        <v/>
      </c>
      <c r="P228" s="218">
        <f t="shared" si="14"/>
        <v>422.16</v>
      </c>
      <c r="Q228" s="122">
        <f t="shared" si="12"/>
        <v>2.41065732554084E-3</v>
      </c>
      <c r="R228" s="1">
        <f ca="1">'הנחות עבודה לררל ומדרג'!$F$7*Q228</f>
        <v>665927.36737263482</v>
      </c>
      <c r="S228" s="79">
        <f t="shared" ca="1" si="13"/>
        <v>16242.130911527678</v>
      </c>
      <c r="T228" s="79">
        <f ca="1">'ררל ומדרג'!$AH$1</f>
        <v>48975.779132102936</v>
      </c>
      <c r="U228" s="79">
        <f t="shared" ca="1" si="15"/>
        <v>65217.910043630618</v>
      </c>
    </row>
    <row r="229" spans="1:21">
      <c r="A229">
        <v>229</v>
      </c>
      <c r="B229">
        <v>8919311</v>
      </c>
      <c r="C229" t="s">
        <v>3654</v>
      </c>
      <c r="D229">
        <v>622022</v>
      </c>
      <c r="E229" t="s">
        <v>3939</v>
      </c>
      <c r="F229" t="s">
        <v>3940</v>
      </c>
      <c r="G229" s="217">
        <v>2991.84</v>
      </c>
      <c r="H229" t="s">
        <v>3941</v>
      </c>
      <c r="I229">
        <v>4.34</v>
      </c>
      <c r="J229">
        <v>300.08</v>
      </c>
      <c r="K229">
        <v>100</v>
      </c>
      <c r="L229" s="13">
        <f>VLOOKUP($B229,'[3]חשבונות חברה 40'!$A:$I,7,0)</f>
        <v>19311</v>
      </c>
      <c r="M229" s="13">
        <f>VLOOKUP($B229,'[3]חשבונות חברה 40'!$A:$I,5,0)</f>
        <v>1931</v>
      </c>
      <c r="N229" s="4" t="str">
        <f>IF(VLOOKUP($B229,'[3]חשבונות חברה 40'!$A:$J,10,0)=0,"",VLOOKUP($B229,'[3]חשבונות חברה 40'!$A:$J,10,0))</f>
        <v/>
      </c>
      <c r="P229" s="218">
        <f t="shared" si="14"/>
        <v>316.08</v>
      </c>
      <c r="Q229" s="122">
        <f t="shared" si="12"/>
        <v>1.8049094358938522E-3</v>
      </c>
      <c r="R229" s="1">
        <f ca="1">'הנחות עבודה לררל ומדרג'!$F$7*Q229</f>
        <v>498593.71394528705</v>
      </c>
      <c r="S229" s="79">
        <f t="shared" ca="1" si="13"/>
        <v>12160.822291348464</v>
      </c>
      <c r="T229" s="79">
        <f ca="1">'ררל ומדרג'!$AH$1</f>
        <v>48975.779132102936</v>
      </c>
      <c r="U229" s="79">
        <f t="shared" ca="1" si="15"/>
        <v>61136.6014234514</v>
      </c>
    </row>
    <row r="230" spans="1:21">
      <c r="A230">
        <v>230</v>
      </c>
      <c r="B230">
        <v>8919312</v>
      </c>
      <c r="C230" t="s">
        <v>3655</v>
      </c>
      <c r="D230">
        <v>622022</v>
      </c>
      <c r="E230" t="s">
        <v>3939</v>
      </c>
      <c r="F230" t="s">
        <v>3940</v>
      </c>
      <c r="G230" s="217">
        <v>2991.84</v>
      </c>
      <c r="H230" t="s">
        <v>3941</v>
      </c>
      <c r="I230">
        <v>4.34</v>
      </c>
      <c r="J230">
        <v>300.08</v>
      </c>
      <c r="K230">
        <v>100</v>
      </c>
      <c r="L230" s="13">
        <f>VLOOKUP($B230,'[3]חשבונות חברה 40'!$A:$I,7,0)</f>
        <v>19312</v>
      </c>
      <c r="M230" s="13">
        <f>VLOOKUP($B230,'[3]חשבונות חברה 40'!$A:$I,5,0)</f>
        <v>1931</v>
      </c>
      <c r="N230" s="4" t="str">
        <f>IF(VLOOKUP($B230,'[3]חשבונות חברה 40'!$A:$J,10,0)=0,"",VLOOKUP($B230,'[3]חשבונות חברה 40'!$A:$J,10,0))</f>
        <v/>
      </c>
      <c r="P230" s="218">
        <f t="shared" si="14"/>
        <v>316.08</v>
      </c>
      <c r="Q230" s="122">
        <f t="shared" si="12"/>
        <v>1.8049094358938522E-3</v>
      </c>
      <c r="R230" s="1">
        <f ca="1">'הנחות עבודה לררל ומדרג'!$F$7*Q230</f>
        <v>498593.71394528705</v>
      </c>
      <c r="S230" s="79">
        <f t="shared" ca="1" si="13"/>
        <v>12160.822291348464</v>
      </c>
      <c r="T230" s="79">
        <f ca="1">'ררל ומדרג'!$AH$1</f>
        <v>48975.779132102936</v>
      </c>
      <c r="U230" s="79">
        <f t="shared" ca="1" si="15"/>
        <v>61136.6014234514</v>
      </c>
    </row>
    <row r="231" spans="1:21">
      <c r="A231">
        <v>231</v>
      </c>
      <c r="B231">
        <v>8919351</v>
      </c>
      <c r="C231" t="s">
        <v>2509</v>
      </c>
      <c r="D231">
        <v>622022</v>
      </c>
      <c r="E231" t="s">
        <v>3939</v>
      </c>
      <c r="F231" t="s">
        <v>3940</v>
      </c>
      <c r="G231" s="217">
        <v>3670.21</v>
      </c>
      <c r="H231" t="s">
        <v>3941</v>
      </c>
      <c r="I231">
        <v>10.01</v>
      </c>
      <c r="J231">
        <v>368.12</v>
      </c>
      <c r="K231">
        <v>100</v>
      </c>
      <c r="L231" s="13">
        <f>VLOOKUP($B231,'[3]חשבונות חברה 40'!$A:$I,7,0)</f>
        <v>19351</v>
      </c>
      <c r="M231" s="13">
        <f>VLOOKUP($B231,'[3]חשבונות חברה 40'!$A:$I,5,0)</f>
        <v>1935</v>
      </c>
      <c r="N231" s="4" t="str">
        <f>IF(VLOOKUP($B231,'[3]חשבונות חברה 40'!$A:$J,10,0)=0,"",VLOOKUP($B231,'[3]חשבונות חברה 40'!$A:$J,10,0))</f>
        <v/>
      </c>
      <c r="P231" s="218">
        <f t="shared" si="14"/>
        <v>384.12</v>
      </c>
      <c r="Q231" s="122">
        <f t="shared" si="12"/>
        <v>2.1934377768778367E-3</v>
      </c>
      <c r="R231" s="1">
        <f ca="1">'הנחות עבודה לררל ומדרג'!$F$7*Q231</f>
        <v>605921.97355309955</v>
      </c>
      <c r="S231" s="79">
        <f t="shared" ca="1" si="13"/>
        <v>14778.584720807306</v>
      </c>
      <c r="T231" s="79">
        <f ca="1">'ררל ומדרג'!$AH$1</f>
        <v>48975.779132102936</v>
      </c>
      <c r="U231" s="79">
        <f t="shared" ca="1" si="15"/>
        <v>63754.363852910246</v>
      </c>
    </row>
    <row r="232" spans="1:21">
      <c r="A232">
        <v>232</v>
      </c>
      <c r="B232">
        <v>8919352</v>
      </c>
      <c r="C232" t="s">
        <v>2515</v>
      </c>
      <c r="D232">
        <v>622022</v>
      </c>
      <c r="E232" t="s">
        <v>3939</v>
      </c>
      <c r="F232" t="s">
        <v>3940</v>
      </c>
      <c r="G232" s="217">
        <v>3670.21</v>
      </c>
      <c r="H232" t="s">
        <v>3941</v>
      </c>
      <c r="I232">
        <v>10.01</v>
      </c>
      <c r="J232">
        <v>368.12</v>
      </c>
      <c r="K232">
        <v>100</v>
      </c>
      <c r="L232" s="13">
        <f>VLOOKUP($B232,'[3]חשבונות חברה 40'!$A:$I,7,0)</f>
        <v>19352</v>
      </c>
      <c r="M232" s="13">
        <f>VLOOKUP($B232,'[3]חשבונות חברה 40'!$A:$I,5,0)</f>
        <v>1935</v>
      </c>
      <c r="N232" s="4" t="str">
        <f>IF(VLOOKUP($B232,'[3]חשבונות חברה 40'!$A:$J,10,0)=0,"",VLOOKUP($B232,'[3]חשבונות חברה 40'!$A:$J,10,0))</f>
        <v/>
      </c>
      <c r="P232" s="218">
        <f t="shared" si="14"/>
        <v>384.12</v>
      </c>
      <c r="Q232" s="122">
        <f t="shared" si="12"/>
        <v>2.1934377768778367E-3</v>
      </c>
      <c r="R232" s="1">
        <f ca="1">'הנחות עבודה לררל ומדרג'!$F$7*Q232</f>
        <v>605921.97355309955</v>
      </c>
      <c r="S232" s="79">
        <f t="shared" ca="1" si="13"/>
        <v>14778.584720807306</v>
      </c>
      <c r="T232" s="79">
        <f ca="1">'ררל ומדרג'!$AH$1</f>
        <v>48975.779132102936</v>
      </c>
      <c r="U232" s="79">
        <f t="shared" ca="1" si="15"/>
        <v>63754.363852910246</v>
      </c>
    </row>
    <row r="233" spans="1:21">
      <c r="A233">
        <v>233</v>
      </c>
      <c r="B233">
        <v>8920052</v>
      </c>
      <c r="C233" t="s">
        <v>3659</v>
      </c>
      <c r="D233">
        <v>622022</v>
      </c>
      <c r="E233" t="s">
        <v>3939</v>
      </c>
      <c r="F233" t="s">
        <v>3940</v>
      </c>
      <c r="G233" s="217">
        <v>8215.4</v>
      </c>
      <c r="H233" t="s">
        <v>3941</v>
      </c>
      <c r="I233">
        <v>48</v>
      </c>
      <c r="J233">
        <v>824</v>
      </c>
      <c r="K233">
        <v>100</v>
      </c>
      <c r="L233" s="13">
        <f>VLOOKUP($B233,'[3]חשבונות חברה 40'!$A:$I,7,0)</f>
        <v>20052</v>
      </c>
      <c r="M233" s="13">
        <f>VLOOKUP($B233,'[3]חשבונות חברה 40'!$A:$I,5,0)</f>
        <v>2005</v>
      </c>
      <c r="N233" s="4" t="str">
        <f>IF(VLOOKUP($B233,'[3]חשבונות חברה 40'!$A:$J,10,0)=0,"",VLOOKUP($B233,'[3]חשבונות חברה 40'!$A:$J,10,0))</f>
        <v/>
      </c>
      <c r="P233" s="218">
        <f t="shared" si="14"/>
        <v>824</v>
      </c>
      <c r="Q233" s="122">
        <f t="shared" si="12"/>
        <v>4.7052814957496024E-3</v>
      </c>
      <c r="R233" s="1">
        <f ca="1">'הנחות עבודה לררל ומדרג'!$F$7*Q233</f>
        <v>1299801.3803180098</v>
      </c>
      <c r="S233" s="79">
        <f t="shared" ca="1" si="13"/>
        <v>31702.472690683164</v>
      </c>
      <c r="T233" s="79">
        <f ca="1">'ררל ומדרג'!$AH$1</f>
        <v>48975.779132102936</v>
      </c>
      <c r="U233" s="79">
        <f t="shared" ca="1" si="15"/>
        <v>80678.2518227861</v>
      </c>
    </row>
    <row r="234" spans="1:21">
      <c r="A234">
        <v>234</v>
      </c>
      <c r="B234">
        <v>8920061</v>
      </c>
      <c r="C234" t="s">
        <v>3660</v>
      </c>
      <c r="D234">
        <v>622022</v>
      </c>
      <c r="E234" t="s">
        <v>3939</v>
      </c>
      <c r="F234" t="s">
        <v>3940</v>
      </c>
      <c r="G234" s="217">
        <v>8068.24</v>
      </c>
      <c r="H234" t="s">
        <v>3941</v>
      </c>
      <c r="I234">
        <v>46.77</v>
      </c>
      <c r="J234">
        <v>809.24</v>
      </c>
      <c r="K234">
        <v>100</v>
      </c>
      <c r="L234" s="13">
        <f>VLOOKUP($B234,'[3]חשבונות חברה 40'!$A:$I,7,0)</f>
        <v>20061</v>
      </c>
      <c r="M234" s="13">
        <f>VLOOKUP($B234,'[3]חשבונות חברה 40'!$A:$I,5,0)</f>
        <v>2006</v>
      </c>
      <c r="N234" s="4" t="str">
        <f>IF(VLOOKUP($B234,'[3]חשבונות חברה 40'!$A:$J,10,0)=0,"",VLOOKUP($B234,'[3]חשבונות חברה 40'!$A:$J,10,0))</f>
        <v/>
      </c>
      <c r="P234" s="218">
        <f t="shared" si="14"/>
        <v>824</v>
      </c>
      <c r="Q234" s="122">
        <f t="shared" si="12"/>
        <v>4.7052814957496024E-3</v>
      </c>
      <c r="R234" s="1">
        <f ca="1">'הנחות עבודה לררל ומדרג'!$F$7*Q234</f>
        <v>1299801.3803180098</v>
      </c>
      <c r="S234" s="79">
        <f t="shared" ca="1" si="13"/>
        <v>31702.472690683164</v>
      </c>
      <c r="T234" s="79">
        <f ca="1">'ררל ומדרג'!$AH$1</f>
        <v>48975.779132102936</v>
      </c>
      <c r="U234" s="79">
        <f t="shared" ca="1" si="15"/>
        <v>80678.2518227861</v>
      </c>
    </row>
    <row r="235" spans="1:21">
      <c r="A235">
        <v>235</v>
      </c>
      <c r="B235">
        <v>8920062</v>
      </c>
      <c r="C235" t="s">
        <v>3662</v>
      </c>
      <c r="D235">
        <v>622022</v>
      </c>
      <c r="E235" t="s">
        <v>3939</v>
      </c>
      <c r="F235" t="s">
        <v>3940</v>
      </c>
      <c r="G235" s="217">
        <v>8215.4</v>
      </c>
      <c r="H235" t="s">
        <v>3941</v>
      </c>
      <c r="I235">
        <v>48</v>
      </c>
      <c r="J235">
        <v>824</v>
      </c>
      <c r="K235">
        <v>100</v>
      </c>
      <c r="L235" s="13">
        <f>VLOOKUP($B235,'[3]חשבונות חברה 40'!$A:$I,7,0)</f>
        <v>20062</v>
      </c>
      <c r="M235" s="13">
        <f>VLOOKUP($B235,'[3]חשבונות חברה 40'!$A:$I,5,0)</f>
        <v>2006</v>
      </c>
      <c r="N235" s="4" t="str">
        <f>IF(VLOOKUP($B235,'[3]חשבונות חברה 40'!$A:$J,10,0)=0,"",VLOOKUP($B235,'[3]חשבונות חברה 40'!$A:$J,10,0))</f>
        <v/>
      </c>
      <c r="P235" s="218">
        <f t="shared" si="14"/>
        <v>824</v>
      </c>
      <c r="Q235" s="122">
        <f t="shared" si="12"/>
        <v>4.7052814957496024E-3</v>
      </c>
      <c r="R235" s="1">
        <f ca="1">'הנחות עבודה לררל ומדרג'!$F$7*Q235</f>
        <v>1299801.3803180098</v>
      </c>
      <c r="S235" s="79">
        <f t="shared" ca="1" si="13"/>
        <v>31702.472690683164</v>
      </c>
      <c r="T235" s="79">
        <f ca="1">'ררל ומדרג'!$AH$1</f>
        <v>48975.779132102936</v>
      </c>
      <c r="U235" s="79">
        <f t="shared" ca="1" si="15"/>
        <v>80678.2518227861</v>
      </c>
    </row>
    <row r="236" spans="1:21">
      <c r="A236">
        <v>236</v>
      </c>
      <c r="B236">
        <v>8920071</v>
      </c>
      <c r="C236" t="s">
        <v>3663</v>
      </c>
      <c r="D236">
        <v>622022</v>
      </c>
      <c r="E236" t="s">
        <v>3939</v>
      </c>
      <c r="F236" t="s">
        <v>3940</v>
      </c>
      <c r="G236" s="217">
        <v>7011.8</v>
      </c>
      <c r="H236" t="s">
        <v>3941</v>
      </c>
      <c r="I236">
        <v>37.94</v>
      </c>
      <c r="J236">
        <v>703.28</v>
      </c>
      <c r="K236">
        <v>100</v>
      </c>
      <c r="L236" s="13">
        <f>VLOOKUP($B236,'[3]חשבונות חברה 40'!$A:$I,7,0)</f>
        <v>20071</v>
      </c>
      <c r="M236" s="13">
        <f>VLOOKUP($B236,'[3]חשבונות חברה 40'!$A:$I,5,0)</f>
        <v>2007</v>
      </c>
      <c r="N236" s="4" t="str">
        <f>IF(VLOOKUP($B236,'[3]חשבונות חברה 40'!$A:$J,10,0)=0,"",VLOOKUP($B236,'[3]חשבונות חברה 40'!$A:$J,10,0))</f>
        <v/>
      </c>
      <c r="P236" s="218">
        <f t="shared" si="14"/>
        <v>719.28</v>
      </c>
      <c r="Q236" s="122">
        <f t="shared" si="12"/>
        <v>4.1072996046878319E-3</v>
      </c>
      <c r="R236" s="1">
        <f ca="1">'הנחות עבודה לררל ומדרג'!$F$7*Q236</f>
        <v>1134613.0301397305</v>
      </c>
      <c r="S236" s="79">
        <f t="shared" ca="1" si="13"/>
        <v>27673.488539993428</v>
      </c>
      <c r="T236" s="79">
        <f ca="1">'ררל ומדרג'!$AH$1</f>
        <v>48975.779132102936</v>
      </c>
      <c r="U236" s="79">
        <f t="shared" ca="1" si="15"/>
        <v>76649.267672096365</v>
      </c>
    </row>
    <row r="237" spans="1:21">
      <c r="A237">
        <v>237</v>
      </c>
      <c r="B237">
        <v>8920072</v>
      </c>
      <c r="C237" t="s">
        <v>3664</v>
      </c>
      <c r="D237">
        <v>622022</v>
      </c>
      <c r="E237" t="s">
        <v>3939</v>
      </c>
      <c r="F237" t="s">
        <v>3940</v>
      </c>
      <c r="G237" s="217">
        <v>6427.95</v>
      </c>
      <c r="H237" t="s">
        <v>3941</v>
      </c>
      <c r="I237">
        <v>33.06</v>
      </c>
      <c r="J237">
        <v>644.72</v>
      </c>
      <c r="K237">
        <v>100</v>
      </c>
      <c r="L237" s="13">
        <f>VLOOKUP($B237,'[3]חשבונות חברה 40'!$A:$I,7,0)</f>
        <v>20072</v>
      </c>
      <c r="M237" s="13">
        <f>VLOOKUP($B237,'[3]חשבונות חברה 40'!$A:$I,5,0)</f>
        <v>2007</v>
      </c>
      <c r="N237" s="4" t="str">
        <f>IF(VLOOKUP($B237,'[3]חשבונות חברה 40'!$A:$J,10,0)=0,"",VLOOKUP($B237,'[3]חשבונות חברה 40'!$A:$J,10,0))</f>
        <v/>
      </c>
      <c r="P237" s="218">
        <f t="shared" si="14"/>
        <v>660.72</v>
      </c>
      <c r="Q237" s="122">
        <f t="shared" si="12"/>
        <v>3.7729048420772782E-3</v>
      </c>
      <c r="R237" s="1">
        <f ca="1">'הנחות עבודה לררל ומדרג'!$F$7*Q237</f>
        <v>1042238.7961210139</v>
      </c>
      <c r="S237" s="79">
        <f t="shared" ca="1" si="13"/>
        <v>25420.458441975949</v>
      </c>
      <c r="T237" s="79">
        <f ca="1">'ררל ומדרג'!$AH$1</f>
        <v>48975.779132102936</v>
      </c>
      <c r="U237" s="79">
        <f t="shared" ca="1" si="15"/>
        <v>74396.237574078885</v>
      </c>
    </row>
    <row r="238" spans="1:21">
      <c r="A238">
        <v>238</v>
      </c>
      <c r="B238">
        <v>8920081</v>
      </c>
      <c r="C238" t="s">
        <v>3665</v>
      </c>
      <c r="D238">
        <v>622022</v>
      </c>
      <c r="E238" t="s">
        <v>3939</v>
      </c>
      <c r="F238" t="s">
        <v>3940</v>
      </c>
      <c r="G238" s="217">
        <v>8105.33</v>
      </c>
      <c r="H238" t="s">
        <v>3941</v>
      </c>
      <c r="I238">
        <v>47.08</v>
      </c>
      <c r="J238">
        <v>812.96</v>
      </c>
      <c r="K238">
        <v>100</v>
      </c>
      <c r="L238" s="13">
        <f>VLOOKUP($B238,'[3]חשבונות חברה 40'!$A:$I,7,0)</f>
        <v>20081</v>
      </c>
      <c r="M238" s="13">
        <f>VLOOKUP($B238,'[3]חשבונות חברה 40'!$A:$I,5,0)</f>
        <v>2008</v>
      </c>
      <c r="N238" s="4" t="str">
        <f>IF(VLOOKUP($B238,'[3]חשבונות חברה 40'!$A:$J,10,0)=0,"",VLOOKUP($B238,'[3]חשבונות חברה 40'!$A:$J,10,0))</f>
        <v/>
      </c>
      <c r="P238" s="218">
        <f t="shared" si="14"/>
        <v>824</v>
      </c>
      <c r="Q238" s="122">
        <f t="shared" si="12"/>
        <v>4.7052814957496024E-3</v>
      </c>
      <c r="R238" s="1">
        <f ca="1">'הנחות עבודה לררל ומדרג'!$F$7*Q238</f>
        <v>1299801.3803180098</v>
      </c>
      <c r="S238" s="79">
        <f t="shared" ca="1" si="13"/>
        <v>31702.472690683164</v>
      </c>
      <c r="T238" s="79">
        <f ca="1">'ררל ומדרג'!$AH$1</f>
        <v>48975.779132102936</v>
      </c>
      <c r="U238" s="79">
        <f t="shared" ca="1" si="15"/>
        <v>80678.2518227861</v>
      </c>
    </row>
    <row r="239" spans="1:21">
      <c r="A239">
        <v>239</v>
      </c>
      <c r="B239">
        <v>8920082</v>
      </c>
      <c r="C239" t="s">
        <v>3667</v>
      </c>
      <c r="D239">
        <v>622022</v>
      </c>
      <c r="E239" t="s">
        <v>3939</v>
      </c>
      <c r="F239" t="s">
        <v>3940</v>
      </c>
      <c r="G239" s="217">
        <v>8215.4</v>
      </c>
      <c r="H239" t="s">
        <v>3941</v>
      </c>
      <c r="I239">
        <v>48</v>
      </c>
      <c r="J239">
        <v>824</v>
      </c>
      <c r="K239">
        <v>100</v>
      </c>
      <c r="L239" s="13">
        <f>VLOOKUP($B239,'[3]חשבונות חברה 40'!$A:$I,7,0)</f>
        <v>20082</v>
      </c>
      <c r="M239" s="13">
        <f>VLOOKUP($B239,'[3]חשבונות חברה 40'!$A:$I,5,0)</f>
        <v>2008</v>
      </c>
      <c r="N239" s="4" t="str">
        <f>IF(VLOOKUP($B239,'[3]חשבונות חברה 40'!$A:$J,10,0)=0,"",VLOOKUP($B239,'[3]חשבונות חברה 40'!$A:$J,10,0))</f>
        <v/>
      </c>
      <c r="P239" s="218">
        <f t="shared" si="14"/>
        <v>824</v>
      </c>
      <c r="Q239" s="122">
        <f t="shared" si="12"/>
        <v>4.7052814957496024E-3</v>
      </c>
      <c r="R239" s="1">
        <f ca="1">'הנחות עבודה לררל ומדרג'!$F$7*Q239</f>
        <v>1299801.3803180098</v>
      </c>
      <c r="S239" s="79">
        <f t="shared" ca="1" si="13"/>
        <v>31702.472690683164</v>
      </c>
      <c r="T239" s="79">
        <f ca="1">'ררל ומדרג'!$AH$1</f>
        <v>48975.779132102936</v>
      </c>
      <c r="U239" s="79">
        <f t="shared" ca="1" si="15"/>
        <v>80678.2518227861</v>
      </c>
    </row>
    <row r="240" spans="1:21">
      <c r="A240">
        <v>240</v>
      </c>
      <c r="B240">
        <v>8920091</v>
      </c>
      <c r="C240" t="s">
        <v>3668</v>
      </c>
      <c r="D240">
        <v>622022</v>
      </c>
      <c r="E240" t="s">
        <v>3939</v>
      </c>
      <c r="F240" t="s">
        <v>3940</v>
      </c>
      <c r="G240" s="217">
        <v>8215.4</v>
      </c>
      <c r="H240" t="s">
        <v>3941</v>
      </c>
      <c r="I240">
        <v>48</v>
      </c>
      <c r="J240">
        <v>824</v>
      </c>
      <c r="K240">
        <v>100</v>
      </c>
      <c r="L240" s="13">
        <f>VLOOKUP($B240,'[3]חשבונות חברה 40'!$A:$I,7,0)</f>
        <v>20091</v>
      </c>
      <c r="M240" s="13">
        <f>VLOOKUP($B240,'[3]חשבונות חברה 40'!$A:$I,5,0)</f>
        <v>2009</v>
      </c>
      <c r="N240" s="4" t="str">
        <f>IF(VLOOKUP($B240,'[3]חשבונות חברה 40'!$A:$J,10,0)=0,"",VLOOKUP($B240,'[3]חשבונות חברה 40'!$A:$J,10,0))</f>
        <v/>
      </c>
      <c r="P240" s="218">
        <f t="shared" si="14"/>
        <v>824</v>
      </c>
      <c r="Q240" s="122">
        <f t="shared" si="12"/>
        <v>4.7052814957496024E-3</v>
      </c>
      <c r="R240" s="1">
        <f ca="1">'הנחות עבודה לררל ומדרג'!$F$7*Q240</f>
        <v>1299801.3803180098</v>
      </c>
      <c r="S240" s="79">
        <f t="shared" ca="1" si="13"/>
        <v>31702.472690683164</v>
      </c>
      <c r="T240" s="79">
        <f ca="1">'ררל ומדרג'!$AH$1</f>
        <v>48975.779132102936</v>
      </c>
      <c r="U240" s="79">
        <f t="shared" ca="1" si="15"/>
        <v>80678.2518227861</v>
      </c>
    </row>
    <row r="241" spans="1:21">
      <c r="A241">
        <v>241</v>
      </c>
      <c r="B241">
        <v>8920092</v>
      </c>
      <c r="C241" t="s">
        <v>3669</v>
      </c>
      <c r="D241">
        <v>622022</v>
      </c>
      <c r="E241" t="s">
        <v>3939</v>
      </c>
      <c r="F241" t="s">
        <v>3940</v>
      </c>
      <c r="G241" s="217">
        <v>8096.95</v>
      </c>
      <c r="H241" t="s">
        <v>3941</v>
      </c>
      <c r="I241">
        <v>47.01</v>
      </c>
      <c r="J241">
        <v>812.12</v>
      </c>
      <c r="K241">
        <v>100</v>
      </c>
      <c r="L241" s="13">
        <f>VLOOKUP($B241,'[3]חשבונות חברה 40'!$A:$I,7,0)</f>
        <v>20092</v>
      </c>
      <c r="M241" s="13">
        <f>VLOOKUP($B241,'[3]חשבונות חברה 40'!$A:$I,5,0)</f>
        <v>2009</v>
      </c>
      <c r="N241" s="4" t="str">
        <f>IF(VLOOKUP($B241,'[3]חשבונות חברה 40'!$A:$J,10,0)=0,"",VLOOKUP($B241,'[3]חשבונות חברה 40'!$A:$J,10,0))</f>
        <v/>
      </c>
      <c r="P241" s="218">
        <f t="shared" si="14"/>
        <v>824</v>
      </c>
      <c r="Q241" s="122">
        <f t="shared" si="12"/>
        <v>4.7052814957496024E-3</v>
      </c>
      <c r="R241" s="1">
        <f ca="1">'הנחות עבודה לררל ומדרג'!$F$7*Q241</f>
        <v>1299801.3803180098</v>
      </c>
      <c r="S241" s="79">
        <f t="shared" ca="1" si="13"/>
        <v>31702.472690683164</v>
      </c>
      <c r="T241" s="79">
        <f ca="1">'ררל ומדרג'!$AH$1</f>
        <v>48975.779132102936</v>
      </c>
      <c r="U241" s="79">
        <f t="shared" ca="1" si="15"/>
        <v>80678.2518227861</v>
      </c>
    </row>
    <row r="242" spans="1:21">
      <c r="A242">
        <v>242</v>
      </c>
      <c r="B242">
        <v>8920101</v>
      </c>
      <c r="C242" t="s">
        <v>3670</v>
      </c>
      <c r="D242">
        <v>622022</v>
      </c>
      <c r="E242" t="s">
        <v>3939</v>
      </c>
      <c r="F242" t="s">
        <v>3940</v>
      </c>
      <c r="G242" s="217">
        <v>7004.62</v>
      </c>
      <c r="H242" t="s">
        <v>3941</v>
      </c>
      <c r="I242">
        <v>37.880000000000003</v>
      </c>
      <c r="J242">
        <v>702.56</v>
      </c>
      <c r="K242">
        <v>100</v>
      </c>
      <c r="L242" s="13">
        <f>VLOOKUP($B242,'[3]חשבונות חברה 40'!$A:$I,7,0)</f>
        <v>20101</v>
      </c>
      <c r="M242" s="13">
        <f>VLOOKUP($B242,'[3]חשבונות חברה 40'!$A:$I,5,0)</f>
        <v>2010</v>
      </c>
      <c r="N242" s="4" t="str">
        <f>IF(VLOOKUP($B242,'[3]חשבונות חברה 40'!$A:$J,10,0)=0,"",VLOOKUP($B242,'[3]חשבונות חברה 40'!$A:$J,10,0))</f>
        <v/>
      </c>
      <c r="P242" s="218">
        <f t="shared" si="14"/>
        <v>718.56</v>
      </c>
      <c r="Q242" s="122">
        <f t="shared" si="12"/>
        <v>4.1031881936721285E-3</v>
      </c>
      <c r="R242" s="1">
        <f ca="1">'הנחות עבודה לררל ומדרג'!$F$7*Q242</f>
        <v>1133477.281360812</v>
      </c>
      <c r="S242" s="79">
        <f t="shared" ca="1" si="13"/>
        <v>27645.787350263709</v>
      </c>
      <c r="T242" s="79">
        <f ca="1">'ררל ומדרג'!$AH$1</f>
        <v>48975.779132102936</v>
      </c>
      <c r="U242" s="79">
        <f t="shared" ca="1" si="15"/>
        <v>76621.566482366645</v>
      </c>
    </row>
    <row r="243" spans="1:21">
      <c r="A243">
        <v>243</v>
      </c>
      <c r="B243">
        <v>8920102</v>
      </c>
      <c r="C243" t="s">
        <v>3672</v>
      </c>
      <c r="D243">
        <v>622022</v>
      </c>
      <c r="E243" t="s">
        <v>3939</v>
      </c>
      <c r="F243" t="s">
        <v>3940</v>
      </c>
      <c r="G243" s="217">
        <v>7034.53</v>
      </c>
      <c r="H243" t="s">
        <v>3941</v>
      </c>
      <c r="I243">
        <v>38.130000000000003</v>
      </c>
      <c r="J243">
        <v>705.56</v>
      </c>
      <c r="K243">
        <v>100</v>
      </c>
      <c r="L243" s="13">
        <f>VLOOKUP($B243,'[3]חשבונות חברה 40'!$A:$I,7,0)</f>
        <v>20102</v>
      </c>
      <c r="M243" s="13">
        <f>VLOOKUP($B243,'[3]חשבונות חברה 40'!$A:$I,5,0)</f>
        <v>2010</v>
      </c>
      <c r="N243" s="4" t="str">
        <f>IF(VLOOKUP($B243,'[3]חשבונות חברה 40'!$A:$J,10,0)=0,"",VLOOKUP($B243,'[3]חשבונות חברה 40'!$A:$J,10,0))</f>
        <v/>
      </c>
      <c r="P243" s="218">
        <f t="shared" si="14"/>
        <v>721.56</v>
      </c>
      <c r="Q243" s="122">
        <f t="shared" si="12"/>
        <v>4.1203190729042268E-3</v>
      </c>
      <c r="R243" s="1">
        <f ca="1">'הנחות עבודה לררל ומדרג'!$F$7*Q243</f>
        <v>1138209.5679396398</v>
      </c>
      <c r="S243" s="79">
        <f t="shared" ca="1" si="13"/>
        <v>27761.208974137557</v>
      </c>
      <c r="T243" s="79">
        <f ca="1">'ררל ומדרג'!$AH$1</f>
        <v>48975.779132102936</v>
      </c>
      <c r="U243" s="79">
        <f t="shared" ca="1" si="15"/>
        <v>76736.988106240489</v>
      </c>
    </row>
    <row r="244" spans="1:21">
      <c r="A244">
        <v>244</v>
      </c>
      <c r="B244">
        <v>8920111</v>
      </c>
      <c r="C244" t="s">
        <v>3673</v>
      </c>
      <c r="D244">
        <v>622022</v>
      </c>
      <c r="E244" t="s">
        <v>3939</v>
      </c>
      <c r="F244" t="s">
        <v>3940</v>
      </c>
      <c r="G244" s="217">
        <v>8064.65</v>
      </c>
      <c r="H244" t="s">
        <v>3941</v>
      </c>
      <c r="I244">
        <v>46.74</v>
      </c>
      <c r="J244">
        <v>808.88</v>
      </c>
      <c r="K244">
        <v>100</v>
      </c>
      <c r="L244" s="13">
        <f>VLOOKUP($B244,'[3]חשבונות חברה 40'!$A:$I,7,0)</f>
        <v>20111</v>
      </c>
      <c r="M244" s="13">
        <f>VLOOKUP($B244,'[3]חשבונות חברה 40'!$A:$I,5,0)</f>
        <v>2011</v>
      </c>
      <c r="N244" s="4" t="str">
        <f>IF(VLOOKUP($B244,'[3]חשבונות חברה 40'!$A:$J,10,0)=0,"",VLOOKUP($B244,'[3]חשבונות חברה 40'!$A:$J,10,0))</f>
        <v/>
      </c>
      <c r="P244" s="218">
        <f t="shared" si="14"/>
        <v>824</v>
      </c>
      <c r="Q244" s="122">
        <f t="shared" si="12"/>
        <v>4.7052814957496024E-3</v>
      </c>
      <c r="R244" s="1">
        <f ca="1">'הנחות עבודה לררל ומדרג'!$F$7*Q244</f>
        <v>1299801.3803180098</v>
      </c>
      <c r="S244" s="79">
        <f t="shared" ca="1" si="13"/>
        <v>31702.472690683164</v>
      </c>
      <c r="T244" s="79">
        <f ca="1">'ררל ומדרג'!$AH$1</f>
        <v>48975.779132102936</v>
      </c>
      <c r="U244" s="79">
        <f t="shared" ca="1" si="15"/>
        <v>80678.2518227861</v>
      </c>
    </row>
    <row r="245" spans="1:21">
      <c r="A245">
        <v>245</v>
      </c>
      <c r="B245">
        <v>8920112</v>
      </c>
      <c r="C245" t="s">
        <v>3674</v>
      </c>
      <c r="D245">
        <v>622022</v>
      </c>
      <c r="E245" t="s">
        <v>3939</v>
      </c>
      <c r="F245" t="s">
        <v>3940</v>
      </c>
      <c r="G245" s="217">
        <v>6353.77</v>
      </c>
      <c r="H245" t="s">
        <v>3941</v>
      </c>
      <c r="I245">
        <v>32.44</v>
      </c>
      <c r="J245">
        <v>637.28</v>
      </c>
      <c r="K245">
        <v>100</v>
      </c>
      <c r="L245" s="13">
        <f>VLOOKUP($B245,'[3]חשבונות חברה 40'!$A:$I,7,0)</f>
        <v>20112</v>
      </c>
      <c r="M245" s="13">
        <f>VLOOKUP($B245,'[3]חשבונות חברה 40'!$A:$I,5,0)</f>
        <v>2011</v>
      </c>
      <c r="N245" s="4" t="str">
        <f>IF(VLOOKUP($B245,'[3]חשבונות חברה 40'!$A:$J,10,0)=0,"",VLOOKUP($B245,'[3]חשבונות חברה 40'!$A:$J,10,0))</f>
        <v/>
      </c>
      <c r="P245" s="218">
        <f t="shared" si="14"/>
        <v>653.28</v>
      </c>
      <c r="Q245" s="122">
        <f t="shared" si="12"/>
        <v>3.7304202615816751E-3</v>
      </c>
      <c r="R245" s="1">
        <f ca="1">'הנחות עבודה לררל ומדרג'!$F$7*Q245</f>
        <v>1030502.7254055212</v>
      </c>
      <c r="S245" s="79">
        <f t="shared" ca="1" si="13"/>
        <v>25134.212814768809</v>
      </c>
      <c r="T245" s="79">
        <f ca="1">'ררל ומדרג'!$AH$1</f>
        <v>48975.779132102936</v>
      </c>
      <c r="U245" s="79">
        <f t="shared" ca="1" si="15"/>
        <v>74109.991946871742</v>
      </c>
    </row>
    <row r="246" spans="1:21">
      <c r="A246">
        <v>246</v>
      </c>
      <c r="B246">
        <v>8920121</v>
      </c>
      <c r="C246" t="s">
        <v>3675</v>
      </c>
      <c r="D246">
        <v>622022</v>
      </c>
      <c r="E246" t="s">
        <v>3939</v>
      </c>
      <c r="F246" t="s">
        <v>3940</v>
      </c>
      <c r="G246" s="217">
        <v>6067.83</v>
      </c>
      <c r="H246" t="s">
        <v>3941</v>
      </c>
      <c r="I246">
        <v>30.05</v>
      </c>
      <c r="J246">
        <v>608.6</v>
      </c>
      <c r="K246">
        <v>100</v>
      </c>
      <c r="L246" s="13">
        <f>VLOOKUP($B246,'[3]חשבונות חברה 40'!$A:$I,7,0)</f>
        <v>20121</v>
      </c>
      <c r="M246" s="13">
        <f>VLOOKUP($B246,'[3]חשבונות חברה 40'!$A:$I,5,0)</f>
        <v>2012</v>
      </c>
      <c r="N246" s="4" t="str">
        <f>IF(VLOOKUP($B246,'[3]חשבונות חברה 40'!$A:$J,10,0)=0,"",VLOOKUP($B246,'[3]חשבונות חברה 40'!$A:$J,10,0))</f>
        <v/>
      </c>
      <c r="P246" s="218">
        <f t="shared" si="14"/>
        <v>624.6</v>
      </c>
      <c r="Q246" s="122">
        <f t="shared" si="12"/>
        <v>3.5666490561228176E-3</v>
      </c>
      <c r="R246" s="1">
        <f ca="1">'הנחות עבודה לררל ומדרג'!$F$7*Q246</f>
        <v>985262.06571192842</v>
      </c>
      <c r="S246" s="79">
        <f t="shared" ca="1" si="13"/>
        <v>24030.782090534838</v>
      </c>
      <c r="T246" s="79">
        <f ca="1">'ררל ומדרג'!$AH$1</f>
        <v>48975.779132102936</v>
      </c>
      <c r="U246" s="79">
        <f t="shared" ca="1" si="15"/>
        <v>73006.561222637771</v>
      </c>
    </row>
    <row r="247" spans="1:21">
      <c r="A247">
        <v>247</v>
      </c>
      <c r="B247">
        <v>8920122</v>
      </c>
      <c r="C247" t="s">
        <v>3676</v>
      </c>
      <c r="D247">
        <v>622022</v>
      </c>
      <c r="E247" t="s">
        <v>3939</v>
      </c>
      <c r="F247" t="s">
        <v>3940</v>
      </c>
      <c r="G247" s="217">
        <v>6067.83</v>
      </c>
      <c r="H247" t="s">
        <v>3941</v>
      </c>
      <c r="I247">
        <v>30.05</v>
      </c>
      <c r="J247">
        <v>608.6</v>
      </c>
      <c r="K247">
        <v>100</v>
      </c>
      <c r="L247" s="13">
        <f>VLOOKUP($B247,'[3]חשבונות חברה 40'!$A:$I,7,0)</f>
        <v>20122</v>
      </c>
      <c r="M247" s="13">
        <f>VLOOKUP($B247,'[3]חשבונות חברה 40'!$A:$I,5,0)</f>
        <v>2012</v>
      </c>
      <c r="N247" s="4" t="str">
        <f>IF(VLOOKUP($B247,'[3]חשבונות חברה 40'!$A:$J,10,0)=0,"",VLOOKUP($B247,'[3]חשבונות חברה 40'!$A:$J,10,0))</f>
        <v/>
      </c>
      <c r="P247" s="218">
        <f t="shared" si="14"/>
        <v>624.6</v>
      </c>
      <c r="Q247" s="122">
        <f t="shared" si="12"/>
        <v>3.5666490561228176E-3</v>
      </c>
      <c r="R247" s="1">
        <f ca="1">'הנחות עבודה לררל ומדרג'!$F$7*Q247</f>
        <v>985262.06571192842</v>
      </c>
      <c r="S247" s="79">
        <f t="shared" ca="1" si="13"/>
        <v>24030.782090534838</v>
      </c>
      <c r="T247" s="79">
        <f ca="1">'ררל ומדרג'!$AH$1</f>
        <v>48975.779132102936</v>
      </c>
      <c r="U247" s="79">
        <f t="shared" ca="1" si="15"/>
        <v>73006.561222637771</v>
      </c>
    </row>
    <row r="248" spans="1:21">
      <c r="A248">
        <v>248</v>
      </c>
      <c r="B248">
        <v>8920142</v>
      </c>
      <c r="C248" t="s">
        <v>3677</v>
      </c>
      <c r="D248">
        <v>622022</v>
      </c>
      <c r="E248" t="s">
        <v>3939</v>
      </c>
      <c r="F248" t="s">
        <v>3940</v>
      </c>
      <c r="G248" s="217">
        <v>8089.77</v>
      </c>
      <c r="H248" t="s">
        <v>3941</v>
      </c>
      <c r="I248">
        <v>46.95</v>
      </c>
      <c r="J248">
        <v>811.4</v>
      </c>
      <c r="K248">
        <v>100</v>
      </c>
      <c r="L248" s="13">
        <f>VLOOKUP($B248,'[3]חשבונות חברה 40'!$A:$I,7,0)</f>
        <v>20142</v>
      </c>
      <c r="M248" s="13">
        <f>VLOOKUP($B248,'[3]חשבונות חברה 40'!$A:$I,5,0)</f>
        <v>2014</v>
      </c>
      <c r="N248" s="4" t="str">
        <f>IF(VLOOKUP($B248,'[3]חשבונות חברה 40'!$A:$J,10,0)=0,"",VLOOKUP($B248,'[3]חשבונות חברה 40'!$A:$J,10,0))</f>
        <v/>
      </c>
      <c r="P248" s="218">
        <f t="shared" si="14"/>
        <v>824</v>
      </c>
      <c r="Q248" s="122">
        <f t="shared" si="12"/>
        <v>4.7052814957496024E-3</v>
      </c>
      <c r="R248" s="1">
        <f ca="1">'הנחות עבודה לררל ומדרג'!$F$7*Q248</f>
        <v>1299801.3803180098</v>
      </c>
      <c r="S248" s="79">
        <f t="shared" ca="1" si="13"/>
        <v>31702.472690683164</v>
      </c>
      <c r="T248" s="79">
        <f ca="1">'ררל ומדרג'!$AH$1</f>
        <v>48975.779132102936</v>
      </c>
      <c r="U248" s="79">
        <f t="shared" ca="1" si="15"/>
        <v>80678.2518227861</v>
      </c>
    </row>
    <row r="249" spans="1:21">
      <c r="A249">
        <v>249</v>
      </c>
      <c r="B249">
        <v>8920161</v>
      </c>
      <c r="C249" t="s">
        <v>3678</v>
      </c>
      <c r="D249">
        <v>622022</v>
      </c>
      <c r="E249" t="s">
        <v>3939</v>
      </c>
      <c r="F249" t="s">
        <v>3940</v>
      </c>
      <c r="G249" s="217">
        <v>7850.49</v>
      </c>
      <c r="H249" t="s">
        <v>3941</v>
      </c>
      <c r="I249">
        <v>44.95</v>
      </c>
      <c r="J249">
        <v>787.4</v>
      </c>
      <c r="K249">
        <v>100</v>
      </c>
      <c r="L249" s="13">
        <f>VLOOKUP($B249,'[3]חשבונות חברה 40'!$A:$I,7,0)</f>
        <v>20161</v>
      </c>
      <c r="M249" s="13">
        <f>VLOOKUP($B249,'[3]חשבונות חברה 40'!$A:$I,5,0)</f>
        <v>2016</v>
      </c>
      <c r="N249" s="4" t="str">
        <f>IF(VLOOKUP($B249,'[3]חשבונות חברה 40'!$A:$J,10,0)=0,"",VLOOKUP($B249,'[3]חשבונות חברה 40'!$A:$J,10,0))</f>
        <v/>
      </c>
      <c r="P249" s="218">
        <f t="shared" si="14"/>
        <v>803.4</v>
      </c>
      <c r="Q249" s="122">
        <f t="shared" si="12"/>
        <v>4.587649458355862E-3</v>
      </c>
      <c r="R249" s="1">
        <f ca="1">'הנחות עבודה לררל ומדרג'!$F$7*Q249</f>
        <v>1267306.3458100595</v>
      </c>
      <c r="S249" s="79">
        <f t="shared" ca="1" si="13"/>
        <v>30909.910873416084</v>
      </c>
      <c r="T249" s="79">
        <f ca="1">'ררל ומדרג'!$AH$1</f>
        <v>48975.779132102936</v>
      </c>
      <c r="U249" s="79">
        <f t="shared" ca="1" si="15"/>
        <v>79885.69000551902</v>
      </c>
    </row>
    <row r="250" spans="1:21">
      <c r="A250">
        <v>250</v>
      </c>
      <c r="B250">
        <v>8920162</v>
      </c>
      <c r="C250" t="s">
        <v>3679</v>
      </c>
      <c r="D250">
        <v>622022</v>
      </c>
      <c r="E250" t="s">
        <v>3939</v>
      </c>
      <c r="F250" t="s">
        <v>3940</v>
      </c>
      <c r="G250" s="217">
        <v>7400.64</v>
      </c>
      <c r="H250" t="s">
        <v>3941</v>
      </c>
      <c r="I250">
        <v>41.19</v>
      </c>
      <c r="J250">
        <v>742.28</v>
      </c>
      <c r="K250">
        <v>100</v>
      </c>
      <c r="L250" s="13">
        <f>VLOOKUP($B250,'[3]חשבונות חברה 40'!$A:$I,7,0)</f>
        <v>20162</v>
      </c>
      <c r="M250" s="13">
        <f>VLOOKUP($B250,'[3]חשבונות חברה 40'!$A:$I,5,0)</f>
        <v>2016</v>
      </c>
      <c r="N250" s="4" t="str">
        <f>IF(VLOOKUP($B250,'[3]חשבונות חברה 40'!$A:$J,10,0)=0,"",VLOOKUP($B250,'[3]חשבונות חברה 40'!$A:$J,10,0))</f>
        <v/>
      </c>
      <c r="P250" s="218">
        <f t="shared" si="14"/>
        <v>758.28</v>
      </c>
      <c r="Q250" s="122">
        <f t="shared" si="12"/>
        <v>4.3300010347051068E-3</v>
      </c>
      <c r="R250" s="1">
        <f ca="1">'הנחות עבודה לררל ומדרג'!$F$7*Q250</f>
        <v>1196132.7556644909</v>
      </c>
      <c r="S250" s="79">
        <f t="shared" ca="1" si="13"/>
        <v>29173.969650353436</v>
      </c>
      <c r="T250" s="79">
        <f ca="1">'ררל ומדרג'!$AH$1</f>
        <v>48975.779132102936</v>
      </c>
      <c r="U250" s="79">
        <f t="shared" ca="1" si="15"/>
        <v>78149.748782456372</v>
      </c>
    </row>
    <row r="251" spans="1:21">
      <c r="A251">
        <v>251</v>
      </c>
      <c r="B251">
        <v>8920171</v>
      </c>
      <c r="C251" t="s">
        <v>3680</v>
      </c>
      <c r="D251">
        <v>622022</v>
      </c>
      <c r="E251" t="s">
        <v>3939</v>
      </c>
      <c r="F251" t="s">
        <v>3940</v>
      </c>
      <c r="G251" s="217">
        <v>7401.83</v>
      </c>
      <c r="H251" t="s">
        <v>3941</v>
      </c>
      <c r="I251">
        <v>41.2</v>
      </c>
      <c r="J251">
        <v>742.4</v>
      </c>
      <c r="K251">
        <v>100</v>
      </c>
      <c r="L251" s="13">
        <f>VLOOKUP($B251,'[3]חשבונות חברה 40'!$A:$I,7,0)</f>
        <v>20171</v>
      </c>
      <c r="M251" s="13">
        <f>VLOOKUP($B251,'[3]חשבונות חברה 40'!$A:$I,5,0)</f>
        <v>2017</v>
      </c>
      <c r="N251" s="4" t="str">
        <f>IF(VLOOKUP($B251,'[3]חשבונות חברה 40'!$A:$J,10,0)=0,"",VLOOKUP($B251,'[3]חשבונות חברה 40'!$A:$J,10,0))</f>
        <v/>
      </c>
      <c r="P251" s="218">
        <f t="shared" si="14"/>
        <v>758.4</v>
      </c>
      <c r="Q251" s="122">
        <f t="shared" si="12"/>
        <v>4.3306862698743913E-3</v>
      </c>
      <c r="R251" s="1">
        <f ca="1">'הנחות עבודה לררל ומדרג'!$F$7*Q251</f>
        <v>1196322.0471276441</v>
      </c>
      <c r="S251" s="79">
        <f t="shared" ca="1" si="13"/>
        <v>29178.586515308391</v>
      </c>
      <c r="T251" s="79">
        <f ca="1">'ררל ומדרג'!$AH$1</f>
        <v>48975.779132102936</v>
      </c>
      <c r="U251" s="79">
        <f t="shared" ca="1" si="15"/>
        <v>78154.365647411323</v>
      </c>
    </row>
    <row r="252" spans="1:21">
      <c r="A252">
        <v>252</v>
      </c>
      <c r="B252">
        <v>8920201</v>
      </c>
      <c r="C252" t="s">
        <v>3681</v>
      </c>
      <c r="D252">
        <v>622022</v>
      </c>
      <c r="E252" t="s">
        <v>3939</v>
      </c>
      <c r="F252" t="s">
        <v>3940</v>
      </c>
      <c r="G252" s="217">
        <v>5930.24</v>
      </c>
      <c r="H252" t="s">
        <v>3941</v>
      </c>
      <c r="I252">
        <v>28.9</v>
      </c>
      <c r="J252">
        <v>594.79999999999995</v>
      </c>
      <c r="K252">
        <v>100</v>
      </c>
      <c r="L252" s="13">
        <f>VLOOKUP($B252,'[3]חשבונות חברה 40'!$A:$I,7,0)</f>
        <v>20201</v>
      </c>
      <c r="M252" s="13">
        <f>VLOOKUP($B252,'[3]חשבונות חברה 40'!$A:$I,5,0)</f>
        <v>2020</v>
      </c>
      <c r="N252" s="4" t="str">
        <f>IF(VLOOKUP($B252,'[3]חשבונות חברה 40'!$A:$J,10,0)=0,"",VLOOKUP($B252,'[3]חשבונות חברה 40'!$A:$J,10,0))</f>
        <v/>
      </c>
      <c r="P252" s="218">
        <f t="shared" si="14"/>
        <v>610.79999999999995</v>
      </c>
      <c r="Q252" s="122">
        <f t="shared" si="12"/>
        <v>3.4878470116551661E-3</v>
      </c>
      <c r="R252" s="1">
        <f ca="1">'הנחות עבודה לררל ומדרג'!$F$7*Q252</f>
        <v>963493.54744932079</v>
      </c>
      <c r="S252" s="79">
        <f t="shared" ca="1" si="13"/>
        <v>23499.842620715142</v>
      </c>
      <c r="T252" s="79">
        <f ca="1">'ררל ומדרג'!$AH$1</f>
        <v>48975.779132102936</v>
      </c>
      <c r="U252" s="79">
        <f t="shared" ca="1" si="15"/>
        <v>72475.621752818086</v>
      </c>
    </row>
    <row r="253" spans="1:21">
      <c r="A253">
        <v>253</v>
      </c>
      <c r="B253">
        <v>8920202</v>
      </c>
      <c r="C253" t="s">
        <v>3682</v>
      </c>
      <c r="D253">
        <v>622022</v>
      </c>
      <c r="E253" t="s">
        <v>3939</v>
      </c>
      <c r="F253" t="s">
        <v>3940</v>
      </c>
      <c r="G253" s="217">
        <v>5521.07</v>
      </c>
      <c r="H253" t="s">
        <v>3941</v>
      </c>
      <c r="I253">
        <v>25.48</v>
      </c>
      <c r="J253">
        <v>553.76</v>
      </c>
      <c r="K253">
        <v>100</v>
      </c>
      <c r="L253" s="13">
        <f>VLOOKUP($B253,'[3]חשבונות חברה 40'!$A:$I,7,0)</f>
        <v>20202</v>
      </c>
      <c r="M253" s="13">
        <f>VLOOKUP($B253,'[3]חשבונות חברה 40'!$A:$I,5,0)</f>
        <v>2020</v>
      </c>
      <c r="N253" s="4" t="str">
        <f>IF(VLOOKUP($B253,'[3]חשבונות חברה 40'!$A:$J,10,0)=0,"",VLOOKUP($B253,'[3]חשבונות חברה 40'!$A:$J,10,0))</f>
        <v/>
      </c>
      <c r="P253" s="218">
        <f t="shared" si="14"/>
        <v>569.76</v>
      </c>
      <c r="Q253" s="122">
        <f t="shared" si="12"/>
        <v>3.2534965837600648E-3</v>
      </c>
      <c r="R253" s="1">
        <f ca="1">'הנחות עבודה לררל ומדרג'!$F$7*Q253</f>
        <v>898755.86705095787</v>
      </c>
      <c r="S253" s="79">
        <f t="shared" ca="1" si="13"/>
        <v>21920.874806120923</v>
      </c>
      <c r="T253" s="79">
        <f ca="1">'ררל ומדרג'!$AH$1</f>
        <v>48975.779132102936</v>
      </c>
      <c r="U253" s="79">
        <f t="shared" ca="1" si="15"/>
        <v>70896.653938223855</v>
      </c>
    </row>
    <row r="254" spans="1:21">
      <c r="A254">
        <v>254</v>
      </c>
      <c r="B254">
        <v>8920222</v>
      </c>
      <c r="C254" t="s">
        <v>3683</v>
      </c>
      <c r="D254">
        <v>622022</v>
      </c>
      <c r="E254" t="s">
        <v>3939</v>
      </c>
      <c r="F254" t="s">
        <v>3940</v>
      </c>
      <c r="G254" s="217">
        <v>6413.59</v>
      </c>
      <c r="H254" t="s">
        <v>3941</v>
      </c>
      <c r="I254">
        <v>32.94</v>
      </c>
      <c r="J254">
        <v>643.28</v>
      </c>
      <c r="K254">
        <v>100</v>
      </c>
      <c r="L254" s="13">
        <f>VLOOKUP($B254,'[3]חשבונות חברה 40'!$A:$I,7,0)</f>
        <v>20222</v>
      </c>
      <c r="M254" s="13">
        <f>VLOOKUP($B254,'[3]חשבונות חברה 40'!$A:$I,5,0)</f>
        <v>2022</v>
      </c>
      <c r="N254" s="4" t="str">
        <f>IF(VLOOKUP($B254,'[3]חשבונות חברה 40'!$A:$J,10,0)=0,"",VLOOKUP($B254,'[3]חשבונות חברה 40'!$A:$J,10,0))</f>
        <v/>
      </c>
      <c r="P254" s="218">
        <f t="shared" si="14"/>
        <v>659.28</v>
      </c>
      <c r="Q254" s="122">
        <f t="shared" si="12"/>
        <v>3.7646820200458709E-3</v>
      </c>
      <c r="R254" s="1">
        <f ca="1">'הנחות עבודה לררל ומדרג'!$F$7*Q254</f>
        <v>1039967.2985631765</v>
      </c>
      <c r="S254" s="79">
        <f t="shared" ca="1" si="13"/>
        <v>25365.056062516502</v>
      </c>
      <c r="T254" s="79">
        <f ca="1">'ררל ומדרג'!$AH$1</f>
        <v>48975.779132102936</v>
      </c>
      <c r="U254" s="79">
        <f t="shared" ca="1" si="15"/>
        <v>74340.835194619431</v>
      </c>
    </row>
    <row r="255" spans="1:21">
      <c r="A255">
        <v>255</v>
      </c>
      <c r="B255">
        <v>8920281</v>
      </c>
      <c r="C255" t="s">
        <v>3684</v>
      </c>
      <c r="D255">
        <v>622022</v>
      </c>
      <c r="E255" t="s">
        <v>3939</v>
      </c>
      <c r="F255" t="s">
        <v>3940</v>
      </c>
      <c r="G255" s="217">
        <v>4986.2700000000004</v>
      </c>
      <c r="H255" t="s">
        <v>3941</v>
      </c>
      <c r="I255">
        <v>21.01</v>
      </c>
      <c r="J255">
        <v>500.12</v>
      </c>
      <c r="K255">
        <v>100</v>
      </c>
      <c r="L255" s="13">
        <f>VLOOKUP($B255,'[3]חשבונות חברה 40'!$A:$I,7,0)</f>
        <v>20281</v>
      </c>
      <c r="M255" s="13">
        <f>VLOOKUP($B255,'[3]חשבונות חברה 40'!$A:$I,5,0)</f>
        <v>2028</v>
      </c>
      <c r="N255" s="4" t="str">
        <f>IF(VLOOKUP($B255,'[3]חשבונות חברה 40'!$A:$J,10,0)=0,"",VLOOKUP($B255,'[3]חשבונות חברה 40'!$A:$J,10,0))</f>
        <v/>
      </c>
      <c r="P255" s="218">
        <f t="shared" si="14"/>
        <v>516.12</v>
      </c>
      <c r="Q255" s="122">
        <f t="shared" si="12"/>
        <v>2.9471964630901513E-3</v>
      </c>
      <c r="R255" s="1">
        <f ca="1">'הנחות עבודה לררל ומדרג'!$F$7*Q255</f>
        <v>814142.58302151843</v>
      </c>
      <c r="S255" s="79">
        <f t="shared" ca="1" si="13"/>
        <v>19857.136171256549</v>
      </c>
      <c r="T255" s="79">
        <f ca="1">'ררל ומדרג'!$AH$1</f>
        <v>48975.779132102936</v>
      </c>
      <c r="U255" s="79">
        <f t="shared" ca="1" si="15"/>
        <v>68832.915303359478</v>
      </c>
    </row>
    <row r="256" spans="1:21">
      <c r="A256">
        <v>256</v>
      </c>
      <c r="B256">
        <v>8920282</v>
      </c>
      <c r="C256" t="s">
        <v>3686</v>
      </c>
      <c r="D256">
        <v>622022</v>
      </c>
      <c r="E256" t="s">
        <v>3939</v>
      </c>
      <c r="F256" t="s">
        <v>3940</v>
      </c>
      <c r="G256" s="217">
        <v>4986.2700000000004</v>
      </c>
      <c r="H256" t="s">
        <v>3941</v>
      </c>
      <c r="I256">
        <v>21.01</v>
      </c>
      <c r="J256">
        <v>500.12</v>
      </c>
      <c r="K256">
        <v>100</v>
      </c>
      <c r="L256" s="13">
        <f>VLOOKUP($B256,'[3]חשבונות חברה 40'!$A:$I,7,0)</f>
        <v>20282</v>
      </c>
      <c r="M256" s="13">
        <f>VLOOKUP($B256,'[3]חשבונות חברה 40'!$A:$I,5,0)</f>
        <v>2028</v>
      </c>
      <c r="N256" s="4" t="str">
        <f>IF(VLOOKUP($B256,'[3]חשבונות חברה 40'!$A:$J,10,0)=0,"",VLOOKUP($B256,'[3]חשבונות חברה 40'!$A:$J,10,0))</f>
        <v/>
      </c>
      <c r="P256" s="218">
        <f t="shared" si="14"/>
        <v>516.12</v>
      </c>
      <c r="Q256" s="122">
        <f t="shared" si="12"/>
        <v>2.9471964630901513E-3</v>
      </c>
      <c r="R256" s="1">
        <f ca="1">'הנחות עבודה לררל ומדרג'!$F$7*Q256</f>
        <v>814142.58302151843</v>
      </c>
      <c r="S256" s="79">
        <f t="shared" ca="1" si="13"/>
        <v>19857.136171256549</v>
      </c>
      <c r="T256" s="79">
        <f ca="1">'ררל ומדרג'!$AH$1</f>
        <v>48975.779132102936</v>
      </c>
      <c r="U256" s="79">
        <f t="shared" ca="1" si="15"/>
        <v>68832.915303359478</v>
      </c>
    </row>
    <row r="257" spans="1:21">
      <c r="A257">
        <v>257</v>
      </c>
      <c r="B257">
        <v>8920301</v>
      </c>
      <c r="C257" t="s">
        <v>3687</v>
      </c>
      <c r="D257">
        <v>622022</v>
      </c>
      <c r="E257" t="s">
        <v>3939</v>
      </c>
      <c r="F257" t="s">
        <v>3940</v>
      </c>
      <c r="G257" s="217">
        <v>4477.79</v>
      </c>
      <c r="H257" t="s">
        <v>3941</v>
      </c>
      <c r="I257">
        <v>16.760000000000002</v>
      </c>
      <c r="J257">
        <v>449.12</v>
      </c>
      <c r="K257">
        <v>100</v>
      </c>
      <c r="L257" s="13">
        <f>VLOOKUP($B257,'[3]חשבונות חברה 40'!$A:$I,7,0)</f>
        <v>20301</v>
      </c>
      <c r="M257" s="13">
        <f>VLOOKUP($B257,'[3]חשבונות חברה 40'!$A:$I,5,0)</f>
        <v>2030</v>
      </c>
      <c r="N257" s="4" t="str">
        <f>IF(VLOOKUP($B257,'[3]חשבונות חברה 40'!$A:$J,10,0)=0,"",VLOOKUP($B257,'[3]חשבונות חברה 40'!$A:$J,10,0))</f>
        <v/>
      </c>
      <c r="P257" s="218">
        <f t="shared" si="14"/>
        <v>465.12</v>
      </c>
      <c r="Q257" s="122">
        <f t="shared" si="12"/>
        <v>2.6559715161444844E-3</v>
      </c>
      <c r="R257" s="1">
        <f ca="1">'הנחות עבודה לררל ומדרג'!$F$7*Q257</f>
        <v>733693.71118144749</v>
      </c>
      <c r="S257" s="79">
        <f t="shared" ca="1" si="13"/>
        <v>17894.968565401159</v>
      </c>
      <c r="T257" s="79">
        <f ca="1">'ררל ומדרג'!$AH$1</f>
        <v>48975.779132102936</v>
      </c>
      <c r="U257" s="79">
        <f t="shared" ca="1" si="15"/>
        <v>66870.747697504092</v>
      </c>
    </row>
    <row r="258" spans="1:21">
      <c r="A258">
        <v>258</v>
      </c>
      <c r="B258">
        <v>8920302</v>
      </c>
      <c r="C258" t="s">
        <v>3688</v>
      </c>
      <c r="D258">
        <v>622022</v>
      </c>
      <c r="E258" t="s">
        <v>3939</v>
      </c>
      <c r="F258" t="s">
        <v>3940</v>
      </c>
      <c r="G258" s="217">
        <v>4635.72</v>
      </c>
      <c r="H258" t="s">
        <v>3941</v>
      </c>
      <c r="I258">
        <v>18.079999999999998</v>
      </c>
      <c r="J258">
        <v>464.96</v>
      </c>
      <c r="K258">
        <v>100</v>
      </c>
      <c r="L258" s="13">
        <f>VLOOKUP($B258,'[3]חשבונות חברה 40'!$A:$I,7,0)</f>
        <v>20302</v>
      </c>
      <c r="M258" s="13">
        <f>VLOOKUP($B258,'[3]חשבונות חברה 40'!$A:$I,5,0)</f>
        <v>2030</v>
      </c>
      <c r="N258" s="4" t="str">
        <f>IF(VLOOKUP($B258,'[3]חשבונות חברה 40'!$A:$J,10,0)=0,"",VLOOKUP($B258,'[3]חשבונות חברה 40'!$A:$J,10,0))</f>
        <v/>
      </c>
      <c r="P258" s="218">
        <f t="shared" si="14"/>
        <v>480.96</v>
      </c>
      <c r="Q258" s="122">
        <f t="shared" ref="Q258:Q286" si="16">P258/$P$288</f>
        <v>2.7464225584899618E-3</v>
      </c>
      <c r="R258" s="1">
        <f ca="1">'הנחות עבודה לררל ומדרג'!$F$7*Q258</f>
        <v>758680.18431765772</v>
      </c>
      <c r="S258" s="79">
        <f t="shared" ref="S258:S287" ca="1" si="17">R258/$V$1</f>
        <v>18504.394739455067</v>
      </c>
      <c r="T258" s="79">
        <f ca="1">'ררל ומדרג'!$AH$1</f>
        <v>48975.779132102936</v>
      </c>
      <c r="U258" s="79">
        <f t="shared" ca="1" si="15"/>
        <v>67480.173871558</v>
      </c>
    </row>
    <row r="259" spans="1:21">
      <c r="A259">
        <v>259</v>
      </c>
      <c r="B259">
        <v>8920311</v>
      </c>
      <c r="C259" t="s">
        <v>3689</v>
      </c>
      <c r="D259">
        <v>622022</v>
      </c>
      <c r="E259" t="s">
        <v>3939</v>
      </c>
      <c r="F259" t="s">
        <v>3940</v>
      </c>
      <c r="G259" s="217">
        <v>2854.25</v>
      </c>
      <c r="H259" t="s">
        <v>3941</v>
      </c>
      <c r="I259">
        <v>3.19</v>
      </c>
      <c r="J259">
        <v>286.27999999999997</v>
      </c>
      <c r="K259">
        <v>100</v>
      </c>
      <c r="L259" s="13">
        <f>VLOOKUP($B259,'[3]חשבונות חברה 40'!$A:$I,7,0)</f>
        <v>20311</v>
      </c>
      <c r="M259" s="13">
        <f>VLOOKUP($B259,'[3]חשבונות חברה 40'!$A:$I,5,0)</f>
        <v>2031</v>
      </c>
      <c r="N259" s="4" t="str">
        <f>IF(VLOOKUP($B259,'[3]חשבונות חברה 40'!$A:$J,10,0)=0,"",VLOOKUP($B259,'[3]חשבונות חברה 40'!$A:$J,10,0))</f>
        <v/>
      </c>
      <c r="P259" s="218">
        <f t="shared" ref="P259:P287" si="18">IF(J259+$Q$1&gt;=$R$1,$R$1,J259+$Q$1)</f>
        <v>302.27999999999997</v>
      </c>
      <c r="Q259" s="122">
        <f t="shared" si="16"/>
        <v>1.7261073914262011E-3</v>
      </c>
      <c r="R259" s="1">
        <f ca="1">'הנחות עבודה לררל ומדרג'!$F$7*Q259</f>
        <v>476825.19568267959</v>
      </c>
      <c r="S259" s="79">
        <f t="shared" ca="1" si="17"/>
        <v>11629.88282152877</v>
      </c>
      <c r="T259" s="79">
        <f ca="1">'ררל ומדרג'!$AH$1</f>
        <v>48975.779132102936</v>
      </c>
      <c r="U259" s="79">
        <f t="shared" ref="U259:U287" ca="1" si="19">S259+T259</f>
        <v>60605.661953631708</v>
      </c>
    </row>
    <row r="260" spans="1:21">
      <c r="A260">
        <v>260</v>
      </c>
      <c r="B260">
        <v>8920312</v>
      </c>
      <c r="C260" t="s">
        <v>3691</v>
      </c>
      <c r="D260">
        <v>622022</v>
      </c>
      <c r="E260" t="s">
        <v>3939</v>
      </c>
      <c r="F260" t="s">
        <v>3940</v>
      </c>
      <c r="G260" s="217">
        <v>2854.25</v>
      </c>
      <c r="H260" t="s">
        <v>3941</v>
      </c>
      <c r="I260">
        <v>3.19</v>
      </c>
      <c r="J260">
        <v>286.27999999999997</v>
      </c>
      <c r="K260">
        <v>100</v>
      </c>
      <c r="L260" s="13">
        <f>VLOOKUP($B260,'[3]חשבונות חברה 40'!$A:$I,7,0)</f>
        <v>20312</v>
      </c>
      <c r="M260" s="13">
        <f>VLOOKUP($B260,'[3]חשבונות חברה 40'!$A:$I,5,0)</f>
        <v>2031</v>
      </c>
      <c r="N260" s="4" t="str">
        <f>IF(VLOOKUP($B260,'[3]חשבונות חברה 40'!$A:$J,10,0)=0,"",VLOOKUP($B260,'[3]חשבונות חברה 40'!$A:$J,10,0))</f>
        <v/>
      </c>
      <c r="P260" s="218">
        <f t="shared" si="18"/>
        <v>302.27999999999997</v>
      </c>
      <c r="Q260" s="122">
        <f t="shared" si="16"/>
        <v>1.7261073914262011E-3</v>
      </c>
      <c r="R260" s="1">
        <f ca="1">'הנחות עבודה לררל ומדרג'!$F$7*Q260</f>
        <v>476825.19568267959</v>
      </c>
      <c r="S260" s="79">
        <f t="shared" ca="1" si="17"/>
        <v>11629.88282152877</v>
      </c>
      <c r="T260" s="79">
        <f ca="1">'ררל ומדרג'!$AH$1</f>
        <v>48975.779132102936</v>
      </c>
      <c r="U260" s="79">
        <f t="shared" ca="1" si="19"/>
        <v>60605.661953631708</v>
      </c>
    </row>
    <row r="261" spans="1:21">
      <c r="A261">
        <v>261</v>
      </c>
      <c r="B261">
        <v>8920331</v>
      </c>
      <c r="C261" t="s">
        <v>3693</v>
      </c>
      <c r="D261">
        <v>622022</v>
      </c>
      <c r="E261" t="s">
        <v>3939</v>
      </c>
      <c r="F261" t="s">
        <v>3940</v>
      </c>
      <c r="G261" s="217">
        <v>2854.25</v>
      </c>
      <c r="H261" t="s">
        <v>3941</v>
      </c>
      <c r="I261">
        <v>3.19</v>
      </c>
      <c r="J261">
        <v>286.27999999999997</v>
      </c>
      <c r="K261">
        <v>100</v>
      </c>
      <c r="L261" s="13">
        <f>VLOOKUP($B261,'[3]חשבונות חברה 40'!$A:$I,7,0)</f>
        <v>20331</v>
      </c>
      <c r="M261" s="13">
        <f>VLOOKUP($B261,'[3]חשבונות חברה 40'!$A:$I,5,0)</f>
        <v>2033</v>
      </c>
      <c r="N261" s="4" t="str">
        <f>IF(VLOOKUP($B261,'[3]חשבונות חברה 40'!$A:$J,10,0)=0,"",VLOOKUP($B261,'[3]חשבונות חברה 40'!$A:$J,10,0))</f>
        <v/>
      </c>
      <c r="P261" s="218">
        <f t="shared" si="18"/>
        <v>302.27999999999997</v>
      </c>
      <c r="Q261" s="122">
        <f t="shared" si="16"/>
        <v>1.7261073914262011E-3</v>
      </c>
      <c r="R261" s="1">
        <f ca="1">'הנחות עבודה לררל ומדרג'!$F$7*Q261</f>
        <v>476825.19568267959</v>
      </c>
      <c r="S261" s="79">
        <f t="shared" ca="1" si="17"/>
        <v>11629.88282152877</v>
      </c>
      <c r="T261" s="79">
        <f ca="1">'ררל ומדרג'!$AH$1</f>
        <v>48975.779132102936</v>
      </c>
      <c r="U261" s="79">
        <f t="shared" ca="1" si="19"/>
        <v>60605.661953631708</v>
      </c>
    </row>
    <row r="262" spans="1:21">
      <c r="A262">
        <v>262</v>
      </c>
      <c r="B262">
        <v>8920332</v>
      </c>
      <c r="C262" t="s">
        <v>3695</v>
      </c>
      <c r="D262">
        <v>622022</v>
      </c>
      <c r="E262" t="s">
        <v>3939</v>
      </c>
      <c r="F262" t="s">
        <v>3940</v>
      </c>
      <c r="G262" s="217">
        <v>2854.25</v>
      </c>
      <c r="H262" t="s">
        <v>3941</v>
      </c>
      <c r="I262">
        <v>3.19</v>
      </c>
      <c r="J262">
        <v>286.27999999999997</v>
      </c>
      <c r="K262">
        <v>100</v>
      </c>
      <c r="L262" s="13">
        <f>VLOOKUP($B262,'[3]חשבונות חברה 40'!$A:$I,7,0)</f>
        <v>20332</v>
      </c>
      <c r="M262" s="13">
        <f>VLOOKUP($B262,'[3]חשבונות חברה 40'!$A:$I,5,0)</f>
        <v>2033</v>
      </c>
      <c r="N262" s="4" t="str">
        <f>IF(VLOOKUP($B262,'[3]חשבונות חברה 40'!$A:$J,10,0)=0,"",VLOOKUP($B262,'[3]חשבונות חברה 40'!$A:$J,10,0))</f>
        <v/>
      </c>
      <c r="P262" s="218">
        <f t="shared" si="18"/>
        <v>302.27999999999997</v>
      </c>
      <c r="Q262" s="122">
        <f t="shared" si="16"/>
        <v>1.7261073914262011E-3</v>
      </c>
      <c r="R262" s="1">
        <f ca="1">'הנחות עבודה לררל ומדרג'!$F$7*Q262</f>
        <v>476825.19568267959</v>
      </c>
      <c r="S262" s="79">
        <f t="shared" ca="1" si="17"/>
        <v>11629.88282152877</v>
      </c>
      <c r="T262" s="79">
        <f ca="1">'ררל ומדרג'!$AH$1</f>
        <v>48975.779132102936</v>
      </c>
      <c r="U262" s="79">
        <f t="shared" ca="1" si="19"/>
        <v>60605.661953631708</v>
      </c>
    </row>
    <row r="263" spans="1:21">
      <c r="A263">
        <v>263</v>
      </c>
      <c r="B263">
        <v>8920501</v>
      </c>
      <c r="C263" t="s">
        <v>3697</v>
      </c>
      <c r="D263">
        <v>622022</v>
      </c>
      <c r="E263" t="s">
        <v>3939</v>
      </c>
      <c r="F263" t="s">
        <v>3940</v>
      </c>
      <c r="G263" s="217">
        <v>2835.11</v>
      </c>
      <c r="H263" t="s">
        <v>3941</v>
      </c>
      <c r="I263">
        <v>3.03</v>
      </c>
      <c r="J263">
        <v>284.36</v>
      </c>
      <c r="K263">
        <v>100</v>
      </c>
      <c r="L263" s="13">
        <f>VLOOKUP($B263,'[3]חשבונות חברה 40'!$A:$I,7,0)</f>
        <v>20501</v>
      </c>
      <c r="M263" s="13">
        <f>VLOOKUP($B263,'[3]חשבונות חברה 40'!$A:$I,5,0)</f>
        <v>2050</v>
      </c>
      <c r="N263" s="4" t="str">
        <f>IF(VLOOKUP($B263,'[3]חשבונות חברה 40'!$A:$J,10,0)=0,"",VLOOKUP($B263,'[3]חשבונות חברה 40'!$A:$J,10,0))</f>
        <v/>
      </c>
      <c r="P263" s="218">
        <f t="shared" si="18"/>
        <v>300.36</v>
      </c>
      <c r="Q263" s="122">
        <f t="shared" si="16"/>
        <v>1.7151436287176586E-3</v>
      </c>
      <c r="R263" s="1">
        <f ca="1">'הנחות עבודה לררל ומדרג'!$F$7*Q263</f>
        <v>473796.53227222996</v>
      </c>
      <c r="S263" s="79">
        <f t="shared" ca="1" si="17"/>
        <v>11556.012982249511</v>
      </c>
      <c r="T263" s="79">
        <f ca="1">'ררל ומדרג'!$AH$1</f>
        <v>48975.779132102936</v>
      </c>
      <c r="U263" s="79">
        <f t="shared" ca="1" si="19"/>
        <v>60531.792114352444</v>
      </c>
    </row>
    <row r="264" spans="1:21">
      <c r="A264">
        <v>264</v>
      </c>
      <c r="B264">
        <v>8920502</v>
      </c>
      <c r="C264" t="s">
        <v>2882</v>
      </c>
      <c r="D264">
        <v>622022</v>
      </c>
      <c r="E264" t="s">
        <v>3939</v>
      </c>
      <c r="F264" t="s">
        <v>3940</v>
      </c>
      <c r="G264" s="217">
        <v>2835.11</v>
      </c>
      <c r="H264" t="s">
        <v>3941</v>
      </c>
      <c r="I264">
        <v>3.03</v>
      </c>
      <c r="J264">
        <v>284.36</v>
      </c>
      <c r="K264">
        <v>100</v>
      </c>
      <c r="L264" s="13">
        <f>VLOOKUP($B264,'[3]חשבונות חברה 40'!$A:$I,7,0)</f>
        <v>20502</v>
      </c>
      <c r="M264" s="13">
        <f>VLOOKUP($B264,'[3]חשבונות חברה 40'!$A:$I,5,0)</f>
        <v>2050</v>
      </c>
      <c r="N264" s="4" t="str">
        <f>IF(VLOOKUP($B264,'[3]חשבונות חברה 40'!$A:$J,10,0)=0,"",VLOOKUP($B264,'[3]חשבונות חברה 40'!$A:$J,10,0))</f>
        <v/>
      </c>
      <c r="P264" s="218">
        <f t="shared" si="18"/>
        <v>300.36</v>
      </c>
      <c r="Q264" s="122">
        <f t="shared" si="16"/>
        <v>1.7151436287176586E-3</v>
      </c>
      <c r="R264" s="1">
        <f ca="1">'הנחות עבודה לררל ומדרג'!$F$7*Q264</f>
        <v>473796.53227222996</v>
      </c>
      <c r="S264" s="79">
        <f t="shared" ca="1" si="17"/>
        <v>11556.012982249511</v>
      </c>
      <c r="T264" s="79">
        <f ca="1">'ררל ומדרג'!$AH$1</f>
        <v>48975.779132102936</v>
      </c>
      <c r="U264" s="79">
        <f t="shared" ca="1" si="19"/>
        <v>60531.792114352444</v>
      </c>
    </row>
    <row r="265" spans="1:21">
      <c r="A265">
        <v>265</v>
      </c>
      <c r="B265">
        <v>8921011</v>
      </c>
      <c r="C265" t="s">
        <v>3698</v>
      </c>
      <c r="D265">
        <v>622022</v>
      </c>
      <c r="E265" t="s">
        <v>3939</v>
      </c>
      <c r="F265" t="s">
        <v>3940</v>
      </c>
      <c r="G265" s="217">
        <v>3317.27</v>
      </c>
      <c r="H265" t="s">
        <v>3941</v>
      </c>
      <c r="I265">
        <v>7.06</v>
      </c>
      <c r="J265">
        <v>332.72</v>
      </c>
      <c r="K265">
        <v>100</v>
      </c>
      <c r="L265" s="13">
        <f>VLOOKUP($B265,'[3]חשבונות חברה 40'!$A:$I,7,0)</f>
        <v>21011</v>
      </c>
      <c r="M265" s="13">
        <f>VLOOKUP($B265,'[3]חשבונות חברה 40'!$A:$I,5,0)</f>
        <v>2101</v>
      </c>
      <c r="N265" s="4" t="str">
        <f>IF(VLOOKUP($B265,'[3]חשבונות חברה 40'!$A:$J,10,0)=0,"",VLOOKUP($B265,'[3]חשבונות חברה 40'!$A:$J,10,0))</f>
        <v/>
      </c>
      <c r="P265" s="218">
        <f t="shared" si="18"/>
        <v>348.72</v>
      </c>
      <c r="Q265" s="122">
        <f t="shared" si="16"/>
        <v>1.9912934019390796E-3</v>
      </c>
      <c r="R265" s="1">
        <f ca="1">'הנחות עבודה לררל ומדרג'!$F$7*Q265</f>
        <v>550080.99192293256</v>
      </c>
      <c r="S265" s="79">
        <f t="shared" ca="1" si="17"/>
        <v>13416.609559095916</v>
      </c>
      <c r="T265" s="79">
        <f ca="1">'ררל ומדרג'!$AH$1</f>
        <v>48975.779132102936</v>
      </c>
      <c r="U265" s="79">
        <f t="shared" ca="1" si="19"/>
        <v>62392.388691198852</v>
      </c>
    </row>
    <row r="266" spans="1:21">
      <c r="A266">
        <v>266</v>
      </c>
      <c r="B266">
        <v>8921012</v>
      </c>
      <c r="C266" t="s">
        <v>3700</v>
      </c>
      <c r="D266">
        <v>622022</v>
      </c>
      <c r="E266" t="s">
        <v>3939</v>
      </c>
      <c r="F266" t="s">
        <v>3940</v>
      </c>
      <c r="G266" s="217">
        <v>3512.28</v>
      </c>
      <c r="H266" t="s">
        <v>3941</v>
      </c>
      <c r="I266">
        <v>8.69</v>
      </c>
      <c r="J266">
        <v>352.28</v>
      </c>
      <c r="K266">
        <v>100</v>
      </c>
      <c r="L266" s="13">
        <f>VLOOKUP($B266,'[3]חשבונות חברה 40'!$A:$I,7,0)</f>
        <v>21012</v>
      </c>
      <c r="M266" s="13">
        <f>VLOOKUP($B266,'[3]חשבונות חברה 40'!$A:$I,5,0)</f>
        <v>2101</v>
      </c>
      <c r="N266" s="4" t="str">
        <f>IF(VLOOKUP($B266,'[3]חשבונות חברה 40'!$A:$J,10,0)=0,"",VLOOKUP($B266,'[3]חשבונות חברה 40'!$A:$J,10,0))</f>
        <v/>
      </c>
      <c r="P266" s="218">
        <f t="shared" si="18"/>
        <v>368.28</v>
      </c>
      <c r="Q266" s="122">
        <f t="shared" si="16"/>
        <v>2.1029867345323584E-3</v>
      </c>
      <c r="R266" s="1">
        <f ca="1">'הנחות עבודה לררל ומדרג'!$F$7*Q266</f>
        <v>580935.50041688909</v>
      </c>
      <c r="S266" s="79">
        <f t="shared" ca="1" si="17"/>
        <v>14169.158546753393</v>
      </c>
      <c r="T266" s="79">
        <f ca="1">'ררל ומדרג'!$AH$1</f>
        <v>48975.779132102936</v>
      </c>
      <c r="U266" s="79">
        <f t="shared" ca="1" si="19"/>
        <v>63144.937678856331</v>
      </c>
    </row>
    <row r="267" spans="1:21">
      <c r="A267">
        <v>267</v>
      </c>
      <c r="B267">
        <v>8921092</v>
      </c>
      <c r="C267" t="s">
        <v>3717</v>
      </c>
      <c r="D267">
        <v>622022</v>
      </c>
      <c r="E267" t="s">
        <v>3939</v>
      </c>
      <c r="F267" t="s">
        <v>3940</v>
      </c>
      <c r="G267" s="217">
        <v>8215.4</v>
      </c>
      <c r="H267" t="s">
        <v>3941</v>
      </c>
      <c r="I267">
        <v>48</v>
      </c>
      <c r="J267">
        <v>824</v>
      </c>
      <c r="K267">
        <v>100</v>
      </c>
      <c r="L267" s="13">
        <f>VLOOKUP($B267,'[3]חשבונות חברה 40'!$A:$I,7,0)</f>
        <v>21092</v>
      </c>
      <c r="M267" s="13">
        <f>VLOOKUP($B267,'[3]חשבונות חברה 40'!$A:$I,5,0)</f>
        <v>2109</v>
      </c>
      <c r="N267" s="4" t="str">
        <f>IF(VLOOKUP($B267,'[3]חשבונות חברה 40'!$A:$J,10,0)=0,"",VLOOKUP($B267,'[3]חשבונות חברה 40'!$A:$J,10,0))</f>
        <v/>
      </c>
      <c r="P267" s="218">
        <f t="shared" si="18"/>
        <v>824</v>
      </c>
      <c r="Q267" s="122">
        <f t="shared" si="16"/>
        <v>4.7052814957496024E-3</v>
      </c>
      <c r="R267" s="1">
        <f ca="1">'הנחות עבודה לררל ומדרג'!$F$7*Q267</f>
        <v>1299801.3803180098</v>
      </c>
      <c r="S267" s="79">
        <f t="shared" ca="1" si="17"/>
        <v>31702.472690683164</v>
      </c>
      <c r="T267" s="79">
        <f ca="1">'ררל ומדרג'!$AH$1</f>
        <v>48975.779132102936</v>
      </c>
      <c r="U267" s="79">
        <f t="shared" ca="1" si="19"/>
        <v>80678.2518227861</v>
      </c>
    </row>
    <row r="268" spans="1:21">
      <c r="A268">
        <v>268</v>
      </c>
      <c r="B268">
        <v>8921101</v>
      </c>
      <c r="C268" t="s">
        <v>3718</v>
      </c>
      <c r="D268">
        <v>622022</v>
      </c>
      <c r="E268" t="s">
        <v>3939</v>
      </c>
      <c r="F268" t="s">
        <v>3940</v>
      </c>
      <c r="G268" s="217">
        <v>8215.4</v>
      </c>
      <c r="H268" t="s">
        <v>3941</v>
      </c>
      <c r="I268">
        <v>48</v>
      </c>
      <c r="J268">
        <v>824</v>
      </c>
      <c r="K268">
        <v>100</v>
      </c>
      <c r="L268" s="13">
        <f>VLOOKUP($B268,'[3]חשבונות חברה 40'!$A:$I,7,0)</f>
        <v>21101</v>
      </c>
      <c r="M268" s="13">
        <f>VLOOKUP($B268,'[3]חשבונות חברה 40'!$A:$I,5,0)</f>
        <v>2110</v>
      </c>
      <c r="N268" s="4" t="str">
        <f>IF(VLOOKUP($B268,'[3]חשבונות חברה 40'!$A:$J,10,0)=0,"",VLOOKUP($B268,'[3]חשבונות חברה 40'!$A:$J,10,0))</f>
        <v/>
      </c>
      <c r="P268" s="218">
        <f t="shared" si="18"/>
        <v>824</v>
      </c>
      <c r="Q268" s="122">
        <f t="shared" si="16"/>
        <v>4.7052814957496024E-3</v>
      </c>
      <c r="R268" s="1">
        <f ca="1">'הנחות עבודה לררל ומדרג'!$F$7*Q268</f>
        <v>1299801.3803180098</v>
      </c>
      <c r="S268" s="79">
        <f t="shared" ca="1" si="17"/>
        <v>31702.472690683164</v>
      </c>
      <c r="T268" s="79">
        <f ca="1">'ררל ומדרג'!$AH$1</f>
        <v>48975.779132102936</v>
      </c>
      <c r="U268" s="79">
        <f t="shared" ca="1" si="19"/>
        <v>80678.2518227861</v>
      </c>
    </row>
    <row r="269" spans="1:21">
      <c r="A269">
        <v>269</v>
      </c>
      <c r="B269">
        <v>8921102</v>
      </c>
      <c r="C269" t="s">
        <v>3719</v>
      </c>
      <c r="D269">
        <v>622022</v>
      </c>
      <c r="E269" t="s">
        <v>3939</v>
      </c>
      <c r="F269" t="s">
        <v>3940</v>
      </c>
      <c r="G269" s="217">
        <v>7642.31</v>
      </c>
      <c r="H269" t="s">
        <v>3941</v>
      </c>
      <c r="I269">
        <v>43.21</v>
      </c>
      <c r="J269">
        <v>766.52</v>
      </c>
      <c r="K269">
        <v>100</v>
      </c>
      <c r="L269" s="13">
        <f>VLOOKUP($B269,'[3]חשבונות חברה 40'!$A:$I,7,0)</f>
        <v>21102</v>
      </c>
      <c r="M269" s="13">
        <f>VLOOKUP($B269,'[3]חשבונות חברה 40'!$A:$I,5,0)</f>
        <v>2110</v>
      </c>
      <c r="N269" s="4" t="str">
        <f>IF(VLOOKUP($B269,'[3]חשבונות חברה 40'!$A:$J,10,0)=0,"",VLOOKUP($B269,'[3]חשבונות חברה 40'!$A:$J,10,0))</f>
        <v/>
      </c>
      <c r="P269" s="218">
        <f t="shared" si="18"/>
        <v>782.52</v>
      </c>
      <c r="Q269" s="122">
        <f t="shared" si="16"/>
        <v>4.4684185389004599E-3</v>
      </c>
      <c r="R269" s="1">
        <f ca="1">'הנחות עבודה לררל ומדרג'!$F$7*Q269</f>
        <v>1234369.6312214187</v>
      </c>
      <c r="S269" s="79">
        <f t="shared" ca="1" si="17"/>
        <v>30106.576371254116</v>
      </c>
      <c r="T269" s="79">
        <f ca="1">'ררל ומדרג'!$AH$1</f>
        <v>48975.779132102936</v>
      </c>
      <c r="U269" s="79">
        <f t="shared" ca="1" si="19"/>
        <v>79082.355503357045</v>
      </c>
    </row>
    <row r="270" spans="1:21">
      <c r="A270">
        <v>270</v>
      </c>
      <c r="B270">
        <v>8921111</v>
      </c>
      <c r="C270" t="s">
        <v>3720</v>
      </c>
      <c r="D270">
        <v>622022</v>
      </c>
      <c r="E270" t="s">
        <v>3939</v>
      </c>
      <c r="F270" t="s">
        <v>3940</v>
      </c>
      <c r="G270" s="217">
        <v>7730.85</v>
      </c>
      <c r="H270" t="s">
        <v>3941</v>
      </c>
      <c r="I270">
        <v>43.95</v>
      </c>
      <c r="J270">
        <v>775.4</v>
      </c>
      <c r="K270">
        <v>100</v>
      </c>
      <c r="L270" s="13">
        <f>VLOOKUP($B270,'[3]חשבונות חברה 40'!$A:$I,7,0)</f>
        <v>21111</v>
      </c>
      <c r="M270" s="13">
        <f>VLOOKUP($B270,'[3]חשבונות חברה 40'!$A:$I,5,0)</f>
        <v>2111</v>
      </c>
      <c r="N270" s="4" t="str">
        <f>IF(VLOOKUP($B270,'[3]חשבונות חברה 40'!$A:$J,10,0)=0,"",VLOOKUP($B270,'[3]חשבונות חברה 40'!$A:$J,10,0))</f>
        <v/>
      </c>
      <c r="P270" s="218">
        <f t="shared" si="18"/>
        <v>791.4</v>
      </c>
      <c r="Q270" s="122">
        <f t="shared" si="16"/>
        <v>4.5191259414274695E-3</v>
      </c>
      <c r="R270" s="1">
        <f ca="1">'הנחות עבודה לררל ומדרג'!$F$7*Q270</f>
        <v>1248377.1994947486</v>
      </c>
      <c r="S270" s="79">
        <f t="shared" ca="1" si="17"/>
        <v>30448.224377920698</v>
      </c>
      <c r="T270" s="79">
        <f ca="1">'ררל ומדרג'!$AH$1</f>
        <v>48975.779132102936</v>
      </c>
      <c r="U270" s="79">
        <f t="shared" ca="1" si="19"/>
        <v>79424.003510023642</v>
      </c>
    </row>
    <row r="271" spans="1:21">
      <c r="A271">
        <v>271</v>
      </c>
      <c r="B271">
        <v>8921112</v>
      </c>
      <c r="C271" t="s">
        <v>3722</v>
      </c>
      <c r="D271">
        <v>622022</v>
      </c>
      <c r="E271" t="s">
        <v>3939</v>
      </c>
      <c r="F271" t="s">
        <v>3940</v>
      </c>
      <c r="G271" s="217">
        <v>7271.42</v>
      </c>
      <c r="H271" t="s">
        <v>3941</v>
      </c>
      <c r="I271">
        <v>40.11</v>
      </c>
      <c r="J271">
        <v>729.32</v>
      </c>
      <c r="K271">
        <v>100</v>
      </c>
      <c r="L271" s="13">
        <f>VLOOKUP($B271,'[3]חשבונות חברה 40'!$A:$I,7,0)</f>
        <v>21112</v>
      </c>
      <c r="M271" s="13">
        <f>VLOOKUP($B271,'[3]חשבונות חברה 40'!$A:$I,5,0)</f>
        <v>2111</v>
      </c>
      <c r="N271" s="4" t="str">
        <f>IF(VLOOKUP($B271,'[3]חשבונות חברה 40'!$A:$J,10,0)=0,"",VLOOKUP($B271,'[3]חשבונות חברה 40'!$A:$J,10,0))</f>
        <v/>
      </c>
      <c r="P271" s="218">
        <f t="shared" si="18"/>
        <v>745.32</v>
      </c>
      <c r="Q271" s="122">
        <f t="shared" si="16"/>
        <v>4.2559956364224437E-3</v>
      </c>
      <c r="R271" s="1">
        <f ca="1">'הנחות עבודה לררל ומדרג'!$F$7*Q271</f>
        <v>1175689.2776439553</v>
      </c>
      <c r="S271" s="79">
        <f t="shared" ca="1" si="17"/>
        <v>28675.348235218422</v>
      </c>
      <c r="T271" s="79">
        <f ca="1">'ררל ומדרג'!$AH$1</f>
        <v>48975.779132102936</v>
      </c>
      <c r="U271" s="79">
        <f t="shared" ca="1" si="19"/>
        <v>77651.127367321358</v>
      </c>
    </row>
    <row r="272" spans="1:21">
      <c r="A272">
        <v>272</v>
      </c>
      <c r="B272">
        <v>8921131</v>
      </c>
      <c r="C272" t="s">
        <v>3723</v>
      </c>
      <c r="D272">
        <v>622022</v>
      </c>
      <c r="E272" t="s">
        <v>3939</v>
      </c>
      <c r="F272" t="s">
        <v>3940</v>
      </c>
      <c r="G272" s="217">
        <v>3496.73</v>
      </c>
      <c r="H272" t="s">
        <v>3941</v>
      </c>
      <c r="I272">
        <v>8.56</v>
      </c>
      <c r="J272">
        <v>350.72</v>
      </c>
      <c r="K272">
        <v>100</v>
      </c>
      <c r="L272" s="13">
        <f>VLOOKUP($B272,'[3]חשבונות חברה 40'!$A:$I,7,0)</f>
        <v>21131</v>
      </c>
      <c r="M272" s="13">
        <f>VLOOKUP($B272,'[3]חשבונות חברה 40'!$A:$I,5,0)</f>
        <v>2113</v>
      </c>
      <c r="N272" s="4" t="str">
        <f>IF(VLOOKUP($B272,'[3]חשבונות חברה 40'!$A:$J,10,0)=0,"",VLOOKUP($B272,'[3]חשבונות חברה 40'!$A:$J,10,0))</f>
        <v/>
      </c>
      <c r="P272" s="218">
        <f t="shared" si="18"/>
        <v>366.72</v>
      </c>
      <c r="Q272" s="122">
        <f t="shared" si="16"/>
        <v>2.0940786773316678E-3</v>
      </c>
      <c r="R272" s="1">
        <f ca="1">'הנחות עבודה לררל ומדרג'!$F$7*Q272</f>
        <v>578474.71139589883</v>
      </c>
      <c r="S272" s="79">
        <f t="shared" ca="1" si="17"/>
        <v>14109.139302338996</v>
      </c>
      <c r="T272" s="79">
        <f ca="1">'ררל ומדרג'!$AH$1</f>
        <v>48975.779132102936</v>
      </c>
      <c r="U272" s="79">
        <f t="shared" ca="1" si="19"/>
        <v>63084.918434441934</v>
      </c>
    </row>
    <row r="273" spans="1:21">
      <c r="A273">
        <v>273</v>
      </c>
      <c r="B273">
        <v>8921132</v>
      </c>
      <c r="C273" t="s">
        <v>3724</v>
      </c>
      <c r="D273">
        <v>622022</v>
      </c>
      <c r="E273" t="s">
        <v>3939</v>
      </c>
      <c r="F273" t="s">
        <v>3940</v>
      </c>
      <c r="G273" s="217">
        <v>3496.73</v>
      </c>
      <c r="H273" t="s">
        <v>3941</v>
      </c>
      <c r="I273">
        <v>8.56</v>
      </c>
      <c r="J273">
        <v>350.72</v>
      </c>
      <c r="K273">
        <v>100</v>
      </c>
      <c r="L273" s="13">
        <f>VLOOKUP($B273,'[3]חשבונות חברה 40'!$A:$I,7,0)</f>
        <v>21132</v>
      </c>
      <c r="M273" s="13">
        <f>VLOOKUP($B273,'[3]חשבונות חברה 40'!$A:$I,5,0)</f>
        <v>2113</v>
      </c>
      <c r="N273" s="4" t="str">
        <f>IF(VLOOKUP($B273,'[3]חשבונות חברה 40'!$A:$J,10,0)=0,"",VLOOKUP($B273,'[3]חשבונות חברה 40'!$A:$J,10,0))</f>
        <v/>
      </c>
      <c r="P273" s="218">
        <f t="shared" si="18"/>
        <v>366.72</v>
      </c>
      <c r="Q273" s="122">
        <f t="shared" si="16"/>
        <v>2.0940786773316678E-3</v>
      </c>
      <c r="R273" s="1">
        <f ca="1">'הנחות עבודה לררל ומדרג'!$F$7*Q273</f>
        <v>578474.71139589883</v>
      </c>
      <c r="S273" s="79">
        <f t="shared" ca="1" si="17"/>
        <v>14109.139302338996</v>
      </c>
      <c r="T273" s="79">
        <f ca="1">'ררל ומדרג'!$AH$1</f>
        <v>48975.779132102936</v>
      </c>
      <c r="U273" s="79">
        <f t="shared" ca="1" si="19"/>
        <v>63084.918434441934</v>
      </c>
    </row>
    <row r="274" spans="1:21">
      <c r="A274">
        <v>274</v>
      </c>
      <c r="B274">
        <v>8921151</v>
      </c>
      <c r="C274" t="s">
        <v>3725</v>
      </c>
      <c r="D274">
        <v>622022</v>
      </c>
      <c r="E274" t="s">
        <v>3939</v>
      </c>
      <c r="F274" t="s">
        <v>3940</v>
      </c>
      <c r="G274" s="217">
        <v>4238.51</v>
      </c>
      <c r="H274" t="s">
        <v>3941</v>
      </c>
      <c r="I274">
        <v>14.76</v>
      </c>
      <c r="J274">
        <v>425.12</v>
      </c>
      <c r="K274">
        <v>100</v>
      </c>
      <c r="L274" s="13">
        <f>VLOOKUP($B274,'[3]חשבונות חברה 40'!$A:$I,7,0)</f>
        <v>21151</v>
      </c>
      <c r="M274" s="13">
        <f>VLOOKUP($B274,'[3]חשבונות חברה 40'!$A:$I,5,0)</f>
        <v>2115</v>
      </c>
      <c r="N274" s="4" t="str">
        <f>IF(VLOOKUP($B274,'[3]חשבונות חברה 40'!$A:$J,10,0)=0,"",VLOOKUP($B274,'[3]חשבונות חברה 40'!$A:$J,10,0))</f>
        <v/>
      </c>
      <c r="P274" s="218">
        <f t="shared" si="18"/>
        <v>441.12</v>
      </c>
      <c r="Q274" s="122">
        <f t="shared" si="16"/>
        <v>2.5189244822876999E-3</v>
      </c>
      <c r="R274" s="1">
        <f ca="1">'הנחות עבודה לררל ומדרג'!$F$7*Q274</f>
        <v>695835.41855082591</v>
      </c>
      <c r="S274" s="79">
        <f t="shared" ca="1" si="17"/>
        <v>16971.595574410389</v>
      </c>
      <c r="T274" s="79">
        <f ca="1">'ררל ומדרג'!$AH$1</f>
        <v>48975.779132102936</v>
      </c>
      <c r="U274" s="79">
        <f t="shared" ca="1" si="19"/>
        <v>65947.374706513321</v>
      </c>
    </row>
    <row r="275" spans="1:21">
      <c r="A275">
        <v>275</v>
      </c>
      <c r="B275">
        <v>8921152</v>
      </c>
      <c r="C275" t="s">
        <v>3726</v>
      </c>
      <c r="D275">
        <v>622022</v>
      </c>
      <c r="E275" t="s">
        <v>3939</v>
      </c>
      <c r="F275" t="s">
        <v>3940</v>
      </c>
      <c r="G275" s="217">
        <v>4749.38</v>
      </c>
      <c r="H275" t="s">
        <v>3941</v>
      </c>
      <c r="I275">
        <v>19.03</v>
      </c>
      <c r="J275">
        <v>476.36</v>
      </c>
      <c r="K275">
        <v>100</v>
      </c>
      <c r="L275" s="13">
        <f>VLOOKUP($B275,'[3]חשבונות חברה 40'!$A:$I,7,0)</f>
        <v>21152</v>
      </c>
      <c r="M275" s="13">
        <f>VLOOKUP($B275,'[3]חשבונות חברה 40'!$A:$I,5,0)</f>
        <v>2115</v>
      </c>
      <c r="N275" s="4" t="str">
        <f>IF(VLOOKUP($B275,'[3]חשבונות חברה 40'!$A:$J,10,0)=0,"",VLOOKUP($B275,'[3]חשבונות חברה 40'!$A:$J,10,0))</f>
        <v/>
      </c>
      <c r="P275" s="218">
        <f t="shared" si="18"/>
        <v>492.36</v>
      </c>
      <c r="Q275" s="122">
        <f t="shared" si="16"/>
        <v>2.8115198995719349E-3</v>
      </c>
      <c r="R275" s="1">
        <f ca="1">'הנחות עבודה לררל ומדרג'!$F$7*Q275</f>
        <v>776662.87331720314</v>
      </c>
      <c r="S275" s="79">
        <f t="shared" ca="1" si="17"/>
        <v>18942.996910175687</v>
      </c>
      <c r="T275" s="79">
        <f ca="1">'ררל ומדרג'!$AH$1</f>
        <v>48975.779132102936</v>
      </c>
      <c r="U275" s="79">
        <f t="shared" ca="1" si="19"/>
        <v>67918.776042278623</v>
      </c>
    </row>
    <row r="276" spans="1:21">
      <c r="A276">
        <v>276</v>
      </c>
      <c r="B276">
        <v>8921182</v>
      </c>
      <c r="C276" t="s">
        <v>3727</v>
      </c>
      <c r="D276">
        <v>622022</v>
      </c>
      <c r="E276" t="s">
        <v>3939</v>
      </c>
      <c r="F276" t="s">
        <v>3940</v>
      </c>
      <c r="G276" s="217">
        <v>4475.3999999999996</v>
      </c>
      <c r="H276" t="s">
        <v>3941</v>
      </c>
      <c r="I276">
        <v>16.739999999999998</v>
      </c>
      <c r="J276">
        <v>448.88</v>
      </c>
      <c r="K276">
        <v>100</v>
      </c>
      <c r="L276" s="13">
        <f>VLOOKUP($B276,'[3]חשבונות חברה 40'!$A:$I,7,0)</f>
        <v>21182</v>
      </c>
      <c r="M276" s="13">
        <f>VLOOKUP($B276,'[3]חשבונות חברה 40'!$A:$I,5,0)</f>
        <v>2118</v>
      </c>
      <c r="N276" s="4" t="str">
        <f>IF(VLOOKUP($B276,'[3]חשבונות חברה 40'!$A:$J,10,0)=0,"",VLOOKUP($B276,'[3]חשבונות חברה 40'!$A:$J,10,0))</f>
        <v/>
      </c>
      <c r="P276" s="218">
        <f t="shared" si="18"/>
        <v>464.88</v>
      </c>
      <c r="Q276" s="122">
        <f t="shared" si="16"/>
        <v>2.6546010458059163E-3</v>
      </c>
      <c r="R276" s="1">
        <f ca="1">'הנחות עבודה לררל ומדרג'!$F$7*Q276</f>
        <v>733315.1282551412</v>
      </c>
      <c r="S276" s="79">
        <f t="shared" ca="1" si="17"/>
        <v>17885.73483549125</v>
      </c>
      <c r="T276" s="79">
        <f ca="1">'ררל ומדרג'!$AH$1</f>
        <v>48975.779132102936</v>
      </c>
      <c r="U276" s="79">
        <f t="shared" ca="1" si="19"/>
        <v>66861.51396759419</v>
      </c>
    </row>
    <row r="277" spans="1:21">
      <c r="A277">
        <v>277</v>
      </c>
      <c r="B277">
        <v>8921191</v>
      </c>
      <c r="C277" t="s">
        <v>3729</v>
      </c>
      <c r="D277">
        <v>622022</v>
      </c>
      <c r="E277" t="s">
        <v>3939</v>
      </c>
      <c r="F277" t="s">
        <v>3940</v>
      </c>
      <c r="G277" s="217">
        <v>5650.28</v>
      </c>
      <c r="H277" t="s">
        <v>3941</v>
      </c>
      <c r="I277">
        <v>26.56</v>
      </c>
      <c r="J277">
        <v>566.72</v>
      </c>
      <c r="K277">
        <v>100</v>
      </c>
      <c r="L277" s="13">
        <f>VLOOKUP($B277,'[3]חשבונות חברה 40'!$A:$I,7,0)</f>
        <v>21191</v>
      </c>
      <c r="M277" s="13">
        <f>VLOOKUP($B277,'[3]חשבונות חברה 40'!$A:$I,5,0)</f>
        <v>2119</v>
      </c>
      <c r="N277" s="4" t="str">
        <f>IF(VLOOKUP($B277,'[3]חשבונות חברה 40'!$A:$J,10,0)=0,"",VLOOKUP($B277,'[3]חשבונות חברה 40'!$A:$J,10,0))</f>
        <v/>
      </c>
      <c r="P277" s="218">
        <f t="shared" si="18"/>
        <v>582.72</v>
      </c>
      <c r="Q277" s="122">
        <f t="shared" si="16"/>
        <v>3.3275019820427289E-3</v>
      </c>
      <c r="R277" s="1">
        <f ca="1">'הנחות עבודה לררל ומדרג'!$F$7*Q277</f>
        <v>919199.34507149365</v>
      </c>
      <c r="S277" s="79">
        <f t="shared" ca="1" si="17"/>
        <v>22419.496221255944</v>
      </c>
      <c r="T277" s="79">
        <f ca="1">'ררל ומדרג'!$AH$1</f>
        <v>48975.779132102936</v>
      </c>
      <c r="U277" s="79">
        <f t="shared" ca="1" si="19"/>
        <v>71395.275353358884</v>
      </c>
    </row>
    <row r="278" spans="1:21">
      <c r="A278">
        <v>278</v>
      </c>
      <c r="B278">
        <v>8921192</v>
      </c>
      <c r="C278" t="s">
        <v>3730</v>
      </c>
      <c r="D278">
        <v>622022</v>
      </c>
      <c r="E278" t="s">
        <v>3939</v>
      </c>
      <c r="F278" t="s">
        <v>3940</v>
      </c>
      <c r="G278" s="217">
        <v>4986.2700000000004</v>
      </c>
      <c r="H278" t="s">
        <v>3941</v>
      </c>
      <c r="I278">
        <v>21.01</v>
      </c>
      <c r="J278">
        <v>500.12</v>
      </c>
      <c r="K278">
        <v>100</v>
      </c>
      <c r="L278" s="13">
        <f>VLOOKUP($B278,'[3]חשבונות חברה 40'!$A:$I,7,0)</f>
        <v>21192</v>
      </c>
      <c r="M278" s="13">
        <f>VLOOKUP($B278,'[3]חשבונות חברה 40'!$A:$I,5,0)</f>
        <v>2119</v>
      </c>
      <c r="N278" s="4" t="str">
        <f>IF(VLOOKUP($B278,'[3]חשבונות חברה 40'!$A:$J,10,0)=0,"",VLOOKUP($B278,'[3]חשבונות חברה 40'!$A:$J,10,0))</f>
        <v/>
      </c>
      <c r="P278" s="218">
        <f t="shared" si="18"/>
        <v>516.12</v>
      </c>
      <c r="Q278" s="122">
        <f t="shared" si="16"/>
        <v>2.9471964630901513E-3</v>
      </c>
      <c r="R278" s="1">
        <f ca="1">'הנחות עבודה לררל ומדרג'!$F$7*Q278</f>
        <v>814142.58302151843</v>
      </c>
      <c r="S278" s="79">
        <f t="shared" ca="1" si="17"/>
        <v>19857.136171256549</v>
      </c>
      <c r="T278" s="79">
        <f ca="1">'ררל ומדרג'!$AH$1</f>
        <v>48975.779132102936</v>
      </c>
      <c r="U278" s="79">
        <f t="shared" ca="1" si="19"/>
        <v>68832.915303359478</v>
      </c>
    </row>
    <row r="279" spans="1:21">
      <c r="A279">
        <v>279</v>
      </c>
      <c r="B279">
        <v>8921211</v>
      </c>
      <c r="C279" t="s">
        <v>3080</v>
      </c>
      <c r="D279">
        <v>622022</v>
      </c>
      <c r="E279" t="s">
        <v>3939</v>
      </c>
      <c r="F279" t="s">
        <v>3940</v>
      </c>
      <c r="G279" s="217">
        <v>3190.45</v>
      </c>
      <c r="H279" t="s">
        <v>3941</v>
      </c>
      <c r="I279">
        <v>6</v>
      </c>
      <c r="J279">
        <v>320</v>
      </c>
      <c r="K279">
        <v>100</v>
      </c>
      <c r="L279" s="13">
        <f>VLOOKUP($B279,'[3]חשבונות חברה 40'!$A:$I,7,0)</f>
        <v>21211</v>
      </c>
      <c r="M279" s="13">
        <f>VLOOKUP($B279,'[3]חשבונות חברה 40'!$A:$I,5,0)</f>
        <v>2121</v>
      </c>
      <c r="N279" s="4" t="str">
        <f>IF(VLOOKUP($B279,'[3]חשבונות חברה 40'!$A:$J,10,0)=0,"",VLOOKUP($B279,'[3]חשבונות חברה 40'!$A:$J,10,0))</f>
        <v/>
      </c>
      <c r="P279" s="218">
        <f t="shared" si="18"/>
        <v>336</v>
      </c>
      <c r="Q279" s="122">
        <f t="shared" si="16"/>
        <v>1.9186584739949834E-3</v>
      </c>
      <c r="R279" s="1">
        <f ca="1">'הנחות עבודה לררל ומדרג'!$F$7*Q279</f>
        <v>530016.09682870307</v>
      </c>
      <c r="S279" s="79">
        <f t="shared" ca="1" si="17"/>
        <v>12927.221873870807</v>
      </c>
      <c r="T279" s="79">
        <f ca="1">'ררל ומדרג'!$AH$1</f>
        <v>48975.779132102936</v>
      </c>
      <c r="U279" s="79">
        <f t="shared" ca="1" si="19"/>
        <v>61903.00100597374</v>
      </c>
    </row>
    <row r="280" spans="1:21">
      <c r="A280">
        <v>280</v>
      </c>
      <c r="B280">
        <v>8921212</v>
      </c>
      <c r="C280" t="s">
        <v>3087</v>
      </c>
      <c r="D280">
        <v>622022</v>
      </c>
      <c r="E280" t="s">
        <v>3939</v>
      </c>
      <c r="F280" t="s">
        <v>3940</v>
      </c>
      <c r="G280" s="217">
        <v>3190.45</v>
      </c>
      <c r="H280" t="s">
        <v>3941</v>
      </c>
      <c r="I280">
        <v>6</v>
      </c>
      <c r="J280">
        <v>320</v>
      </c>
      <c r="K280">
        <v>100</v>
      </c>
      <c r="L280" s="13">
        <f>VLOOKUP($B280,'[3]חשבונות חברה 40'!$A:$I,7,0)</f>
        <v>21212</v>
      </c>
      <c r="M280" s="13">
        <f>VLOOKUP($B280,'[3]חשבונות חברה 40'!$A:$I,5,0)</f>
        <v>2121</v>
      </c>
      <c r="N280" s="4" t="str">
        <f>IF(VLOOKUP($B280,'[3]חשבונות חברה 40'!$A:$J,10,0)=0,"",VLOOKUP($B280,'[3]חשבונות חברה 40'!$A:$J,10,0))</f>
        <v/>
      </c>
      <c r="P280" s="218">
        <f t="shared" si="18"/>
        <v>336</v>
      </c>
      <c r="Q280" s="122">
        <f t="shared" si="16"/>
        <v>1.9186584739949834E-3</v>
      </c>
      <c r="R280" s="1">
        <f ca="1">'הנחות עבודה לררל ומדרג'!$F$7*Q280</f>
        <v>530016.09682870307</v>
      </c>
      <c r="S280" s="79">
        <f t="shared" ca="1" si="17"/>
        <v>12927.221873870807</v>
      </c>
      <c r="T280" s="79">
        <f ca="1">'ררל ומדרג'!$AH$1</f>
        <v>48975.779132102936</v>
      </c>
      <c r="U280" s="79">
        <f t="shared" ca="1" si="19"/>
        <v>61903.00100597374</v>
      </c>
    </row>
    <row r="281" spans="1:21">
      <c r="A281">
        <v>281</v>
      </c>
      <c r="B281">
        <v>8921221</v>
      </c>
      <c r="C281" t="s">
        <v>3100</v>
      </c>
      <c r="D281">
        <v>622022</v>
      </c>
      <c r="E281" t="s">
        <v>3939</v>
      </c>
      <c r="F281" t="s">
        <v>3940</v>
      </c>
      <c r="G281" s="217">
        <v>4043.49</v>
      </c>
      <c r="H281" t="s">
        <v>3941</v>
      </c>
      <c r="I281">
        <v>13.13</v>
      </c>
      <c r="J281">
        <v>405.56</v>
      </c>
      <c r="K281">
        <v>100</v>
      </c>
      <c r="L281" s="13">
        <f>VLOOKUP($B281,'[3]חשבונות חברה 40'!$A:$I,7,0)</f>
        <v>21221</v>
      </c>
      <c r="M281" s="13">
        <f>VLOOKUP($B281,'[3]חשבונות חברה 40'!$A:$I,5,0)</f>
        <v>2122</v>
      </c>
      <c r="N281" s="4" t="str">
        <f>IF(VLOOKUP($B281,'[3]חשבונות חברה 40'!$A:$J,10,0)=0,"",VLOOKUP($B281,'[3]חשבונות חברה 40'!$A:$J,10,0))</f>
        <v/>
      </c>
      <c r="P281" s="218">
        <f t="shared" si="18"/>
        <v>421.56</v>
      </c>
      <c r="Q281" s="122">
        <f t="shared" si="16"/>
        <v>2.4072311496944202E-3</v>
      </c>
      <c r="R281" s="1">
        <f ca="1">'הנחות עבודה לררל ומדרג'!$F$7*Q281</f>
        <v>664980.91005686915</v>
      </c>
      <c r="S281" s="79">
        <f t="shared" ca="1" si="17"/>
        <v>16219.046586752906</v>
      </c>
      <c r="T281" s="79">
        <f ca="1">'ררל ומדרג'!$AH$1</f>
        <v>48975.779132102936</v>
      </c>
      <c r="U281" s="79">
        <f t="shared" ca="1" si="19"/>
        <v>65194.825718855842</v>
      </c>
    </row>
    <row r="282" spans="1:21">
      <c r="A282">
        <v>282</v>
      </c>
      <c r="B282">
        <v>8921222</v>
      </c>
      <c r="C282" t="s">
        <v>3107</v>
      </c>
      <c r="D282">
        <v>622022</v>
      </c>
      <c r="E282" t="s">
        <v>3939</v>
      </c>
      <c r="F282" t="s">
        <v>3940</v>
      </c>
      <c r="G282" s="217">
        <v>4043.49</v>
      </c>
      <c r="H282" t="s">
        <v>3941</v>
      </c>
      <c r="I282">
        <v>13.13</v>
      </c>
      <c r="J282">
        <v>405.56</v>
      </c>
      <c r="K282">
        <v>100</v>
      </c>
      <c r="L282" s="13">
        <f>VLOOKUP($B282,'[3]חשבונות חברה 40'!$A:$I,7,0)</f>
        <v>21222</v>
      </c>
      <c r="M282" s="13">
        <f>VLOOKUP($B282,'[3]חשבונות חברה 40'!$A:$I,5,0)</f>
        <v>2122</v>
      </c>
      <c r="N282" s="4" t="str">
        <f>IF(VLOOKUP($B282,'[3]חשבונות חברה 40'!$A:$J,10,0)=0,"",VLOOKUP($B282,'[3]חשבונות חברה 40'!$A:$J,10,0))</f>
        <v/>
      </c>
      <c r="P282" s="218">
        <f t="shared" si="18"/>
        <v>421.56</v>
      </c>
      <c r="Q282" s="122">
        <f t="shared" si="16"/>
        <v>2.4072311496944202E-3</v>
      </c>
      <c r="R282" s="1">
        <f ca="1">'הנחות עבודה לררל ומדרג'!$F$7*Q282</f>
        <v>664980.91005686915</v>
      </c>
      <c r="S282" s="79">
        <f t="shared" ca="1" si="17"/>
        <v>16219.046586752906</v>
      </c>
      <c r="T282" s="79">
        <f ca="1">'ררל ומדרג'!$AH$1</f>
        <v>48975.779132102936</v>
      </c>
      <c r="U282" s="79">
        <f t="shared" ca="1" si="19"/>
        <v>65194.825718855842</v>
      </c>
    </row>
    <row r="283" spans="1:21">
      <c r="A283">
        <v>283</v>
      </c>
      <c r="B283">
        <v>8921232</v>
      </c>
      <c r="C283" t="s">
        <v>3731</v>
      </c>
      <c r="D283">
        <v>622022</v>
      </c>
      <c r="E283" t="s">
        <v>3939</v>
      </c>
      <c r="F283" t="s">
        <v>3940</v>
      </c>
      <c r="G283" s="217">
        <v>6293.95</v>
      </c>
      <c r="H283" t="s">
        <v>3941</v>
      </c>
      <c r="I283">
        <v>31.94</v>
      </c>
      <c r="J283">
        <v>631.28</v>
      </c>
      <c r="K283">
        <v>100</v>
      </c>
      <c r="L283" s="13">
        <f>VLOOKUP($B283,'[3]חשבונות חברה 40'!$A:$I,7,0)</f>
        <v>21232</v>
      </c>
      <c r="M283" s="13">
        <f>VLOOKUP($B283,'[3]חשבונות חברה 40'!$A:$I,5,0)</f>
        <v>2123</v>
      </c>
      <c r="N283" s="4" t="str">
        <f>IF(VLOOKUP($B283,'[3]חשבונות חברה 40'!$A:$J,10,0)=0,"",VLOOKUP($B283,'[3]חשבונות חברה 40'!$A:$J,10,0))</f>
        <v/>
      </c>
      <c r="P283" s="218">
        <f t="shared" si="18"/>
        <v>647.28</v>
      </c>
      <c r="Q283" s="122">
        <f t="shared" si="16"/>
        <v>3.6961585031174788E-3</v>
      </c>
      <c r="R283" s="1">
        <f ca="1">'הנחות עבודה לררל ומדרג'!$F$7*Q283</f>
        <v>1021038.1522478658</v>
      </c>
      <c r="S283" s="79">
        <f t="shared" ca="1" si="17"/>
        <v>24903.369567021116</v>
      </c>
      <c r="T283" s="79">
        <f ca="1">'ררל ומדרג'!$AH$1</f>
        <v>48975.779132102936</v>
      </c>
      <c r="U283" s="79">
        <f t="shared" ca="1" si="19"/>
        <v>73879.148699124053</v>
      </c>
    </row>
    <row r="284" spans="1:21">
      <c r="A284">
        <v>284</v>
      </c>
      <c r="B284">
        <v>8922011</v>
      </c>
      <c r="C284" t="s">
        <v>3732</v>
      </c>
      <c r="D284">
        <v>622022</v>
      </c>
      <c r="E284" t="s">
        <v>3939</v>
      </c>
      <c r="F284" t="s">
        <v>3940</v>
      </c>
      <c r="G284" s="217">
        <v>5077.2</v>
      </c>
      <c r="H284" t="s">
        <v>3941</v>
      </c>
      <c r="I284">
        <v>21.77</v>
      </c>
      <c r="J284">
        <v>509.24</v>
      </c>
      <c r="K284">
        <v>100</v>
      </c>
      <c r="L284" s="13">
        <f>VLOOKUP($B284,'[3]חשבונות חברה 40'!$A:$I,7,0)</f>
        <v>22011</v>
      </c>
      <c r="M284" s="13">
        <f>VLOOKUP($B284,'[3]חשבונות חברה 40'!$A:$I,5,0)</f>
        <v>2201</v>
      </c>
      <c r="N284" s="4" t="str">
        <f>IF(VLOOKUP($B284,'[3]חשבונות חברה 40'!$A:$J,10,0)=0,"",VLOOKUP($B284,'[3]חשבונות חברה 40'!$A:$J,10,0))</f>
        <v/>
      </c>
      <c r="P284" s="218">
        <f t="shared" si="18"/>
        <v>525.24</v>
      </c>
      <c r="Q284" s="122">
        <f t="shared" si="16"/>
        <v>2.9992743359557295E-3</v>
      </c>
      <c r="R284" s="1">
        <f ca="1">'הנחות עבודה לררל ומדרג'!$F$7*Q284</f>
        <v>828528.73422115471</v>
      </c>
      <c r="S284" s="79">
        <f t="shared" ca="1" si="17"/>
        <v>20208.01790783304</v>
      </c>
      <c r="T284" s="79">
        <f ca="1">'ררל ומדרג'!$AH$1</f>
        <v>48975.779132102936</v>
      </c>
      <c r="U284" s="79">
        <f t="shared" ca="1" si="19"/>
        <v>69183.797039935976</v>
      </c>
    </row>
    <row r="285" spans="1:21">
      <c r="A285">
        <v>285</v>
      </c>
      <c r="B285">
        <v>8922012</v>
      </c>
      <c r="C285" t="s">
        <v>3733</v>
      </c>
      <c r="D285">
        <v>622022</v>
      </c>
      <c r="E285" t="s">
        <v>3939</v>
      </c>
      <c r="F285" t="s">
        <v>3940</v>
      </c>
      <c r="G285" s="217">
        <v>5077.2</v>
      </c>
      <c r="H285" t="s">
        <v>3941</v>
      </c>
      <c r="I285">
        <v>21.77</v>
      </c>
      <c r="J285">
        <v>509.24</v>
      </c>
      <c r="K285">
        <v>100</v>
      </c>
      <c r="L285" s="13">
        <f>VLOOKUP($B285,'[3]חשבונות חברה 40'!$A:$I,7,0)</f>
        <v>22012</v>
      </c>
      <c r="M285" s="13">
        <f>VLOOKUP($B285,'[3]חשבונות חברה 40'!$A:$I,5,0)</f>
        <v>2201</v>
      </c>
      <c r="N285" s="4" t="str">
        <f>IF(VLOOKUP($B285,'[3]חשבונות חברה 40'!$A:$J,10,0)=0,"",VLOOKUP($B285,'[3]חשבונות חברה 40'!$A:$J,10,0))</f>
        <v/>
      </c>
      <c r="P285" s="218">
        <f t="shared" si="18"/>
        <v>525.24</v>
      </c>
      <c r="Q285" s="122">
        <f t="shared" si="16"/>
        <v>2.9992743359557295E-3</v>
      </c>
      <c r="R285" s="1">
        <f ca="1">'הנחות עבודה לררל ומדרג'!$F$7*Q285</f>
        <v>828528.73422115471</v>
      </c>
      <c r="S285" s="79">
        <f t="shared" ca="1" si="17"/>
        <v>20208.01790783304</v>
      </c>
      <c r="T285" s="79">
        <f ca="1">'ררל ומדרג'!$AH$1</f>
        <v>48975.779132102936</v>
      </c>
      <c r="U285" s="79">
        <f t="shared" ca="1" si="19"/>
        <v>69183.797039935976</v>
      </c>
    </row>
    <row r="286" spans="1:21">
      <c r="A286">
        <v>286</v>
      </c>
      <c r="B286">
        <v>8922031</v>
      </c>
      <c r="C286" t="s">
        <v>3734</v>
      </c>
      <c r="D286">
        <v>622022</v>
      </c>
      <c r="E286" t="s">
        <v>3939</v>
      </c>
      <c r="F286" t="s">
        <v>3940</v>
      </c>
      <c r="G286" s="217">
        <v>2874.59</v>
      </c>
      <c r="H286" t="s">
        <v>3941</v>
      </c>
      <c r="I286">
        <v>3.36</v>
      </c>
      <c r="J286">
        <v>288.32</v>
      </c>
      <c r="K286">
        <v>100</v>
      </c>
      <c r="L286" s="13">
        <f>VLOOKUP($B286,'[3]חשבונות חברה 40'!$A:$I,7,0)</f>
        <v>22031</v>
      </c>
      <c r="M286" s="13">
        <f>VLOOKUP($B286,'[3]חשבונות חברה 40'!$A:$I,5,0)</f>
        <v>2203</v>
      </c>
      <c r="N286" s="4" t="str">
        <f>IF(VLOOKUP($B286,'[3]חשבונות חברה 40'!$A:$J,10,0)=0,"",VLOOKUP($B286,'[3]חשבונות חברה 40'!$A:$J,10,0))</f>
        <v/>
      </c>
      <c r="P286" s="218">
        <f t="shared" si="18"/>
        <v>304.32</v>
      </c>
      <c r="Q286" s="122">
        <f t="shared" si="16"/>
        <v>1.7377563893040278E-3</v>
      </c>
      <c r="R286" s="1">
        <f ca="1">'הנחות עבודה לררל ומדרג'!$F$7*Q286</f>
        <v>480043.15055628243</v>
      </c>
      <c r="S286" s="79">
        <f t="shared" ca="1" si="17"/>
        <v>11708.369525762986</v>
      </c>
      <c r="T286" s="79">
        <f ca="1">'ררל ומדרג'!$AH$1</f>
        <v>48975.779132102936</v>
      </c>
      <c r="U286" s="79">
        <f t="shared" ca="1" si="19"/>
        <v>60684.148657865924</v>
      </c>
    </row>
    <row r="287" spans="1:21">
      <c r="A287">
        <v>287</v>
      </c>
      <c r="B287">
        <v>8922032</v>
      </c>
      <c r="C287" t="s">
        <v>3736</v>
      </c>
      <c r="D287">
        <v>622022</v>
      </c>
      <c r="E287" t="s">
        <v>3939</v>
      </c>
      <c r="F287" t="s">
        <v>3940</v>
      </c>
      <c r="G287" s="217">
        <v>2874.59</v>
      </c>
      <c r="H287" t="s">
        <v>3941</v>
      </c>
      <c r="I287">
        <v>3.36</v>
      </c>
      <c r="J287">
        <v>288.32</v>
      </c>
      <c r="K287">
        <v>100</v>
      </c>
      <c r="L287" s="13">
        <f>VLOOKUP($B287,'[3]חשבונות חברה 40'!$A:$I,7,0)</f>
        <v>22032</v>
      </c>
      <c r="M287" s="13">
        <f>VLOOKUP($B287,'[3]חשבונות חברה 40'!$A:$I,5,0)</f>
        <v>2203</v>
      </c>
      <c r="N287" s="4" t="str">
        <f>IF(VLOOKUP($B287,'[3]חשבונות חברה 40'!$A:$J,10,0)=0,"",VLOOKUP($B287,'[3]חשבונות חברה 40'!$A:$J,10,0))</f>
        <v/>
      </c>
      <c r="P287" s="218">
        <f t="shared" si="18"/>
        <v>304.32</v>
      </c>
      <c r="Q287" s="122">
        <f>P287/$P$288</f>
        <v>1.7377563893040278E-3</v>
      </c>
      <c r="R287" s="1">
        <f ca="1">'הנחות עבודה לררל ומדרג'!$F$7*Q287</f>
        <v>480043.15055628243</v>
      </c>
      <c r="S287" s="79">
        <f t="shared" ca="1" si="17"/>
        <v>11708.369525762986</v>
      </c>
      <c r="T287" s="79">
        <f ca="1">'ררל ומדרג'!$AH$1</f>
        <v>48975.779132102936</v>
      </c>
      <c r="U287" s="79">
        <f t="shared" ca="1" si="19"/>
        <v>60684.148657865924</v>
      </c>
    </row>
    <row r="288" spans="1:21">
      <c r="G288" s="217"/>
      <c r="I288" s="91">
        <f>SUM(I2:I287)</f>
        <v>8376.1599999999962</v>
      </c>
      <c r="J288" s="91">
        <f>SUM(J2:J287)</f>
        <v>171441.9199999999</v>
      </c>
      <c r="K288" s="91"/>
      <c r="L288" s="219"/>
      <c r="M288" s="219"/>
      <c r="N288" s="91"/>
      <c r="O288" s="91"/>
      <c r="P288" s="91">
        <f>SUM(P2:P287)</f>
        <v>175122.35999999993</v>
      </c>
      <c r="Q288" s="220">
        <f>SUM(Q2:Q287)</f>
        <v>0.99999999999999944</v>
      </c>
    </row>
  </sheetData>
  <autoFilter ref="A1:N411" xr:uid="{188A9915-D9AE-4C3D-89F9-B9E84689EBA3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AAD3-34A5-4446-A49E-950D6DC8C4AB}">
  <dimension ref="A1:AI149"/>
  <sheetViews>
    <sheetView rightToLeft="1" topLeftCell="I100" zoomScaleNormal="100" workbookViewId="0">
      <selection activeCell="AG126" sqref="O126:AG126"/>
    </sheetView>
  </sheetViews>
  <sheetFormatPr defaultRowHeight="14.4"/>
  <cols>
    <col min="2" max="2" width="11" bestFit="1" customWidth="1"/>
    <col min="3" max="3" width="15.33203125" customWidth="1"/>
    <col min="4" max="5" width="0" hidden="1" customWidth="1"/>
    <col min="6" max="6" width="4.109375" hidden="1" customWidth="1"/>
    <col min="7" max="8" width="0" hidden="1" customWidth="1"/>
    <col min="10" max="10" width="10.33203125" bestFit="1" customWidth="1"/>
    <col min="12" max="13" width="0" hidden="1" customWidth="1"/>
    <col min="14" max="14" width="10.88671875" bestFit="1" customWidth="1"/>
    <col min="15" max="26" width="10.5546875" bestFit="1" customWidth="1"/>
    <col min="27" max="34" width="11.44140625" customWidth="1"/>
  </cols>
  <sheetData>
    <row r="1" spans="1:35"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>
        <v>10</v>
      </c>
      <c r="Y1">
        <v>11</v>
      </c>
      <c r="Z1">
        <v>12</v>
      </c>
      <c r="AA1">
        <v>13</v>
      </c>
      <c r="AB1">
        <v>14</v>
      </c>
      <c r="AC1">
        <v>15</v>
      </c>
      <c r="AD1">
        <v>16</v>
      </c>
      <c r="AE1">
        <v>17</v>
      </c>
      <c r="AF1">
        <v>18</v>
      </c>
      <c r="AG1">
        <v>19</v>
      </c>
      <c r="AH1">
        <v>20</v>
      </c>
    </row>
    <row r="2" spans="1:35">
      <c r="A2" t="s">
        <v>3932</v>
      </c>
      <c r="B2" t="s">
        <v>3267</v>
      </c>
      <c r="C2" t="s">
        <v>3298</v>
      </c>
      <c r="D2" t="s">
        <v>3933</v>
      </c>
      <c r="E2" t="s">
        <v>3298</v>
      </c>
      <c r="F2" t="s">
        <v>3934</v>
      </c>
      <c r="G2" t="s">
        <v>35</v>
      </c>
      <c r="H2" t="s">
        <v>3935</v>
      </c>
      <c r="I2" t="s">
        <v>3936</v>
      </c>
      <c r="J2" t="s">
        <v>3930</v>
      </c>
      <c r="K2" t="s">
        <v>3937</v>
      </c>
      <c r="L2" s="13" t="s">
        <v>36</v>
      </c>
      <c r="M2" s="13" t="s">
        <v>43</v>
      </c>
      <c r="N2" s="4" t="s">
        <v>3938</v>
      </c>
      <c r="O2" s="4">
        <v>46387</v>
      </c>
      <c r="P2" s="4">
        <v>46752</v>
      </c>
      <c r="Q2" s="4">
        <v>47118</v>
      </c>
      <c r="R2" s="4">
        <v>47483</v>
      </c>
      <c r="S2" s="4">
        <v>47848</v>
      </c>
      <c r="T2" s="4">
        <v>48213</v>
      </c>
      <c r="U2" s="4">
        <v>48579</v>
      </c>
      <c r="V2" s="4">
        <v>48944</v>
      </c>
      <c r="W2" s="4">
        <v>49309</v>
      </c>
      <c r="X2" s="4">
        <v>49674</v>
      </c>
      <c r="Y2" s="4">
        <v>50040</v>
      </c>
      <c r="Z2" s="4">
        <v>50405</v>
      </c>
      <c r="AA2" s="4">
        <v>50770</v>
      </c>
      <c r="AB2" s="4">
        <v>51135</v>
      </c>
      <c r="AC2" s="4">
        <v>51501</v>
      </c>
      <c r="AD2" s="4">
        <v>51866</v>
      </c>
      <c r="AE2" s="4">
        <v>52231</v>
      </c>
      <c r="AF2" s="4">
        <v>52596</v>
      </c>
      <c r="AG2" s="4">
        <v>52962</v>
      </c>
      <c r="AH2" s="4">
        <v>53327</v>
      </c>
      <c r="AI2" s="4"/>
    </row>
    <row r="3" spans="1:35">
      <c r="A3">
        <v>288</v>
      </c>
      <c r="B3">
        <v>898020</v>
      </c>
      <c r="C3" t="s">
        <v>3942</v>
      </c>
      <c r="D3">
        <v>622022</v>
      </c>
      <c r="E3" t="s">
        <v>3939</v>
      </c>
      <c r="F3" t="s">
        <v>3940</v>
      </c>
      <c r="G3" s="217">
        <v>7359.96</v>
      </c>
      <c r="H3" t="s">
        <v>3941</v>
      </c>
      <c r="I3">
        <v>40.85</v>
      </c>
      <c r="J3">
        <v>738.2</v>
      </c>
      <c r="K3">
        <v>100</v>
      </c>
      <c r="L3" s="13">
        <f>VLOOKUP($B3,'[3]חשבונות חברה 40'!$A:$I,7,0)</f>
        <v>0</v>
      </c>
      <c r="M3" s="13">
        <f>VLOOKUP($B3,'[3]חשבונות חברה 40'!$A:$I,5,0)</f>
        <v>0</v>
      </c>
      <c r="N3" s="4">
        <f>IF(VLOOKUP($B3,'[3]חשבונות חברה 40'!$A:$J,10,0)=0,"",VLOOKUP($B3,'[3]חשבונות חברה 40'!$A:$J,10,0))</f>
        <v>44546</v>
      </c>
      <c r="O3">
        <f t="shared" ref="O3:AH3" si="0">IF((O$2-$N3)/365&lt;10,1,IF((O$2-$N3)/365&gt;20,0,1-(ROUNDDOWN(((O$2-$N3)/365),0)-10)/10))*$J3</f>
        <v>738.2</v>
      </c>
      <c r="P3">
        <f t="shared" si="0"/>
        <v>738.2</v>
      </c>
      <c r="Q3">
        <f t="shared" si="0"/>
        <v>738.2</v>
      </c>
      <c r="R3">
        <f t="shared" si="0"/>
        <v>738.2</v>
      </c>
      <c r="S3">
        <f t="shared" si="0"/>
        <v>738.2</v>
      </c>
      <c r="T3">
        <f t="shared" si="0"/>
        <v>738.2</v>
      </c>
      <c r="U3">
        <f t="shared" si="0"/>
        <v>664.38000000000011</v>
      </c>
      <c r="V3">
        <f t="shared" si="0"/>
        <v>590.56000000000006</v>
      </c>
      <c r="W3">
        <f t="shared" si="0"/>
        <v>516.74</v>
      </c>
      <c r="X3">
        <f t="shared" si="0"/>
        <v>442.92</v>
      </c>
      <c r="Y3">
        <f t="shared" si="0"/>
        <v>369.1</v>
      </c>
      <c r="Z3">
        <f t="shared" si="0"/>
        <v>295.28000000000003</v>
      </c>
      <c r="AA3">
        <f t="shared" si="0"/>
        <v>221.46000000000004</v>
      </c>
      <c r="AB3">
        <f t="shared" si="0"/>
        <v>147.63999999999999</v>
      </c>
      <c r="AC3">
        <f t="shared" si="0"/>
        <v>73.819999999999993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</row>
    <row r="4" spans="1:35">
      <c r="A4">
        <v>289</v>
      </c>
      <c r="B4">
        <v>898210</v>
      </c>
      <c r="C4" t="s">
        <v>3943</v>
      </c>
      <c r="D4">
        <v>622022</v>
      </c>
      <c r="E4" t="s">
        <v>3939</v>
      </c>
      <c r="F4" t="s">
        <v>3940</v>
      </c>
      <c r="G4" s="217">
        <v>8215.4</v>
      </c>
      <c r="H4" t="s">
        <v>3941</v>
      </c>
      <c r="I4">
        <v>48</v>
      </c>
      <c r="J4">
        <v>824</v>
      </c>
      <c r="K4">
        <v>100</v>
      </c>
      <c r="L4" s="13">
        <f>VLOOKUP($B4,'[3]חשבונות חברה 40'!$A:$I,7,0)</f>
        <v>0</v>
      </c>
      <c r="M4" s="13">
        <f>VLOOKUP($B4,'[3]חשבונות חברה 40'!$A:$I,5,0)</f>
        <v>0</v>
      </c>
      <c r="N4" s="4">
        <f>IF(VLOOKUP($B4,'[3]חשבונות חברה 40'!$A:$J,10,0)=0,"",VLOOKUP($B4,'[3]חשבונות חברה 40'!$A:$J,10,0))</f>
        <v>44540</v>
      </c>
      <c r="O4">
        <f t="shared" ref="O4:AD32" si="1">IF((O$2-$N4)/365&lt;10,1,IF((O$2-$N4)/365&gt;20,0,1-(ROUNDDOWN(((O$2-$N4)/365),0)-10)/10))*$J4</f>
        <v>824</v>
      </c>
      <c r="P4">
        <f t="shared" ref="P4:Y15" si="2">IF((P$2-$N4)/365&lt;10,1,IF((P$2-$N4)/365&gt;20,0,1-(ROUNDDOWN(((P$2-$N4)/365),0)-10)/10))*$J4</f>
        <v>824</v>
      </c>
      <c r="Q4">
        <f t="shared" si="2"/>
        <v>824</v>
      </c>
      <c r="R4">
        <f t="shared" si="2"/>
        <v>824</v>
      </c>
      <c r="S4">
        <f t="shared" si="2"/>
        <v>824</v>
      </c>
      <c r="T4">
        <f t="shared" si="2"/>
        <v>824</v>
      </c>
      <c r="U4">
        <f t="shared" si="2"/>
        <v>741.6</v>
      </c>
      <c r="V4">
        <f t="shared" si="2"/>
        <v>659.2</v>
      </c>
      <c r="W4">
        <f t="shared" si="2"/>
        <v>576.79999999999995</v>
      </c>
      <c r="X4">
        <f t="shared" si="2"/>
        <v>494.4</v>
      </c>
      <c r="Y4">
        <f t="shared" si="2"/>
        <v>412</v>
      </c>
      <c r="Z4">
        <f t="shared" ref="Z4:AH15" si="3">IF((Z$2-$N4)/365&lt;10,1,IF((Z$2-$N4)/365&gt;20,0,1-(ROUNDDOWN(((Z$2-$N4)/365),0)-10)/10))*$J4</f>
        <v>329.6</v>
      </c>
      <c r="AA4">
        <f t="shared" si="3"/>
        <v>247.20000000000005</v>
      </c>
      <c r="AB4">
        <f t="shared" si="3"/>
        <v>164.79999999999995</v>
      </c>
      <c r="AC4">
        <f t="shared" si="3"/>
        <v>82.399999999999977</v>
      </c>
      <c r="AD4">
        <f t="shared" si="3"/>
        <v>0</v>
      </c>
      <c r="AE4">
        <f t="shared" si="3"/>
        <v>0</v>
      </c>
      <c r="AF4">
        <f t="shared" si="3"/>
        <v>0</v>
      </c>
      <c r="AG4">
        <f t="shared" si="3"/>
        <v>0</v>
      </c>
      <c r="AH4">
        <f t="shared" si="3"/>
        <v>0</v>
      </c>
    </row>
    <row r="5" spans="1:35">
      <c r="A5">
        <v>290</v>
      </c>
      <c r="B5">
        <v>899010</v>
      </c>
      <c r="C5" t="s">
        <v>3944</v>
      </c>
      <c r="D5">
        <v>622022</v>
      </c>
      <c r="E5" t="s">
        <v>3939</v>
      </c>
      <c r="F5" t="s">
        <v>3940</v>
      </c>
      <c r="G5" s="217">
        <v>7562.15</v>
      </c>
      <c r="H5" t="s">
        <v>3941</v>
      </c>
      <c r="I5">
        <v>42.54</v>
      </c>
      <c r="J5">
        <v>758.48</v>
      </c>
      <c r="K5">
        <v>100</v>
      </c>
      <c r="L5" s="13">
        <f>VLOOKUP($B5,'[3]חשבונות חברה 40'!$A:$I,7,0)</f>
        <v>0</v>
      </c>
      <c r="M5" s="13">
        <f>VLOOKUP($B5,'[3]חשבונות חברה 40'!$A:$I,5,0)</f>
        <v>0</v>
      </c>
      <c r="N5" s="4">
        <f>IF(VLOOKUP($B5,'[3]חשבונות חברה 40'!$A:$J,10,0)=0,"",VLOOKUP($B5,'[3]חשבונות חברה 40'!$A:$J,10,0))</f>
        <v>44473</v>
      </c>
      <c r="O5">
        <f t="shared" si="1"/>
        <v>758.48</v>
      </c>
      <c r="P5">
        <f t="shared" si="2"/>
        <v>758.48</v>
      </c>
      <c r="Q5">
        <f t="shared" si="2"/>
        <v>758.48</v>
      </c>
      <c r="R5">
        <f t="shared" si="2"/>
        <v>758.48</v>
      </c>
      <c r="S5">
        <f t="shared" si="2"/>
        <v>758.48</v>
      </c>
      <c r="T5">
        <f t="shared" si="2"/>
        <v>758.48</v>
      </c>
      <c r="U5">
        <f t="shared" si="2"/>
        <v>682.63200000000006</v>
      </c>
      <c r="V5">
        <f t="shared" si="2"/>
        <v>606.78399999999999</v>
      </c>
      <c r="W5">
        <f t="shared" si="2"/>
        <v>530.93600000000004</v>
      </c>
      <c r="X5">
        <f t="shared" si="2"/>
        <v>455.08800000000002</v>
      </c>
      <c r="Y5">
        <f t="shared" si="2"/>
        <v>379.24</v>
      </c>
      <c r="Z5">
        <f t="shared" si="3"/>
        <v>303.392</v>
      </c>
      <c r="AA5">
        <f t="shared" si="3"/>
        <v>227.54400000000004</v>
      </c>
      <c r="AB5">
        <f t="shared" si="3"/>
        <v>151.69599999999997</v>
      </c>
      <c r="AC5">
        <f t="shared" si="3"/>
        <v>75.847999999999985</v>
      </c>
      <c r="AD5">
        <f t="shared" si="3"/>
        <v>0</v>
      </c>
      <c r="AE5">
        <f t="shared" si="3"/>
        <v>0</v>
      </c>
      <c r="AF5">
        <f t="shared" si="3"/>
        <v>0</v>
      </c>
      <c r="AG5">
        <f t="shared" si="3"/>
        <v>0</v>
      </c>
      <c r="AH5">
        <f t="shared" si="3"/>
        <v>0</v>
      </c>
    </row>
    <row r="6" spans="1:35">
      <c r="A6">
        <v>291</v>
      </c>
      <c r="B6">
        <v>8990100</v>
      </c>
      <c r="C6" t="s">
        <v>3945</v>
      </c>
      <c r="D6">
        <v>622022</v>
      </c>
      <c r="E6" t="s">
        <v>3939</v>
      </c>
      <c r="F6" t="s">
        <v>3940</v>
      </c>
      <c r="G6" s="217">
        <v>7537.03</v>
      </c>
      <c r="H6" t="s">
        <v>3941</v>
      </c>
      <c r="I6">
        <v>42.33</v>
      </c>
      <c r="J6">
        <v>755.96</v>
      </c>
      <c r="K6">
        <v>100</v>
      </c>
      <c r="L6" s="13">
        <f>VLOOKUP($B6,'[3]חשבונות חברה 40'!$A:$I,7,0)</f>
        <v>0</v>
      </c>
      <c r="M6" s="13">
        <f>VLOOKUP($B6,'[3]חשבונות חברה 40'!$A:$I,5,0)</f>
        <v>0</v>
      </c>
      <c r="N6" s="4">
        <f>IF(VLOOKUP($B6,'[3]חשבונות חברה 40'!$A:$J,10,0)=0,"",VLOOKUP($B6,'[3]חשבונות חברה 40'!$A:$J,10,0))</f>
        <v>44937</v>
      </c>
      <c r="O6">
        <f t="shared" si="1"/>
        <v>755.96</v>
      </c>
      <c r="P6">
        <f t="shared" si="2"/>
        <v>755.96</v>
      </c>
      <c r="Q6">
        <f t="shared" si="2"/>
        <v>755.96</v>
      </c>
      <c r="R6">
        <f t="shared" si="2"/>
        <v>755.96</v>
      </c>
      <c r="S6">
        <f t="shared" si="2"/>
        <v>755.96</v>
      </c>
      <c r="T6">
        <f t="shared" si="2"/>
        <v>755.96</v>
      </c>
      <c r="U6">
        <f t="shared" si="2"/>
        <v>755.96</v>
      </c>
      <c r="V6">
        <f t="shared" si="2"/>
        <v>755.96</v>
      </c>
      <c r="W6">
        <f t="shared" si="2"/>
        <v>680.36400000000003</v>
      </c>
      <c r="X6">
        <f t="shared" si="2"/>
        <v>604.76800000000003</v>
      </c>
      <c r="Y6">
        <f t="shared" si="2"/>
        <v>529.17200000000003</v>
      </c>
      <c r="Z6">
        <f t="shared" si="3"/>
        <v>453.57600000000002</v>
      </c>
      <c r="AA6">
        <f t="shared" si="3"/>
        <v>377.98</v>
      </c>
      <c r="AB6">
        <f t="shared" si="3"/>
        <v>302.38400000000001</v>
      </c>
      <c r="AC6">
        <f t="shared" si="3"/>
        <v>226.78800000000004</v>
      </c>
      <c r="AD6">
        <f t="shared" si="3"/>
        <v>151.19199999999998</v>
      </c>
      <c r="AE6">
        <f t="shared" si="3"/>
        <v>75.595999999999989</v>
      </c>
      <c r="AF6">
        <f t="shared" si="3"/>
        <v>0</v>
      </c>
      <c r="AG6">
        <f t="shared" si="3"/>
        <v>0</v>
      </c>
      <c r="AH6">
        <f t="shared" si="3"/>
        <v>0</v>
      </c>
    </row>
    <row r="7" spans="1:35">
      <c r="A7">
        <v>292</v>
      </c>
      <c r="B7">
        <v>89901052</v>
      </c>
      <c r="C7" t="s">
        <v>3946</v>
      </c>
      <c r="D7">
        <v>622022</v>
      </c>
      <c r="E7" t="s">
        <v>3939</v>
      </c>
      <c r="F7" t="s">
        <v>3940</v>
      </c>
      <c r="G7" s="217">
        <v>7393.46</v>
      </c>
      <c r="H7" t="s">
        <v>3941</v>
      </c>
      <c r="I7">
        <v>41.13</v>
      </c>
      <c r="J7">
        <v>741.56</v>
      </c>
      <c r="K7">
        <v>100</v>
      </c>
      <c r="L7" s="13">
        <f>VLOOKUP($B7,'[3]חשבונות חברה 40'!$A:$I,7,0)</f>
        <v>0</v>
      </c>
      <c r="M7" s="13" t="str">
        <f>VLOOKUP($B7,'[3]חשבונות חברה 40'!$A:$I,5,0)</f>
        <v>0105</v>
      </c>
      <c r="N7" s="4">
        <f>IF(VLOOKUP($B7,'[3]חשבונות חברה 40'!$A:$J,10,0)=0,"",VLOOKUP($B7,'[3]חשבונות חברה 40'!$A:$J,10,0))</f>
        <v>45894</v>
      </c>
      <c r="O7">
        <f t="shared" si="1"/>
        <v>741.56</v>
      </c>
      <c r="P7">
        <f t="shared" si="2"/>
        <v>741.56</v>
      </c>
      <c r="Q7">
        <f t="shared" si="2"/>
        <v>741.56</v>
      </c>
      <c r="R7">
        <f t="shared" si="2"/>
        <v>741.56</v>
      </c>
      <c r="S7">
        <f t="shared" si="2"/>
        <v>741.56</v>
      </c>
      <c r="T7">
        <f t="shared" si="2"/>
        <v>741.56</v>
      </c>
      <c r="U7">
        <f t="shared" si="2"/>
        <v>741.56</v>
      </c>
      <c r="V7">
        <f t="shared" si="2"/>
        <v>741.56</v>
      </c>
      <c r="W7">
        <f t="shared" si="2"/>
        <v>741.56</v>
      </c>
      <c r="X7">
        <f t="shared" si="2"/>
        <v>741.56</v>
      </c>
      <c r="Y7">
        <f t="shared" si="2"/>
        <v>667.404</v>
      </c>
      <c r="Z7">
        <f t="shared" si="3"/>
        <v>593.24799999999993</v>
      </c>
      <c r="AA7">
        <f t="shared" si="3"/>
        <v>519.09199999999998</v>
      </c>
      <c r="AB7">
        <f t="shared" si="3"/>
        <v>444.93599999999998</v>
      </c>
      <c r="AC7">
        <f t="shared" si="3"/>
        <v>370.78</v>
      </c>
      <c r="AD7">
        <f t="shared" si="3"/>
        <v>296.62399999999997</v>
      </c>
      <c r="AE7">
        <f t="shared" si="3"/>
        <v>222.46800000000002</v>
      </c>
      <c r="AF7">
        <f t="shared" si="3"/>
        <v>148.31199999999995</v>
      </c>
      <c r="AG7">
        <f t="shared" si="3"/>
        <v>74.155999999999977</v>
      </c>
      <c r="AH7">
        <f t="shared" si="3"/>
        <v>0</v>
      </c>
    </row>
    <row r="8" spans="1:35">
      <c r="A8">
        <v>293</v>
      </c>
      <c r="B8">
        <v>899011</v>
      </c>
      <c r="C8" t="s">
        <v>3947</v>
      </c>
      <c r="D8">
        <v>622022</v>
      </c>
      <c r="E8" t="s">
        <v>3939</v>
      </c>
      <c r="F8" t="s">
        <v>3940</v>
      </c>
      <c r="G8" s="217">
        <v>3182.77</v>
      </c>
      <c r="H8" t="s">
        <v>3941</v>
      </c>
      <c r="I8">
        <v>17.34</v>
      </c>
      <c r="J8">
        <v>319.23</v>
      </c>
      <c r="K8">
        <v>70</v>
      </c>
      <c r="L8" s="13">
        <f>VLOOKUP($B8,'[3]חשבונות חברה 40'!$A:$I,7,0)</f>
        <v>0</v>
      </c>
      <c r="M8" s="13">
        <f>VLOOKUP($B8,'[3]חשבונות חברה 40'!$A:$I,5,0)</f>
        <v>0</v>
      </c>
      <c r="N8" s="4">
        <f>IF(VLOOKUP($B8,'[3]חשבונות חברה 40'!$A:$J,10,0)=0,"",VLOOKUP($B8,'[3]חשבונות חברה 40'!$A:$J,10,0))</f>
        <v>41258</v>
      </c>
      <c r="O8">
        <f t="shared" si="1"/>
        <v>191.53800000000001</v>
      </c>
      <c r="P8">
        <f t="shared" si="2"/>
        <v>159.61500000000001</v>
      </c>
      <c r="Q8">
        <f t="shared" si="2"/>
        <v>127.69200000000001</v>
      </c>
      <c r="R8">
        <f t="shared" si="2"/>
        <v>95.76900000000002</v>
      </c>
      <c r="S8">
        <f t="shared" si="2"/>
        <v>63.845999999999989</v>
      </c>
      <c r="T8">
        <f t="shared" si="2"/>
        <v>31.922999999999995</v>
      </c>
      <c r="U8">
        <f t="shared" si="2"/>
        <v>0</v>
      </c>
      <c r="V8">
        <f t="shared" si="2"/>
        <v>0</v>
      </c>
      <c r="W8">
        <f t="shared" si="2"/>
        <v>0</v>
      </c>
      <c r="X8">
        <f t="shared" si="2"/>
        <v>0</v>
      </c>
      <c r="Y8">
        <f t="shared" si="2"/>
        <v>0</v>
      </c>
      <c r="Z8">
        <f t="shared" si="3"/>
        <v>0</v>
      </c>
      <c r="AA8">
        <f t="shared" si="3"/>
        <v>0</v>
      </c>
      <c r="AB8">
        <f t="shared" si="3"/>
        <v>0</v>
      </c>
      <c r="AC8">
        <f t="shared" si="3"/>
        <v>0</v>
      </c>
      <c r="AD8">
        <f t="shared" si="3"/>
        <v>0</v>
      </c>
      <c r="AE8">
        <f t="shared" si="3"/>
        <v>0</v>
      </c>
      <c r="AF8">
        <f t="shared" si="3"/>
        <v>0</v>
      </c>
      <c r="AG8">
        <f t="shared" si="3"/>
        <v>0</v>
      </c>
      <c r="AH8">
        <f t="shared" si="3"/>
        <v>0</v>
      </c>
    </row>
    <row r="9" spans="1:35">
      <c r="A9">
        <v>294</v>
      </c>
      <c r="B9">
        <v>899012</v>
      </c>
      <c r="C9" t="s">
        <v>3948</v>
      </c>
      <c r="D9">
        <v>622022</v>
      </c>
      <c r="E9" t="s">
        <v>3939</v>
      </c>
      <c r="F9" t="s">
        <v>3940</v>
      </c>
      <c r="G9" s="217">
        <v>5162.4399999999996</v>
      </c>
      <c r="H9" t="s">
        <v>3941</v>
      </c>
      <c r="I9">
        <v>40.98</v>
      </c>
      <c r="J9">
        <v>517.79</v>
      </c>
      <c r="K9">
        <v>70</v>
      </c>
      <c r="L9" s="13">
        <f>VLOOKUP($B9,'[3]חשבונות חברה 40'!$A:$I,7,0)</f>
        <v>0</v>
      </c>
      <c r="M9" s="13">
        <f>VLOOKUP($B9,'[3]חשבונות חברה 40'!$A:$I,5,0)</f>
        <v>0</v>
      </c>
      <c r="N9" s="4">
        <f>IF(VLOOKUP($B9,'[3]חשבונות חברה 40'!$A:$J,10,0)=0,"",VLOOKUP($B9,'[3]חשבונות חברה 40'!$A:$J,10,0))</f>
        <v>41258</v>
      </c>
      <c r="O9">
        <f t="shared" si="1"/>
        <v>310.67399999999998</v>
      </c>
      <c r="P9">
        <f t="shared" si="2"/>
        <v>258.89499999999998</v>
      </c>
      <c r="Q9">
        <f t="shared" si="2"/>
        <v>207.11599999999999</v>
      </c>
      <c r="R9">
        <f t="shared" si="2"/>
        <v>155.33700000000002</v>
      </c>
      <c r="S9">
        <f t="shared" si="2"/>
        <v>103.55799999999996</v>
      </c>
      <c r="T9">
        <f t="shared" si="2"/>
        <v>51.778999999999982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f t="shared" si="2"/>
        <v>0</v>
      </c>
      <c r="Z9">
        <f t="shared" si="3"/>
        <v>0</v>
      </c>
      <c r="AA9">
        <f t="shared" si="3"/>
        <v>0</v>
      </c>
      <c r="AB9">
        <f t="shared" si="3"/>
        <v>0</v>
      </c>
      <c r="AC9">
        <f t="shared" si="3"/>
        <v>0</v>
      </c>
      <c r="AD9">
        <f t="shared" si="3"/>
        <v>0</v>
      </c>
      <c r="AE9">
        <f t="shared" si="3"/>
        <v>0</v>
      </c>
      <c r="AF9">
        <f t="shared" si="3"/>
        <v>0</v>
      </c>
      <c r="AG9">
        <f t="shared" si="3"/>
        <v>0</v>
      </c>
      <c r="AH9">
        <f t="shared" si="3"/>
        <v>0</v>
      </c>
    </row>
    <row r="10" spans="1:35">
      <c r="A10">
        <v>295</v>
      </c>
      <c r="B10">
        <v>899013</v>
      </c>
      <c r="C10" t="s">
        <v>3949</v>
      </c>
      <c r="D10">
        <v>622022</v>
      </c>
      <c r="E10" t="s">
        <v>3939</v>
      </c>
      <c r="F10" t="s">
        <v>3940</v>
      </c>
      <c r="G10" s="217">
        <v>2368.0100000000002</v>
      </c>
      <c r="H10" t="s">
        <v>3941</v>
      </c>
      <c r="I10">
        <v>7.61</v>
      </c>
      <c r="J10">
        <v>237.51</v>
      </c>
      <c r="K10">
        <v>70</v>
      </c>
      <c r="L10" s="13">
        <f>VLOOKUP($B10,'[3]חשבונות חברה 40'!$A:$I,7,0)</f>
        <v>0</v>
      </c>
      <c r="M10" s="13">
        <f>VLOOKUP($B10,'[3]חשבונות חברה 40'!$A:$I,5,0)</f>
        <v>0</v>
      </c>
      <c r="N10" s="4">
        <f>IF(VLOOKUP($B10,'[3]חשבונות חברה 40'!$A:$J,10,0)=0,"",VLOOKUP($B10,'[3]חשבונות חברה 40'!$A:$J,10,0))</f>
        <v>41258</v>
      </c>
      <c r="O10">
        <f t="shared" si="1"/>
        <v>142.506</v>
      </c>
      <c r="P10">
        <f t="shared" si="2"/>
        <v>118.755</v>
      </c>
      <c r="Q10">
        <f t="shared" si="2"/>
        <v>95.004000000000005</v>
      </c>
      <c r="R10">
        <f t="shared" si="2"/>
        <v>71.253000000000014</v>
      </c>
      <c r="S10">
        <f t="shared" si="2"/>
        <v>47.501999999999988</v>
      </c>
      <c r="T10">
        <f t="shared" si="2"/>
        <v>23.750999999999994</v>
      </c>
      <c r="U10">
        <f t="shared" si="2"/>
        <v>0</v>
      </c>
      <c r="V10">
        <f t="shared" si="2"/>
        <v>0</v>
      </c>
      <c r="W10">
        <f t="shared" si="2"/>
        <v>0</v>
      </c>
      <c r="X10">
        <f t="shared" si="2"/>
        <v>0</v>
      </c>
      <c r="Y10">
        <f t="shared" si="2"/>
        <v>0</v>
      </c>
      <c r="Z10">
        <f t="shared" si="3"/>
        <v>0</v>
      </c>
      <c r="AA10">
        <f t="shared" si="3"/>
        <v>0</v>
      </c>
      <c r="AB10">
        <f t="shared" si="3"/>
        <v>0</v>
      </c>
      <c r="AC10">
        <f t="shared" si="3"/>
        <v>0</v>
      </c>
      <c r="AD10">
        <f t="shared" si="3"/>
        <v>0</v>
      </c>
      <c r="AE10">
        <f t="shared" si="3"/>
        <v>0</v>
      </c>
      <c r="AF10">
        <f t="shared" si="3"/>
        <v>0</v>
      </c>
      <c r="AG10">
        <f t="shared" si="3"/>
        <v>0</v>
      </c>
      <c r="AH10">
        <f t="shared" si="3"/>
        <v>0</v>
      </c>
    </row>
    <row r="11" spans="1:35">
      <c r="A11">
        <v>296</v>
      </c>
      <c r="B11">
        <v>899014</v>
      </c>
      <c r="C11" t="s">
        <v>3950</v>
      </c>
      <c r="D11">
        <v>622022</v>
      </c>
      <c r="E11" t="s">
        <v>3939</v>
      </c>
      <c r="F11" t="s">
        <v>3940</v>
      </c>
      <c r="G11" s="217">
        <v>3361.73</v>
      </c>
      <c r="H11" t="s">
        <v>3941</v>
      </c>
      <c r="I11">
        <v>19.47</v>
      </c>
      <c r="J11">
        <v>337.18</v>
      </c>
      <c r="K11">
        <v>70</v>
      </c>
      <c r="L11" s="13">
        <f>VLOOKUP($B11,'[3]חשבונות חברה 40'!$A:$I,7,0)</f>
        <v>0</v>
      </c>
      <c r="M11" s="13">
        <f>VLOOKUP($B11,'[3]חשבונות חברה 40'!$A:$I,5,0)</f>
        <v>0</v>
      </c>
      <c r="N11" s="4">
        <f>IF(VLOOKUP($B11,'[3]חשבונות חברה 40'!$A:$J,10,0)=0,"",VLOOKUP($B11,'[3]חשבונות חברה 40'!$A:$J,10,0))</f>
        <v>41258</v>
      </c>
      <c r="O11">
        <f t="shared" si="1"/>
        <v>202.30799999999999</v>
      </c>
      <c r="P11">
        <f t="shared" si="2"/>
        <v>168.59</v>
      </c>
      <c r="Q11">
        <f t="shared" si="2"/>
        <v>134.87200000000001</v>
      </c>
      <c r="R11">
        <f t="shared" si="2"/>
        <v>101.15400000000001</v>
      </c>
      <c r="S11">
        <f t="shared" si="2"/>
        <v>67.435999999999993</v>
      </c>
      <c r="T11">
        <f t="shared" si="2"/>
        <v>33.717999999999996</v>
      </c>
      <c r="U11">
        <f t="shared" si="2"/>
        <v>0</v>
      </c>
      <c r="V11">
        <f t="shared" si="2"/>
        <v>0</v>
      </c>
      <c r="W11">
        <f t="shared" si="2"/>
        <v>0</v>
      </c>
      <c r="X11">
        <f t="shared" si="2"/>
        <v>0</v>
      </c>
      <c r="Y11">
        <f t="shared" si="2"/>
        <v>0</v>
      </c>
      <c r="Z11">
        <f t="shared" si="3"/>
        <v>0</v>
      </c>
      <c r="AA11">
        <f t="shared" si="3"/>
        <v>0</v>
      </c>
      <c r="AB11">
        <f t="shared" si="3"/>
        <v>0</v>
      </c>
      <c r="AC11">
        <f t="shared" si="3"/>
        <v>0</v>
      </c>
      <c r="AD11">
        <f t="shared" si="3"/>
        <v>0</v>
      </c>
      <c r="AE11">
        <f t="shared" si="3"/>
        <v>0</v>
      </c>
      <c r="AF11">
        <f t="shared" si="3"/>
        <v>0</v>
      </c>
      <c r="AG11">
        <f t="shared" si="3"/>
        <v>0</v>
      </c>
      <c r="AH11">
        <f t="shared" si="3"/>
        <v>0</v>
      </c>
    </row>
    <row r="12" spans="1:35">
      <c r="A12">
        <v>297</v>
      </c>
      <c r="B12">
        <v>899015</v>
      </c>
      <c r="C12" t="s">
        <v>3951</v>
      </c>
      <c r="D12">
        <v>622022</v>
      </c>
      <c r="E12" t="s">
        <v>3939</v>
      </c>
      <c r="F12" t="s">
        <v>3940</v>
      </c>
      <c r="G12" s="217">
        <v>5403.42</v>
      </c>
      <c r="H12" t="s">
        <v>3941</v>
      </c>
      <c r="I12">
        <v>43.85</v>
      </c>
      <c r="J12">
        <v>541.96</v>
      </c>
      <c r="K12">
        <v>70</v>
      </c>
      <c r="L12" s="13">
        <f>VLOOKUP($B12,'[3]חשבונות חברה 40'!$A:$I,7,0)</f>
        <v>0</v>
      </c>
      <c r="M12" s="13">
        <f>VLOOKUP($B12,'[3]חשבונות חברה 40'!$A:$I,5,0)</f>
        <v>0</v>
      </c>
      <c r="N12" s="4">
        <f>IF(VLOOKUP($B12,'[3]חשבונות חברה 40'!$A:$J,10,0)=0,"",VLOOKUP($B12,'[3]חשבונות חברה 40'!$A:$J,10,0))</f>
        <v>41258</v>
      </c>
      <c r="O12">
        <f t="shared" si="1"/>
        <v>325.17599999999999</v>
      </c>
      <c r="P12">
        <f t="shared" si="2"/>
        <v>270.98</v>
      </c>
      <c r="Q12">
        <f t="shared" si="2"/>
        <v>216.78400000000002</v>
      </c>
      <c r="R12">
        <f t="shared" si="2"/>
        <v>162.58800000000002</v>
      </c>
      <c r="S12">
        <f t="shared" si="2"/>
        <v>108.39199999999998</v>
      </c>
      <c r="T12">
        <f t="shared" si="2"/>
        <v>54.195999999999991</v>
      </c>
      <c r="U12">
        <f t="shared" si="2"/>
        <v>0</v>
      </c>
      <c r="V12">
        <f t="shared" si="2"/>
        <v>0</v>
      </c>
      <c r="W12">
        <f t="shared" si="2"/>
        <v>0</v>
      </c>
      <c r="X12">
        <f t="shared" si="2"/>
        <v>0</v>
      </c>
      <c r="Y12">
        <f t="shared" si="2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</row>
    <row r="13" spans="1:35">
      <c r="A13">
        <v>298</v>
      </c>
      <c r="B13">
        <v>899016</v>
      </c>
      <c r="C13" t="s">
        <v>3952</v>
      </c>
      <c r="D13">
        <v>622022</v>
      </c>
      <c r="E13" t="s">
        <v>3939</v>
      </c>
      <c r="F13" t="s">
        <v>3940</v>
      </c>
      <c r="G13" s="217">
        <v>6639.52</v>
      </c>
      <c r="H13" t="s">
        <v>3941</v>
      </c>
      <c r="I13">
        <v>40.99</v>
      </c>
      <c r="J13">
        <v>665.94</v>
      </c>
      <c r="K13">
        <v>90</v>
      </c>
      <c r="L13" s="13">
        <f>VLOOKUP($B13,'[3]חשבונות חברה 40'!$A:$I,7,0)</f>
        <v>0</v>
      </c>
      <c r="M13" s="13">
        <f>VLOOKUP($B13,'[3]חשבונות חברה 40'!$A:$I,5,0)</f>
        <v>0</v>
      </c>
      <c r="N13" s="4">
        <f>IF(VLOOKUP($B13,'[3]חשבונות חברה 40'!$A:$J,10,0)=0,"",VLOOKUP($B13,'[3]חשבונות חברה 40'!$A:$J,10,0))</f>
        <v>42022</v>
      </c>
      <c r="O13">
        <f t="shared" si="1"/>
        <v>599.34600000000012</v>
      </c>
      <c r="P13">
        <f t="shared" si="2"/>
        <v>532.75200000000007</v>
      </c>
      <c r="Q13">
        <f t="shared" si="2"/>
        <v>466.15800000000002</v>
      </c>
      <c r="R13">
        <f t="shared" si="2"/>
        <v>399.56400000000002</v>
      </c>
      <c r="S13">
        <f t="shared" si="2"/>
        <v>332.97</v>
      </c>
      <c r="T13">
        <f t="shared" si="2"/>
        <v>266.37600000000003</v>
      </c>
      <c r="U13">
        <f t="shared" si="2"/>
        <v>199.78200000000004</v>
      </c>
      <c r="V13">
        <f t="shared" si="2"/>
        <v>133.18799999999999</v>
      </c>
      <c r="W13">
        <f t="shared" si="2"/>
        <v>66.593999999999994</v>
      </c>
      <c r="X13">
        <f t="shared" si="2"/>
        <v>0</v>
      </c>
      <c r="Y13">
        <f t="shared" si="2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</row>
    <row r="14" spans="1:35">
      <c r="A14">
        <v>299</v>
      </c>
      <c r="B14">
        <v>899017</v>
      </c>
      <c r="C14" t="s">
        <v>3953</v>
      </c>
      <c r="D14">
        <v>622022</v>
      </c>
      <c r="E14" t="s">
        <v>3939</v>
      </c>
      <c r="F14" t="s">
        <v>3940</v>
      </c>
      <c r="G14" s="217">
        <v>6708.61</v>
      </c>
      <c r="H14" t="s">
        <v>3941</v>
      </c>
      <c r="I14">
        <v>35.409999999999997</v>
      </c>
      <c r="J14">
        <v>672.87</v>
      </c>
      <c r="K14">
        <v>100</v>
      </c>
      <c r="L14" s="13">
        <f>VLOOKUP($B14,'[3]חשבונות חברה 40'!$A:$I,7,0)</f>
        <v>0</v>
      </c>
      <c r="M14" s="13">
        <f>VLOOKUP($B14,'[3]חשבונות חברה 40'!$A:$I,5,0)</f>
        <v>0</v>
      </c>
      <c r="N14" s="4">
        <f>IF(VLOOKUP($B14,'[3]חשבונות חברה 40'!$A:$J,10,0)=0,"",VLOOKUP($B14,'[3]חשבונות חברה 40'!$A:$J,10,0))</f>
        <v>43034</v>
      </c>
      <c r="O14">
        <f t="shared" si="1"/>
        <v>672.87</v>
      </c>
      <c r="P14">
        <f t="shared" si="2"/>
        <v>672.87</v>
      </c>
      <c r="Q14">
        <f t="shared" si="2"/>
        <v>605.58299999999997</v>
      </c>
      <c r="R14">
        <f t="shared" si="2"/>
        <v>538.29600000000005</v>
      </c>
      <c r="S14">
        <f t="shared" si="2"/>
        <v>471.00899999999996</v>
      </c>
      <c r="T14">
        <f t="shared" si="2"/>
        <v>403.72199999999998</v>
      </c>
      <c r="U14">
        <f t="shared" si="2"/>
        <v>336.435</v>
      </c>
      <c r="V14">
        <f t="shared" si="2"/>
        <v>269.14800000000002</v>
      </c>
      <c r="W14">
        <f t="shared" si="2"/>
        <v>201.86100000000002</v>
      </c>
      <c r="X14">
        <f t="shared" si="2"/>
        <v>134.57399999999998</v>
      </c>
      <c r="Y14">
        <f t="shared" si="2"/>
        <v>67.286999999999992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</row>
    <row r="15" spans="1:35">
      <c r="A15">
        <v>300</v>
      </c>
      <c r="B15">
        <v>899018</v>
      </c>
      <c r="C15" t="s">
        <v>3954</v>
      </c>
      <c r="D15">
        <v>622022</v>
      </c>
      <c r="E15" t="s">
        <v>3939</v>
      </c>
      <c r="F15" t="s">
        <v>3940</v>
      </c>
      <c r="G15" s="217">
        <v>7297.75</v>
      </c>
      <c r="H15" t="s">
        <v>3941</v>
      </c>
      <c r="I15">
        <v>40.33</v>
      </c>
      <c r="J15">
        <v>731.96</v>
      </c>
      <c r="K15">
        <v>100</v>
      </c>
      <c r="L15" s="13">
        <f>VLOOKUP($B15,'[3]חשבונות חברה 40'!$A:$I,7,0)</f>
        <v>0</v>
      </c>
      <c r="M15" s="13">
        <f>VLOOKUP($B15,'[3]חשבונות חברה 40'!$A:$I,5,0)</f>
        <v>0</v>
      </c>
      <c r="N15" s="4">
        <f>IF(VLOOKUP($B15,'[3]חשבונות חברה 40'!$A:$J,10,0)=0,"",VLOOKUP($B15,'[3]חשבונות חברה 40'!$A:$J,10,0))</f>
        <v>43772</v>
      </c>
      <c r="O15">
        <f t="shared" si="1"/>
        <v>731.96</v>
      </c>
      <c r="P15">
        <f t="shared" si="2"/>
        <v>731.96</v>
      </c>
      <c r="Q15">
        <f t="shared" si="2"/>
        <v>731.96</v>
      </c>
      <c r="R15">
        <f t="shared" si="2"/>
        <v>731.96</v>
      </c>
      <c r="S15">
        <f t="shared" si="2"/>
        <v>658.76400000000001</v>
      </c>
      <c r="T15">
        <f t="shared" si="2"/>
        <v>585.5680000000001</v>
      </c>
      <c r="U15">
        <f t="shared" si="2"/>
        <v>512.37199999999996</v>
      </c>
      <c r="V15">
        <f t="shared" si="2"/>
        <v>439.17599999999999</v>
      </c>
      <c r="W15">
        <f t="shared" si="2"/>
        <v>365.98</v>
      </c>
      <c r="X15">
        <f t="shared" si="2"/>
        <v>292.78400000000005</v>
      </c>
      <c r="Y15">
        <f t="shared" si="2"/>
        <v>219.58800000000005</v>
      </c>
      <c r="Z15">
        <f t="shared" si="3"/>
        <v>146.39199999999997</v>
      </c>
      <c r="AA15">
        <f t="shared" si="3"/>
        <v>73.195999999999984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</row>
    <row r="16" spans="1:35">
      <c r="A16">
        <v>301</v>
      </c>
      <c r="B16">
        <v>899019</v>
      </c>
      <c r="C16" t="s">
        <v>3955</v>
      </c>
      <c r="D16">
        <v>622022</v>
      </c>
      <c r="E16" t="s">
        <v>3939</v>
      </c>
      <c r="F16" t="s">
        <v>3940</v>
      </c>
      <c r="G16" s="217">
        <v>7828.95</v>
      </c>
      <c r="H16" t="s">
        <v>3941</v>
      </c>
      <c r="I16">
        <v>44.77</v>
      </c>
      <c r="J16">
        <v>785.24</v>
      </c>
      <c r="K16">
        <v>100</v>
      </c>
      <c r="L16" s="13">
        <f>VLOOKUP($B16,'[3]חשבונות חברה 40'!$A:$I,7,0)</f>
        <v>0</v>
      </c>
      <c r="M16" s="13">
        <f>VLOOKUP($B16,'[3]חשבונות חברה 40'!$A:$I,5,0)</f>
        <v>0</v>
      </c>
      <c r="N16" s="4">
        <f>IF(VLOOKUP($B16,'[3]חשבונות חברה 40'!$A:$J,10,0)=0,"",VLOOKUP($B16,'[3]חשבונות חברה 40'!$A:$J,10,0))</f>
        <v>44025</v>
      </c>
      <c r="O16">
        <f t="shared" si="1"/>
        <v>785.24</v>
      </c>
      <c r="P16">
        <f t="shared" ref="P16:W16" si="4">IF((P$2-$N16)/365&lt;10,1,IF((P$2-$N16)/365&gt;20,0,1-(ROUNDDOWN(((P$2-$N16)/365),0)-10)/10))*$J16</f>
        <v>785.24</v>
      </c>
      <c r="Q16">
        <f t="shared" si="4"/>
        <v>785.24</v>
      </c>
      <c r="R16">
        <f t="shared" si="4"/>
        <v>785.24</v>
      </c>
      <c r="S16">
        <f t="shared" si="4"/>
        <v>785.24</v>
      </c>
      <c r="T16">
        <f t="shared" si="4"/>
        <v>706.71600000000001</v>
      </c>
      <c r="U16">
        <f t="shared" si="4"/>
        <v>628.19200000000001</v>
      </c>
      <c r="V16">
        <f t="shared" si="4"/>
        <v>549.66800000000001</v>
      </c>
      <c r="W16">
        <f t="shared" si="4"/>
        <v>471.14400000000001</v>
      </c>
      <c r="X16">
        <f t="shared" ref="X16:AH47" si="5">IF((X$2-$N16)/365&lt;10,1,IF((X$2-$N16)/365&gt;20,0,1-(ROUNDDOWN(((X$2-$N16)/365),0)-10)/10))*$J16</f>
        <v>392.62</v>
      </c>
      <c r="Y16">
        <f t="shared" si="5"/>
        <v>314.096</v>
      </c>
      <c r="Z16">
        <f t="shared" si="5"/>
        <v>235.57200000000003</v>
      </c>
      <c r="AA16">
        <f t="shared" si="5"/>
        <v>157.04799999999997</v>
      </c>
      <c r="AB16">
        <f t="shared" si="5"/>
        <v>78.523999999999987</v>
      </c>
      <c r="AC16">
        <f t="shared" si="5"/>
        <v>0</v>
      </c>
      <c r="AD16">
        <f t="shared" si="5"/>
        <v>0</v>
      </c>
      <c r="AE16">
        <f t="shared" si="5"/>
        <v>0</v>
      </c>
      <c r="AF16">
        <f t="shared" si="5"/>
        <v>0</v>
      </c>
      <c r="AG16">
        <f t="shared" si="5"/>
        <v>0</v>
      </c>
      <c r="AH16">
        <f t="shared" si="5"/>
        <v>0</v>
      </c>
    </row>
    <row r="17" spans="1:34">
      <c r="A17">
        <v>302</v>
      </c>
      <c r="B17">
        <v>899020</v>
      </c>
      <c r="C17" t="s">
        <v>3956</v>
      </c>
      <c r="D17">
        <v>622022</v>
      </c>
      <c r="E17" t="s">
        <v>3939</v>
      </c>
      <c r="F17" t="s">
        <v>3940</v>
      </c>
      <c r="G17" s="217">
        <v>2921.25</v>
      </c>
      <c r="H17" t="s">
        <v>3941</v>
      </c>
      <c r="I17">
        <v>14.21</v>
      </c>
      <c r="J17">
        <v>293</v>
      </c>
      <c r="K17">
        <v>70</v>
      </c>
      <c r="L17" s="13">
        <f>VLOOKUP($B17,'[3]חשבונות חברה 40'!$A:$I,7,0)</f>
        <v>0</v>
      </c>
      <c r="M17" s="13">
        <f>VLOOKUP($B17,'[3]חשבונות חברה 40'!$A:$I,5,0)</f>
        <v>0</v>
      </c>
      <c r="N17" s="4">
        <f>IF(VLOOKUP($B17,'[3]חשבונות חברה 40'!$A:$J,10,0)=0,"",VLOOKUP($B17,'[3]חשבונות חברה 40'!$A:$J,10,0))</f>
        <v>41258</v>
      </c>
      <c r="O17">
        <f t="shared" si="1"/>
        <v>175.79999999999998</v>
      </c>
      <c r="P17">
        <f t="shared" si="1"/>
        <v>146.5</v>
      </c>
      <c r="Q17">
        <f t="shared" si="1"/>
        <v>117.2</v>
      </c>
      <c r="R17">
        <f t="shared" si="1"/>
        <v>87.90000000000002</v>
      </c>
      <c r="S17">
        <f t="shared" si="1"/>
        <v>58.599999999999987</v>
      </c>
      <c r="T17">
        <f t="shared" si="1"/>
        <v>29.299999999999994</v>
      </c>
      <c r="U17">
        <f t="shared" si="1"/>
        <v>0</v>
      </c>
      <c r="V17">
        <f t="shared" si="1"/>
        <v>0</v>
      </c>
      <c r="W17">
        <f t="shared" si="1"/>
        <v>0</v>
      </c>
      <c r="X17">
        <f t="shared" si="1"/>
        <v>0</v>
      </c>
      <c r="Y17">
        <f t="shared" si="1"/>
        <v>0</v>
      </c>
      <c r="Z17">
        <f t="shared" si="1"/>
        <v>0</v>
      </c>
      <c r="AA17">
        <f t="shared" si="1"/>
        <v>0</v>
      </c>
      <c r="AB17">
        <f t="shared" si="1"/>
        <v>0</v>
      </c>
      <c r="AC17">
        <f t="shared" si="1"/>
        <v>0</v>
      </c>
      <c r="AD17">
        <f t="shared" si="1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</row>
    <row r="18" spans="1:34">
      <c r="A18">
        <v>303</v>
      </c>
      <c r="B18">
        <v>8990200</v>
      </c>
      <c r="C18" t="s">
        <v>3957</v>
      </c>
      <c r="D18">
        <v>622022</v>
      </c>
      <c r="E18" t="s">
        <v>3939</v>
      </c>
      <c r="F18" t="s">
        <v>3940</v>
      </c>
      <c r="G18" s="217">
        <v>7535.83</v>
      </c>
      <c r="H18" t="s">
        <v>3941</v>
      </c>
      <c r="I18">
        <v>42.32</v>
      </c>
      <c r="J18">
        <v>755.84</v>
      </c>
      <c r="K18">
        <v>100</v>
      </c>
      <c r="L18" s="13">
        <f>VLOOKUP($B18,'[3]חשבונות חברה 40'!$A:$I,7,0)</f>
        <v>0</v>
      </c>
      <c r="M18" s="13">
        <f>VLOOKUP($B18,'[3]חשבונות חברה 40'!$A:$I,5,0)</f>
        <v>0</v>
      </c>
      <c r="N18" s="4">
        <f>IF(VLOOKUP($B18,'[3]חשבונות חברה 40'!$A:$J,10,0)=0,"",VLOOKUP($B18,'[3]חשבונות חברה 40'!$A:$J,10,0))</f>
        <v>44866</v>
      </c>
      <c r="O18">
        <f t="shared" si="1"/>
        <v>755.84</v>
      </c>
      <c r="P18">
        <f t="shared" si="1"/>
        <v>755.84</v>
      </c>
      <c r="Q18">
        <f t="shared" si="1"/>
        <v>755.84</v>
      </c>
      <c r="R18">
        <f t="shared" si="1"/>
        <v>755.84</v>
      </c>
      <c r="S18">
        <f t="shared" si="1"/>
        <v>755.84</v>
      </c>
      <c r="T18">
        <f t="shared" si="1"/>
        <v>755.84</v>
      </c>
      <c r="U18">
        <f t="shared" si="1"/>
        <v>755.84</v>
      </c>
      <c r="V18">
        <f t="shared" si="1"/>
        <v>680.25600000000009</v>
      </c>
      <c r="W18">
        <f t="shared" si="1"/>
        <v>604.67200000000003</v>
      </c>
      <c r="X18">
        <f t="shared" si="1"/>
        <v>529.08799999999997</v>
      </c>
      <c r="Y18">
        <f t="shared" si="1"/>
        <v>453.50400000000002</v>
      </c>
      <c r="Z18">
        <f t="shared" si="1"/>
        <v>377.92</v>
      </c>
      <c r="AA18">
        <f t="shared" si="1"/>
        <v>302.33600000000001</v>
      </c>
      <c r="AB18">
        <f t="shared" si="1"/>
        <v>226.75200000000004</v>
      </c>
      <c r="AC18">
        <f t="shared" si="1"/>
        <v>151.16799999999998</v>
      </c>
      <c r="AD18">
        <f t="shared" si="1"/>
        <v>75.583999999999989</v>
      </c>
      <c r="AE18">
        <f t="shared" si="5"/>
        <v>0</v>
      </c>
      <c r="AF18">
        <f t="shared" si="5"/>
        <v>0</v>
      </c>
      <c r="AG18">
        <f t="shared" si="5"/>
        <v>0</v>
      </c>
      <c r="AH18">
        <f t="shared" si="5"/>
        <v>0</v>
      </c>
    </row>
    <row r="19" spans="1:34">
      <c r="A19">
        <v>304</v>
      </c>
      <c r="B19">
        <v>899021</v>
      </c>
      <c r="C19" t="s">
        <v>3958</v>
      </c>
      <c r="D19">
        <v>622022</v>
      </c>
      <c r="E19" t="s">
        <v>3939</v>
      </c>
      <c r="F19" t="s">
        <v>3940</v>
      </c>
      <c r="G19" s="217">
        <v>2769.81</v>
      </c>
      <c r="H19" t="s">
        <v>3941</v>
      </c>
      <c r="I19">
        <v>12.41</v>
      </c>
      <c r="J19">
        <v>277.81</v>
      </c>
      <c r="K19">
        <v>70</v>
      </c>
      <c r="L19" s="13">
        <f>VLOOKUP($B19,'[3]חשבונות חברה 40'!$A:$I,7,0)</f>
        <v>0</v>
      </c>
      <c r="M19" s="13">
        <f>VLOOKUP($B19,'[3]חשבונות חברה 40'!$A:$I,5,0)</f>
        <v>0</v>
      </c>
      <c r="N19" s="4">
        <f>IF(VLOOKUP($B19,'[3]חשבונות חברה 40'!$A:$J,10,0)=0,"",VLOOKUP($B19,'[3]חשבונות חברה 40'!$A:$J,10,0))</f>
        <v>41258</v>
      </c>
      <c r="O19">
        <f t="shared" si="1"/>
        <v>166.68600000000001</v>
      </c>
      <c r="P19">
        <f t="shared" si="1"/>
        <v>138.905</v>
      </c>
      <c r="Q19">
        <f t="shared" si="1"/>
        <v>111.12400000000001</v>
      </c>
      <c r="R19">
        <f t="shared" si="1"/>
        <v>83.343000000000018</v>
      </c>
      <c r="S19">
        <f t="shared" si="1"/>
        <v>55.561999999999991</v>
      </c>
      <c r="T19">
        <f t="shared" si="1"/>
        <v>27.780999999999995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Y19">
        <f t="shared" si="1"/>
        <v>0</v>
      </c>
      <c r="Z19">
        <f t="shared" si="1"/>
        <v>0</v>
      </c>
      <c r="AA19">
        <f t="shared" si="1"/>
        <v>0</v>
      </c>
      <c r="AB19">
        <f t="shared" si="1"/>
        <v>0</v>
      </c>
      <c r="AC19">
        <f t="shared" si="1"/>
        <v>0</v>
      </c>
      <c r="AD19">
        <f t="shared" si="1"/>
        <v>0</v>
      </c>
      <c r="AE19">
        <f t="shared" si="5"/>
        <v>0</v>
      </c>
      <c r="AF19">
        <f t="shared" si="5"/>
        <v>0</v>
      </c>
      <c r="AG19">
        <f t="shared" si="5"/>
        <v>0</v>
      </c>
      <c r="AH19">
        <f t="shared" si="5"/>
        <v>0</v>
      </c>
    </row>
    <row r="20" spans="1:34">
      <c r="A20">
        <v>305</v>
      </c>
      <c r="B20">
        <v>8990210</v>
      </c>
      <c r="C20" t="s">
        <v>3959</v>
      </c>
      <c r="D20">
        <v>622022</v>
      </c>
      <c r="E20" t="s">
        <v>3939</v>
      </c>
      <c r="F20" t="s">
        <v>3940</v>
      </c>
      <c r="G20" s="217">
        <v>8215.4</v>
      </c>
      <c r="H20" t="s">
        <v>3941</v>
      </c>
      <c r="I20">
        <v>48</v>
      </c>
      <c r="J20">
        <v>824</v>
      </c>
      <c r="K20">
        <v>100</v>
      </c>
      <c r="L20" s="13">
        <f>VLOOKUP($B20,'[3]חשבונות חברה 40'!$A:$I,7,0)</f>
        <v>0</v>
      </c>
      <c r="M20" s="13">
        <f>VLOOKUP($B20,'[3]חשבונות חברה 40'!$A:$I,5,0)</f>
        <v>0</v>
      </c>
      <c r="N20" s="4">
        <f>IF(VLOOKUP($B20,'[3]חשבונות חברה 40'!$A:$J,10,0)=0,"",VLOOKUP($B20,'[3]חשבונות חברה 40'!$A:$J,10,0))</f>
        <v>44931</v>
      </c>
      <c r="O20">
        <f t="shared" si="1"/>
        <v>824</v>
      </c>
      <c r="P20">
        <f t="shared" si="1"/>
        <v>824</v>
      </c>
      <c r="Q20">
        <f t="shared" si="1"/>
        <v>824</v>
      </c>
      <c r="R20">
        <f t="shared" si="1"/>
        <v>824</v>
      </c>
      <c r="S20">
        <f t="shared" si="1"/>
        <v>824</v>
      </c>
      <c r="T20">
        <f t="shared" si="1"/>
        <v>824</v>
      </c>
      <c r="U20">
        <f t="shared" si="1"/>
        <v>824</v>
      </c>
      <c r="V20">
        <f t="shared" si="1"/>
        <v>824</v>
      </c>
      <c r="W20">
        <f t="shared" si="1"/>
        <v>741.6</v>
      </c>
      <c r="X20">
        <f t="shared" si="1"/>
        <v>659.2</v>
      </c>
      <c r="Y20">
        <f t="shared" si="1"/>
        <v>576.79999999999995</v>
      </c>
      <c r="Z20">
        <f t="shared" si="1"/>
        <v>494.4</v>
      </c>
      <c r="AA20">
        <f t="shared" si="1"/>
        <v>412</v>
      </c>
      <c r="AB20">
        <f t="shared" si="1"/>
        <v>329.6</v>
      </c>
      <c r="AC20">
        <f t="shared" si="1"/>
        <v>164.79999999999995</v>
      </c>
      <c r="AD20">
        <f t="shared" si="1"/>
        <v>82.399999999999977</v>
      </c>
      <c r="AE20">
        <f t="shared" si="5"/>
        <v>0</v>
      </c>
      <c r="AF20">
        <f t="shared" si="5"/>
        <v>0</v>
      </c>
      <c r="AG20">
        <f t="shared" si="5"/>
        <v>0</v>
      </c>
      <c r="AH20">
        <f t="shared" si="5"/>
        <v>0</v>
      </c>
    </row>
    <row r="21" spans="1:34">
      <c r="A21">
        <v>306</v>
      </c>
      <c r="B21">
        <v>899022</v>
      </c>
      <c r="C21" t="s">
        <v>3960</v>
      </c>
      <c r="D21">
        <v>622022</v>
      </c>
      <c r="E21" t="s">
        <v>3939</v>
      </c>
      <c r="F21" t="s">
        <v>3940</v>
      </c>
      <c r="G21" s="217">
        <v>5232.7299999999996</v>
      </c>
      <c r="H21" t="s">
        <v>3941</v>
      </c>
      <c r="I21">
        <v>41.81</v>
      </c>
      <c r="J21">
        <v>524.84</v>
      </c>
      <c r="K21">
        <v>70</v>
      </c>
      <c r="L21" s="13">
        <f>VLOOKUP($B21,'[3]חשבונות חברה 40'!$A:$I,7,0)</f>
        <v>0</v>
      </c>
      <c r="M21" s="13">
        <f>VLOOKUP($B21,'[3]חשבונות חברה 40'!$A:$I,5,0)</f>
        <v>0</v>
      </c>
      <c r="N21" s="4">
        <f>IF(VLOOKUP($B21,'[3]חשבונות חברה 40'!$A:$J,10,0)=0,"",VLOOKUP($B21,'[3]חשבונות חברה 40'!$A:$J,10,0))</f>
        <v>41258</v>
      </c>
      <c r="O21">
        <f t="shared" si="1"/>
        <v>314.904</v>
      </c>
      <c r="P21">
        <f t="shared" si="1"/>
        <v>262.42</v>
      </c>
      <c r="Q21">
        <f t="shared" si="1"/>
        <v>209.93600000000004</v>
      </c>
      <c r="R21">
        <f t="shared" si="1"/>
        <v>157.45200000000003</v>
      </c>
      <c r="S21">
        <f t="shared" si="1"/>
        <v>104.96799999999999</v>
      </c>
      <c r="T21">
        <f t="shared" si="1"/>
        <v>52.483999999999995</v>
      </c>
      <c r="U21">
        <f t="shared" si="1"/>
        <v>0</v>
      </c>
      <c r="V21">
        <f t="shared" si="1"/>
        <v>0</v>
      </c>
      <c r="W21">
        <f t="shared" si="1"/>
        <v>0</v>
      </c>
      <c r="X21">
        <f t="shared" si="1"/>
        <v>0</v>
      </c>
      <c r="Y21">
        <f t="shared" si="1"/>
        <v>0</v>
      </c>
      <c r="Z21">
        <f t="shared" si="1"/>
        <v>0</v>
      </c>
      <c r="AA21">
        <f t="shared" si="1"/>
        <v>0</v>
      </c>
      <c r="AB21">
        <f t="shared" si="1"/>
        <v>0</v>
      </c>
      <c r="AC21">
        <f t="shared" si="1"/>
        <v>0</v>
      </c>
      <c r="AD21">
        <f t="shared" si="1"/>
        <v>0</v>
      </c>
      <c r="AE21">
        <f t="shared" si="5"/>
        <v>0</v>
      </c>
      <c r="AF21">
        <f t="shared" si="5"/>
        <v>0</v>
      </c>
      <c r="AG21">
        <f t="shared" si="5"/>
        <v>0</v>
      </c>
      <c r="AH21">
        <f t="shared" si="5"/>
        <v>0</v>
      </c>
    </row>
    <row r="22" spans="1:34">
      <c r="A22">
        <v>307</v>
      </c>
      <c r="B22">
        <v>899023</v>
      </c>
      <c r="C22" t="s">
        <v>3961</v>
      </c>
      <c r="D22">
        <v>622022</v>
      </c>
      <c r="E22" t="s">
        <v>3939</v>
      </c>
      <c r="F22" t="s">
        <v>3940</v>
      </c>
      <c r="G22" s="217">
        <v>4993.84</v>
      </c>
      <c r="H22" t="s">
        <v>3941</v>
      </c>
      <c r="I22">
        <v>38.96</v>
      </c>
      <c r="J22">
        <v>500.88</v>
      </c>
      <c r="K22">
        <v>70</v>
      </c>
      <c r="L22" s="13">
        <f>VLOOKUP($B22,'[3]חשבונות חברה 40'!$A:$I,7,0)</f>
        <v>0</v>
      </c>
      <c r="M22" s="13">
        <f>VLOOKUP($B22,'[3]חשבונות חברה 40'!$A:$I,5,0)</f>
        <v>0</v>
      </c>
      <c r="N22" s="4">
        <f>IF(VLOOKUP($B22,'[3]חשבונות חברה 40'!$A:$J,10,0)=0,"",VLOOKUP($B22,'[3]חשבונות חברה 40'!$A:$J,10,0))</f>
        <v>41258</v>
      </c>
      <c r="O22">
        <f t="shared" si="1"/>
        <v>300.52799999999996</v>
      </c>
      <c r="P22">
        <f t="shared" si="1"/>
        <v>250.44</v>
      </c>
      <c r="Q22">
        <f t="shared" si="1"/>
        <v>200.352</v>
      </c>
      <c r="R22">
        <f t="shared" si="1"/>
        <v>150.26400000000001</v>
      </c>
      <c r="S22">
        <f t="shared" si="1"/>
        <v>100.17599999999997</v>
      </c>
      <c r="T22">
        <f t="shared" si="1"/>
        <v>50.087999999999987</v>
      </c>
      <c r="U22">
        <f t="shared" si="1"/>
        <v>0</v>
      </c>
      <c r="V22">
        <f t="shared" si="1"/>
        <v>0</v>
      </c>
      <c r="W22">
        <f t="shared" si="1"/>
        <v>0</v>
      </c>
      <c r="X22">
        <f t="shared" si="1"/>
        <v>0</v>
      </c>
      <c r="Y22">
        <f t="shared" si="1"/>
        <v>0</v>
      </c>
      <c r="Z22">
        <f t="shared" si="1"/>
        <v>0</v>
      </c>
      <c r="AA22">
        <f t="shared" si="1"/>
        <v>0</v>
      </c>
      <c r="AB22">
        <f t="shared" si="1"/>
        <v>0</v>
      </c>
      <c r="AC22">
        <f t="shared" si="1"/>
        <v>0</v>
      </c>
      <c r="AD22">
        <f t="shared" si="1"/>
        <v>0</v>
      </c>
      <c r="AE22">
        <f t="shared" si="5"/>
        <v>0</v>
      </c>
      <c r="AF22">
        <f t="shared" si="5"/>
        <v>0</v>
      </c>
      <c r="AG22">
        <f t="shared" si="5"/>
        <v>0</v>
      </c>
      <c r="AH22">
        <f t="shared" si="5"/>
        <v>0</v>
      </c>
    </row>
    <row r="23" spans="1:34">
      <c r="A23">
        <v>308</v>
      </c>
      <c r="B23">
        <v>899024</v>
      </c>
      <c r="C23" t="s">
        <v>3962</v>
      </c>
      <c r="D23">
        <v>622022</v>
      </c>
      <c r="E23" t="s">
        <v>3939</v>
      </c>
      <c r="F23" t="s">
        <v>3940</v>
      </c>
      <c r="G23" s="217">
        <v>4583.08</v>
      </c>
      <c r="H23" t="s">
        <v>3941</v>
      </c>
      <c r="I23">
        <v>34.06</v>
      </c>
      <c r="J23">
        <v>459.68</v>
      </c>
      <c r="K23">
        <v>70</v>
      </c>
      <c r="L23" s="13">
        <f>VLOOKUP($B23,'[3]חשבונות חברה 40'!$A:$I,7,0)</f>
        <v>0</v>
      </c>
      <c r="M23" s="13">
        <f>VLOOKUP($B23,'[3]חשבונות חברה 40'!$A:$I,5,0)</f>
        <v>0</v>
      </c>
      <c r="N23" s="4">
        <f>IF(VLOOKUP($B23,'[3]חשבונות חברה 40'!$A:$J,10,0)=0,"",VLOOKUP($B23,'[3]חשבונות חברה 40'!$A:$J,10,0))</f>
        <v>41258</v>
      </c>
      <c r="O23">
        <f t="shared" si="1"/>
        <v>275.80799999999999</v>
      </c>
      <c r="P23">
        <f t="shared" si="1"/>
        <v>229.84</v>
      </c>
      <c r="Q23">
        <f t="shared" si="1"/>
        <v>183.87200000000001</v>
      </c>
      <c r="R23">
        <f t="shared" si="1"/>
        <v>137.90400000000002</v>
      </c>
      <c r="S23">
        <f t="shared" si="1"/>
        <v>91.935999999999979</v>
      </c>
      <c r="T23">
        <f t="shared" si="1"/>
        <v>45.967999999999989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5"/>
        <v>0</v>
      </c>
      <c r="AF23">
        <f t="shared" si="5"/>
        <v>0</v>
      </c>
      <c r="AG23">
        <f t="shared" si="5"/>
        <v>0</v>
      </c>
      <c r="AH23">
        <f t="shared" si="5"/>
        <v>0</v>
      </c>
    </row>
    <row r="24" spans="1:34">
      <c r="A24">
        <v>309</v>
      </c>
      <c r="B24">
        <v>899025</v>
      </c>
      <c r="C24" t="s">
        <v>3963</v>
      </c>
      <c r="D24">
        <v>622022</v>
      </c>
      <c r="E24" t="s">
        <v>3939</v>
      </c>
      <c r="F24" t="s">
        <v>3940</v>
      </c>
      <c r="G24" s="217">
        <v>5645.19</v>
      </c>
      <c r="H24" t="s">
        <v>3941</v>
      </c>
      <c r="I24">
        <v>46.74</v>
      </c>
      <c r="J24">
        <v>566.21</v>
      </c>
      <c r="K24">
        <v>70</v>
      </c>
      <c r="L24" s="13">
        <f>VLOOKUP($B24,'[3]חשבונות חברה 40'!$A:$I,7,0)</f>
        <v>0</v>
      </c>
      <c r="M24" s="13">
        <f>VLOOKUP($B24,'[3]חשבונות חברה 40'!$A:$I,5,0)</f>
        <v>0</v>
      </c>
      <c r="N24" s="4">
        <f>IF(VLOOKUP($B24,'[3]חשבונות חברה 40'!$A:$J,10,0)=0,"",VLOOKUP($B24,'[3]חשבונות חברה 40'!$A:$J,10,0))</f>
        <v>41258</v>
      </c>
      <c r="O24">
        <f t="shared" si="1"/>
        <v>339.726</v>
      </c>
      <c r="P24">
        <f t="shared" si="1"/>
        <v>283.10500000000002</v>
      </c>
      <c r="Q24">
        <f t="shared" si="1"/>
        <v>226.48400000000004</v>
      </c>
      <c r="R24">
        <f t="shared" si="1"/>
        <v>169.86300000000003</v>
      </c>
      <c r="S24">
        <f t="shared" si="1"/>
        <v>113.24199999999998</v>
      </c>
      <c r="T24">
        <f t="shared" si="1"/>
        <v>56.620999999999988</v>
      </c>
      <c r="U24">
        <f t="shared" si="1"/>
        <v>0</v>
      </c>
      <c r="V24">
        <f t="shared" si="1"/>
        <v>0</v>
      </c>
      <c r="W24">
        <f t="shared" si="1"/>
        <v>0</v>
      </c>
      <c r="X24">
        <f t="shared" si="1"/>
        <v>0</v>
      </c>
      <c r="Y24">
        <f t="shared" si="1"/>
        <v>0</v>
      </c>
      <c r="Z24">
        <f t="shared" si="1"/>
        <v>0</v>
      </c>
      <c r="AA24">
        <f t="shared" si="1"/>
        <v>0</v>
      </c>
      <c r="AB24">
        <f t="shared" si="1"/>
        <v>0</v>
      </c>
      <c r="AC24">
        <f t="shared" si="1"/>
        <v>0</v>
      </c>
      <c r="AD24">
        <f t="shared" si="1"/>
        <v>0</v>
      </c>
      <c r="AE24">
        <f t="shared" si="5"/>
        <v>0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34">
      <c r="A25">
        <v>310</v>
      </c>
      <c r="B25">
        <v>899026</v>
      </c>
      <c r="C25" t="s">
        <v>3964</v>
      </c>
      <c r="D25">
        <v>622022</v>
      </c>
      <c r="E25" t="s">
        <v>3939</v>
      </c>
      <c r="F25" t="s">
        <v>3940</v>
      </c>
      <c r="G25" s="217">
        <v>5750.78</v>
      </c>
      <c r="H25" t="s">
        <v>3941</v>
      </c>
      <c r="I25">
        <v>48</v>
      </c>
      <c r="J25">
        <v>576.79999999999995</v>
      </c>
      <c r="K25">
        <v>70</v>
      </c>
      <c r="L25" s="13">
        <f>VLOOKUP($B25,'[3]חשבונות חברה 40'!$A:$I,7,0)</f>
        <v>0</v>
      </c>
      <c r="M25" s="13">
        <f>VLOOKUP($B25,'[3]חשבונות חברה 40'!$A:$I,5,0)</f>
        <v>0</v>
      </c>
      <c r="N25" s="4">
        <f>IF(VLOOKUP($B25,'[3]חשבונות חברה 40'!$A:$J,10,0)=0,"",VLOOKUP($B25,'[3]חשבונות חברה 40'!$A:$J,10,0))</f>
        <v>41258</v>
      </c>
      <c r="O25">
        <f t="shared" si="1"/>
        <v>346.08</v>
      </c>
      <c r="P25">
        <f t="shared" si="1"/>
        <v>288.39999999999998</v>
      </c>
      <c r="Q25">
        <f t="shared" si="1"/>
        <v>230.72</v>
      </c>
      <c r="R25">
        <f t="shared" si="1"/>
        <v>173.04000000000002</v>
      </c>
      <c r="S25">
        <f t="shared" si="1"/>
        <v>115.35999999999997</v>
      </c>
      <c r="T25">
        <f t="shared" si="1"/>
        <v>57.679999999999986</v>
      </c>
      <c r="U25">
        <f t="shared" si="1"/>
        <v>0</v>
      </c>
      <c r="V25">
        <f t="shared" si="1"/>
        <v>0</v>
      </c>
      <c r="W25">
        <f t="shared" si="1"/>
        <v>0</v>
      </c>
      <c r="X25">
        <f t="shared" si="1"/>
        <v>0</v>
      </c>
      <c r="Y25">
        <f t="shared" si="1"/>
        <v>0</v>
      </c>
      <c r="Z25">
        <f t="shared" si="1"/>
        <v>0</v>
      </c>
      <c r="AA25">
        <f t="shared" si="1"/>
        <v>0</v>
      </c>
      <c r="AB25">
        <f t="shared" si="1"/>
        <v>0</v>
      </c>
      <c r="AC25">
        <f t="shared" si="1"/>
        <v>0</v>
      </c>
      <c r="AD25">
        <f t="shared" si="1"/>
        <v>0</v>
      </c>
      <c r="AE25">
        <f t="shared" si="5"/>
        <v>0</v>
      </c>
      <c r="AF25">
        <f t="shared" si="5"/>
        <v>0</v>
      </c>
      <c r="AG25">
        <f t="shared" si="5"/>
        <v>0</v>
      </c>
      <c r="AH25">
        <f t="shared" si="5"/>
        <v>0</v>
      </c>
    </row>
    <row r="26" spans="1:34">
      <c r="A26">
        <v>311</v>
      </c>
      <c r="B26">
        <v>899027</v>
      </c>
      <c r="C26" t="s">
        <v>3965</v>
      </c>
      <c r="D26">
        <v>622022</v>
      </c>
      <c r="E26" t="s">
        <v>3939</v>
      </c>
      <c r="F26" t="s">
        <v>3940</v>
      </c>
      <c r="G26" s="217">
        <v>5361.84</v>
      </c>
      <c r="H26" t="s">
        <v>3941</v>
      </c>
      <c r="I26">
        <v>43.36</v>
      </c>
      <c r="J26">
        <v>537.79</v>
      </c>
      <c r="K26">
        <v>70</v>
      </c>
      <c r="L26" s="13">
        <f>VLOOKUP($B26,'[3]חשבונות חברה 40'!$A:$I,7,0)</f>
        <v>0</v>
      </c>
      <c r="M26" s="13">
        <f>VLOOKUP($B26,'[3]חשבונות חברה 40'!$A:$I,5,0)</f>
        <v>0</v>
      </c>
      <c r="N26" s="4">
        <f>IF(VLOOKUP($B26,'[3]חשבונות חברה 40'!$A:$J,10,0)=0,"",VLOOKUP($B26,'[3]חשבונות חברה 40'!$A:$J,10,0))</f>
        <v>41258</v>
      </c>
      <c r="O26">
        <f t="shared" si="1"/>
        <v>322.67399999999998</v>
      </c>
      <c r="P26">
        <f t="shared" si="1"/>
        <v>268.89499999999998</v>
      </c>
      <c r="Q26">
        <f t="shared" si="1"/>
        <v>215.11599999999999</v>
      </c>
      <c r="R26">
        <f t="shared" si="1"/>
        <v>161.33700000000002</v>
      </c>
      <c r="S26">
        <f t="shared" si="1"/>
        <v>107.55799999999996</v>
      </c>
      <c r="T26">
        <f t="shared" si="1"/>
        <v>53.778999999999982</v>
      </c>
      <c r="U26">
        <f t="shared" si="1"/>
        <v>0</v>
      </c>
      <c r="V26">
        <f t="shared" si="1"/>
        <v>0</v>
      </c>
      <c r="W26">
        <f t="shared" si="1"/>
        <v>0</v>
      </c>
      <c r="X26">
        <f t="shared" si="1"/>
        <v>0</v>
      </c>
      <c r="Y26">
        <f t="shared" si="1"/>
        <v>0</v>
      </c>
      <c r="Z26">
        <f t="shared" si="1"/>
        <v>0</v>
      </c>
      <c r="AA26">
        <f t="shared" si="1"/>
        <v>0</v>
      </c>
      <c r="AB26">
        <f t="shared" si="1"/>
        <v>0</v>
      </c>
      <c r="AC26">
        <f t="shared" si="1"/>
        <v>0</v>
      </c>
      <c r="AD26">
        <f t="shared" si="1"/>
        <v>0</v>
      </c>
      <c r="AE26">
        <f t="shared" si="5"/>
        <v>0</v>
      </c>
      <c r="AF26">
        <f t="shared" si="5"/>
        <v>0</v>
      </c>
      <c r="AG26">
        <f t="shared" si="5"/>
        <v>0</v>
      </c>
      <c r="AH26">
        <f t="shared" si="5"/>
        <v>0</v>
      </c>
    </row>
    <row r="27" spans="1:34">
      <c r="A27">
        <v>312</v>
      </c>
      <c r="B27">
        <v>899028</v>
      </c>
      <c r="C27" t="s">
        <v>3966</v>
      </c>
      <c r="D27">
        <v>622022</v>
      </c>
      <c r="E27" t="s">
        <v>3939</v>
      </c>
      <c r="F27" t="s">
        <v>3940</v>
      </c>
      <c r="G27" s="217">
        <v>5656.46</v>
      </c>
      <c r="H27" t="s">
        <v>3941</v>
      </c>
      <c r="I27">
        <v>46.87</v>
      </c>
      <c r="J27">
        <v>567.34</v>
      </c>
      <c r="K27">
        <v>70</v>
      </c>
      <c r="L27" s="13">
        <f>VLOOKUP($B27,'[3]חשבונות חברה 40'!$A:$I,7,0)</f>
        <v>0</v>
      </c>
      <c r="M27" s="13">
        <f>VLOOKUP($B27,'[3]חשבונות חברה 40'!$A:$I,5,0)</f>
        <v>0</v>
      </c>
      <c r="N27" s="4">
        <f>IF(VLOOKUP($B27,'[3]חשבונות חברה 40'!$A:$J,10,0)=0,"",VLOOKUP($B27,'[3]חשבונות חברה 40'!$A:$J,10,0))</f>
        <v>41258</v>
      </c>
      <c r="O27">
        <f t="shared" si="1"/>
        <v>340.404</v>
      </c>
      <c r="P27">
        <f t="shared" si="1"/>
        <v>283.67</v>
      </c>
      <c r="Q27">
        <f t="shared" si="1"/>
        <v>226.93600000000004</v>
      </c>
      <c r="R27">
        <f t="shared" si="1"/>
        <v>170.20200000000003</v>
      </c>
      <c r="S27">
        <f t="shared" si="1"/>
        <v>113.46799999999998</v>
      </c>
      <c r="T27">
        <f t="shared" si="1"/>
        <v>56.733999999999988</v>
      </c>
      <c r="U27">
        <f t="shared" si="1"/>
        <v>0</v>
      </c>
      <c r="V27">
        <f t="shared" si="1"/>
        <v>0</v>
      </c>
      <c r="W27">
        <f t="shared" si="1"/>
        <v>0</v>
      </c>
      <c r="X27">
        <f t="shared" si="1"/>
        <v>0</v>
      </c>
      <c r="Y27">
        <f t="shared" si="1"/>
        <v>0</v>
      </c>
      <c r="Z27">
        <f t="shared" si="1"/>
        <v>0</v>
      </c>
      <c r="AA27">
        <f t="shared" si="1"/>
        <v>0</v>
      </c>
      <c r="AB27">
        <f t="shared" si="1"/>
        <v>0</v>
      </c>
      <c r="AC27">
        <f t="shared" si="1"/>
        <v>0</v>
      </c>
      <c r="AD27">
        <f t="shared" si="1"/>
        <v>0</v>
      </c>
      <c r="AE27">
        <f t="shared" si="5"/>
        <v>0</v>
      </c>
      <c r="AF27">
        <f t="shared" si="5"/>
        <v>0</v>
      </c>
      <c r="AG27">
        <f t="shared" si="5"/>
        <v>0</v>
      </c>
      <c r="AH27">
        <f t="shared" si="5"/>
        <v>0</v>
      </c>
    </row>
    <row r="28" spans="1:34">
      <c r="A28">
        <v>313</v>
      </c>
      <c r="B28">
        <v>899029</v>
      </c>
      <c r="C28" t="s">
        <v>3967</v>
      </c>
      <c r="D28">
        <v>622022</v>
      </c>
      <c r="E28" t="s">
        <v>3939</v>
      </c>
      <c r="F28" t="s">
        <v>3940</v>
      </c>
      <c r="G28" s="217">
        <v>2088.0500000000002</v>
      </c>
      <c r="H28" t="s">
        <v>3941</v>
      </c>
      <c r="I28">
        <v>4.2699999999999996</v>
      </c>
      <c r="J28">
        <v>209.43</v>
      </c>
      <c r="K28">
        <v>70</v>
      </c>
      <c r="L28" s="13">
        <f>VLOOKUP($B28,'[3]חשבונות חברה 40'!$A:$I,7,0)</f>
        <v>0</v>
      </c>
      <c r="M28" s="13">
        <f>VLOOKUP($B28,'[3]חשבונות חברה 40'!$A:$I,5,0)</f>
        <v>0</v>
      </c>
      <c r="N28" s="4">
        <f>IF(VLOOKUP($B28,'[3]חשבונות חברה 40'!$A:$J,10,0)=0,"",VLOOKUP($B28,'[3]חשבונות חברה 40'!$A:$J,10,0))</f>
        <v>41258</v>
      </c>
      <c r="O28">
        <f t="shared" si="1"/>
        <v>125.658</v>
      </c>
      <c r="P28">
        <f t="shared" si="1"/>
        <v>104.715</v>
      </c>
      <c r="Q28">
        <f t="shared" si="1"/>
        <v>83.772000000000006</v>
      </c>
      <c r="R28">
        <f t="shared" si="1"/>
        <v>62.829000000000015</v>
      </c>
      <c r="S28">
        <f t="shared" si="1"/>
        <v>41.885999999999989</v>
      </c>
      <c r="T28">
        <f t="shared" si="1"/>
        <v>20.942999999999994</v>
      </c>
      <c r="U28">
        <f t="shared" si="1"/>
        <v>0</v>
      </c>
      <c r="V28">
        <f t="shared" si="1"/>
        <v>0</v>
      </c>
      <c r="W28">
        <f t="shared" si="1"/>
        <v>0</v>
      </c>
      <c r="X28">
        <f t="shared" si="1"/>
        <v>0</v>
      </c>
      <c r="Y28">
        <f t="shared" si="1"/>
        <v>0</v>
      </c>
      <c r="Z28">
        <f t="shared" si="1"/>
        <v>0</v>
      </c>
      <c r="AA28">
        <f t="shared" si="1"/>
        <v>0</v>
      </c>
      <c r="AB28">
        <f t="shared" si="1"/>
        <v>0</v>
      </c>
      <c r="AC28">
        <f t="shared" si="1"/>
        <v>0</v>
      </c>
      <c r="AD28">
        <f t="shared" si="1"/>
        <v>0</v>
      </c>
      <c r="AE28">
        <f t="shared" si="5"/>
        <v>0</v>
      </c>
      <c r="AF28">
        <f t="shared" si="5"/>
        <v>0</v>
      </c>
      <c r="AG28">
        <f t="shared" si="5"/>
        <v>0</v>
      </c>
      <c r="AH28">
        <f t="shared" si="5"/>
        <v>0</v>
      </c>
    </row>
    <row r="29" spans="1:34">
      <c r="A29">
        <v>314</v>
      </c>
      <c r="B29">
        <v>899030</v>
      </c>
      <c r="C29" t="s">
        <v>3968</v>
      </c>
      <c r="D29">
        <v>622022</v>
      </c>
      <c r="E29" t="s">
        <v>3939</v>
      </c>
      <c r="F29" t="s">
        <v>3940</v>
      </c>
      <c r="G29" s="217">
        <v>4681.28</v>
      </c>
      <c r="H29" t="s">
        <v>3941</v>
      </c>
      <c r="I29">
        <v>35.229999999999997</v>
      </c>
      <c r="J29">
        <v>469.53</v>
      </c>
      <c r="K29">
        <v>70</v>
      </c>
      <c r="L29" s="13">
        <f>VLOOKUP($B29,'[3]חשבונות חברה 40'!$A:$I,7,0)</f>
        <v>0</v>
      </c>
      <c r="M29" s="13">
        <f>VLOOKUP($B29,'[3]חשבונות חברה 40'!$A:$I,5,0)</f>
        <v>0</v>
      </c>
      <c r="N29" s="4">
        <f>IF(VLOOKUP($B29,'[3]חשבונות חברה 40'!$A:$J,10,0)=0,"",VLOOKUP($B29,'[3]חשבונות חברה 40'!$A:$J,10,0))</f>
        <v>41258</v>
      </c>
      <c r="O29">
        <f t="shared" si="1"/>
        <v>281.71799999999996</v>
      </c>
      <c r="P29">
        <f t="shared" si="1"/>
        <v>234.76499999999999</v>
      </c>
      <c r="Q29">
        <f t="shared" si="1"/>
        <v>187.81200000000001</v>
      </c>
      <c r="R29">
        <f t="shared" si="1"/>
        <v>140.85900000000001</v>
      </c>
      <c r="S29">
        <f t="shared" si="1"/>
        <v>93.905999999999977</v>
      </c>
      <c r="T29">
        <f t="shared" si="1"/>
        <v>46.952999999999989</v>
      </c>
      <c r="U29">
        <f t="shared" si="1"/>
        <v>0</v>
      </c>
      <c r="V29">
        <f t="shared" si="1"/>
        <v>0</v>
      </c>
      <c r="W29">
        <f t="shared" si="1"/>
        <v>0</v>
      </c>
      <c r="X29">
        <f t="shared" si="1"/>
        <v>0</v>
      </c>
      <c r="Y29">
        <f t="shared" si="1"/>
        <v>0</v>
      </c>
      <c r="Z29">
        <f t="shared" si="1"/>
        <v>0</v>
      </c>
      <c r="AA29">
        <f t="shared" si="1"/>
        <v>0</v>
      </c>
      <c r="AB29">
        <f t="shared" si="1"/>
        <v>0</v>
      </c>
      <c r="AC29">
        <f t="shared" si="1"/>
        <v>0</v>
      </c>
      <c r="AD29">
        <f t="shared" si="1"/>
        <v>0</v>
      </c>
      <c r="AE29">
        <f t="shared" si="5"/>
        <v>0</v>
      </c>
      <c r="AF29">
        <f t="shared" si="5"/>
        <v>0</v>
      </c>
      <c r="AG29">
        <f t="shared" si="5"/>
        <v>0</v>
      </c>
      <c r="AH29">
        <f t="shared" si="5"/>
        <v>0</v>
      </c>
    </row>
    <row r="30" spans="1:34">
      <c r="A30">
        <v>315</v>
      </c>
      <c r="B30">
        <v>899031</v>
      </c>
      <c r="C30" t="s">
        <v>3969</v>
      </c>
      <c r="D30">
        <v>622022</v>
      </c>
      <c r="E30" t="s">
        <v>3939</v>
      </c>
      <c r="F30" t="s">
        <v>3940</v>
      </c>
      <c r="G30" s="217">
        <v>5353.47</v>
      </c>
      <c r="H30" t="s">
        <v>3941</v>
      </c>
      <c r="I30">
        <v>35.270000000000003</v>
      </c>
      <c r="J30">
        <v>536.95000000000005</v>
      </c>
      <c r="K30">
        <v>80</v>
      </c>
      <c r="L30" s="13">
        <f>VLOOKUP($B30,'[3]חשבונות חברה 40'!$A:$I,7,0)</f>
        <v>0</v>
      </c>
      <c r="M30" s="13">
        <f>VLOOKUP($B30,'[3]חשבונות חברה 40'!$A:$I,5,0)</f>
        <v>0</v>
      </c>
      <c r="N30" s="4">
        <f>IF(VLOOKUP($B30,'[3]חשבונות חברה 40'!$A:$J,10,0)=0,"",VLOOKUP($B30,'[3]חשבונות חברה 40'!$A:$J,10,0))</f>
        <v>41809</v>
      </c>
      <c r="O30">
        <f t="shared" si="1"/>
        <v>429.56000000000006</v>
      </c>
      <c r="P30">
        <f t="shared" si="1"/>
        <v>375.86500000000001</v>
      </c>
      <c r="Q30">
        <f t="shared" si="1"/>
        <v>322.17</v>
      </c>
      <c r="R30">
        <f t="shared" si="1"/>
        <v>268.47500000000002</v>
      </c>
      <c r="S30">
        <f t="shared" si="1"/>
        <v>214.78000000000003</v>
      </c>
      <c r="T30">
        <f t="shared" si="1"/>
        <v>161.08500000000004</v>
      </c>
      <c r="U30">
        <f t="shared" si="1"/>
        <v>107.38999999999999</v>
      </c>
      <c r="V30">
        <f t="shared" si="1"/>
        <v>53.694999999999993</v>
      </c>
      <c r="W30">
        <f t="shared" si="1"/>
        <v>0</v>
      </c>
      <c r="X30">
        <f t="shared" si="1"/>
        <v>0</v>
      </c>
      <c r="Y30">
        <f t="shared" si="1"/>
        <v>0</v>
      </c>
      <c r="Z30">
        <f t="shared" si="1"/>
        <v>0</v>
      </c>
      <c r="AA30">
        <f t="shared" si="1"/>
        <v>0</v>
      </c>
      <c r="AB30">
        <f t="shared" si="1"/>
        <v>0</v>
      </c>
      <c r="AC30">
        <f t="shared" si="1"/>
        <v>0</v>
      </c>
      <c r="AD30">
        <f t="shared" si="1"/>
        <v>0</v>
      </c>
      <c r="AE30">
        <f t="shared" si="5"/>
        <v>0</v>
      </c>
      <c r="AF30">
        <f t="shared" si="5"/>
        <v>0</v>
      </c>
      <c r="AG30">
        <f t="shared" si="5"/>
        <v>0</v>
      </c>
      <c r="AH30">
        <f t="shared" si="5"/>
        <v>0</v>
      </c>
    </row>
    <row r="31" spans="1:34">
      <c r="A31">
        <v>316</v>
      </c>
      <c r="B31">
        <v>899032</v>
      </c>
      <c r="C31" t="s">
        <v>3970</v>
      </c>
      <c r="D31">
        <v>622022</v>
      </c>
      <c r="E31" t="s">
        <v>3939</v>
      </c>
      <c r="F31" t="s">
        <v>3940</v>
      </c>
      <c r="G31" s="217">
        <v>6836.93</v>
      </c>
      <c r="H31" t="s">
        <v>3941</v>
      </c>
      <c r="I31">
        <v>42.83</v>
      </c>
      <c r="J31">
        <v>685.74</v>
      </c>
      <c r="K31">
        <v>90</v>
      </c>
      <c r="L31" s="13">
        <f>VLOOKUP($B31,'[3]חשבונות חברה 40'!$A:$I,7,0)</f>
        <v>0</v>
      </c>
      <c r="M31" s="13">
        <f>VLOOKUP($B31,'[3]חשבונות חברה 40'!$A:$I,5,0)</f>
        <v>0</v>
      </c>
      <c r="N31" s="4">
        <f>IF(VLOOKUP($B31,'[3]חשבונות חברה 40'!$A:$J,10,0)=0,"",VLOOKUP($B31,'[3]חשבונות חברה 40'!$A:$J,10,0))</f>
        <v>42103</v>
      </c>
      <c r="O31">
        <f t="shared" si="1"/>
        <v>617.16600000000005</v>
      </c>
      <c r="P31">
        <f t="shared" si="1"/>
        <v>548.59199999999998</v>
      </c>
      <c r="Q31">
        <f t="shared" si="1"/>
        <v>480.01799999999997</v>
      </c>
      <c r="R31">
        <f t="shared" si="1"/>
        <v>411.44400000000002</v>
      </c>
      <c r="S31">
        <f t="shared" si="1"/>
        <v>342.87</v>
      </c>
      <c r="T31">
        <f t="shared" si="1"/>
        <v>274.29599999999999</v>
      </c>
      <c r="U31">
        <f t="shared" si="1"/>
        <v>205.72200000000004</v>
      </c>
      <c r="V31">
        <f t="shared" si="1"/>
        <v>137.14799999999997</v>
      </c>
      <c r="W31">
        <f t="shared" si="1"/>
        <v>68.573999999999984</v>
      </c>
      <c r="X31">
        <f t="shared" si="1"/>
        <v>0</v>
      </c>
      <c r="Y31">
        <f t="shared" si="1"/>
        <v>0</v>
      </c>
      <c r="Z31">
        <f t="shared" si="1"/>
        <v>0</v>
      </c>
      <c r="AA31">
        <f t="shared" si="1"/>
        <v>0</v>
      </c>
      <c r="AB31">
        <f t="shared" si="1"/>
        <v>0</v>
      </c>
      <c r="AC31">
        <f t="shared" si="1"/>
        <v>0</v>
      </c>
      <c r="AD31">
        <f t="shared" si="1"/>
        <v>0</v>
      </c>
      <c r="AE31">
        <f t="shared" si="5"/>
        <v>0</v>
      </c>
      <c r="AF31">
        <f t="shared" si="5"/>
        <v>0</v>
      </c>
      <c r="AG31">
        <f t="shared" si="5"/>
        <v>0</v>
      </c>
      <c r="AH31">
        <f t="shared" si="5"/>
        <v>0</v>
      </c>
    </row>
    <row r="32" spans="1:34">
      <c r="A32">
        <v>317</v>
      </c>
      <c r="B32">
        <v>899033</v>
      </c>
      <c r="C32" t="s">
        <v>3971</v>
      </c>
      <c r="D32">
        <v>622022</v>
      </c>
      <c r="E32" t="s">
        <v>3939</v>
      </c>
      <c r="F32" t="s">
        <v>3940</v>
      </c>
      <c r="G32" s="217">
        <v>7993.46</v>
      </c>
      <c r="H32" t="s">
        <v>3941</v>
      </c>
      <c r="I32">
        <v>46.15</v>
      </c>
      <c r="J32">
        <v>801.74</v>
      </c>
      <c r="K32">
        <v>100</v>
      </c>
      <c r="L32" s="13">
        <f>VLOOKUP($B32,'[3]חשבונות חברה 40'!$A:$I,7,0)</f>
        <v>0</v>
      </c>
      <c r="M32" s="13">
        <f>VLOOKUP($B32,'[3]חשבונות חברה 40'!$A:$I,5,0)</f>
        <v>0</v>
      </c>
      <c r="N32" s="4">
        <f>IF(VLOOKUP($B32,'[3]חשבונות חברה 40'!$A:$J,10,0)=0,"",VLOOKUP($B32,'[3]חשבונות חברה 40'!$A:$J,10,0))</f>
        <v>42785</v>
      </c>
      <c r="O32">
        <f t="shared" si="1"/>
        <v>801.74</v>
      </c>
      <c r="P32">
        <f t="shared" si="1"/>
        <v>801.74</v>
      </c>
      <c r="Q32">
        <f t="shared" ref="Q32:AF47" si="6">IF((Q$2-$N32)/365&lt;10,1,IF((Q$2-$N32)/365&gt;20,0,1-(ROUNDDOWN(((Q$2-$N32)/365),0)-10)/10))*$J32</f>
        <v>721.56600000000003</v>
      </c>
      <c r="R32">
        <f t="shared" si="6"/>
        <v>641.39200000000005</v>
      </c>
      <c r="S32">
        <f t="shared" si="6"/>
        <v>561.21799999999996</v>
      </c>
      <c r="T32">
        <f t="shared" si="6"/>
        <v>481.04399999999998</v>
      </c>
      <c r="U32">
        <f t="shared" si="6"/>
        <v>400.87</v>
      </c>
      <c r="V32">
        <f t="shared" si="6"/>
        <v>320.69600000000003</v>
      </c>
      <c r="W32">
        <f t="shared" si="6"/>
        <v>240.52200000000005</v>
      </c>
      <c r="X32">
        <f t="shared" si="6"/>
        <v>160.34799999999996</v>
      </c>
      <c r="Y32">
        <f t="shared" si="6"/>
        <v>80.173999999999978</v>
      </c>
      <c r="Z32">
        <f t="shared" si="6"/>
        <v>0</v>
      </c>
      <c r="AA32">
        <f t="shared" si="6"/>
        <v>0</v>
      </c>
      <c r="AB32">
        <f t="shared" si="6"/>
        <v>0</v>
      </c>
      <c r="AC32">
        <f t="shared" si="6"/>
        <v>0</v>
      </c>
      <c r="AD32">
        <f t="shared" si="6"/>
        <v>0</v>
      </c>
      <c r="AE32">
        <f t="shared" si="6"/>
        <v>0</v>
      </c>
      <c r="AF32">
        <f t="shared" si="6"/>
        <v>0</v>
      </c>
      <c r="AG32">
        <f t="shared" si="5"/>
        <v>0</v>
      </c>
      <c r="AH32">
        <f t="shared" si="5"/>
        <v>0</v>
      </c>
    </row>
    <row r="33" spans="1:34">
      <c r="A33">
        <v>318</v>
      </c>
      <c r="B33">
        <v>899034</v>
      </c>
      <c r="C33" t="s">
        <v>3972</v>
      </c>
      <c r="D33">
        <v>622022</v>
      </c>
      <c r="E33" t="s">
        <v>3939</v>
      </c>
      <c r="F33" t="s">
        <v>3940</v>
      </c>
      <c r="G33" s="217">
        <v>7180.3</v>
      </c>
      <c r="H33" t="s">
        <v>3941</v>
      </c>
      <c r="I33">
        <v>39.35</v>
      </c>
      <c r="J33">
        <v>720.18</v>
      </c>
      <c r="K33">
        <v>100</v>
      </c>
      <c r="L33" s="13">
        <f>VLOOKUP($B33,'[3]חשבונות חברה 40'!$A:$I,7,0)</f>
        <v>0</v>
      </c>
      <c r="M33" s="13">
        <f>VLOOKUP($B33,'[3]חשבונות חברה 40'!$A:$I,5,0)</f>
        <v>0</v>
      </c>
      <c r="N33" s="4">
        <f>IF(VLOOKUP($B33,'[3]חשבונות חברה 40'!$A:$J,10,0)=0,"",VLOOKUP($B33,'[3]חשבונות חברה 40'!$A:$J,10,0))</f>
        <v>42739</v>
      </c>
      <c r="O33">
        <f t="shared" ref="O33:AD48" si="7">IF((O$2-$N33)/365&lt;10,1,IF((O$2-$N33)/365&gt;20,0,1-(ROUNDDOWN(((O$2-$N33)/365),0)-10)/10))*$J33</f>
        <v>720.18</v>
      </c>
      <c r="P33">
        <f t="shared" si="7"/>
        <v>720.18</v>
      </c>
      <c r="Q33">
        <f t="shared" si="7"/>
        <v>648.16199999999992</v>
      </c>
      <c r="R33">
        <f t="shared" si="7"/>
        <v>576.14400000000001</v>
      </c>
      <c r="S33">
        <f t="shared" si="7"/>
        <v>504.12599999999992</v>
      </c>
      <c r="T33">
        <f t="shared" si="7"/>
        <v>432.10799999999995</v>
      </c>
      <c r="U33">
        <f t="shared" si="7"/>
        <v>288.072</v>
      </c>
      <c r="V33">
        <f t="shared" si="7"/>
        <v>216.05400000000003</v>
      </c>
      <c r="W33">
        <f t="shared" si="7"/>
        <v>144.03599999999994</v>
      </c>
      <c r="X33">
        <f t="shared" si="7"/>
        <v>72.017999999999972</v>
      </c>
      <c r="Y33">
        <f t="shared" si="7"/>
        <v>0</v>
      </c>
      <c r="Z33">
        <f t="shared" si="7"/>
        <v>0</v>
      </c>
      <c r="AA33">
        <f t="shared" si="7"/>
        <v>0</v>
      </c>
      <c r="AB33">
        <f t="shared" si="7"/>
        <v>0</v>
      </c>
      <c r="AC33">
        <f t="shared" si="7"/>
        <v>0</v>
      </c>
      <c r="AD33">
        <f t="shared" si="7"/>
        <v>0</v>
      </c>
      <c r="AE33">
        <f t="shared" si="6"/>
        <v>0</v>
      </c>
      <c r="AF33">
        <f t="shared" si="6"/>
        <v>0</v>
      </c>
      <c r="AG33">
        <f t="shared" si="5"/>
        <v>0</v>
      </c>
      <c r="AH33">
        <f t="shared" si="5"/>
        <v>0</v>
      </c>
    </row>
    <row r="34" spans="1:34">
      <c r="A34">
        <v>319</v>
      </c>
      <c r="B34">
        <v>899035</v>
      </c>
      <c r="C34" t="s">
        <v>3973</v>
      </c>
      <c r="D34">
        <v>622022</v>
      </c>
      <c r="E34" t="s">
        <v>3939</v>
      </c>
      <c r="F34" t="s">
        <v>3940</v>
      </c>
      <c r="G34" s="217">
        <v>7899.54</v>
      </c>
      <c r="H34" t="s">
        <v>3941</v>
      </c>
      <c r="I34">
        <v>45.36</v>
      </c>
      <c r="J34">
        <v>792.32</v>
      </c>
      <c r="K34">
        <v>100</v>
      </c>
      <c r="L34" s="13">
        <f>VLOOKUP($B34,'[3]חשבונות חברה 40'!$A:$I,7,0)</f>
        <v>0</v>
      </c>
      <c r="M34" s="13">
        <f>VLOOKUP($B34,'[3]חשבונות חברה 40'!$A:$I,5,0)</f>
        <v>0</v>
      </c>
      <c r="N34" s="4">
        <f>IF(VLOOKUP($B34,'[3]חשבונות חברה 40'!$A:$J,10,0)=0,"",VLOOKUP($B34,'[3]חשבונות חברה 40'!$A:$J,10,0))</f>
        <v>44024</v>
      </c>
      <c r="O34">
        <f t="shared" si="7"/>
        <v>792.32</v>
      </c>
      <c r="P34">
        <f t="shared" si="7"/>
        <v>792.32</v>
      </c>
      <c r="Q34">
        <f t="shared" si="7"/>
        <v>792.32</v>
      </c>
      <c r="R34">
        <f t="shared" si="7"/>
        <v>792.32</v>
      </c>
      <c r="S34">
        <f t="shared" si="7"/>
        <v>792.32</v>
      </c>
      <c r="T34">
        <f t="shared" si="7"/>
        <v>713.08800000000008</v>
      </c>
      <c r="U34">
        <f t="shared" si="7"/>
        <v>633.85600000000011</v>
      </c>
      <c r="V34">
        <f t="shared" si="7"/>
        <v>554.62400000000002</v>
      </c>
      <c r="W34">
        <f t="shared" si="7"/>
        <v>475.392</v>
      </c>
      <c r="X34">
        <f t="shared" si="7"/>
        <v>396.16</v>
      </c>
      <c r="Y34">
        <f t="shared" si="7"/>
        <v>316.92800000000005</v>
      </c>
      <c r="Z34">
        <f t="shared" si="7"/>
        <v>237.69600000000005</v>
      </c>
      <c r="AA34">
        <f t="shared" si="7"/>
        <v>158.46399999999997</v>
      </c>
      <c r="AB34">
        <f t="shared" si="7"/>
        <v>79.231999999999985</v>
      </c>
      <c r="AC34">
        <f t="shared" si="7"/>
        <v>0</v>
      </c>
      <c r="AD34">
        <f t="shared" si="7"/>
        <v>0</v>
      </c>
      <c r="AE34">
        <f t="shared" si="6"/>
        <v>0</v>
      </c>
      <c r="AF34">
        <f t="shared" si="6"/>
        <v>0</v>
      </c>
      <c r="AG34">
        <f t="shared" si="5"/>
        <v>0</v>
      </c>
      <c r="AH34">
        <f t="shared" si="5"/>
        <v>0</v>
      </c>
    </row>
    <row r="35" spans="1:34">
      <c r="A35">
        <v>320</v>
      </c>
      <c r="B35">
        <v>899036</v>
      </c>
      <c r="C35" t="s">
        <v>3974</v>
      </c>
      <c r="D35">
        <v>622022</v>
      </c>
      <c r="E35" t="s">
        <v>3939</v>
      </c>
      <c r="F35" t="s">
        <v>3940</v>
      </c>
      <c r="G35" s="217">
        <v>8215.4</v>
      </c>
      <c r="H35" t="s">
        <v>3941</v>
      </c>
      <c r="I35">
        <v>48</v>
      </c>
      <c r="J35">
        <v>824</v>
      </c>
      <c r="K35">
        <v>100</v>
      </c>
      <c r="L35" s="13">
        <f>VLOOKUP($B35,'[3]חשבונות חברה 40'!$A:$I,7,0)</f>
        <v>0</v>
      </c>
      <c r="M35" s="13">
        <f>VLOOKUP($B35,'[3]חשבונות חברה 40'!$A:$I,5,0)</f>
        <v>0</v>
      </c>
      <c r="N35" s="4">
        <f>IF(VLOOKUP($B35,'[3]חשבונות חברה 40'!$A:$J,10,0)=0,"",VLOOKUP($B35,'[3]חשבונות חברה 40'!$A:$J,10,0))</f>
        <v>43973</v>
      </c>
      <c r="O35">
        <f t="shared" si="7"/>
        <v>824</v>
      </c>
      <c r="P35">
        <f t="shared" si="7"/>
        <v>824</v>
      </c>
      <c r="Q35">
        <f t="shared" si="7"/>
        <v>824</v>
      </c>
      <c r="R35">
        <f t="shared" si="7"/>
        <v>824</v>
      </c>
      <c r="S35">
        <f t="shared" si="7"/>
        <v>824</v>
      </c>
      <c r="T35">
        <f t="shared" si="7"/>
        <v>741.6</v>
      </c>
      <c r="U35">
        <f t="shared" si="7"/>
        <v>659.2</v>
      </c>
      <c r="V35">
        <f t="shared" si="7"/>
        <v>576.79999999999995</v>
      </c>
      <c r="W35">
        <f t="shared" si="7"/>
        <v>494.4</v>
      </c>
      <c r="X35">
        <f t="shared" si="7"/>
        <v>412</v>
      </c>
      <c r="Y35">
        <f t="shared" si="7"/>
        <v>329.6</v>
      </c>
      <c r="Z35">
        <f t="shared" si="7"/>
        <v>247.20000000000005</v>
      </c>
      <c r="AA35">
        <f t="shared" si="7"/>
        <v>164.79999999999995</v>
      </c>
      <c r="AB35">
        <f t="shared" si="7"/>
        <v>82.399999999999977</v>
      </c>
      <c r="AC35">
        <f t="shared" si="7"/>
        <v>0</v>
      </c>
      <c r="AD35">
        <f t="shared" si="7"/>
        <v>0</v>
      </c>
      <c r="AE35">
        <f t="shared" si="6"/>
        <v>0</v>
      </c>
      <c r="AF35">
        <f t="shared" si="6"/>
        <v>0</v>
      </c>
      <c r="AG35">
        <f t="shared" si="5"/>
        <v>0</v>
      </c>
      <c r="AH35">
        <f t="shared" si="5"/>
        <v>0</v>
      </c>
    </row>
    <row r="36" spans="1:34">
      <c r="A36">
        <v>321</v>
      </c>
      <c r="B36">
        <v>899041</v>
      </c>
      <c r="C36" t="s">
        <v>3975</v>
      </c>
      <c r="D36">
        <v>622022</v>
      </c>
      <c r="E36" t="s">
        <v>3939</v>
      </c>
      <c r="F36" t="s">
        <v>3940</v>
      </c>
      <c r="G36" s="217">
        <v>5750.78</v>
      </c>
      <c r="H36" t="s">
        <v>3941</v>
      </c>
      <c r="I36">
        <v>48</v>
      </c>
      <c r="J36">
        <v>576.79999999999995</v>
      </c>
      <c r="K36">
        <v>70</v>
      </c>
      <c r="L36" s="13">
        <f>VLOOKUP($B36,'[3]חשבונות חברה 40'!$A:$I,7,0)</f>
        <v>0</v>
      </c>
      <c r="M36" s="13">
        <f>VLOOKUP($B36,'[3]חשבונות חברה 40'!$A:$I,5,0)</f>
        <v>0</v>
      </c>
      <c r="N36" s="4">
        <f>IF(VLOOKUP($B36,'[3]חשבונות חברה 40'!$A:$J,10,0)=0,"",VLOOKUP($B36,'[3]חשבונות חברה 40'!$A:$J,10,0))</f>
        <v>41258</v>
      </c>
      <c r="O36">
        <f t="shared" si="7"/>
        <v>346.08</v>
      </c>
      <c r="P36">
        <f t="shared" si="7"/>
        <v>288.39999999999998</v>
      </c>
      <c r="Q36">
        <f t="shared" si="7"/>
        <v>230.72</v>
      </c>
      <c r="R36">
        <f t="shared" si="7"/>
        <v>173.04000000000002</v>
      </c>
      <c r="S36">
        <f t="shared" si="7"/>
        <v>115.35999999999997</v>
      </c>
      <c r="T36">
        <f t="shared" si="7"/>
        <v>57.679999999999986</v>
      </c>
      <c r="U36">
        <f t="shared" si="7"/>
        <v>0</v>
      </c>
      <c r="V36">
        <f t="shared" si="7"/>
        <v>0</v>
      </c>
      <c r="W36">
        <f t="shared" si="7"/>
        <v>0</v>
      </c>
      <c r="X36">
        <f t="shared" si="7"/>
        <v>0</v>
      </c>
      <c r="Y36">
        <f t="shared" si="7"/>
        <v>0</v>
      </c>
      <c r="Z36">
        <f t="shared" si="7"/>
        <v>0</v>
      </c>
      <c r="AA36">
        <f t="shared" si="7"/>
        <v>0</v>
      </c>
      <c r="AB36">
        <f t="shared" si="7"/>
        <v>0</v>
      </c>
      <c r="AC36">
        <f t="shared" si="7"/>
        <v>0</v>
      </c>
      <c r="AD36">
        <f t="shared" si="7"/>
        <v>0</v>
      </c>
      <c r="AE36">
        <f t="shared" si="6"/>
        <v>0</v>
      </c>
      <c r="AF36">
        <f t="shared" si="6"/>
        <v>0</v>
      </c>
      <c r="AG36">
        <f t="shared" si="5"/>
        <v>0</v>
      </c>
      <c r="AH36">
        <f t="shared" si="5"/>
        <v>0</v>
      </c>
    </row>
    <row r="37" spans="1:34">
      <c r="A37">
        <v>322</v>
      </c>
      <c r="B37">
        <v>899042</v>
      </c>
      <c r="C37" t="s">
        <v>3976</v>
      </c>
      <c r="D37">
        <v>622022</v>
      </c>
      <c r="E37" t="s">
        <v>3939</v>
      </c>
      <c r="F37" t="s">
        <v>3940</v>
      </c>
      <c r="G37" s="217">
        <v>5340.11</v>
      </c>
      <c r="H37" t="s">
        <v>3941</v>
      </c>
      <c r="I37">
        <v>43.1</v>
      </c>
      <c r="J37">
        <v>535.61</v>
      </c>
      <c r="K37">
        <v>70</v>
      </c>
      <c r="L37" s="13">
        <f>VLOOKUP($B37,'[3]חשבונות חברה 40'!$A:$I,7,0)</f>
        <v>0</v>
      </c>
      <c r="M37" s="13">
        <f>VLOOKUP($B37,'[3]חשבונות חברה 40'!$A:$I,5,0)</f>
        <v>0</v>
      </c>
      <c r="N37" s="4">
        <f>IF(VLOOKUP($B37,'[3]חשבונות חברה 40'!$A:$J,10,0)=0,"",VLOOKUP($B37,'[3]חשבונות חברה 40'!$A:$J,10,0))</f>
        <v>41258</v>
      </c>
      <c r="O37">
        <f t="shared" si="7"/>
        <v>321.36599999999999</v>
      </c>
      <c r="P37">
        <f t="shared" si="7"/>
        <v>267.80500000000001</v>
      </c>
      <c r="Q37">
        <f t="shared" si="7"/>
        <v>214.24400000000003</v>
      </c>
      <c r="R37">
        <f t="shared" si="7"/>
        <v>160.68300000000002</v>
      </c>
      <c r="S37">
        <f t="shared" si="7"/>
        <v>107.12199999999999</v>
      </c>
      <c r="T37">
        <f t="shared" si="7"/>
        <v>53.560999999999993</v>
      </c>
      <c r="U37">
        <f t="shared" si="7"/>
        <v>0</v>
      </c>
      <c r="V37">
        <f t="shared" si="7"/>
        <v>0</v>
      </c>
      <c r="W37">
        <f t="shared" si="7"/>
        <v>0</v>
      </c>
      <c r="X37">
        <f t="shared" si="7"/>
        <v>0</v>
      </c>
      <c r="Y37">
        <f t="shared" si="7"/>
        <v>0</v>
      </c>
      <c r="Z37">
        <f t="shared" si="7"/>
        <v>0</v>
      </c>
      <c r="AA37">
        <f t="shared" si="7"/>
        <v>0</v>
      </c>
      <c r="AB37">
        <f t="shared" si="7"/>
        <v>0</v>
      </c>
      <c r="AC37">
        <f t="shared" si="7"/>
        <v>0</v>
      </c>
      <c r="AD37">
        <f t="shared" si="7"/>
        <v>0</v>
      </c>
      <c r="AE37">
        <f t="shared" si="6"/>
        <v>0</v>
      </c>
      <c r="AF37">
        <f t="shared" si="6"/>
        <v>0</v>
      </c>
      <c r="AG37">
        <f t="shared" si="5"/>
        <v>0</v>
      </c>
      <c r="AH37">
        <f t="shared" si="5"/>
        <v>0</v>
      </c>
    </row>
    <row r="38" spans="1:34">
      <c r="A38">
        <v>323</v>
      </c>
      <c r="B38">
        <v>899043</v>
      </c>
      <c r="C38" t="s">
        <v>3977</v>
      </c>
      <c r="D38">
        <v>622022</v>
      </c>
      <c r="E38" t="s">
        <v>3939</v>
      </c>
      <c r="F38" t="s">
        <v>3940</v>
      </c>
      <c r="G38" s="217">
        <v>3323.45</v>
      </c>
      <c r="H38" t="s">
        <v>3941</v>
      </c>
      <c r="I38">
        <v>19.02</v>
      </c>
      <c r="J38">
        <v>333.34</v>
      </c>
      <c r="K38">
        <v>70</v>
      </c>
      <c r="L38" s="13">
        <f>VLOOKUP($B38,'[3]חשבונות חברה 40'!$A:$I,7,0)</f>
        <v>0</v>
      </c>
      <c r="M38" s="13">
        <f>VLOOKUP($B38,'[3]חשבונות חברה 40'!$A:$I,5,0)</f>
        <v>0</v>
      </c>
      <c r="N38" s="4">
        <f>IF(VLOOKUP($B38,'[3]חשבונות חברה 40'!$A:$J,10,0)=0,"",VLOOKUP($B38,'[3]חשבונות חברה 40'!$A:$J,10,0))</f>
        <v>41258</v>
      </c>
      <c r="O38">
        <f t="shared" si="7"/>
        <v>200.00399999999999</v>
      </c>
      <c r="P38">
        <f t="shared" si="7"/>
        <v>166.67</v>
      </c>
      <c r="Q38">
        <f t="shared" si="7"/>
        <v>133.33599999999998</v>
      </c>
      <c r="R38">
        <f t="shared" si="7"/>
        <v>100.00200000000001</v>
      </c>
      <c r="S38">
        <f t="shared" si="7"/>
        <v>66.667999999999978</v>
      </c>
      <c r="T38">
        <f t="shared" si="7"/>
        <v>33.333999999999989</v>
      </c>
      <c r="U38">
        <f t="shared" si="7"/>
        <v>0</v>
      </c>
      <c r="V38">
        <f t="shared" si="7"/>
        <v>0</v>
      </c>
      <c r="W38">
        <f t="shared" si="7"/>
        <v>0</v>
      </c>
      <c r="X38">
        <f t="shared" si="7"/>
        <v>0</v>
      </c>
      <c r="Y38">
        <f t="shared" si="7"/>
        <v>0</v>
      </c>
      <c r="Z38">
        <f t="shared" si="7"/>
        <v>0</v>
      </c>
      <c r="AA38">
        <f t="shared" si="7"/>
        <v>0</v>
      </c>
      <c r="AB38">
        <f t="shared" si="7"/>
        <v>0</v>
      </c>
      <c r="AC38">
        <f t="shared" si="7"/>
        <v>0</v>
      </c>
      <c r="AD38">
        <f t="shared" si="7"/>
        <v>0</v>
      </c>
      <c r="AE38">
        <f t="shared" si="6"/>
        <v>0</v>
      </c>
      <c r="AF38">
        <f t="shared" si="6"/>
        <v>0</v>
      </c>
      <c r="AG38">
        <f t="shared" si="5"/>
        <v>0</v>
      </c>
      <c r="AH38">
        <f t="shared" si="5"/>
        <v>0</v>
      </c>
    </row>
    <row r="39" spans="1:34">
      <c r="A39">
        <v>324</v>
      </c>
      <c r="B39">
        <v>899044</v>
      </c>
      <c r="C39" t="s">
        <v>3978</v>
      </c>
      <c r="D39">
        <v>622022</v>
      </c>
      <c r="E39" t="s">
        <v>3939</v>
      </c>
      <c r="F39" t="s">
        <v>3940</v>
      </c>
      <c r="G39" s="217">
        <v>7393.86</v>
      </c>
      <c r="H39" t="s">
        <v>3941</v>
      </c>
      <c r="I39">
        <v>48</v>
      </c>
      <c r="J39">
        <v>741.6</v>
      </c>
      <c r="K39">
        <v>90</v>
      </c>
      <c r="L39" s="13">
        <f>VLOOKUP($B39,'[3]חשבונות חברה 40'!$A:$I,7,0)</f>
        <v>0</v>
      </c>
      <c r="M39" s="13">
        <f>VLOOKUP($B39,'[3]חשבונות חברה 40'!$A:$I,5,0)</f>
        <v>0</v>
      </c>
      <c r="N39" s="4">
        <f>IF(VLOOKUP($B39,'[3]חשבונות חברה 40'!$A:$J,10,0)=0,"",VLOOKUP($B39,'[3]חשבונות חברה 40'!$A:$J,10,0))</f>
        <v>42158</v>
      </c>
      <c r="O39">
        <f t="shared" si="7"/>
        <v>667.44</v>
      </c>
      <c r="P39">
        <f t="shared" si="7"/>
        <v>593.28000000000009</v>
      </c>
      <c r="Q39">
        <f t="shared" si="7"/>
        <v>519.12</v>
      </c>
      <c r="R39">
        <f t="shared" si="7"/>
        <v>444.96</v>
      </c>
      <c r="S39">
        <f t="shared" si="7"/>
        <v>370.8</v>
      </c>
      <c r="T39">
        <f t="shared" si="7"/>
        <v>296.64000000000004</v>
      </c>
      <c r="U39">
        <f t="shared" si="7"/>
        <v>222.48000000000005</v>
      </c>
      <c r="V39">
        <f t="shared" si="7"/>
        <v>148.31999999999996</v>
      </c>
      <c r="W39">
        <f t="shared" si="7"/>
        <v>74.159999999999982</v>
      </c>
      <c r="X39">
        <f t="shared" si="7"/>
        <v>0</v>
      </c>
      <c r="Y39">
        <f t="shared" si="7"/>
        <v>0</v>
      </c>
      <c r="Z39">
        <f t="shared" si="7"/>
        <v>0</v>
      </c>
      <c r="AA39">
        <f t="shared" si="7"/>
        <v>0</v>
      </c>
      <c r="AB39">
        <f t="shared" si="7"/>
        <v>0</v>
      </c>
      <c r="AC39">
        <f t="shared" si="7"/>
        <v>0</v>
      </c>
      <c r="AD39">
        <f t="shared" si="7"/>
        <v>0</v>
      </c>
      <c r="AE39">
        <f t="shared" si="6"/>
        <v>0</v>
      </c>
      <c r="AF39">
        <f t="shared" si="6"/>
        <v>0</v>
      </c>
      <c r="AG39">
        <f t="shared" si="5"/>
        <v>0</v>
      </c>
      <c r="AH39">
        <f t="shared" si="5"/>
        <v>0</v>
      </c>
    </row>
    <row r="40" spans="1:34">
      <c r="A40">
        <v>325</v>
      </c>
      <c r="B40">
        <v>899045</v>
      </c>
      <c r="C40" t="s">
        <v>3979</v>
      </c>
      <c r="D40">
        <v>622022</v>
      </c>
      <c r="E40" t="s">
        <v>3939</v>
      </c>
      <c r="F40" t="s">
        <v>3940</v>
      </c>
      <c r="G40" s="217">
        <v>8199.64</v>
      </c>
      <c r="H40" t="s">
        <v>3941</v>
      </c>
      <c r="I40">
        <v>47.87</v>
      </c>
      <c r="J40">
        <v>822.42</v>
      </c>
      <c r="K40">
        <v>100</v>
      </c>
      <c r="L40" s="13">
        <f>VLOOKUP($B40,'[3]חשבונות חברה 40'!$A:$I,7,0)</f>
        <v>0</v>
      </c>
      <c r="M40" s="13">
        <f>VLOOKUP($B40,'[3]חשבונות חברה 40'!$A:$I,5,0)</f>
        <v>0</v>
      </c>
      <c r="N40" s="4">
        <f>IF(VLOOKUP($B40,'[3]חשבונות חברה 40'!$A:$J,10,0)=0,"",VLOOKUP($B40,'[3]חשבונות חברה 40'!$A:$J,10,0))</f>
        <v>43134</v>
      </c>
      <c r="O40">
        <f t="shared" si="7"/>
        <v>822.42</v>
      </c>
      <c r="P40">
        <f t="shared" si="7"/>
        <v>822.42</v>
      </c>
      <c r="Q40">
        <f t="shared" si="7"/>
        <v>822.42</v>
      </c>
      <c r="R40">
        <f t="shared" si="7"/>
        <v>740.178</v>
      </c>
      <c r="S40">
        <f t="shared" si="7"/>
        <v>657.93600000000004</v>
      </c>
      <c r="T40">
        <f t="shared" si="7"/>
        <v>575.69399999999996</v>
      </c>
      <c r="U40">
        <f t="shared" si="7"/>
        <v>493.45199999999994</v>
      </c>
      <c r="V40">
        <f t="shared" si="7"/>
        <v>411.21</v>
      </c>
      <c r="W40">
        <f t="shared" si="7"/>
        <v>328.96800000000002</v>
      </c>
      <c r="X40">
        <f t="shared" si="7"/>
        <v>246.72600000000003</v>
      </c>
      <c r="Y40">
        <f t="shared" si="7"/>
        <v>164.48399999999995</v>
      </c>
      <c r="Z40">
        <f t="shared" si="7"/>
        <v>82.241999999999976</v>
      </c>
      <c r="AA40">
        <f t="shared" si="7"/>
        <v>0</v>
      </c>
      <c r="AB40">
        <f t="shared" si="7"/>
        <v>0</v>
      </c>
      <c r="AC40">
        <f t="shared" si="7"/>
        <v>0</v>
      </c>
      <c r="AD40">
        <f t="shared" si="7"/>
        <v>0</v>
      </c>
      <c r="AE40">
        <f t="shared" si="6"/>
        <v>0</v>
      </c>
      <c r="AF40">
        <f t="shared" si="6"/>
        <v>0</v>
      </c>
      <c r="AG40">
        <f t="shared" si="5"/>
        <v>0</v>
      </c>
      <c r="AH40">
        <f t="shared" si="5"/>
        <v>0</v>
      </c>
    </row>
    <row r="41" spans="1:34">
      <c r="A41">
        <v>326</v>
      </c>
      <c r="B41">
        <v>899046</v>
      </c>
      <c r="C41" t="s">
        <v>3980</v>
      </c>
      <c r="D41">
        <v>622022</v>
      </c>
      <c r="E41" t="s">
        <v>3939</v>
      </c>
      <c r="F41" t="s">
        <v>3940</v>
      </c>
      <c r="G41" s="217">
        <v>8215.4</v>
      </c>
      <c r="H41" t="s">
        <v>3941</v>
      </c>
      <c r="I41">
        <v>48</v>
      </c>
      <c r="J41">
        <v>824</v>
      </c>
      <c r="K41">
        <v>100</v>
      </c>
      <c r="L41" s="13">
        <f>VLOOKUP($B41,'[3]חשבונות חברה 40'!$A:$I,7,0)</f>
        <v>0</v>
      </c>
      <c r="M41" s="13">
        <f>VLOOKUP($B41,'[3]חשבונות חברה 40'!$A:$I,5,0)</f>
        <v>0</v>
      </c>
      <c r="N41" s="4">
        <f>IF(VLOOKUP($B41,'[3]חשבונות חברה 40'!$A:$J,10,0)=0,"",VLOOKUP($B41,'[3]חשבונות חברה 40'!$A:$J,10,0))</f>
        <v>45052</v>
      </c>
      <c r="O41">
        <f t="shared" si="7"/>
        <v>824</v>
      </c>
      <c r="P41">
        <f t="shared" si="7"/>
        <v>824</v>
      </c>
      <c r="Q41">
        <f t="shared" si="7"/>
        <v>824</v>
      </c>
      <c r="R41">
        <f t="shared" si="7"/>
        <v>824</v>
      </c>
      <c r="S41">
        <f t="shared" si="7"/>
        <v>824</v>
      </c>
      <c r="T41">
        <f t="shared" si="7"/>
        <v>824</v>
      </c>
      <c r="U41">
        <f t="shared" si="7"/>
        <v>824</v>
      </c>
      <c r="V41">
        <f t="shared" si="7"/>
        <v>824</v>
      </c>
      <c r="W41">
        <f t="shared" si="7"/>
        <v>741.6</v>
      </c>
      <c r="X41">
        <f t="shared" si="7"/>
        <v>659.2</v>
      </c>
      <c r="Y41">
        <f t="shared" si="7"/>
        <v>576.79999999999995</v>
      </c>
      <c r="Z41">
        <f t="shared" si="7"/>
        <v>494.4</v>
      </c>
      <c r="AA41">
        <f t="shared" si="7"/>
        <v>412</v>
      </c>
      <c r="AB41">
        <f t="shared" si="7"/>
        <v>329.6</v>
      </c>
      <c r="AC41">
        <f t="shared" si="7"/>
        <v>247.20000000000005</v>
      </c>
      <c r="AD41">
        <f t="shared" si="7"/>
        <v>164.79999999999995</v>
      </c>
      <c r="AE41">
        <f t="shared" si="6"/>
        <v>82.399999999999977</v>
      </c>
      <c r="AF41">
        <f t="shared" si="6"/>
        <v>0</v>
      </c>
      <c r="AG41">
        <f t="shared" si="5"/>
        <v>0</v>
      </c>
      <c r="AH41">
        <f t="shared" si="5"/>
        <v>0</v>
      </c>
    </row>
    <row r="42" spans="1:34">
      <c r="A42">
        <v>327</v>
      </c>
      <c r="B42">
        <v>899051</v>
      </c>
      <c r="C42" t="s">
        <v>987</v>
      </c>
      <c r="D42">
        <v>622022</v>
      </c>
      <c r="E42" t="s">
        <v>3939</v>
      </c>
      <c r="F42" t="s">
        <v>3940</v>
      </c>
      <c r="G42" s="217">
        <v>4310.29</v>
      </c>
      <c r="H42" t="s">
        <v>3941</v>
      </c>
      <c r="I42">
        <v>30.8</v>
      </c>
      <c r="J42">
        <v>432.32</v>
      </c>
      <c r="K42">
        <v>70</v>
      </c>
      <c r="L42" s="13">
        <f>VLOOKUP($B42,'[3]חשבונות חברה 40'!$A:$I,7,0)</f>
        <v>0</v>
      </c>
      <c r="M42" s="13">
        <f>VLOOKUP($B42,'[3]חשבונות חברה 40'!$A:$I,5,0)</f>
        <v>0</v>
      </c>
      <c r="N42" s="4">
        <f>IF(VLOOKUP($B42,'[3]חשבונות חברה 40'!$A:$J,10,0)=0,"",VLOOKUP($B42,'[3]חשבונות חברה 40'!$A:$J,10,0))</f>
        <v>41258</v>
      </c>
      <c r="O42">
        <f t="shared" si="7"/>
        <v>259.392</v>
      </c>
      <c r="P42">
        <f t="shared" si="7"/>
        <v>216.16</v>
      </c>
      <c r="Q42">
        <f t="shared" si="7"/>
        <v>172.928</v>
      </c>
      <c r="R42">
        <f t="shared" si="7"/>
        <v>129.69600000000003</v>
      </c>
      <c r="S42">
        <f t="shared" si="7"/>
        <v>86.463999999999984</v>
      </c>
      <c r="T42">
        <f t="shared" si="7"/>
        <v>43.231999999999992</v>
      </c>
      <c r="U42">
        <f t="shared" si="7"/>
        <v>0</v>
      </c>
      <c r="V42">
        <f t="shared" si="7"/>
        <v>0</v>
      </c>
      <c r="W42">
        <f t="shared" si="7"/>
        <v>0</v>
      </c>
      <c r="X42">
        <f t="shared" si="7"/>
        <v>0</v>
      </c>
      <c r="Y42">
        <f t="shared" si="7"/>
        <v>0</v>
      </c>
      <c r="Z42">
        <f t="shared" si="7"/>
        <v>0</v>
      </c>
      <c r="AA42">
        <f t="shared" si="7"/>
        <v>0</v>
      </c>
      <c r="AB42">
        <f t="shared" si="7"/>
        <v>0</v>
      </c>
      <c r="AC42">
        <f t="shared" si="7"/>
        <v>0</v>
      </c>
      <c r="AD42">
        <f t="shared" si="7"/>
        <v>0</v>
      </c>
      <c r="AE42">
        <f t="shared" si="6"/>
        <v>0</v>
      </c>
      <c r="AF42">
        <f t="shared" si="6"/>
        <v>0</v>
      </c>
      <c r="AG42">
        <f t="shared" si="5"/>
        <v>0</v>
      </c>
      <c r="AH42">
        <f t="shared" si="5"/>
        <v>0</v>
      </c>
    </row>
    <row r="43" spans="1:34">
      <c r="A43">
        <v>328</v>
      </c>
      <c r="B43">
        <v>899052</v>
      </c>
      <c r="C43" t="s">
        <v>3981</v>
      </c>
      <c r="D43">
        <v>622022</v>
      </c>
      <c r="E43" t="s">
        <v>3939</v>
      </c>
      <c r="F43" t="s">
        <v>3940</v>
      </c>
      <c r="G43" s="217">
        <v>7393.86</v>
      </c>
      <c r="H43" t="s">
        <v>3941</v>
      </c>
      <c r="I43">
        <v>48</v>
      </c>
      <c r="J43">
        <v>741.6</v>
      </c>
      <c r="K43">
        <v>90</v>
      </c>
      <c r="L43" s="13">
        <f>VLOOKUP($B43,'[3]חשבונות חברה 40'!$A:$I,7,0)</f>
        <v>0</v>
      </c>
      <c r="M43" s="13">
        <f>VLOOKUP($B43,'[3]חשבונות חברה 40'!$A:$I,5,0)</f>
        <v>0</v>
      </c>
      <c r="N43" s="4">
        <f>IF(VLOOKUP($B43,'[3]חשבונות חברה 40'!$A:$J,10,0)=0,"",VLOOKUP($B43,'[3]חשבונות חברה 40'!$A:$J,10,0))</f>
        <v>42238</v>
      </c>
      <c r="O43">
        <f t="shared" si="7"/>
        <v>667.44</v>
      </c>
      <c r="P43">
        <f t="shared" si="7"/>
        <v>593.28000000000009</v>
      </c>
      <c r="Q43">
        <f t="shared" si="7"/>
        <v>519.12</v>
      </c>
      <c r="R43">
        <f t="shared" si="7"/>
        <v>444.96</v>
      </c>
      <c r="S43">
        <f t="shared" si="7"/>
        <v>370.8</v>
      </c>
      <c r="T43">
        <f t="shared" si="7"/>
        <v>296.64000000000004</v>
      </c>
      <c r="U43">
        <f t="shared" si="7"/>
        <v>222.48000000000005</v>
      </c>
      <c r="V43">
        <f t="shared" si="7"/>
        <v>148.31999999999996</v>
      </c>
      <c r="W43">
        <f t="shared" si="7"/>
        <v>74.159999999999982</v>
      </c>
      <c r="X43">
        <f t="shared" si="7"/>
        <v>0</v>
      </c>
      <c r="Y43">
        <f t="shared" si="7"/>
        <v>0</v>
      </c>
      <c r="Z43">
        <f t="shared" si="7"/>
        <v>0</v>
      </c>
      <c r="AA43">
        <f t="shared" si="7"/>
        <v>0</v>
      </c>
      <c r="AB43">
        <f t="shared" si="7"/>
        <v>0</v>
      </c>
      <c r="AC43">
        <f t="shared" si="7"/>
        <v>0</v>
      </c>
      <c r="AD43">
        <f t="shared" si="7"/>
        <v>0</v>
      </c>
      <c r="AE43">
        <f t="shared" si="6"/>
        <v>0</v>
      </c>
      <c r="AF43">
        <f t="shared" si="6"/>
        <v>0</v>
      </c>
      <c r="AG43">
        <f t="shared" si="5"/>
        <v>0</v>
      </c>
      <c r="AH43">
        <f t="shared" si="5"/>
        <v>0</v>
      </c>
    </row>
    <row r="44" spans="1:34">
      <c r="A44">
        <v>329</v>
      </c>
      <c r="B44">
        <v>899053</v>
      </c>
      <c r="C44" t="s">
        <v>3982</v>
      </c>
      <c r="D44">
        <v>622022</v>
      </c>
      <c r="E44" t="s">
        <v>3939</v>
      </c>
      <c r="F44" t="s">
        <v>3940</v>
      </c>
      <c r="G44" s="217">
        <v>7057.27</v>
      </c>
      <c r="H44" t="s">
        <v>3941</v>
      </c>
      <c r="I44">
        <v>38.32</v>
      </c>
      <c r="J44">
        <v>707.84</v>
      </c>
      <c r="K44">
        <v>100</v>
      </c>
      <c r="L44" s="13">
        <f>VLOOKUP($B44,'[3]חשבונות חברה 40'!$A:$I,7,0)</f>
        <v>0</v>
      </c>
      <c r="M44" s="13">
        <f>VLOOKUP($B44,'[3]חשבונות חברה 40'!$A:$I,5,0)</f>
        <v>0</v>
      </c>
      <c r="N44" s="4">
        <f>IF(VLOOKUP($B44,'[3]חשבונות חברה 40'!$A:$J,10,0)=0,"",VLOOKUP($B44,'[3]חשבונות חברה 40'!$A:$J,10,0))</f>
        <v>43921</v>
      </c>
      <c r="O44">
        <f t="shared" si="7"/>
        <v>707.84</v>
      </c>
      <c r="P44">
        <f t="shared" si="7"/>
        <v>707.84</v>
      </c>
      <c r="Q44">
        <f t="shared" si="7"/>
        <v>707.84</v>
      </c>
      <c r="R44">
        <f t="shared" si="7"/>
        <v>707.84</v>
      </c>
      <c r="S44">
        <f t="shared" si="7"/>
        <v>707.84</v>
      </c>
      <c r="T44">
        <f t="shared" si="7"/>
        <v>637.05600000000004</v>
      </c>
      <c r="U44">
        <f t="shared" si="7"/>
        <v>566.27200000000005</v>
      </c>
      <c r="V44">
        <f t="shared" si="7"/>
        <v>495.488</v>
      </c>
      <c r="W44">
        <f t="shared" si="7"/>
        <v>424.70400000000001</v>
      </c>
      <c r="X44">
        <f t="shared" si="7"/>
        <v>353.92</v>
      </c>
      <c r="Y44">
        <f t="shared" si="7"/>
        <v>283.13600000000002</v>
      </c>
      <c r="Z44">
        <f t="shared" si="7"/>
        <v>212.35200000000003</v>
      </c>
      <c r="AA44">
        <f t="shared" si="7"/>
        <v>141.56799999999998</v>
      </c>
      <c r="AB44">
        <f t="shared" si="7"/>
        <v>70.783999999999992</v>
      </c>
      <c r="AC44">
        <f t="shared" si="7"/>
        <v>0</v>
      </c>
      <c r="AD44">
        <f t="shared" si="7"/>
        <v>0</v>
      </c>
      <c r="AE44">
        <f t="shared" si="6"/>
        <v>0</v>
      </c>
      <c r="AF44">
        <f t="shared" si="6"/>
        <v>0</v>
      </c>
      <c r="AG44">
        <f t="shared" si="5"/>
        <v>0</v>
      </c>
      <c r="AH44">
        <f t="shared" si="5"/>
        <v>0</v>
      </c>
    </row>
    <row r="45" spans="1:34">
      <c r="A45">
        <v>330</v>
      </c>
      <c r="B45">
        <v>899055</v>
      </c>
      <c r="C45" t="s">
        <v>3983</v>
      </c>
      <c r="D45">
        <v>622022</v>
      </c>
      <c r="E45" t="s">
        <v>3939</v>
      </c>
      <c r="F45" t="s">
        <v>3940</v>
      </c>
      <c r="G45" s="217">
        <v>8215.4</v>
      </c>
      <c r="H45" t="s">
        <v>3941</v>
      </c>
      <c r="I45">
        <v>48</v>
      </c>
      <c r="J45">
        <v>824</v>
      </c>
      <c r="K45">
        <v>100</v>
      </c>
      <c r="L45" s="13">
        <f>VLOOKUP($B45,'[3]חשבונות חברה 40'!$A:$I,7,0)</f>
        <v>0</v>
      </c>
      <c r="M45" s="13">
        <f>VLOOKUP($B45,'[3]חשבונות חברה 40'!$A:$I,5,0)</f>
        <v>0</v>
      </c>
      <c r="N45" s="4">
        <f>IF(VLOOKUP($B45,'[3]חשבונות חברה 40'!$A:$J,10,0)=0,"",VLOOKUP($B45,'[3]חשבונות חברה 40'!$A:$J,10,0))</f>
        <v>45090</v>
      </c>
      <c r="O45">
        <f t="shared" si="7"/>
        <v>824</v>
      </c>
      <c r="P45">
        <f t="shared" si="7"/>
        <v>824</v>
      </c>
      <c r="Q45">
        <f t="shared" si="7"/>
        <v>824</v>
      </c>
      <c r="R45">
        <f t="shared" si="7"/>
        <v>824</v>
      </c>
      <c r="S45">
        <f t="shared" si="7"/>
        <v>824</v>
      </c>
      <c r="T45">
        <f t="shared" si="7"/>
        <v>824</v>
      </c>
      <c r="U45">
        <f t="shared" si="7"/>
        <v>824</v>
      </c>
      <c r="V45">
        <f t="shared" si="7"/>
        <v>824</v>
      </c>
      <c r="W45">
        <f t="shared" si="7"/>
        <v>741.6</v>
      </c>
      <c r="X45">
        <f t="shared" si="7"/>
        <v>659.2</v>
      </c>
      <c r="Y45">
        <f t="shared" si="7"/>
        <v>576.79999999999995</v>
      </c>
      <c r="Z45">
        <f t="shared" si="7"/>
        <v>494.4</v>
      </c>
      <c r="AA45">
        <f t="shared" si="7"/>
        <v>412</v>
      </c>
      <c r="AB45">
        <f t="shared" si="7"/>
        <v>329.6</v>
      </c>
      <c r="AC45">
        <f t="shared" si="7"/>
        <v>247.20000000000005</v>
      </c>
      <c r="AD45">
        <f t="shared" si="7"/>
        <v>164.79999999999995</v>
      </c>
      <c r="AE45">
        <f t="shared" si="6"/>
        <v>82.399999999999977</v>
      </c>
      <c r="AF45">
        <f t="shared" si="6"/>
        <v>0</v>
      </c>
      <c r="AG45">
        <f t="shared" si="5"/>
        <v>0</v>
      </c>
      <c r="AH45">
        <f t="shared" si="5"/>
        <v>0</v>
      </c>
    </row>
    <row r="46" spans="1:34">
      <c r="A46">
        <v>331</v>
      </c>
      <c r="B46">
        <v>899061</v>
      </c>
      <c r="C46" t="s">
        <v>3984</v>
      </c>
      <c r="D46">
        <v>622022</v>
      </c>
      <c r="E46" t="s">
        <v>3939</v>
      </c>
      <c r="F46" t="s">
        <v>3940</v>
      </c>
      <c r="G46" s="217">
        <v>4890.75</v>
      </c>
      <c r="H46" t="s">
        <v>3941</v>
      </c>
      <c r="I46">
        <v>37.729999999999997</v>
      </c>
      <c r="J46">
        <v>490.54</v>
      </c>
      <c r="K46">
        <v>70</v>
      </c>
      <c r="L46" s="13">
        <f>VLOOKUP($B46,'[3]חשבונות חברה 40'!$A:$I,7,0)</f>
        <v>0</v>
      </c>
      <c r="M46" s="13">
        <f>VLOOKUP($B46,'[3]חשבונות חברה 40'!$A:$I,5,0)</f>
        <v>0</v>
      </c>
      <c r="N46" s="4">
        <f>IF(VLOOKUP($B46,'[3]חשבונות חברה 40'!$A:$J,10,0)=0,"",VLOOKUP($B46,'[3]חשבונות חברה 40'!$A:$J,10,0))</f>
        <v>41258</v>
      </c>
      <c r="O46">
        <f t="shared" si="7"/>
        <v>294.32400000000001</v>
      </c>
      <c r="P46">
        <f t="shared" si="7"/>
        <v>245.27</v>
      </c>
      <c r="Q46">
        <f t="shared" si="7"/>
        <v>196.21600000000001</v>
      </c>
      <c r="R46">
        <f t="shared" si="7"/>
        <v>147.16200000000003</v>
      </c>
      <c r="S46">
        <f t="shared" si="7"/>
        <v>98.107999999999976</v>
      </c>
      <c r="T46">
        <f t="shared" si="7"/>
        <v>49.053999999999988</v>
      </c>
      <c r="U46">
        <f t="shared" si="7"/>
        <v>0</v>
      </c>
      <c r="V46">
        <f t="shared" si="7"/>
        <v>0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0</v>
      </c>
      <c r="AA46">
        <f t="shared" si="7"/>
        <v>0</v>
      </c>
      <c r="AB46">
        <f t="shared" si="7"/>
        <v>0</v>
      </c>
      <c r="AC46">
        <f t="shared" si="7"/>
        <v>0</v>
      </c>
      <c r="AD46">
        <f t="shared" si="7"/>
        <v>0</v>
      </c>
      <c r="AE46">
        <f t="shared" si="6"/>
        <v>0</v>
      </c>
      <c r="AF46">
        <f t="shared" si="6"/>
        <v>0</v>
      </c>
      <c r="AG46">
        <f t="shared" si="5"/>
        <v>0</v>
      </c>
      <c r="AH46">
        <f t="shared" si="5"/>
        <v>0</v>
      </c>
    </row>
    <row r="47" spans="1:34">
      <c r="A47">
        <v>332</v>
      </c>
      <c r="B47">
        <v>899062</v>
      </c>
      <c r="C47" t="s">
        <v>3985</v>
      </c>
      <c r="D47">
        <v>622022</v>
      </c>
      <c r="E47" t="s">
        <v>3939</v>
      </c>
      <c r="F47" t="s">
        <v>3940</v>
      </c>
      <c r="G47" s="217">
        <v>3239.5</v>
      </c>
      <c r="H47" t="s">
        <v>3941</v>
      </c>
      <c r="I47">
        <v>18.010000000000002</v>
      </c>
      <c r="J47">
        <v>324.92</v>
      </c>
      <c r="K47">
        <v>70</v>
      </c>
      <c r="L47" s="13">
        <f>VLOOKUP($B47,'[3]חשבונות חברה 40'!$A:$I,7,0)</f>
        <v>0</v>
      </c>
      <c r="M47" s="13">
        <f>VLOOKUP($B47,'[3]חשבונות חברה 40'!$A:$I,5,0)</f>
        <v>0</v>
      </c>
      <c r="N47" s="4">
        <f>IF(VLOOKUP($B47,'[3]חשבונות חברה 40'!$A:$J,10,0)=0,"",VLOOKUP($B47,'[3]חשבונות חברה 40'!$A:$J,10,0))</f>
        <v>41258</v>
      </c>
      <c r="O47">
        <f t="shared" si="7"/>
        <v>194.952</v>
      </c>
      <c r="P47">
        <f t="shared" si="7"/>
        <v>162.46</v>
      </c>
      <c r="Q47">
        <f t="shared" si="7"/>
        <v>129.96800000000002</v>
      </c>
      <c r="R47">
        <f t="shared" si="7"/>
        <v>97.476000000000013</v>
      </c>
      <c r="S47">
        <f t="shared" si="7"/>
        <v>64.983999999999995</v>
      </c>
      <c r="T47">
        <f t="shared" si="7"/>
        <v>32.491999999999997</v>
      </c>
      <c r="U47">
        <f t="shared" si="7"/>
        <v>0</v>
      </c>
      <c r="V47">
        <f t="shared" si="7"/>
        <v>0</v>
      </c>
      <c r="W47">
        <f t="shared" si="7"/>
        <v>0</v>
      </c>
      <c r="X47">
        <f t="shared" si="7"/>
        <v>0</v>
      </c>
      <c r="Y47">
        <f t="shared" si="7"/>
        <v>0</v>
      </c>
      <c r="Z47">
        <f t="shared" si="7"/>
        <v>0</v>
      </c>
      <c r="AA47">
        <f t="shared" si="7"/>
        <v>0</v>
      </c>
      <c r="AB47">
        <f t="shared" si="7"/>
        <v>0</v>
      </c>
      <c r="AC47">
        <f t="shared" si="7"/>
        <v>0</v>
      </c>
      <c r="AD47">
        <f t="shared" si="7"/>
        <v>0</v>
      </c>
      <c r="AE47">
        <f t="shared" si="6"/>
        <v>0</v>
      </c>
      <c r="AF47">
        <f t="shared" si="6"/>
        <v>0</v>
      </c>
      <c r="AG47">
        <f t="shared" si="5"/>
        <v>0</v>
      </c>
      <c r="AH47">
        <f t="shared" si="5"/>
        <v>0</v>
      </c>
    </row>
    <row r="48" spans="1:34">
      <c r="A48">
        <v>333</v>
      </c>
      <c r="B48">
        <v>899063</v>
      </c>
      <c r="C48" t="s">
        <v>3986</v>
      </c>
      <c r="D48">
        <v>622022</v>
      </c>
      <c r="E48" t="s">
        <v>3939</v>
      </c>
      <c r="F48" t="s">
        <v>3940</v>
      </c>
      <c r="G48" s="217">
        <v>5210.2</v>
      </c>
      <c r="H48" t="s">
        <v>3941</v>
      </c>
      <c r="I48">
        <v>41.55</v>
      </c>
      <c r="J48">
        <v>522.58000000000004</v>
      </c>
      <c r="K48">
        <v>70</v>
      </c>
      <c r="L48" s="13">
        <f>VLOOKUP($B48,'[3]חשבונות חברה 40'!$A:$I,7,0)</f>
        <v>0</v>
      </c>
      <c r="M48" s="13">
        <f>VLOOKUP($B48,'[3]חשבונות חברה 40'!$A:$I,5,0)</f>
        <v>0</v>
      </c>
      <c r="N48" s="4">
        <f>IF(VLOOKUP($B48,'[3]חשבונות חברה 40'!$A:$J,10,0)=0,"",VLOOKUP($B48,'[3]חשבונות חברה 40'!$A:$J,10,0))</f>
        <v>41258</v>
      </c>
      <c r="O48">
        <f t="shared" si="7"/>
        <v>313.548</v>
      </c>
      <c r="P48">
        <f t="shared" si="7"/>
        <v>261.29000000000002</v>
      </c>
      <c r="Q48">
        <f t="shared" si="7"/>
        <v>209.03200000000004</v>
      </c>
      <c r="R48">
        <f t="shared" si="7"/>
        <v>156.77400000000003</v>
      </c>
      <c r="S48">
        <f t="shared" si="7"/>
        <v>104.51599999999999</v>
      </c>
      <c r="T48">
        <f t="shared" si="7"/>
        <v>52.257999999999996</v>
      </c>
      <c r="U48">
        <f t="shared" si="7"/>
        <v>0</v>
      </c>
      <c r="V48">
        <f t="shared" si="7"/>
        <v>0</v>
      </c>
      <c r="W48">
        <f t="shared" si="7"/>
        <v>0</v>
      </c>
      <c r="X48">
        <f t="shared" si="7"/>
        <v>0</v>
      </c>
      <c r="Y48">
        <f t="shared" si="7"/>
        <v>0</v>
      </c>
      <c r="Z48">
        <f t="shared" si="7"/>
        <v>0</v>
      </c>
      <c r="AA48">
        <f t="shared" si="7"/>
        <v>0</v>
      </c>
      <c r="AB48">
        <f t="shared" si="7"/>
        <v>0</v>
      </c>
      <c r="AC48">
        <f t="shared" si="7"/>
        <v>0</v>
      </c>
      <c r="AD48">
        <f t="shared" ref="AD48:AH63" si="8">IF((AD$2-$N48)/365&lt;10,1,IF((AD$2-$N48)/365&gt;20,0,1-(ROUNDDOWN(((AD$2-$N48)/365),0)-10)/10))*$J48</f>
        <v>0</v>
      </c>
      <c r="AE48">
        <f t="shared" si="8"/>
        <v>0</v>
      </c>
      <c r="AF48">
        <f t="shared" si="8"/>
        <v>0</v>
      </c>
      <c r="AG48">
        <f t="shared" si="8"/>
        <v>0</v>
      </c>
      <c r="AH48">
        <f t="shared" si="8"/>
        <v>0</v>
      </c>
    </row>
    <row r="49" spans="1:34">
      <c r="A49">
        <v>334</v>
      </c>
      <c r="B49">
        <v>899064</v>
      </c>
      <c r="C49" t="s">
        <v>3987</v>
      </c>
      <c r="D49">
        <v>622022</v>
      </c>
      <c r="E49" t="s">
        <v>3939</v>
      </c>
      <c r="F49" t="s">
        <v>3940</v>
      </c>
      <c r="G49" s="217">
        <v>7603.73</v>
      </c>
      <c r="H49" t="s">
        <v>3941</v>
      </c>
      <c r="I49">
        <v>42.89</v>
      </c>
      <c r="J49">
        <v>762.65</v>
      </c>
      <c r="K49">
        <v>100</v>
      </c>
      <c r="L49" s="13">
        <f>VLOOKUP($B49,'[3]חשבונות חברה 40'!$A:$I,7,0)</f>
        <v>0</v>
      </c>
      <c r="M49" s="13">
        <f>VLOOKUP($B49,'[3]חשבונות חברה 40'!$A:$I,5,0)</f>
        <v>0</v>
      </c>
      <c r="N49" s="4">
        <f>IF(VLOOKUP($B49,'[3]חשבונות חברה 40'!$A:$J,10,0)=0,"",VLOOKUP($B49,'[3]חשבונות חברה 40'!$A:$J,10,0))</f>
        <v>42355</v>
      </c>
      <c r="O49">
        <f t="shared" ref="O49:AD64" si="9">IF((O$2-$N49)/365&lt;10,1,IF((O$2-$N49)/365&gt;20,0,1-(ROUNDDOWN(((O$2-$N49)/365),0)-10)/10))*$J49</f>
        <v>686.38499999999999</v>
      </c>
      <c r="P49">
        <f t="shared" si="9"/>
        <v>610.12</v>
      </c>
      <c r="Q49">
        <f t="shared" si="9"/>
        <v>533.8549999999999</v>
      </c>
      <c r="R49">
        <f t="shared" si="9"/>
        <v>457.59</v>
      </c>
      <c r="S49">
        <f t="shared" si="9"/>
        <v>381.32499999999999</v>
      </c>
      <c r="T49">
        <f t="shared" si="9"/>
        <v>305.06</v>
      </c>
      <c r="U49">
        <f t="shared" si="9"/>
        <v>228.79500000000002</v>
      </c>
      <c r="V49">
        <f t="shared" si="9"/>
        <v>152.52999999999997</v>
      </c>
      <c r="W49">
        <f t="shared" si="9"/>
        <v>76.264999999999986</v>
      </c>
      <c r="X49">
        <f t="shared" si="9"/>
        <v>0</v>
      </c>
      <c r="Y49">
        <f t="shared" si="9"/>
        <v>0</v>
      </c>
      <c r="Z49">
        <f t="shared" si="9"/>
        <v>0</v>
      </c>
      <c r="AA49">
        <f t="shared" si="9"/>
        <v>0</v>
      </c>
      <c r="AB49">
        <f t="shared" si="9"/>
        <v>0</v>
      </c>
      <c r="AC49">
        <f t="shared" si="9"/>
        <v>0</v>
      </c>
      <c r="AD49">
        <f t="shared" si="9"/>
        <v>0</v>
      </c>
      <c r="AE49">
        <f t="shared" si="8"/>
        <v>0</v>
      </c>
      <c r="AF49">
        <f t="shared" si="8"/>
        <v>0</v>
      </c>
      <c r="AG49">
        <f t="shared" si="8"/>
        <v>0</v>
      </c>
      <c r="AH49">
        <f t="shared" si="8"/>
        <v>0</v>
      </c>
    </row>
    <row r="50" spans="1:34">
      <c r="A50">
        <v>335</v>
      </c>
      <c r="B50">
        <v>899065</v>
      </c>
      <c r="C50" t="s">
        <v>3988</v>
      </c>
      <c r="D50">
        <v>622022</v>
      </c>
      <c r="E50" t="s">
        <v>3939</v>
      </c>
      <c r="F50" t="s">
        <v>3940</v>
      </c>
      <c r="G50" s="217">
        <v>7491.56</v>
      </c>
      <c r="H50" t="s">
        <v>3941</v>
      </c>
      <c r="I50">
        <v>41.95</v>
      </c>
      <c r="J50">
        <v>751.4</v>
      </c>
      <c r="K50">
        <v>100</v>
      </c>
      <c r="L50" s="13">
        <f>VLOOKUP($B50,'[3]חשבונות חברה 40'!$A:$I,7,0)</f>
        <v>0</v>
      </c>
      <c r="M50" s="13">
        <f>VLOOKUP($B50,'[3]חשבונות חברה 40'!$A:$I,5,0)</f>
        <v>0</v>
      </c>
      <c r="N50" s="4">
        <f>IF(VLOOKUP($B50,'[3]חשבונות חברה 40'!$A:$J,10,0)=0,"",VLOOKUP($B50,'[3]חשבונות חברה 40'!$A:$J,10,0))</f>
        <v>44332</v>
      </c>
      <c r="O50">
        <f t="shared" si="9"/>
        <v>751.4</v>
      </c>
      <c r="P50">
        <f t="shared" si="9"/>
        <v>751.4</v>
      </c>
      <c r="Q50">
        <f t="shared" si="9"/>
        <v>751.4</v>
      </c>
      <c r="R50">
        <f t="shared" si="9"/>
        <v>751.4</v>
      </c>
      <c r="S50">
        <f t="shared" si="9"/>
        <v>751.4</v>
      </c>
      <c r="T50">
        <f t="shared" si="9"/>
        <v>751.4</v>
      </c>
      <c r="U50">
        <f t="shared" si="9"/>
        <v>676.26</v>
      </c>
      <c r="V50">
        <f t="shared" si="9"/>
        <v>601.12</v>
      </c>
      <c r="W50">
        <f t="shared" si="9"/>
        <v>525.9799999999999</v>
      </c>
      <c r="X50">
        <f t="shared" si="9"/>
        <v>450.84</v>
      </c>
      <c r="Y50">
        <f t="shared" si="9"/>
        <v>375.7</v>
      </c>
      <c r="Z50">
        <f t="shared" si="9"/>
        <v>300.56</v>
      </c>
      <c r="AA50">
        <f t="shared" si="9"/>
        <v>225.42000000000002</v>
      </c>
      <c r="AB50">
        <f t="shared" si="9"/>
        <v>150.27999999999997</v>
      </c>
      <c r="AC50">
        <f t="shared" si="9"/>
        <v>75.139999999999986</v>
      </c>
      <c r="AD50">
        <f t="shared" si="9"/>
        <v>0</v>
      </c>
      <c r="AE50">
        <f t="shared" si="8"/>
        <v>0</v>
      </c>
      <c r="AF50">
        <f t="shared" si="8"/>
        <v>0</v>
      </c>
      <c r="AG50">
        <f t="shared" si="8"/>
        <v>0</v>
      </c>
      <c r="AH50">
        <f t="shared" si="8"/>
        <v>0</v>
      </c>
    </row>
    <row r="51" spans="1:34">
      <c r="A51">
        <v>336</v>
      </c>
      <c r="B51">
        <v>899066</v>
      </c>
      <c r="C51" t="s">
        <v>1161</v>
      </c>
      <c r="D51">
        <v>622022</v>
      </c>
      <c r="E51" t="s">
        <v>3939</v>
      </c>
      <c r="F51" t="s">
        <v>3940</v>
      </c>
      <c r="G51" s="217">
        <v>7417.39</v>
      </c>
      <c r="H51" t="s">
        <v>3941</v>
      </c>
      <c r="I51">
        <v>41.33</v>
      </c>
      <c r="J51">
        <v>743.96</v>
      </c>
      <c r="K51">
        <v>100</v>
      </c>
      <c r="L51" s="13">
        <f>VLOOKUP($B51,'[3]חשבונות חברה 40'!$A:$I,7,0)</f>
        <v>0</v>
      </c>
      <c r="M51" s="13">
        <f>VLOOKUP($B51,'[3]חשבונות חברה 40'!$A:$I,5,0)</f>
        <v>0</v>
      </c>
      <c r="N51" s="4">
        <f>IF(VLOOKUP($B51,'[3]חשבונות חברה 40'!$A:$J,10,0)=0,"",VLOOKUP($B51,'[3]חשבונות חברה 40'!$A:$J,10,0))</f>
        <v>45296</v>
      </c>
      <c r="O51">
        <f t="shared" si="9"/>
        <v>743.96</v>
      </c>
      <c r="P51">
        <f t="shared" si="9"/>
        <v>743.96</v>
      </c>
      <c r="Q51">
        <f t="shared" si="9"/>
        <v>743.96</v>
      </c>
      <c r="R51">
        <f t="shared" si="9"/>
        <v>743.96</v>
      </c>
      <c r="S51">
        <f t="shared" si="9"/>
        <v>743.96</v>
      </c>
      <c r="T51">
        <f t="shared" si="9"/>
        <v>743.96</v>
      </c>
      <c r="U51">
        <f t="shared" si="9"/>
        <v>743.96</v>
      </c>
      <c r="V51">
        <f t="shared" si="9"/>
        <v>743.96</v>
      </c>
      <c r="W51">
        <f t="shared" si="9"/>
        <v>743.96</v>
      </c>
      <c r="X51">
        <f t="shared" si="9"/>
        <v>669.56400000000008</v>
      </c>
      <c r="Y51">
        <f t="shared" si="9"/>
        <v>595.16800000000001</v>
      </c>
      <c r="Z51">
        <f t="shared" si="9"/>
        <v>520.77200000000005</v>
      </c>
      <c r="AA51">
        <f t="shared" si="9"/>
        <v>446.37600000000003</v>
      </c>
      <c r="AB51">
        <f t="shared" si="9"/>
        <v>371.98</v>
      </c>
      <c r="AC51">
        <f t="shared" si="9"/>
        <v>223.18800000000005</v>
      </c>
      <c r="AD51">
        <f t="shared" si="9"/>
        <v>148.79199999999997</v>
      </c>
      <c r="AE51">
        <f t="shared" si="8"/>
        <v>74.395999999999987</v>
      </c>
      <c r="AF51">
        <f t="shared" si="8"/>
        <v>0</v>
      </c>
      <c r="AG51">
        <f t="shared" si="8"/>
        <v>0</v>
      </c>
      <c r="AH51">
        <f t="shared" si="8"/>
        <v>0</v>
      </c>
    </row>
    <row r="52" spans="1:34">
      <c r="A52">
        <v>337</v>
      </c>
      <c r="B52">
        <v>899081</v>
      </c>
      <c r="C52" t="s">
        <v>3989</v>
      </c>
      <c r="D52">
        <v>622022</v>
      </c>
      <c r="E52" t="s">
        <v>3939</v>
      </c>
      <c r="F52" t="s">
        <v>3940</v>
      </c>
      <c r="G52" s="217">
        <v>5750.78</v>
      </c>
      <c r="H52" t="s">
        <v>3941</v>
      </c>
      <c r="I52">
        <v>48</v>
      </c>
      <c r="J52">
        <v>576.79999999999995</v>
      </c>
      <c r="K52">
        <v>70</v>
      </c>
      <c r="L52" s="13">
        <f>VLOOKUP($B52,'[3]חשבונות חברה 40'!$A:$I,7,0)</f>
        <v>0</v>
      </c>
      <c r="M52" s="13">
        <f>VLOOKUP($B52,'[3]חשבונות חברה 40'!$A:$I,5,0)</f>
        <v>0</v>
      </c>
      <c r="N52" s="4">
        <f>IF(VLOOKUP($B52,'[3]חשבונות חברה 40'!$A:$J,10,0)=0,"",VLOOKUP($B52,'[3]חשבונות חברה 40'!$A:$J,10,0))</f>
        <v>41258</v>
      </c>
      <c r="O52">
        <f t="shared" si="9"/>
        <v>346.08</v>
      </c>
      <c r="P52">
        <f t="shared" si="9"/>
        <v>288.39999999999998</v>
      </c>
      <c r="Q52">
        <f t="shared" si="9"/>
        <v>230.72</v>
      </c>
      <c r="R52">
        <f t="shared" si="9"/>
        <v>173.04000000000002</v>
      </c>
      <c r="S52">
        <f t="shared" si="9"/>
        <v>115.35999999999997</v>
      </c>
      <c r="T52">
        <f t="shared" si="9"/>
        <v>57.679999999999986</v>
      </c>
      <c r="U52">
        <f t="shared" si="9"/>
        <v>0</v>
      </c>
      <c r="V52">
        <f t="shared" si="9"/>
        <v>0</v>
      </c>
      <c r="W52">
        <f t="shared" si="9"/>
        <v>0</v>
      </c>
      <c r="X52">
        <f t="shared" si="9"/>
        <v>0</v>
      </c>
      <c r="Y52">
        <f t="shared" si="9"/>
        <v>0</v>
      </c>
      <c r="Z52">
        <f t="shared" si="9"/>
        <v>0</v>
      </c>
      <c r="AA52">
        <f t="shared" si="9"/>
        <v>0</v>
      </c>
      <c r="AB52">
        <f t="shared" si="9"/>
        <v>0</v>
      </c>
      <c r="AC52">
        <f t="shared" si="9"/>
        <v>0</v>
      </c>
      <c r="AD52">
        <f t="shared" si="9"/>
        <v>0</v>
      </c>
      <c r="AE52">
        <f t="shared" si="8"/>
        <v>0</v>
      </c>
      <c r="AF52">
        <f t="shared" si="8"/>
        <v>0</v>
      </c>
      <c r="AG52">
        <f t="shared" si="8"/>
        <v>0</v>
      </c>
      <c r="AH52">
        <f t="shared" si="8"/>
        <v>0</v>
      </c>
    </row>
    <row r="53" spans="1:34">
      <c r="A53">
        <v>338</v>
      </c>
      <c r="B53">
        <v>899082</v>
      </c>
      <c r="C53" t="s">
        <v>3990</v>
      </c>
      <c r="D53">
        <v>622022</v>
      </c>
      <c r="E53" t="s">
        <v>3939</v>
      </c>
      <c r="F53" t="s">
        <v>3940</v>
      </c>
      <c r="G53" s="217">
        <v>5750.78</v>
      </c>
      <c r="H53" t="s">
        <v>3941</v>
      </c>
      <c r="I53">
        <v>48</v>
      </c>
      <c r="J53">
        <v>576.79999999999995</v>
      </c>
      <c r="K53">
        <v>70</v>
      </c>
      <c r="L53" s="13">
        <f>VLOOKUP($B53,'[3]חשבונות חברה 40'!$A:$I,7,0)</f>
        <v>0</v>
      </c>
      <c r="M53" s="13">
        <f>VLOOKUP($B53,'[3]חשבונות חברה 40'!$A:$I,5,0)</f>
        <v>0</v>
      </c>
      <c r="N53" s="4">
        <f>IF(VLOOKUP($B53,'[3]חשבונות חברה 40'!$A:$J,10,0)=0,"",VLOOKUP($B53,'[3]חשבונות חברה 40'!$A:$J,10,0))</f>
        <v>41258</v>
      </c>
      <c r="O53">
        <f t="shared" si="9"/>
        <v>346.08</v>
      </c>
      <c r="P53">
        <f t="shared" si="9"/>
        <v>288.39999999999998</v>
      </c>
      <c r="Q53">
        <f t="shared" si="9"/>
        <v>230.72</v>
      </c>
      <c r="R53">
        <f t="shared" si="9"/>
        <v>173.04000000000002</v>
      </c>
      <c r="S53">
        <f t="shared" si="9"/>
        <v>115.35999999999997</v>
      </c>
      <c r="T53">
        <f t="shared" si="9"/>
        <v>57.679999999999986</v>
      </c>
      <c r="U53">
        <f t="shared" si="9"/>
        <v>0</v>
      </c>
      <c r="V53">
        <f t="shared" si="9"/>
        <v>0</v>
      </c>
      <c r="W53">
        <f t="shared" si="9"/>
        <v>0</v>
      </c>
      <c r="X53">
        <f t="shared" si="9"/>
        <v>0</v>
      </c>
      <c r="Y53">
        <f t="shared" si="9"/>
        <v>0</v>
      </c>
      <c r="Z53">
        <f t="shared" si="9"/>
        <v>0</v>
      </c>
      <c r="AA53">
        <f t="shared" si="9"/>
        <v>0</v>
      </c>
      <c r="AB53">
        <f t="shared" si="9"/>
        <v>0</v>
      </c>
      <c r="AC53">
        <f t="shared" si="9"/>
        <v>0</v>
      </c>
      <c r="AD53">
        <f t="shared" si="9"/>
        <v>0</v>
      </c>
      <c r="AE53">
        <f t="shared" si="8"/>
        <v>0</v>
      </c>
      <c r="AF53">
        <f t="shared" si="8"/>
        <v>0</v>
      </c>
      <c r="AG53">
        <f t="shared" si="8"/>
        <v>0</v>
      </c>
      <c r="AH53">
        <f t="shared" si="8"/>
        <v>0</v>
      </c>
    </row>
    <row r="54" spans="1:34">
      <c r="A54">
        <v>339</v>
      </c>
      <c r="B54">
        <v>899083</v>
      </c>
      <c r="C54" t="s">
        <v>3991</v>
      </c>
      <c r="D54">
        <v>622022</v>
      </c>
      <c r="E54" t="s">
        <v>3939</v>
      </c>
      <c r="F54" t="s">
        <v>3940</v>
      </c>
      <c r="G54" s="217">
        <v>5226.55</v>
      </c>
      <c r="H54" t="s">
        <v>3941</v>
      </c>
      <c r="I54">
        <v>33.94</v>
      </c>
      <c r="J54">
        <v>524.22</v>
      </c>
      <c r="K54">
        <v>80</v>
      </c>
      <c r="L54" s="13">
        <f>VLOOKUP($B54,'[3]חשבונות חברה 40'!$A:$I,7,0)</f>
        <v>0</v>
      </c>
      <c r="M54" s="13">
        <f>VLOOKUP($B54,'[3]חשבונות חברה 40'!$A:$I,5,0)</f>
        <v>0</v>
      </c>
      <c r="N54" s="4">
        <f>IF(VLOOKUP($B54,'[3]חשבונות חברה 40'!$A:$J,10,0)=0,"",VLOOKUP($B54,'[3]חשבונות חברה 40'!$A:$J,10,0))</f>
        <v>41644</v>
      </c>
      <c r="O54">
        <f t="shared" si="9"/>
        <v>419.37600000000003</v>
      </c>
      <c r="P54">
        <f t="shared" si="9"/>
        <v>366.95400000000001</v>
      </c>
      <c r="Q54">
        <f t="shared" si="9"/>
        <v>314.53199999999998</v>
      </c>
      <c r="R54">
        <f t="shared" si="9"/>
        <v>262.11</v>
      </c>
      <c r="S54">
        <f t="shared" si="9"/>
        <v>209.68800000000002</v>
      </c>
      <c r="T54">
        <f t="shared" si="9"/>
        <v>157.26600000000002</v>
      </c>
      <c r="U54">
        <f t="shared" si="9"/>
        <v>52.42199999999999</v>
      </c>
      <c r="V54">
        <f t="shared" si="9"/>
        <v>0</v>
      </c>
      <c r="W54">
        <f t="shared" si="9"/>
        <v>0</v>
      </c>
      <c r="X54">
        <f t="shared" si="9"/>
        <v>0</v>
      </c>
      <c r="Y54">
        <f t="shared" si="9"/>
        <v>0</v>
      </c>
      <c r="Z54">
        <f t="shared" si="9"/>
        <v>0</v>
      </c>
      <c r="AA54">
        <f t="shared" si="9"/>
        <v>0</v>
      </c>
      <c r="AB54">
        <f t="shared" si="9"/>
        <v>0</v>
      </c>
      <c r="AC54">
        <f t="shared" si="9"/>
        <v>0</v>
      </c>
      <c r="AD54">
        <f t="shared" si="9"/>
        <v>0</v>
      </c>
      <c r="AE54">
        <f t="shared" si="8"/>
        <v>0</v>
      </c>
      <c r="AF54">
        <f t="shared" si="8"/>
        <v>0</v>
      </c>
      <c r="AG54">
        <f t="shared" si="8"/>
        <v>0</v>
      </c>
      <c r="AH54">
        <f t="shared" si="8"/>
        <v>0</v>
      </c>
    </row>
    <row r="55" spans="1:34">
      <c r="A55">
        <v>340</v>
      </c>
      <c r="B55">
        <v>899084</v>
      </c>
      <c r="C55" t="s">
        <v>3992</v>
      </c>
      <c r="D55">
        <v>622022</v>
      </c>
      <c r="E55" t="s">
        <v>3939</v>
      </c>
      <c r="F55" t="s">
        <v>3940</v>
      </c>
      <c r="G55" s="217">
        <v>6579.6</v>
      </c>
      <c r="H55" t="s">
        <v>3941</v>
      </c>
      <c r="I55">
        <v>40.44</v>
      </c>
      <c r="J55">
        <v>659.93</v>
      </c>
      <c r="K55">
        <v>90</v>
      </c>
      <c r="L55" s="13">
        <f>VLOOKUP($B55,'[3]חשבונות חברה 40'!$A:$I,7,0)</f>
        <v>0</v>
      </c>
      <c r="M55" s="13">
        <f>VLOOKUP($B55,'[3]חשבונות חברה 40'!$A:$I,5,0)</f>
        <v>0</v>
      </c>
      <c r="N55" s="4">
        <f>IF(VLOOKUP($B55,'[3]חשבונות חברה 40'!$A:$J,10,0)=0,"",VLOOKUP($B55,'[3]חשבונות חברה 40'!$A:$J,10,0))</f>
        <v>42090</v>
      </c>
      <c r="O55">
        <f t="shared" si="9"/>
        <v>593.93700000000001</v>
      </c>
      <c r="P55">
        <f t="shared" si="9"/>
        <v>527.94399999999996</v>
      </c>
      <c r="Q55">
        <f t="shared" si="9"/>
        <v>461.95099999999991</v>
      </c>
      <c r="R55">
        <f t="shared" si="9"/>
        <v>395.95799999999997</v>
      </c>
      <c r="S55">
        <f t="shared" si="9"/>
        <v>329.96499999999997</v>
      </c>
      <c r="T55">
        <f t="shared" si="9"/>
        <v>263.97199999999998</v>
      </c>
      <c r="U55">
        <f t="shared" si="9"/>
        <v>197.97900000000001</v>
      </c>
      <c r="V55">
        <f t="shared" si="9"/>
        <v>131.98599999999996</v>
      </c>
      <c r="W55">
        <f t="shared" si="9"/>
        <v>65.992999999999981</v>
      </c>
      <c r="X55">
        <f t="shared" si="9"/>
        <v>0</v>
      </c>
      <c r="Y55">
        <f t="shared" si="9"/>
        <v>0</v>
      </c>
      <c r="Z55">
        <f t="shared" si="9"/>
        <v>0</v>
      </c>
      <c r="AA55">
        <f t="shared" si="9"/>
        <v>0</v>
      </c>
      <c r="AB55">
        <f t="shared" si="9"/>
        <v>0</v>
      </c>
      <c r="AC55">
        <f t="shared" si="9"/>
        <v>0</v>
      </c>
      <c r="AD55">
        <f t="shared" si="9"/>
        <v>0</v>
      </c>
      <c r="AE55">
        <f t="shared" si="8"/>
        <v>0</v>
      </c>
      <c r="AF55">
        <f t="shared" si="8"/>
        <v>0</v>
      </c>
      <c r="AG55">
        <f t="shared" si="8"/>
        <v>0</v>
      </c>
      <c r="AH55">
        <f t="shared" si="8"/>
        <v>0</v>
      </c>
    </row>
    <row r="56" spans="1:34">
      <c r="A56">
        <v>341</v>
      </c>
      <c r="B56">
        <v>899101</v>
      </c>
      <c r="C56" t="s">
        <v>3993</v>
      </c>
      <c r="D56">
        <v>622022</v>
      </c>
      <c r="E56" t="s">
        <v>3939</v>
      </c>
      <c r="F56" t="s">
        <v>3940</v>
      </c>
      <c r="G56" s="217">
        <v>5044.79</v>
      </c>
      <c r="H56" t="s">
        <v>3941</v>
      </c>
      <c r="I56">
        <v>39.57</v>
      </c>
      <c r="J56">
        <v>505.99</v>
      </c>
      <c r="K56">
        <v>70</v>
      </c>
      <c r="L56" s="13">
        <f>VLOOKUP($B56,'[3]חשבונות חברה 40'!$A:$I,7,0)</f>
        <v>0</v>
      </c>
      <c r="M56" s="13">
        <f>VLOOKUP($B56,'[3]חשבונות חברה 40'!$A:$I,5,0)</f>
        <v>0</v>
      </c>
      <c r="N56" s="4">
        <f>IF(VLOOKUP($B56,'[3]חשבונות חברה 40'!$A:$J,10,0)=0,"",VLOOKUP($B56,'[3]חשבונות חברה 40'!$A:$J,10,0))</f>
        <v>41258</v>
      </c>
      <c r="O56">
        <f t="shared" si="9"/>
        <v>303.59399999999999</v>
      </c>
      <c r="P56">
        <f t="shared" si="9"/>
        <v>252.995</v>
      </c>
      <c r="Q56">
        <f t="shared" si="9"/>
        <v>202.39600000000002</v>
      </c>
      <c r="R56">
        <f t="shared" si="9"/>
        <v>151.79700000000003</v>
      </c>
      <c r="S56">
        <f t="shared" si="9"/>
        <v>101.19799999999998</v>
      </c>
      <c r="T56">
        <f t="shared" si="9"/>
        <v>50.59899999999999</v>
      </c>
      <c r="U56">
        <f t="shared" si="9"/>
        <v>0</v>
      </c>
      <c r="V56">
        <f t="shared" si="9"/>
        <v>0</v>
      </c>
      <c r="W56">
        <f t="shared" si="9"/>
        <v>0</v>
      </c>
      <c r="X56">
        <f t="shared" si="9"/>
        <v>0</v>
      </c>
      <c r="Y56">
        <f t="shared" si="9"/>
        <v>0</v>
      </c>
      <c r="Z56">
        <f t="shared" si="9"/>
        <v>0</v>
      </c>
      <c r="AA56">
        <f t="shared" si="9"/>
        <v>0</v>
      </c>
      <c r="AB56">
        <f t="shared" si="9"/>
        <v>0</v>
      </c>
      <c r="AC56">
        <f t="shared" si="9"/>
        <v>0</v>
      </c>
      <c r="AD56">
        <f t="shared" si="9"/>
        <v>0</v>
      </c>
      <c r="AE56">
        <f t="shared" si="8"/>
        <v>0</v>
      </c>
      <c r="AF56">
        <f t="shared" si="8"/>
        <v>0</v>
      </c>
      <c r="AG56">
        <f t="shared" si="8"/>
        <v>0</v>
      </c>
      <c r="AH56">
        <f t="shared" si="8"/>
        <v>0</v>
      </c>
    </row>
    <row r="57" spans="1:34">
      <c r="A57">
        <v>342</v>
      </c>
      <c r="B57">
        <v>899102</v>
      </c>
      <c r="C57" t="s">
        <v>1501</v>
      </c>
      <c r="D57">
        <v>622022</v>
      </c>
      <c r="E57" t="s">
        <v>3939</v>
      </c>
      <c r="F57" t="s">
        <v>3940</v>
      </c>
      <c r="G57" s="217">
        <v>4981.88</v>
      </c>
      <c r="H57" t="s">
        <v>3941</v>
      </c>
      <c r="I57">
        <v>38.82</v>
      </c>
      <c r="J57">
        <v>499.68</v>
      </c>
      <c r="K57">
        <v>70</v>
      </c>
      <c r="L57" s="13">
        <f>VLOOKUP($B57,'[3]חשבונות חברה 40'!$A:$I,7,0)</f>
        <v>0</v>
      </c>
      <c r="M57" s="13">
        <f>VLOOKUP($B57,'[3]חשבונות חברה 40'!$A:$I,5,0)</f>
        <v>0</v>
      </c>
      <c r="N57" s="4">
        <f>IF(VLOOKUP($B57,'[3]חשבונות חברה 40'!$A:$J,10,0)=0,"",VLOOKUP($B57,'[3]חשבונות חברה 40'!$A:$J,10,0))</f>
        <v>41258</v>
      </c>
      <c r="O57">
        <f t="shared" si="9"/>
        <v>299.80799999999999</v>
      </c>
      <c r="P57">
        <f t="shared" si="9"/>
        <v>249.84</v>
      </c>
      <c r="Q57">
        <f t="shared" si="9"/>
        <v>199.87200000000001</v>
      </c>
      <c r="R57">
        <f t="shared" si="9"/>
        <v>149.90400000000002</v>
      </c>
      <c r="S57">
        <f t="shared" si="9"/>
        <v>99.935999999999979</v>
      </c>
      <c r="T57">
        <f t="shared" si="9"/>
        <v>49.967999999999989</v>
      </c>
      <c r="U57">
        <f t="shared" si="9"/>
        <v>0</v>
      </c>
      <c r="V57">
        <f t="shared" si="9"/>
        <v>0</v>
      </c>
      <c r="W57">
        <f t="shared" si="9"/>
        <v>0</v>
      </c>
      <c r="X57">
        <f t="shared" si="9"/>
        <v>0</v>
      </c>
      <c r="Y57">
        <f t="shared" si="9"/>
        <v>0</v>
      </c>
      <c r="Z57">
        <f t="shared" si="9"/>
        <v>0</v>
      </c>
      <c r="AA57">
        <f t="shared" si="9"/>
        <v>0</v>
      </c>
      <c r="AB57">
        <f t="shared" si="9"/>
        <v>0</v>
      </c>
      <c r="AC57">
        <f t="shared" si="9"/>
        <v>0</v>
      </c>
      <c r="AD57">
        <f t="shared" si="9"/>
        <v>0</v>
      </c>
      <c r="AE57">
        <f t="shared" si="8"/>
        <v>0</v>
      </c>
      <c r="AF57">
        <f t="shared" si="8"/>
        <v>0</v>
      </c>
      <c r="AG57">
        <f t="shared" si="8"/>
        <v>0</v>
      </c>
      <c r="AH57">
        <f t="shared" si="8"/>
        <v>0</v>
      </c>
    </row>
    <row r="58" spans="1:34">
      <c r="A58">
        <v>343</v>
      </c>
      <c r="B58">
        <v>899111</v>
      </c>
      <c r="C58" t="s">
        <v>3994</v>
      </c>
      <c r="D58">
        <v>622022</v>
      </c>
      <c r="E58" t="s">
        <v>3939</v>
      </c>
      <c r="F58" t="s">
        <v>3940</v>
      </c>
      <c r="G58" s="217">
        <v>5286.57</v>
      </c>
      <c r="H58" t="s">
        <v>3941</v>
      </c>
      <c r="I58">
        <v>34.57</v>
      </c>
      <c r="J58">
        <v>530.24</v>
      </c>
      <c r="K58">
        <v>80</v>
      </c>
      <c r="L58" s="13">
        <f>VLOOKUP($B58,'[3]חשבונות חברה 40'!$A:$I,7,0)</f>
        <v>0</v>
      </c>
      <c r="M58" s="13">
        <f>VLOOKUP($B58,'[3]חשבונות חברה 40'!$A:$I,5,0)</f>
        <v>0</v>
      </c>
      <c r="N58" s="4">
        <f>IF(VLOOKUP($B58,'[3]חשבונות חברה 40'!$A:$J,10,0)=0,"",VLOOKUP($B58,'[3]חשבונות חברה 40'!$A:$J,10,0))</f>
        <v>41882</v>
      </c>
      <c r="O58">
        <f t="shared" si="9"/>
        <v>424.19200000000001</v>
      </c>
      <c r="P58">
        <f t="shared" si="9"/>
        <v>371.16800000000001</v>
      </c>
      <c r="Q58">
        <f t="shared" si="9"/>
        <v>318.14400000000001</v>
      </c>
      <c r="R58">
        <f t="shared" si="9"/>
        <v>265.12</v>
      </c>
      <c r="S58">
        <f t="shared" si="9"/>
        <v>212.096</v>
      </c>
      <c r="T58">
        <f t="shared" si="9"/>
        <v>159.07200000000003</v>
      </c>
      <c r="U58">
        <f t="shared" si="9"/>
        <v>106.04799999999997</v>
      </c>
      <c r="V58">
        <f t="shared" si="9"/>
        <v>53.023999999999987</v>
      </c>
      <c r="W58">
        <f t="shared" si="9"/>
        <v>0</v>
      </c>
      <c r="X58">
        <f t="shared" si="9"/>
        <v>0</v>
      </c>
      <c r="Y58">
        <f t="shared" si="9"/>
        <v>0</v>
      </c>
      <c r="Z58">
        <f t="shared" si="9"/>
        <v>0</v>
      </c>
      <c r="AA58">
        <f t="shared" si="9"/>
        <v>0</v>
      </c>
      <c r="AB58">
        <f t="shared" si="9"/>
        <v>0</v>
      </c>
      <c r="AC58">
        <f t="shared" si="9"/>
        <v>0</v>
      </c>
      <c r="AD58">
        <f t="shared" si="9"/>
        <v>0</v>
      </c>
      <c r="AE58">
        <f t="shared" si="8"/>
        <v>0</v>
      </c>
      <c r="AF58">
        <f t="shared" si="8"/>
        <v>0</v>
      </c>
      <c r="AG58">
        <f t="shared" si="8"/>
        <v>0</v>
      </c>
      <c r="AH58">
        <f t="shared" si="8"/>
        <v>0</v>
      </c>
    </row>
    <row r="59" spans="1:34">
      <c r="A59">
        <v>344</v>
      </c>
      <c r="B59">
        <v>899112</v>
      </c>
      <c r="C59" t="s">
        <v>3995</v>
      </c>
      <c r="D59">
        <v>622022</v>
      </c>
      <c r="E59" t="s">
        <v>3939</v>
      </c>
      <c r="F59" t="s">
        <v>3940</v>
      </c>
      <c r="G59" s="217">
        <v>6179.89</v>
      </c>
      <c r="H59" t="s">
        <v>3941</v>
      </c>
      <c r="I59">
        <v>36.729999999999997</v>
      </c>
      <c r="J59">
        <v>619.84</v>
      </c>
      <c r="K59">
        <v>90</v>
      </c>
      <c r="L59" s="13">
        <f>VLOOKUP($B59,'[3]חשבונות חברה 40'!$A:$I,7,0)</f>
        <v>0</v>
      </c>
      <c r="M59" s="13">
        <f>VLOOKUP($B59,'[3]חשבונות חברה 40'!$A:$I,5,0)</f>
        <v>0</v>
      </c>
      <c r="N59" s="4">
        <f>IF(VLOOKUP($B59,'[3]חשבונות חברה 40'!$A:$J,10,0)=0,"",VLOOKUP($B59,'[3]חשבונות חברה 40'!$A:$J,10,0))</f>
        <v>42178</v>
      </c>
      <c r="O59">
        <f t="shared" si="9"/>
        <v>557.85599999999999</v>
      </c>
      <c r="P59">
        <f t="shared" si="9"/>
        <v>495.87200000000007</v>
      </c>
      <c r="Q59">
        <f t="shared" si="9"/>
        <v>433.88799999999998</v>
      </c>
      <c r="R59">
        <f t="shared" si="9"/>
        <v>371.904</v>
      </c>
      <c r="S59">
        <f t="shared" si="9"/>
        <v>309.92</v>
      </c>
      <c r="T59">
        <f t="shared" si="9"/>
        <v>247.93600000000004</v>
      </c>
      <c r="U59">
        <f t="shared" si="9"/>
        <v>185.95200000000003</v>
      </c>
      <c r="V59">
        <f t="shared" si="9"/>
        <v>123.96799999999998</v>
      </c>
      <c r="W59">
        <f t="shared" si="9"/>
        <v>61.983999999999988</v>
      </c>
      <c r="X59">
        <f t="shared" si="9"/>
        <v>0</v>
      </c>
      <c r="Y59">
        <f t="shared" si="9"/>
        <v>0</v>
      </c>
      <c r="Z59">
        <f t="shared" si="9"/>
        <v>0</v>
      </c>
      <c r="AA59">
        <f t="shared" si="9"/>
        <v>0</v>
      </c>
      <c r="AB59">
        <f t="shared" si="9"/>
        <v>0</v>
      </c>
      <c r="AC59">
        <f t="shared" si="9"/>
        <v>0</v>
      </c>
      <c r="AD59">
        <f t="shared" si="9"/>
        <v>0</v>
      </c>
      <c r="AE59">
        <f t="shared" si="8"/>
        <v>0</v>
      </c>
      <c r="AF59">
        <f t="shared" si="8"/>
        <v>0</v>
      </c>
      <c r="AG59">
        <f t="shared" si="8"/>
        <v>0</v>
      </c>
      <c r="AH59">
        <f t="shared" si="8"/>
        <v>0</v>
      </c>
    </row>
    <row r="60" spans="1:34">
      <c r="A60">
        <v>345</v>
      </c>
      <c r="B60">
        <v>899113</v>
      </c>
      <c r="C60" t="s">
        <v>3996</v>
      </c>
      <c r="D60">
        <v>622022</v>
      </c>
      <c r="E60" t="s">
        <v>3939</v>
      </c>
      <c r="F60" t="s">
        <v>3940</v>
      </c>
      <c r="G60" s="217">
        <v>6585.88</v>
      </c>
      <c r="H60" t="s">
        <v>3941</v>
      </c>
      <c r="I60">
        <v>34.380000000000003</v>
      </c>
      <c r="J60">
        <v>660.56</v>
      </c>
      <c r="K60">
        <v>100</v>
      </c>
      <c r="L60" s="13">
        <f>VLOOKUP($B60,'[3]חשבונות חברה 40'!$A:$I,7,0)</f>
        <v>0</v>
      </c>
      <c r="M60" s="13">
        <f>VLOOKUP($B60,'[3]חשבונות חברה 40'!$A:$I,5,0)</f>
        <v>0</v>
      </c>
      <c r="N60" s="4">
        <f>IF(VLOOKUP($B60,'[3]חשבונות חברה 40'!$A:$J,10,0)=0,"",VLOOKUP($B60,'[3]חשבונות חברה 40'!$A:$J,10,0))</f>
        <v>44614</v>
      </c>
      <c r="O60">
        <f t="shared" si="9"/>
        <v>660.56</v>
      </c>
      <c r="P60">
        <f t="shared" si="9"/>
        <v>660.56</v>
      </c>
      <c r="Q60">
        <f t="shared" si="9"/>
        <v>660.56</v>
      </c>
      <c r="R60">
        <f t="shared" si="9"/>
        <v>660.56</v>
      </c>
      <c r="S60">
        <f t="shared" si="9"/>
        <v>660.56</v>
      </c>
      <c r="T60">
        <f t="shared" si="9"/>
        <v>660.56</v>
      </c>
      <c r="U60">
        <f t="shared" si="9"/>
        <v>660.56</v>
      </c>
      <c r="V60">
        <f t="shared" si="9"/>
        <v>594.50400000000002</v>
      </c>
      <c r="W60">
        <f t="shared" si="9"/>
        <v>528.44799999999998</v>
      </c>
      <c r="X60">
        <f t="shared" si="9"/>
        <v>462.39199999999994</v>
      </c>
      <c r="Y60">
        <f t="shared" si="9"/>
        <v>396.33599999999996</v>
      </c>
      <c r="Z60">
        <f t="shared" si="9"/>
        <v>330.28</v>
      </c>
      <c r="AA60">
        <f t="shared" si="9"/>
        <v>264.22399999999999</v>
      </c>
      <c r="AB60">
        <f t="shared" si="9"/>
        <v>198.16800000000001</v>
      </c>
      <c r="AC60">
        <f t="shared" si="9"/>
        <v>132.11199999999997</v>
      </c>
      <c r="AD60">
        <f t="shared" si="9"/>
        <v>66.055999999999983</v>
      </c>
      <c r="AE60">
        <f t="shared" si="8"/>
        <v>0</v>
      </c>
      <c r="AF60">
        <f t="shared" si="8"/>
        <v>0</v>
      </c>
      <c r="AG60">
        <f t="shared" si="8"/>
        <v>0</v>
      </c>
      <c r="AH60">
        <f t="shared" si="8"/>
        <v>0</v>
      </c>
    </row>
    <row r="61" spans="1:34">
      <c r="A61">
        <v>346</v>
      </c>
      <c r="B61">
        <v>899120</v>
      </c>
      <c r="C61" t="s">
        <v>3997</v>
      </c>
      <c r="D61">
        <v>622022</v>
      </c>
      <c r="E61" t="s">
        <v>3939</v>
      </c>
      <c r="F61" t="s">
        <v>3940</v>
      </c>
      <c r="G61" s="217">
        <v>8215.4</v>
      </c>
      <c r="H61" t="s">
        <v>3941</v>
      </c>
      <c r="I61">
        <v>48</v>
      </c>
      <c r="J61">
        <v>824</v>
      </c>
      <c r="K61">
        <v>100</v>
      </c>
      <c r="L61" s="13">
        <f>VLOOKUP($B61,'[3]חשבונות חברה 40'!$A:$I,7,0)</f>
        <v>0</v>
      </c>
      <c r="M61" s="13">
        <f>VLOOKUP($B61,'[3]חשבונות חברה 40'!$A:$I,5,0)</f>
        <v>0</v>
      </c>
      <c r="N61" s="4">
        <f>IF(VLOOKUP($B61,'[3]חשבונות חברה 40'!$A:$J,10,0)=0,"",VLOOKUP($B61,'[3]חשבונות חברה 40'!$A:$J,10,0))</f>
        <v>42547</v>
      </c>
      <c r="O61">
        <f t="shared" si="9"/>
        <v>824</v>
      </c>
      <c r="P61">
        <f t="shared" si="9"/>
        <v>741.6</v>
      </c>
      <c r="Q61">
        <f t="shared" si="9"/>
        <v>659.2</v>
      </c>
      <c r="R61">
        <f t="shared" si="9"/>
        <v>576.79999999999995</v>
      </c>
      <c r="S61">
        <f t="shared" si="9"/>
        <v>494.4</v>
      </c>
      <c r="T61">
        <f t="shared" si="9"/>
        <v>412</v>
      </c>
      <c r="U61">
        <f t="shared" si="9"/>
        <v>329.6</v>
      </c>
      <c r="V61">
        <f t="shared" si="9"/>
        <v>247.20000000000005</v>
      </c>
      <c r="W61">
        <f t="shared" si="9"/>
        <v>164.79999999999995</v>
      </c>
      <c r="X61">
        <f t="shared" si="9"/>
        <v>82.399999999999977</v>
      </c>
      <c r="Y61">
        <f t="shared" si="9"/>
        <v>0</v>
      </c>
      <c r="Z61">
        <f t="shared" si="9"/>
        <v>0</v>
      </c>
      <c r="AA61">
        <f t="shared" si="9"/>
        <v>0</v>
      </c>
      <c r="AB61">
        <f t="shared" si="9"/>
        <v>0</v>
      </c>
      <c r="AC61">
        <f t="shared" si="9"/>
        <v>0</v>
      </c>
      <c r="AD61">
        <f t="shared" si="9"/>
        <v>0</v>
      </c>
      <c r="AE61">
        <f t="shared" si="8"/>
        <v>0</v>
      </c>
      <c r="AF61">
        <f t="shared" si="8"/>
        <v>0</v>
      </c>
      <c r="AG61">
        <f t="shared" si="8"/>
        <v>0</v>
      </c>
      <c r="AH61">
        <f t="shared" si="8"/>
        <v>0</v>
      </c>
    </row>
    <row r="62" spans="1:34">
      <c r="A62">
        <v>347</v>
      </c>
      <c r="B62">
        <v>899121</v>
      </c>
      <c r="C62" t="s">
        <v>3998</v>
      </c>
      <c r="D62">
        <v>622022</v>
      </c>
      <c r="E62" t="s">
        <v>3939</v>
      </c>
      <c r="F62" t="s">
        <v>3940</v>
      </c>
      <c r="G62" s="217">
        <v>3719.46</v>
      </c>
      <c r="H62" t="s">
        <v>3941</v>
      </c>
      <c r="I62">
        <v>23.75</v>
      </c>
      <c r="J62">
        <v>373.06</v>
      </c>
      <c r="K62">
        <v>70</v>
      </c>
      <c r="L62" s="13">
        <f>VLOOKUP($B62,'[3]חשבונות חברה 40'!$A:$I,7,0)</f>
        <v>0</v>
      </c>
      <c r="M62" s="13">
        <f>VLOOKUP($B62,'[3]חשבונות חברה 40'!$A:$I,5,0)</f>
        <v>0</v>
      </c>
      <c r="N62" s="4">
        <f>IF(VLOOKUP($B62,'[3]חשבונות חברה 40'!$A:$J,10,0)=0,"",VLOOKUP($B62,'[3]חשבונות חברה 40'!$A:$J,10,0))</f>
        <v>41258</v>
      </c>
      <c r="O62">
        <f t="shared" si="9"/>
        <v>223.83599999999998</v>
      </c>
      <c r="P62">
        <f t="shared" si="9"/>
        <v>186.53</v>
      </c>
      <c r="Q62">
        <f t="shared" si="9"/>
        <v>149.22400000000002</v>
      </c>
      <c r="R62">
        <f t="shared" si="9"/>
        <v>111.91800000000002</v>
      </c>
      <c r="S62">
        <f t="shared" si="9"/>
        <v>74.611999999999981</v>
      </c>
      <c r="T62">
        <f t="shared" si="9"/>
        <v>37.30599999999999</v>
      </c>
      <c r="U62">
        <f t="shared" si="9"/>
        <v>0</v>
      </c>
      <c r="V62">
        <f t="shared" si="9"/>
        <v>0</v>
      </c>
      <c r="W62">
        <f t="shared" si="9"/>
        <v>0</v>
      </c>
      <c r="X62">
        <f t="shared" si="9"/>
        <v>0</v>
      </c>
      <c r="Y62">
        <f t="shared" si="9"/>
        <v>0</v>
      </c>
      <c r="Z62">
        <f t="shared" si="9"/>
        <v>0</v>
      </c>
      <c r="AA62">
        <f t="shared" si="9"/>
        <v>0</v>
      </c>
      <c r="AB62">
        <f t="shared" si="9"/>
        <v>0</v>
      </c>
      <c r="AC62">
        <f t="shared" si="9"/>
        <v>0</v>
      </c>
      <c r="AD62">
        <f t="shared" si="9"/>
        <v>0</v>
      </c>
      <c r="AE62">
        <f t="shared" si="8"/>
        <v>0</v>
      </c>
      <c r="AF62">
        <f t="shared" si="8"/>
        <v>0</v>
      </c>
      <c r="AG62">
        <f t="shared" si="8"/>
        <v>0</v>
      </c>
      <c r="AH62">
        <f t="shared" si="8"/>
        <v>0</v>
      </c>
    </row>
    <row r="63" spans="1:34">
      <c r="A63">
        <v>348</v>
      </c>
      <c r="B63">
        <v>899122</v>
      </c>
      <c r="C63" t="s">
        <v>3999</v>
      </c>
      <c r="D63">
        <v>622022</v>
      </c>
      <c r="E63" t="s">
        <v>3939</v>
      </c>
      <c r="F63" t="s">
        <v>3940</v>
      </c>
      <c r="G63" s="217">
        <v>5750.78</v>
      </c>
      <c r="H63" t="s">
        <v>3941</v>
      </c>
      <c r="I63">
        <v>48</v>
      </c>
      <c r="J63">
        <v>576.79999999999995</v>
      </c>
      <c r="K63">
        <v>70</v>
      </c>
      <c r="L63" s="13">
        <f>VLOOKUP($B63,'[3]חשבונות חברה 40'!$A:$I,7,0)</f>
        <v>0</v>
      </c>
      <c r="M63" s="13">
        <f>VLOOKUP($B63,'[3]חשבונות חברה 40'!$A:$I,5,0)</f>
        <v>0</v>
      </c>
      <c r="N63" s="4">
        <f>IF(VLOOKUP($B63,'[3]חשבונות חברה 40'!$A:$J,10,0)=0,"",VLOOKUP($B63,'[3]חשבונות חברה 40'!$A:$J,10,0))</f>
        <v>41258</v>
      </c>
      <c r="O63">
        <f t="shared" si="9"/>
        <v>346.08</v>
      </c>
      <c r="P63">
        <f t="shared" si="9"/>
        <v>288.39999999999998</v>
      </c>
      <c r="Q63">
        <f t="shared" si="9"/>
        <v>230.72</v>
      </c>
      <c r="R63">
        <f t="shared" si="9"/>
        <v>173.04000000000002</v>
      </c>
      <c r="S63">
        <f t="shared" si="9"/>
        <v>115.35999999999997</v>
      </c>
      <c r="T63">
        <f t="shared" si="9"/>
        <v>57.679999999999986</v>
      </c>
      <c r="U63">
        <f t="shared" si="9"/>
        <v>0</v>
      </c>
      <c r="V63">
        <f t="shared" si="9"/>
        <v>0</v>
      </c>
      <c r="W63">
        <f t="shared" si="9"/>
        <v>0</v>
      </c>
      <c r="X63">
        <f t="shared" si="9"/>
        <v>0</v>
      </c>
      <c r="Y63">
        <f t="shared" si="9"/>
        <v>0</v>
      </c>
      <c r="Z63">
        <f t="shared" si="9"/>
        <v>0</v>
      </c>
      <c r="AA63">
        <f t="shared" si="9"/>
        <v>0</v>
      </c>
      <c r="AB63">
        <f t="shared" si="9"/>
        <v>0</v>
      </c>
      <c r="AC63">
        <f t="shared" si="9"/>
        <v>0</v>
      </c>
      <c r="AD63">
        <f t="shared" si="9"/>
        <v>0</v>
      </c>
      <c r="AE63">
        <f t="shared" si="8"/>
        <v>0</v>
      </c>
      <c r="AF63">
        <f t="shared" si="8"/>
        <v>0</v>
      </c>
      <c r="AG63">
        <f t="shared" si="8"/>
        <v>0</v>
      </c>
      <c r="AH63">
        <f t="shared" si="8"/>
        <v>0</v>
      </c>
    </row>
    <row r="64" spans="1:34">
      <c r="A64">
        <v>349</v>
      </c>
      <c r="B64">
        <v>899123</v>
      </c>
      <c r="C64" t="s">
        <v>4000</v>
      </c>
      <c r="D64">
        <v>622022</v>
      </c>
      <c r="E64" t="s">
        <v>3939</v>
      </c>
      <c r="F64" t="s">
        <v>3940</v>
      </c>
      <c r="G64" s="217">
        <v>2860.43</v>
      </c>
      <c r="H64" t="s">
        <v>3941</v>
      </c>
      <c r="I64">
        <v>13.49</v>
      </c>
      <c r="J64">
        <v>286.89999999999998</v>
      </c>
      <c r="K64">
        <v>70</v>
      </c>
      <c r="L64" s="13">
        <f>VLOOKUP($B64,'[3]חשבונות חברה 40'!$A:$I,7,0)</f>
        <v>0</v>
      </c>
      <c r="M64" s="13">
        <f>VLOOKUP($B64,'[3]חשבונות חברה 40'!$A:$I,5,0)</f>
        <v>0</v>
      </c>
      <c r="N64" s="4">
        <f>IF(VLOOKUP($B64,'[3]חשבונות חברה 40'!$A:$J,10,0)=0,"",VLOOKUP($B64,'[3]חשבונות חברה 40'!$A:$J,10,0))</f>
        <v>41258</v>
      </c>
      <c r="O64">
        <f t="shared" si="9"/>
        <v>172.14</v>
      </c>
      <c r="P64">
        <f t="shared" si="9"/>
        <v>143.44999999999999</v>
      </c>
      <c r="Q64">
        <f t="shared" si="9"/>
        <v>114.75999999999999</v>
      </c>
      <c r="R64">
        <f t="shared" si="9"/>
        <v>86.070000000000007</v>
      </c>
      <c r="S64">
        <f t="shared" si="9"/>
        <v>57.379999999999981</v>
      </c>
      <c r="T64">
        <f t="shared" si="9"/>
        <v>28.689999999999991</v>
      </c>
      <c r="U64">
        <f t="shared" si="9"/>
        <v>0</v>
      </c>
      <c r="V64">
        <f t="shared" si="9"/>
        <v>0</v>
      </c>
      <c r="W64">
        <f t="shared" si="9"/>
        <v>0</v>
      </c>
      <c r="X64">
        <f t="shared" si="9"/>
        <v>0</v>
      </c>
      <c r="Y64">
        <f t="shared" si="9"/>
        <v>0</v>
      </c>
      <c r="Z64">
        <f t="shared" si="9"/>
        <v>0</v>
      </c>
      <c r="AA64">
        <f t="shared" si="9"/>
        <v>0</v>
      </c>
      <c r="AB64">
        <f t="shared" si="9"/>
        <v>0</v>
      </c>
      <c r="AC64">
        <f t="shared" si="9"/>
        <v>0</v>
      </c>
      <c r="AD64">
        <f t="shared" ref="AD64:AH79" si="10">IF((AD$2-$N64)/365&lt;10,1,IF((AD$2-$N64)/365&gt;20,0,1-(ROUNDDOWN(((AD$2-$N64)/365),0)-10)/10))*$J64</f>
        <v>0</v>
      </c>
      <c r="AE64">
        <f t="shared" si="10"/>
        <v>0</v>
      </c>
      <c r="AF64">
        <f t="shared" si="10"/>
        <v>0</v>
      </c>
      <c r="AG64">
        <f t="shared" si="10"/>
        <v>0</v>
      </c>
      <c r="AH64">
        <f t="shared" si="10"/>
        <v>0</v>
      </c>
    </row>
    <row r="65" spans="1:34">
      <c r="A65">
        <v>350</v>
      </c>
      <c r="B65">
        <v>899124</v>
      </c>
      <c r="C65" t="s">
        <v>4001</v>
      </c>
      <c r="D65">
        <v>622022</v>
      </c>
      <c r="E65" t="s">
        <v>3939</v>
      </c>
      <c r="F65" t="s">
        <v>3940</v>
      </c>
      <c r="G65" s="217">
        <v>4985.07</v>
      </c>
      <c r="H65" t="s">
        <v>3941</v>
      </c>
      <c r="I65">
        <v>38.86</v>
      </c>
      <c r="J65">
        <v>500</v>
      </c>
      <c r="K65">
        <v>70</v>
      </c>
      <c r="L65" s="13">
        <f>VLOOKUP($B65,'[3]חשבונות חברה 40'!$A:$I,7,0)</f>
        <v>0</v>
      </c>
      <c r="M65" s="13">
        <f>VLOOKUP($B65,'[3]חשבונות חברה 40'!$A:$I,5,0)</f>
        <v>0</v>
      </c>
      <c r="N65" s="4">
        <f>IF(VLOOKUP($B65,'[3]חשבונות חברה 40'!$A:$J,10,0)=0,"",VLOOKUP($B65,'[3]חשבונות חברה 40'!$A:$J,10,0))</f>
        <v>41258</v>
      </c>
      <c r="O65">
        <f t="shared" ref="O65:AD80" si="11">IF((O$2-$N65)/365&lt;10,1,IF((O$2-$N65)/365&gt;20,0,1-(ROUNDDOWN(((O$2-$N65)/365),0)-10)/10))*$J65</f>
        <v>300</v>
      </c>
      <c r="P65">
        <f t="shared" si="11"/>
        <v>250</v>
      </c>
      <c r="Q65">
        <f t="shared" si="11"/>
        <v>200</v>
      </c>
      <c r="R65">
        <f t="shared" si="11"/>
        <v>150.00000000000003</v>
      </c>
      <c r="S65">
        <f t="shared" si="11"/>
        <v>99.999999999999972</v>
      </c>
      <c r="T65">
        <f t="shared" si="11"/>
        <v>49.999999999999986</v>
      </c>
      <c r="U65">
        <f t="shared" si="11"/>
        <v>0</v>
      </c>
      <c r="V65">
        <f t="shared" si="11"/>
        <v>0</v>
      </c>
      <c r="W65">
        <f t="shared" si="11"/>
        <v>0</v>
      </c>
      <c r="X65">
        <f t="shared" si="11"/>
        <v>0</v>
      </c>
      <c r="Y65">
        <f t="shared" si="11"/>
        <v>0</v>
      </c>
      <c r="Z65">
        <f t="shared" si="11"/>
        <v>0</v>
      </c>
      <c r="AA65">
        <f t="shared" si="11"/>
        <v>0</v>
      </c>
      <c r="AB65">
        <f t="shared" si="11"/>
        <v>0</v>
      </c>
      <c r="AC65">
        <f t="shared" si="11"/>
        <v>0</v>
      </c>
      <c r="AD65">
        <f t="shared" si="11"/>
        <v>0</v>
      </c>
      <c r="AE65">
        <f t="shared" si="10"/>
        <v>0</v>
      </c>
      <c r="AF65">
        <f t="shared" si="10"/>
        <v>0</v>
      </c>
      <c r="AG65">
        <f t="shared" si="10"/>
        <v>0</v>
      </c>
      <c r="AH65">
        <f t="shared" si="10"/>
        <v>0</v>
      </c>
    </row>
    <row r="66" spans="1:34">
      <c r="A66">
        <v>351</v>
      </c>
      <c r="B66">
        <v>899125</v>
      </c>
      <c r="C66" t="s">
        <v>4002</v>
      </c>
      <c r="D66">
        <v>622022</v>
      </c>
      <c r="E66" t="s">
        <v>3939</v>
      </c>
      <c r="F66" t="s">
        <v>3940</v>
      </c>
      <c r="G66" s="217">
        <v>4953.47</v>
      </c>
      <c r="H66" t="s">
        <v>3941</v>
      </c>
      <c r="I66">
        <v>38.479999999999997</v>
      </c>
      <c r="J66">
        <v>496.83</v>
      </c>
      <c r="K66">
        <v>70</v>
      </c>
      <c r="L66" s="13">
        <f>VLOOKUP($B66,'[3]חשבונות חברה 40'!$A:$I,7,0)</f>
        <v>0</v>
      </c>
      <c r="M66" s="13">
        <f>VLOOKUP($B66,'[3]חשבונות חברה 40'!$A:$I,5,0)</f>
        <v>0</v>
      </c>
      <c r="N66" s="4">
        <f>IF(VLOOKUP($B66,'[3]חשבונות חברה 40'!$A:$J,10,0)=0,"",VLOOKUP($B66,'[3]חשבונות חברה 40'!$A:$J,10,0))</f>
        <v>41258</v>
      </c>
      <c r="O66">
        <f t="shared" si="11"/>
        <v>298.09799999999996</v>
      </c>
      <c r="P66">
        <f t="shared" si="11"/>
        <v>248.41499999999999</v>
      </c>
      <c r="Q66">
        <f t="shared" si="11"/>
        <v>198.732</v>
      </c>
      <c r="R66">
        <f t="shared" si="11"/>
        <v>149.04900000000001</v>
      </c>
      <c r="S66">
        <f t="shared" si="11"/>
        <v>99.365999999999971</v>
      </c>
      <c r="T66">
        <f t="shared" si="11"/>
        <v>49.682999999999986</v>
      </c>
      <c r="U66">
        <f t="shared" si="11"/>
        <v>0</v>
      </c>
      <c r="V66">
        <f t="shared" si="11"/>
        <v>0</v>
      </c>
      <c r="W66">
        <f t="shared" si="11"/>
        <v>0</v>
      </c>
      <c r="X66">
        <f t="shared" si="11"/>
        <v>0</v>
      </c>
      <c r="Y66">
        <f t="shared" si="11"/>
        <v>0</v>
      </c>
      <c r="Z66">
        <f t="shared" si="11"/>
        <v>0</v>
      </c>
      <c r="AA66">
        <f t="shared" si="11"/>
        <v>0</v>
      </c>
      <c r="AB66">
        <f t="shared" si="11"/>
        <v>0</v>
      </c>
      <c r="AC66">
        <f t="shared" si="11"/>
        <v>0</v>
      </c>
      <c r="AD66">
        <f t="shared" si="11"/>
        <v>0</v>
      </c>
      <c r="AE66">
        <f t="shared" si="10"/>
        <v>0</v>
      </c>
      <c r="AF66">
        <f t="shared" si="10"/>
        <v>0</v>
      </c>
      <c r="AG66">
        <f t="shared" si="10"/>
        <v>0</v>
      </c>
      <c r="AH66">
        <f t="shared" si="10"/>
        <v>0</v>
      </c>
    </row>
    <row r="67" spans="1:34">
      <c r="A67">
        <v>352</v>
      </c>
      <c r="B67">
        <v>899126</v>
      </c>
      <c r="C67" t="s">
        <v>4003</v>
      </c>
      <c r="D67">
        <v>622022</v>
      </c>
      <c r="E67" t="s">
        <v>3939</v>
      </c>
      <c r="F67" t="s">
        <v>3940</v>
      </c>
      <c r="G67" s="217">
        <v>6572.32</v>
      </c>
      <c r="H67" t="s">
        <v>3941</v>
      </c>
      <c r="I67">
        <v>48</v>
      </c>
      <c r="J67">
        <v>659.2</v>
      </c>
      <c r="K67">
        <v>80</v>
      </c>
      <c r="L67" s="13">
        <f>VLOOKUP($B67,'[3]חשבונות חברה 40'!$A:$I,7,0)</f>
        <v>0</v>
      </c>
      <c r="M67" s="13">
        <f>VLOOKUP($B67,'[3]חשבונות חברה 40'!$A:$I,5,0)</f>
        <v>0</v>
      </c>
      <c r="N67" s="4">
        <f>IF(VLOOKUP($B67,'[3]חשבונות חברה 40'!$A:$J,10,0)=0,"",VLOOKUP($B67,'[3]חשבונות חברה 40'!$A:$J,10,0))</f>
        <v>41527</v>
      </c>
      <c r="O67">
        <f t="shared" si="11"/>
        <v>461.44</v>
      </c>
      <c r="P67">
        <f t="shared" si="11"/>
        <v>395.52000000000004</v>
      </c>
      <c r="Q67">
        <f t="shared" si="11"/>
        <v>329.6</v>
      </c>
      <c r="R67">
        <f t="shared" si="11"/>
        <v>263.68</v>
      </c>
      <c r="S67">
        <f t="shared" si="11"/>
        <v>197.76000000000005</v>
      </c>
      <c r="T67">
        <f t="shared" si="11"/>
        <v>131.83999999999997</v>
      </c>
      <c r="U67">
        <f t="shared" si="11"/>
        <v>65.919999999999987</v>
      </c>
      <c r="V67">
        <f t="shared" si="11"/>
        <v>0</v>
      </c>
      <c r="W67">
        <f t="shared" si="11"/>
        <v>0</v>
      </c>
      <c r="X67">
        <f t="shared" si="11"/>
        <v>0</v>
      </c>
      <c r="Y67">
        <f t="shared" si="11"/>
        <v>0</v>
      </c>
      <c r="Z67">
        <f t="shared" si="11"/>
        <v>0</v>
      </c>
      <c r="AA67">
        <f t="shared" si="11"/>
        <v>0</v>
      </c>
      <c r="AB67">
        <f t="shared" si="11"/>
        <v>0</v>
      </c>
      <c r="AC67">
        <f t="shared" si="11"/>
        <v>0</v>
      </c>
      <c r="AD67">
        <f t="shared" si="11"/>
        <v>0</v>
      </c>
      <c r="AE67">
        <f t="shared" si="10"/>
        <v>0</v>
      </c>
      <c r="AF67">
        <f t="shared" si="10"/>
        <v>0</v>
      </c>
      <c r="AG67">
        <f t="shared" si="10"/>
        <v>0</v>
      </c>
      <c r="AH67">
        <f t="shared" si="10"/>
        <v>0</v>
      </c>
    </row>
    <row r="68" spans="1:34">
      <c r="A68">
        <v>353</v>
      </c>
      <c r="B68">
        <v>899127</v>
      </c>
      <c r="C68" t="s">
        <v>4004</v>
      </c>
      <c r="D68">
        <v>622022</v>
      </c>
      <c r="E68" t="s">
        <v>3939</v>
      </c>
      <c r="F68" t="s">
        <v>3940</v>
      </c>
      <c r="G68" s="217">
        <v>5750.78</v>
      </c>
      <c r="H68" t="s">
        <v>3941</v>
      </c>
      <c r="I68">
        <v>48</v>
      </c>
      <c r="J68">
        <v>576.79999999999995</v>
      </c>
      <c r="K68">
        <v>70</v>
      </c>
      <c r="L68" s="13">
        <f>VLOOKUP($B68,'[3]חשבונות חברה 40'!$A:$I,7,0)</f>
        <v>0</v>
      </c>
      <c r="M68" s="13">
        <f>VLOOKUP($B68,'[3]חשבונות חברה 40'!$A:$I,5,0)</f>
        <v>0</v>
      </c>
      <c r="N68" s="4">
        <f>IF(VLOOKUP($B68,'[3]חשבונות חברה 40'!$A:$J,10,0)=0,"",VLOOKUP($B68,'[3]חשבונות חברה 40'!$A:$J,10,0))</f>
        <v>41258</v>
      </c>
      <c r="O68">
        <f t="shared" si="11"/>
        <v>346.08</v>
      </c>
      <c r="P68">
        <f t="shared" si="11"/>
        <v>288.39999999999998</v>
      </c>
      <c r="Q68">
        <f t="shared" si="11"/>
        <v>230.72</v>
      </c>
      <c r="R68">
        <f t="shared" si="11"/>
        <v>173.04000000000002</v>
      </c>
      <c r="S68">
        <f t="shared" si="11"/>
        <v>115.35999999999997</v>
      </c>
      <c r="T68">
        <f t="shared" si="11"/>
        <v>57.679999999999986</v>
      </c>
      <c r="U68">
        <f t="shared" si="11"/>
        <v>0</v>
      </c>
      <c r="V68">
        <f t="shared" si="11"/>
        <v>0</v>
      </c>
      <c r="W68">
        <f t="shared" si="11"/>
        <v>0</v>
      </c>
      <c r="X68">
        <f t="shared" si="11"/>
        <v>0</v>
      </c>
      <c r="Y68">
        <f t="shared" si="11"/>
        <v>0</v>
      </c>
      <c r="Z68">
        <f t="shared" si="11"/>
        <v>0</v>
      </c>
      <c r="AA68">
        <f t="shared" si="11"/>
        <v>0</v>
      </c>
      <c r="AB68">
        <f t="shared" si="11"/>
        <v>0</v>
      </c>
      <c r="AC68">
        <f t="shared" si="11"/>
        <v>0</v>
      </c>
      <c r="AD68">
        <f t="shared" si="11"/>
        <v>0</v>
      </c>
      <c r="AE68">
        <f t="shared" si="10"/>
        <v>0</v>
      </c>
      <c r="AF68">
        <f t="shared" si="10"/>
        <v>0</v>
      </c>
      <c r="AG68">
        <f t="shared" si="10"/>
        <v>0</v>
      </c>
      <c r="AH68">
        <f t="shared" si="10"/>
        <v>0</v>
      </c>
    </row>
    <row r="69" spans="1:34">
      <c r="A69">
        <v>354</v>
      </c>
      <c r="B69">
        <v>899128</v>
      </c>
      <c r="C69" t="s">
        <v>4005</v>
      </c>
      <c r="D69">
        <v>622022</v>
      </c>
      <c r="E69" t="s">
        <v>3939</v>
      </c>
      <c r="F69" t="s">
        <v>3940</v>
      </c>
      <c r="G69" s="217">
        <v>5211.29</v>
      </c>
      <c r="H69" t="s">
        <v>3941</v>
      </c>
      <c r="I69">
        <v>41.56</v>
      </c>
      <c r="J69">
        <v>522.69000000000005</v>
      </c>
      <c r="K69">
        <v>70</v>
      </c>
      <c r="L69" s="13">
        <f>VLOOKUP($B69,'[3]חשבונות חברה 40'!$A:$I,7,0)</f>
        <v>0</v>
      </c>
      <c r="M69" s="13">
        <f>VLOOKUP($B69,'[3]חשבונות חברה 40'!$A:$I,5,0)</f>
        <v>0</v>
      </c>
      <c r="N69" s="4">
        <f>IF(VLOOKUP($B69,'[3]חשבונות חברה 40'!$A:$J,10,0)=0,"",VLOOKUP($B69,'[3]חשבונות חברה 40'!$A:$J,10,0))</f>
        <v>41258</v>
      </c>
      <c r="O69">
        <f t="shared" si="11"/>
        <v>313.61400000000003</v>
      </c>
      <c r="P69">
        <f t="shared" si="11"/>
        <v>261.34500000000003</v>
      </c>
      <c r="Q69">
        <f t="shared" si="11"/>
        <v>209.07600000000002</v>
      </c>
      <c r="R69">
        <f t="shared" si="11"/>
        <v>156.80700000000004</v>
      </c>
      <c r="S69">
        <f t="shared" si="11"/>
        <v>104.53799999999998</v>
      </c>
      <c r="T69">
        <f t="shared" si="11"/>
        <v>52.268999999999991</v>
      </c>
      <c r="U69">
        <f t="shared" si="11"/>
        <v>0</v>
      </c>
      <c r="V69">
        <f t="shared" si="11"/>
        <v>0</v>
      </c>
      <c r="W69">
        <f t="shared" si="11"/>
        <v>0</v>
      </c>
      <c r="X69">
        <f t="shared" si="11"/>
        <v>0</v>
      </c>
      <c r="Y69">
        <f t="shared" si="11"/>
        <v>0</v>
      </c>
      <c r="Z69">
        <f t="shared" si="11"/>
        <v>0</v>
      </c>
      <c r="AA69">
        <f t="shared" si="11"/>
        <v>0</v>
      </c>
      <c r="AB69">
        <f t="shared" si="11"/>
        <v>0</v>
      </c>
      <c r="AC69">
        <f t="shared" si="11"/>
        <v>0</v>
      </c>
      <c r="AD69">
        <f t="shared" si="11"/>
        <v>0</v>
      </c>
      <c r="AE69">
        <f t="shared" si="10"/>
        <v>0</v>
      </c>
      <c r="AF69">
        <f t="shared" si="10"/>
        <v>0</v>
      </c>
      <c r="AG69">
        <f t="shared" si="10"/>
        <v>0</v>
      </c>
      <c r="AH69">
        <f t="shared" si="10"/>
        <v>0</v>
      </c>
    </row>
    <row r="70" spans="1:34">
      <c r="A70">
        <v>355</v>
      </c>
      <c r="B70">
        <v>899129</v>
      </c>
      <c r="C70" t="s">
        <v>4006</v>
      </c>
      <c r="D70">
        <v>622022</v>
      </c>
      <c r="E70" t="s">
        <v>3939</v>
      </c>
      <c r="F70" t="s">
        <v>3940</v>
      </c>
      <c r="G70" s="217">
        <v>6551.38</v>
      </c>
      <c r="H70" t="s">
        <v>3941</v>
      </c>
      <c r="I70">
        <v>47.78</v>
      </c>
      <c r="J70">
        <v>657.1</v>
      </c>
      <c r="K70">
        <v>80</v>
      </c>
      <c r="L70" s="13">
        <f>VLOOKUP($B70,'[3]חשבונות חברה 40'!$A:$I,7,0)</f>
        <v>0</v>
      </c>
      <c r="M70" s="13">
        <f>VLOOKUP($B70,'[3]חשבונות חברה 40'!$A:$I,5,0)</f>
        <v>0</v>
      </c>
      <c r="N70" s="4">
        <f>IF(VLOOKUP($B70,'[3]חשבונות חברה 40'!$A:$J,10,0)=0,"",VLOOKUP($B70,'[3]חשבונות חברה 40'!$A:$J,10,0))</f>
        <v>41824</v>
      </c>
      <c r="O70">
        <f t="shared" si="11"/>
        <v>525.68000000000006</v>
      </c>
      <c r="P70">
        <f t="shared" si="11"/>
        <v>459.96999999999997</v>
      </c>
      <c r="Q70">
        <f t="shared" si="11"/>
        <v>394.26</v>
      </c>
      <c r="R70">
        <f t="shared" si="11"/>
        <v>328.55</v>
      </c>
      <c r="S70">
        <f t="shared" si="11"/>
        <v>262.84000000000003</v>
      </c>
      <c r="T70">
        <f t="shared" si="11"/>
        <v>197.13000000000002</v>
      </c>
      <c r="U70">
        <f t="shared" si="11"/>
        <v>131.41999999999999</v>
      </c>
      <c r="V70">
        <f t="shared" si="11"/>
        <v>65.709999999999994</v>
      </c>
      <c r="W70">
        <f t="shared" si="11"/>
        <v>0</v>
      </c>
      <c r="X70">
        <f t="shared" si="11"/>
        <v>0</v>
      </c>
      <c r="Y70">
        <f t="shared" si="11"/>
        <v>0</v>
      </c>
      <c r="Z70">
        <f t="shared" si="11"/>
        <v>0</v>
      </c>
      <c r="AA70">
        <f t="shared" si="11"/>
        <v>0</v>
      </c>
      <c r="AB70">
        <f t="shared" si="11"/>
        <v>0</v>
      </c>
      <c r="AC70">
        <f t="shared" si="11"/>
        <v>0</v>
      </c>
      <c r="AD70">
        <f t="shared" si="11"/>
        <v>0</v>
      </c>
      <c r="AE70">
        <f t="shared" si="10"/>
        <v>0</v>
      </c>
      <c r="AF70">
        <f t="shared" si="10"/>
        <v>0</v>
      </c>
      <c r="AG70">
        <f t="shared" si="10"/>
        <v>0</v>
      </c>
      <c r="AH70">
        <f t="shared" si="10"/>
        <v>0</v>
      </c>
    </row>
    <row r="71" spans="1:34">
      <c r="A71">
        <v>356</v>
      </c>
      <c r="B71">
        <v>899130</v>
      </c>
      <c r="C71" t="s">
        <v>4007</v>
      </c>
      <c r="D71">
        <v>622022</v>
      </c>
      <c r="E71" t="s">
        <v>3939</v>
      </c>
      <c r="F71" t="s">
        <v>3940</v>
      </c>
      <c r="G71" s="217">
        <v>6424.66</v>
      </c>
      <c r="H71" t="s">
        <v>3941</v>
      </c>
      <c r="I71">
        <v>46.46</v>
      </c>
      <c r="J71">
        <v>644.39</v>
      </c>
      <c r="K71">
        <v>80</v>
      </c>
      <c r="L71" s="13">
        <f>VLOOKUP($B71,'[3]חשבונות חברה 40'!$A:$I,7,0)</f>
        <v>0</v>
      </c>
      <c r="M71" s="13">
        <f>VLOOKUP($B71,'[3]חשבונות חברה 40'!$A:$I,5,0)</f>
        <v>0</v>
      </c>
      <c r="N71" s="4">
        <f>IF(VLOOKUP($B71,'[3]חשבונות חברה 40'!$A:$J,10,0)=0,"",VLOOKUP($B71,'[3]חשבונות חברה 40'!$A:$J,10,0))</f>
        <v>41845</v>
      </c>
      <c r="O71">
        <f t="shared" si="11"/>
        <v>515.51200000000006</v>
      </c>
      <c r="P71">
        <f t="shared" si="11"/>
        <v>451.07299999999998</v>
      </c>
      <c r="Q71">
        <f t="shared" si="11"/>
        <v>386.63399999999996</v>
      </c>
      <c r="R71">
        <f t="shared" si="11"/>
        <v>322.19499999999999</v>
      </c>
      <c r="S71">
        <f t="shared" si="11"/>
        <v>257.75600000000003</v>
      </c>
      <c r="T71">
        <f t="shared" si="11"/>
        <v>193.31700000000004</v>
      </c>
      <c r="U71">
        <f t="shared" si="11"/>
        <v>128.87799999999996</v>
      </c>
      <c r="V71">
        <f t="shared" si="11"/>
        <v>64.438999999999979</v>
      </c>
      <c r="W71">
        <f t="shared" si="11"/>
        <v>0</v>
      </c>
      <c r="X71">
        <f t="shared" si="11"/>
        <v>0</v>
      </c>
      <c r="Y71">
        <f t="shared" si="11"/>
        <v>0</v>
      </c>
      <c r="Z71">
        <f t="shared" si="11"/>
        <v>0</v>
      </c>
      <c r="AA71">
        <f t="shared" si="11"/>
        <v>0</v>
      </c>
      <c r="AB71">
        <f t="shared" si="11"/>
        <v>0</v>
      </c>
      <c r="AC71">
        <f t="shared" si="11"/>
        <v>0</v>
      </c>
      <c r="AD71">
        <f t="shared" si="11"/>
        <v>0</v>
      </c>
      <c r="AE71">
        <f t="shared" si="10"/>
        <v>0</v>
      </c>
      <c r="AF71">
        <f t="shared" si="10"/>
        <v>0</v>
      </c>
      <c r="AG71">
        <f t="shared" si="10"/>
        <v>0</v>
      </c>
      <c r="AH71">
        <f t="shared" si="10"/>
        <v>0</v>
      </c>
    </row>
    <row r="72" spans="1:34">
      <c r="A72">
        <v>357</v>
      </c>
      <c r="B72">
        <v>899131</v>
      </c>
      <c r="C72" t="s">
        <v>4008</v>
      </c>
      <c r="D72">
        <v>622022</v>
      </c>
      <c r="E72" t="s">
        <v>3939</v>
      </c>
      <c r="F72" t="s">
        <v>3940</v>
      </c>
      <c r="G72" s="217">
        <v>5750.78</v>
      </c>
      <c r="H72" t="s">
        <v>3941</v>
      </c>
      <c r="I72">
        <v>48</v>
      </c>
      <c r="J72">
        <v>576.79999999999995</v>
      </c>
      <c r="K72">
        <v>70</v>
      </c>
      <c r="L72" s="13">
        <f>VLOOKUP($B72,'[3]חשבונות חברה 40'!$A:$I,7,0)</f>
        <v>0</v>
      </c>
      <c r="M72" s="13">
        <f>VLOOKUP($B72,'[3]חשבונות חברה 40'!$A:$I,5,0)</f>
        <v>0</v>
      </c>
      <c r="N72" s="4">
        <f>IF(VLOOKUP($B72,'[3]חשבונות חברה 40'!$A:$J,10,0)=0,"",VLOOKUP($B72,'[3]חשבונות חברה 40'!$A:$J,10,0))</f>
        <v>41258</v>
      </c>
      <c r="O72">
        <f t="shared" si="11"/>
        <v>346.08</v>
      </c>
      <c r="P72">
        <f t="shared" si="11"/>
        <v>288.39999999999998</v>
      </c>
      <c r="Q72">
        <f t="shared" si="11"/>
        <v>230.72</v>
      </c>
      <c r="R72">
        <f t="shared" si="11"/>
        <v>173.04000000000002</v>
      </c>
      <c r="S72">
        <f t="shared" si="11"/>
        <v>115.35999999999997</v>
      </c>
      <c r="T72">
        <f t="shared" si="11"/>
        <v>57.679999999999986</v>
      </c>
      <c r="U72">
        <f t="shared" si="11"/>
        <v>0</v>
      </c>
      <c r="V72">
        <f t="shared" si="11"/>
        <v>0</v>
      </c>
      <c r="W72">
        <f t="shared" si="11"/>
        <v>0</v>
      </c>
      <c r="X72">
        <f t="shared" si="11"/>
        <v>0</v>
      </c>
      <c r="Y72">
        <f t="shared" si="11"/>
        <v>0</v>
      </c>
      <c r="Z72">
        <f t="shared" si="11"/>
        <v>0</v>
      </c>
      <c r="AA72">
        <f t="shared" si="11"/>
        <v>0</v>
      </c>
      <c r="AB72">
        <f t="shared" si="11"/>
        <v>0</v>
      </c>
      <c r="AC72">
        <f t="shared" si="11"/>
        <v>0</v>
      </c>
      <c r="AD72">
        <f t="shared" si="11"/>
        <v>0</v>
      </c>
      <c r="AE72">
        <f t="shared" si="10"/>
        <v>0</v>
      </c>
      <c r="AF72">
        <f t="shared" si="10"/>
        <v>0</v>
      </c>
      <c r="AG72">
        <f t="shared" si="10"/>
        <v>0</v>
      </c>
      <c r="AH72">
        <f t="shared" si="10"/>
        <v>0</v>
      </c>
    </row>
    <row r="73" spans="1:34">
      <c r="A73">
        <v>358</v>
      </c>
      <c r="B73">
        <v>899132</v>
      </c>
      <c r="C73" t="s">
        <v>4009</v>
      </c>
      <c r="D73">
        <v>622022</v>
      </c>
      <c r="E73" t="s">
        <v>3939</v>
      </c>
      <c r="F73" t="s">
        <v>3940</v>
      </c>
      <c r="G73" s="217">
        <v>4248.08</v>
      </c>
      <c r="H73" t="s">
        <v>3941</v>
      </c>
      <c r="I73">
        <v>30.06</v>
      </c>
      <c r="J73">
        <v>426.08</v>
      </c>
      <c r="K73">
        <v>70</v>
      </c>
      <c r="L73" s="13">
        <f>VLOOKUP($B73,'[3]חשבונות חברה 40'!$A:$I,7,0)</f>
        <v>0</v>
      </c>
      <c r="M73" s="13">
        <f>VLOOKUP($B73,'[3]חשבונות חברה 40'!$A:$I,5,0)</f>
        <v>0</v>
      </c>
      <c r="N73" s="4">
        <f>IF(VLOOKUP($B73,'[3]חשבונות חברה 40'!$A:$J,10,0)=0,"",VLOOKUP($B73,'[3]חשבונות חברה 40'!$A:$J,10,0))</f>
        <v>41258</v>
      </c>
      <c r="O73">
        <f t="shared" si="11"/>
        <v>255.64799999999997</v>
      </c>
      <c r="P73">
        <f t="shared" si="11"/>
        <v>213.04</v>
      </c>
      <c r="Q73">
        <f t="shared" si="11"/>
        <v>170.43200000000002</v>
      </c>
      <c r="R73">
        <f t="shared" si="11"/>
        <v>127.82400000000001</v>
      </c>
      <c r="S73">
        <f t="shared" si="11"/>
        <v>85.21599999999998</v>
      </c>
      <c r="T73">
        <f t="shared" si="11"/>
        <v>42.60799999999999</v>
      </c>
      <c r="U73">
        <f t="shared" si="11"/>
        <v>0</v>
      </c>
      <c r="V73">
        <f t="shared" si="11"/>
        <v>0</v>
      </c>
      <c r="W73">
        <f t="shared" si="11"/>
        <v>0</v>
      </c>
      <c r="X73">
        <f t="shared" si="11"/>
        <v>0</v>
      </c>
      <c r="Y73">
        <f t="shared" si="11"/>
        <v>0</v>
      </c>
      <c r="Z73">
        <f t="shared" si="11"/>
        <v>0</v>
      </c>
      <c r="AA73">
        <f t="shared" si="11"/>
        <v>0</v>
      </c>
      <c r="AB73">
        <f t="shared" si="11"/>
        <v>0</v>
      </c>
      <c r="AC73">
        <f t="shared" si="11"/>
        <v>0</v>
      </c>
      <c r="AD73">
        <f t="shared" si="11"/>
        <v>0</v>
      </c>
      <c r="AE73">
        <f t="shared" si="10"/>
        <v>0</v>
      </c>
      <c r="AF73">
        <f t="shared" si="10"/>
        <v>0</v>
      </c>
      <c r="AG73">
        <f t="shared" si="10"/>
        <v>0</v>
      </c>
      <c r="AH73">
        <f t="shared" si="10"/>
        <v>0</v>
      </c>
    </row>
    <row r="74" spans="1:34">
      <c r="A74">
        <v>359</v>
      </c>
      <c r="B74">
        <v>899133</v>
      </c>
      <c r="C74" t="s">
        <v>4010</v>
      </c>
      <c r="D74">
        <v>622022</v>
      </c>
      <c r="E74" t="s">
        <v>3939</v>
      </c>
      <c r="F74" t="s">
        <v>3940</v>
      </c>
      <c r="G74" s="217">
        <v>4040.2</v>
      </c>
      <c r="H74" t="s">
        <v>3941</v>
      </c>
      <c r="I74">
        <v>27.58</v>
      </c>
      <c r="J74">
        <v>405.23</v>
      </c>
      <c r="K74">
        <v>70</v>
      </c>
      <c r="L74" s="13">
        <f>VLOOKUP($B74,'[3]חשבונות חברה 40'!$A:$I,7,0)</f>
        <v>0</v>
      </c>
      <c r="M74" s="13">
        <f>VLOOKUP($B74,'[3]חשבונות חברה 40'!$A:$I,5,0)</f>
        <v>0</v>
      </c>
      <c r="N74" s="4">
        <f>IF(VLOOKUP($B74,'[3]חשבונות חברה 40'!$A:$J,10,0)=0,"",VLOOKUP($B74,'[3]חשבונות חברה 40'!$A:$J,10,0))</f>
        <v>41258</v>
      </c>
      <c r="O74">
        <f t="shared" si="11"/>
        <v>243.13800000000001</v>
      </c>
      <c r="P74">
        <f t="shared" si="11"/>
        <v>202.61500000000001</v>
      </c>
      <c r="Q74">
        <f t="shared" si="11"/>
        <v>162.09200000000001</v>
      </c>
      <c r="R74">
        <f t="shared" si="11"/>
        <v>121.56900000000002</v>
      </c>
      <c r="S74">
        <f t="shared" si="11"/>
        <v>81.045999999999992</v>
      </c>
      <c r="T74">
        <f t="shared" si="11"/>
        <v>40.522999999999996</v>
      </c>
      <c r="U74">
        <f t="shared" si="11"/>
        <v>0</v>
      </c>
      <c r="V74">
        <f t="shared" si="11"/>
        <v>0</v>
      </c>
      <c r="W74">
        <f t="shared" si="11"/>
        <v>0</v>
      </c>
      <c r="X74">
        <f t="shared" si="11"/>
        <v>0</v>
      </c>
      <c r="Y74">
        <f t="shared" si="11"/>
        <v>0</v>
      </c>
      <c r="Z74">
        <f t="shared" si="11"/>
        <v>0</v>
      </c>
      <c r="AA74">
        <f t="shared" si="11"/>
        <v>0</v>
      </c>
      <c r="AB74">
        <f t="shared" si="11"/>
        <v>0</v>
      </c>
      <c r="AC74">
        <f t="shared" si="11"/>
        <v>0</v>
      </c>
      <c r="AD74">
        <f t="shared" si="11"/>
        <v>0</v>
      </c>
      <c r="AE74">
        <f t="shared" si="10"/>
        <v>0</v>
      </c>
      <c r="AF74">
        <f t="shared" si="10"/>
        <v>0</v>
      </c>
      <c r="AG74">
        <f t="shared" si="10"/>
        <v>0</v>
      </c>
      <c r="AH74">
        <f t="shared" si="10"/>
        <v>0</v>
      </c>
    </row>
    <row r="75" spans="1:34">
      <c r="A75">
        <v>360</v>
      </c>
      <c r="B75">
        <v>899134</v>
      </c>
      <c r="C75" t="s">
        <v>4011</v>
      </c>
      <c r="D75">
        <v>622022</v>
      </c>
      <c r="E75" t="s">
        <v>3939</v>
      </c>
      <c r="F75" t="s">
        <v>3940</v>
      </c>
      <c r="G75" s="217">
        <v>4170.1099999999997</v>
      </c>
      <c r="H75" t="s">
        <v>3941</v>
      </c>
      <c r="I75">
        <v>29.13</v>
      </c>
      <c r="J75">
        <v>418.26</v>
      </c>
      <c r="K75">
        <v>70</v>
      </c>
      <c r="L75" s="13">
        <f>VLOOKUP($B75,'[3]חשבונות חברה 40'!$A:$I,7,0)</f>
        <v>0</v>
      </c>
      <c r="M75" s="13">
        <f>VLOOKUP($B75,'[3]חשבונות חברה 40'!$A:$I,5,0)</f>
        <v>0</v>
      </c>
      <c r="N75" s="4">
        <f>IF(VLOOKUP($B75,'[3]חשבונות חברה 40'!$A:$J,10,0)=0,"",VLOOKUP($B75,'[3]חשבונות חברה 40'!$A:$J,10,0))</f>
        <v>41258</v>
      </c>
      <c r="O75">
        <f t="shared" si="11"/>
        <v>250.95599999999999</v>
      </c>
      <c r="P75">
        <f t="shared" si="11"/>
        <v>209.13</v>
      </c>
      <c r="Q75">
        <f t="shared" si="11"/>
        <v>167.304</v>
      </c>
      <c r="R75">
        <f t="shared" si="11"/>
        <v>125.47800000000002</v>
      </c>
      <c r="S75">
        <f t="shared" si="11"/>
        <v>83.651999999999973</v>
      </c>
      <c r="T75">
        <f t="shared" si="11"/>
        <v>41.825999999999986</v>
      </c>
      <c r="U75">
        <f t="shared" si="11"/>
        <v>0</v>
      </c>
      <c r="V75">
        <f t="shared" si="11"/>
        <v>0</v>
      </c>
      <c r="W75">
        <f t="shared" si="11"/>
        <v>0</v>
      </c>
      <c r="X75">
        <f t="shared" si="11"/>
        <v>0</v>
      </c>
      <c r="Y75">
        <f t="shared" si="11"/>
        <v>0</v>
      </c>
      <c r="Z75">
        <f t="shared" si="11"/>
        <v>0</v>
      </c>
      <c r="AA75">
        <f t="shared" si="11"/>
        <v>0</v>
      </c>
      <c r="AB75">
        <f t="shared" si="11"/>
        <v>0</v>
      </c>
      <c r="AC75">
        <f t="shared" si="11"/>
        <v>0</v>
      </c>
      <c r="AD75">
        <f t="shared" si="11"/>
        <v>0</v>
      </c>
      <c r="AE75">
        <f t="shared" si="10"/>
        <v>0</v>
      </c>
      <c r="AF75">
        <f t="shared" si="10"/>
        <v>0</v>
      </c>
      <c r="AG75">
        <f t="shared" si="10"/>
        <v>0</v>
      </c>
      <c r="AH75">
        <f t="shared" si="10"/>
        <v>0</v>
      </c>
    </row>
    <row r="76" spans="1:34">
      <c r="A76">
        <v>361</v>
      </c>
      <c r="B76">
        <v>899135</v>
      </c>
      <c r="C76" t="s">
        <v>4012</v>
      </c>
      <c r="D76">
        <v>622022</v>
      </c>
      <c r="E76" t="s">
        <v>3939</v>
      </c>
      <c r="F76" t="s">
        <v>3940</v>
      </c>
      <c r="G76" s="217">
        <v>8215.4</v>
      </c>
      <c r="H76" t="s">
        <v>3941</v>
      </c>
      <c r="I76">
        <v>48</v>
      </c>
      <c r="J76">
        <v>824</v>
      </c>
      <c r="K76">
        <v>100</v>
      </c>
      <c r="L76" s="13">
        <f>VLOOKUP($B76,'[3]חשבונות חברה 40'!$A:$I,7,0)</f>
        <v>0</v>
      </c>
      <c r="M76" s="13">
        <f>VLOOKUP($B76,'[3]חשבונות חברה 40'!$A:$I,5,0)</f>
        <v>0</v>
      </c>
      <c r="N76" s="4">
        <f>IF(VLOOKUP($B76,'[3]חשבונות חברה 40'!$A:$J,10,0)=0,"",VLOOKUP($B76,'[3]חשבונות חברה 40'!$A:$J,10,0))</f>
        <v>43713</v>
      </c>
      <c r="O76">
        <f t="shared" si="11"/>
        <v>824</v>
      </c>
      <c r="P76">
        <f t="shared" si="11"/>
        <v>824</v>
      </c>
      <c r="Q76">
        <f t="shared" si="11"/>
        <v>824</v>
      </c>
      <c r="R76">
        <f t="shared" si="11"/>
        <v>824</v>
      </c>
      <c r="S76">
        <f t="shared" si="11"/>
        <v>741.6</v>
      </c>
      <c r="T76">
        <f t="shared" si="11"/>
        <v>659.2</v>
      </c>
      <c r="U76">
        <f t="shared" si="11"/>
        <v>576.79999999999995</v>
      </c>
      <c r="V76">
        <f t="shared" si="11"/>
        <v>494.4</v>
      </c>
      <c r="W76">
        <f t="shared" si="11"/>
        <v>412</v>
      </c>
      <c r="X76">
        <f t="shared" si="11"/>
        <v>329.6</v>
      </c>
      <c r="Y76">
        <f t="shared" si="11"/>
        <v>247.20000000000005</v>
      </c>
      <c r="Z76">
        <f t="shared" si="11"/>
        <v>164.79999999999995</v>
      </c>
      <c r="AA76">
        <f t="shared" si="11"/>
        <v>82.399999999999977</v>
      </c>
      <c r="AB76">
        <f t="shared" si="11"/>
        <v>0</v>
      </c>
      <c r="AC76">
        <f t="shared" si="11"/>
        <v>0</v>
      </c>
      <c r="AD76">
        <f t="shared" si="11"/>
        <v>0</v>
      </c>
      <c r="AE76">
        <f t="shared" si="10"/>
        <v>0</v>
      </c>
      <c r="AF76">
        <f t="shared" si="10"/>
        <v>0</v>
      </c>
      <c r="AG76">
        <f t="shared" si="10"/>
        <v>0</v>
      </c>
      <c r="AH76">
        <f t="shared" si="10"/>
        <v>0</v>
      </c>
    </row>
    <row r="77" spans="1:34">
      <c r="A77">
        <v>362</v>
      </c>
      <c r="B77">
        <v>899136</v>
      </c>
      <c r="C77" t="s">
        <v>4013</v>
      </c>
      <c r="D77">
        <v>622022</v>
      </c>
      <c r="E77" t="s">
        <v>3939</v>
      </c>
      <c r="F77" t="s">
        <v>3940</v>
      </c>
      <c r="G77" s="217">
        <v>7056.07</v>
      </c>
      <c r="H77" t="s">
        <v>3941</v>
      </c>
      <c r="I77">
        <v>38.31</v>
      </c>
      <c r="J77">
        <v>707.72</v>
      </c>
      <c r="K77">
        <v>100</v>
      </c>
      <c r="L77" s="13">
        <f>VLOOKUP($B77,'[3]חשבונות חברה 40'!$A:$I,7,0)</f>
        <v>0</v>
      </c>
      <c r="M77" s="13">
        <f>VLOOKUP($B77,'[3]חשבונות חברה 40'!$A:$I,5,0)</f>
        <v>0</v>
      </c>
      <c r="N77" s="4">
        <f>IF(VLOOKUP($B77,'[3]חשבונות חברה 40'!$A:$J,10,0)=0,"",VLOOKUP($B77,'[3]חשבונות חברה 40'!$A:$J,10,0))</f>
        <v>43840</v>
      </c>
      <c r="O77">
        <f t="shared" si="11"/>
        <v>707.72</v>
      </c>
      <c r="P77">
        <f t="shared" si="11"/>
        <v>707.72</v>
      </c>
      <c r="Q77">
        <f t="shared" si="11"/>
        <v>707.72</v>
      </c>
      <c r="R77">
        <f t="shared" si="11"/>
        <v>707.72</v>
      </c>
      <c r="S77">
        <f t="shared" si="11"/>
        <v>707.72</v>
      </c>
      <c r="T77">
        <f t="shared" si="11"/>
        <v>636.94800000000009</v>
      </c>
      <c r="U77">
        <f t="shared" si="11"/>
        <v>566.17600000000004</v>
      </c>
      <c r="V77">
        <f t="shared" si="11"/>
        <v>495.404</v>
      </c>
      <c r="W77">
        <f t="shared" si="11"/>
        <v>424.63200000000001</v>
      </c>
      <c r="X77">
        <f t="shared" si="11"/>
        <v>353.86</v>
      </c>
      <c r="Y77">
        <f t="shared" si="11"/>
        <v>283.08800000000002</v>
      </c>
      <c r="Z77">
        <f t="shared" si="11"/>
        <v>212.31600000000003</v>
      </c>
      <c r="AA77">
        <f t="shared" si="11"/>
        <v>141.54399999999998</v>
      </c>
      <c r="AB77">
        <f t="shared" si="11"/>
        <v>70.771999999999991</v>
      </c>
      <c r="AC77">
        <f t="shared" si="11"/>
        <v>0</v>
      </c>
      <c r="AD77">
        <f t="shared" si="11"/>
        <v>0</v>
      </c>
      <c r="AE77">
        <f t="shared" si="10"/>
        <v>0</v>
      </c>
      <c r="AF77">
        <f t="shared" si="10"/>
        <v>0</v>
      </c>
      <c r="AG77">
        <f t="shared" si="10"/>
        <v>0</v>
      </c>
      <c r="AH77">
        <f t="shared" si="10"/>
        <v>0</v>
      </c>
    </row>
    <row r="78" spans="1:34">
      <c r="A78">
        <v>363</v>
      </c>
      <c r="B78">
        <v>899137</v>
      </c>
      <c r="C78" t="s">
        <v>4014</v>
      </c>
      <c r="D78">
        <v>622022</v>
      </c>
      <c r="E78" t="s">
        <v>3939</v>
      </c>
      <c r="F78" t="s">
        <v>3940</v>
      </c>
      <c r="G78" s="217">
        <v>8215.4</v>
      </c>
      <c r="H78" t="s">
        <v>3941</v>
      </c>
      <c r="I78">
        <v>48</v>
      </c>
      <c r="J78">
        <v>824</v>
      </c>
      <c r="K78">
        <v>100</v>
      </c>
      <c r="L78" s="13">
        <f>VLOOKUP($B78,'[3]חשבונות חברה 40'!$A:$I,7,0)</f>
        <v>0</v>
      </c>
      <c r="M78" s="13">
        <f>VLOOKUP($B78,'[3]חשבונות חברה 40'!$A:$I,5,0)</f>
        <v>0</v>
      </c>
      <c r="N78" s="4">
        <f>IF(VLOOKUP($B78,'[3]חשבונות חברה 40'!$A:$J,10,0)=0,"",VLOOKUP($B78,'[3]חשבונות חברה 40'!$A:$J,10,0))</f>
        <v>44219</v>
      </c>
      <c r="O78">
        <f t="shared" si="11"/>
        <v>824</v>
      </c>
      <c r="P78">
        <f t="shared" si="11"/>
        <v>824</v>
      </c>
      <c r="Q78">
        <f t="shared" si="11"/>
        <v>824</v>
      </c>
      <c r="R78">
        <f t="shared" si="11"/>
        <v>824</v>
      </c>
      <c r="S78">
        <f t="shared" si="11"/>
        <v>824</v>
      </c>
      <c r="T78">
        <f t="shared" si="11"/>
        <v>824</v>
      </c>
      <c r="U78">
        <f t="shared" si="11"/>
        <v>741.6</v>
      </c>
      <c r="V78">
        <f t="shared" si="11"/>
        <v>659.2</v>
      </c>
      <c r="W78">
        <f t="shared" si="11"/>
        <v>576.79999999999995</v>
      </c>
      <c r="X78">
        <f t="shared" si="11"/>
        <v>494.4</v>
      </c>
      <c r="Y78">
        <f t="shared" si="11"/>
        <v>412</v>
      </c>
      <c r="Z78">
        <f t="shared" si="11"/>
        <v>329.6</v>
      </c>
      <c r="AA78">
        <f t="shared" si="11"/>
        <v>247.20000000000005</v>
      </c>
      <c r="AB78">
        <f t="shared" si="11"/>
        <v>164.79999999999995</v>
      </c>
      <c r="AC78">
        <f t="shared" si="11"/>
        <v>82.399999999999977</v>
      </c>
      <c r="AD78">
        <f t="shared" si="11"/>
        <v>0</v>
      </c>
      <c r="AE78">
        <f t="shared" si="10"/>
        <v>0</v>
      </c>
      <c r="AF78">
        <f t="shared" si="10"/>
        <v>0</v>
      </c>
      <c r="AG78">
        <f t="shared" si="10"/>
        <v>0</v>
      </c>
      <c r="AH78">
        <f t="shared" si="10"/>
        <v>0</v>
      </c>
    </row>
    <row r="79" spans="1:34">
      <c r="A79">
        <v>364</v>
      </c>
      <c r="B79">
        <v>899138</v>
      </c>
      <c r="C79" t="s">
        <v>4015</v>
      </c>
      <c r="D79">
        <v>622022</v>
      </c>
      <c r="E79" t="s">
        <v>3939</v>
      </c>
      <c r="F79" t="s">
        <v>3940</v>
      </c>
      <c r="G79" s="217">
        <v>7590.87</v>
      </c>
      <c r="H79" t="s">
        <v>3941</v>
      </c>
      <c r="I79">
        <v>42.78</v>
      </c>
      <c r="J79">
        <v>761.36</v>
      </c>
      <c r="K79">
        <v>100</v>
      </c>
      <c r="L79" s="13">
        <f>VLOOKUP($B79,'[3]חשבונות חברה 40'!$A:$I,7,0)</f>
        <v>0</v>
      </c>
      <c r="M79" s="13">
        <f>VLOOKUP($B79,'[3]חשבונות חברה 40'!$A:$I,5,0)</f>
        <v>0</v>
      </c>
      <c r="N79" s="4">
        <f>IF(VLOOKUP($B79,'[3]חשבונות חברה 40'!$A:$J,10,0)=0,"",VLOOKUP($B79,'[3]חשבונות חברה 40'!$A:$J,10,0))</f>
        <v>44888</v>
      </c>
      <c r="O79">
        <f t="shared" si="11"/>
        <v>761.36</v>
      </c>
      <c r="P79">
        <f t="shared" si="11"/>
        <v>761.36</v>
      </c>
      <c r="Q79">
        <f t="shared" si="11"/>
        <v>761.36</v>
      </c>
      <c r="R79">
        <f t="shared" si="11"/>
        <v>761.36</v>
      </c>
      <c r="S79">
        <f t="shared" si="11"/>
        <v>761.36</v>
      </c>
      <c r="T79">
        <f t="shared" si="11"/>
        <v>761.36</v>
      </c>
      <c r="U79">
        <f t="shared" si="11"/>
        <v>761.36</v>
      </c>
      <c r="V79">
        <f t="shared" si="11"/>
        <v>685.22400000000005</v>
      </c>
      <c r="W79">
        <f t="shared" si="11"/>
        <v>609.08800000000008</v>
      </c>
      <c r="X79">
        <f t="shared" si="11"/>
        <v>532.952</v>
      </c>
      <c r="Y79">
        <f t="shared" si="11"/>
        <v>456.81599999999997</v>
      </c>
      <c r="Z79">
        <f t="shared" si="11"/>
        <v>380.68</v>
      </c>
      <c r="AA79">
        <f t="shared" si="11"/>
        <v>304.54400000000004</v>
      </c>
      <c r="AB79">
        <f t="shared" si="11"/>
        <v>228.40800000000004</v>
      </c>
      <c r="AC79">
        <f t="shared" si="11"/>
        <v>152.27199999999996</v>
      </c>
      <c r="AD79">
        <f t="shared" si="11"/>
        <v>76.135999999999981</v>
      </c>
      <c r="AE79">
        <f t="shared" si="10"/>
        <v>0</v>
      </c>
      <c r="AF79">
        <f t="shared" si="10"/>
        <v>0</v>
      </c>
      <c r="AG79">
        <f t="shared" si="10"/>
        <v>0</v>
      </c>
      <c r="AH79">
        <f t="shared" si="10"/>
        <v>0</v>
      </c>
    </row>
    <row r="80" spans="1:34">
      <c r="A80">
        <v>365</v>
      </c>
      <c r="B80">
        <v>899139</v>
      </c>
      <c r="C80" t="s">
        <v>4016</v>
      </c>
      <c r="D80">
        <v>622022</v>
      </c>
      <c r="E80" t="s">
        <v>3939</v>
      </c>
      <c r="F80" t="s">
        <v>3940</v>
      </c>
      <c r="G80" s="217">
        <v>6073.81</v>
      </c>
      <c r="H80" t="s">
        <v>3941</v>
      </c>
      <c r="I80">
        <v>30.1</v>
      </c>
      <c r="J80">
        <v>609.20000000000005</v>
      </c>
      <c r="K80">
        <v>100</v>
      </c>
      <c r="L80" s="13">
        <f>VLOOKUP($B80,'[3]חשבונות חברה 40'!$A:$I,7,0)</f>
        <v>0</v>
      </c>
      <c r="M80" s="13">
        <f>VLOOKUP($B80,'[3]חשבונות חברה 40'!$A:$I,5,0)</f>
        <v>0</v>
      </c>
      <c r="N80" s="4">
        <f>IF(VLOOKUP($B80,'[3]חשבונות חברה 40'!$A:$J,10,0)=0,"",VLOOKUP($B80,'[3]חשבונות חברה 40'!$A:$J,10,0))</f>
        <v>45388</v>
      </c>
      <c r="O80">
        <f t="shared" si="11"/>
        <v>609.20000000000005</v>
      </c>
      <c r="P80">
        <f t="shared" si="11"/>
        <v>609.20000000000005</v>
      </c>
      <c r="Q80">
        <f t="shared" si="11"/>
        <v>609.20000000000005</v>
      </c>
      <c r="R80">
        <f t="shared" si="11"/>
        <v>609.20000000000005</v>
      </c>
      <c r="S80">
        <f t="shared" si="11"/>
        <v>609.20000000000005</v>
      </c>
      <c r="T80">
        <f t="shared" si="11"/>
        <v>609.20000000000005</v>
      </c>
      <c r="U80">
        <f t="shared" si="11"/>
        <v>609.20000000000005</v>
      </c>
      <c r="V80">
        <f t="shared" si="11"/>
        <v>609.20000000000005</v>
      </c>
      <c r="W80">
        <f t="shared" si="11"/>
        <v>609.20000000000005</v>
      </c>
      <c r="X80">
        <f t="shared" si="11"/>
        <v>548.28000000000009</v>
      </c>
      <c r="Y80">
        <f t="shared" si="11"/>
        <v>487.36000000000007</v>
      </c>
      <c r="Z80">
        <f t="shared" si="11"/>
        <v>426.44</v>
      </c>
      <c r="AA80">
        <f t="shared" si="11"/>
        <v>365.52000000000004</v>
      </c>
      <c r="AB80">
        <f t="shared" si="11"/>
        <v>304.60000000000002</v>
      </c>
      <c r="AC80">
        <f t="shared" si="11"/>
        <v>243.68000000000004</v>
      </c>
      <c r="AD80">
        <f t="shared" ref="AD80:AH95" si="12">IF((AD$2-$N80)/365&lt;10,1,IF((AD$2-$N80)/365&gt;20,0,1-(ROUNDDOWN(((AD$2-$N80)/365),0)-10)/10))*$J80</f>
        <v>182.76000000000005</v>
      </c>
      <c r="AE80">
        <f t="shared" si="12"/>
        <v>121.83999999999997</v>
      </c>
      <c r="AF80">
        <f t="shared" si="12"/>
        <v>60.919999999999987</v>
      </c>
      <c r="AG80">
        <f t="shared" si="12"/>
        <v>0</v>
      </c>
      <c r="AH80">
        <f t="shared" si="12"/>
        <v>0</v>
      </c>
    </row>
    <row r="81" spans="1:34">
      <c r="A81">
        <v>366</v>
      </c>
      <c r="B81">
        <v>899141</v>
      </c>
      <c r="C81" t="s">
        <v>4017</v>
      </c>
      <c r="D81">
        <v>622022</v>
      </c>
      <c r="E81" t="s">
        <v>3939</v>
      </c>
      <c r="F81" t="s">
        <v>3940</v>
      </c>
      <c r="G81" s="217">
        <v>4023.25</v>
      </c>
      <c r="H81" t="s">
        <v>3941</v>
      </c>
      <c r="I81">
        <v>27.37</v>
      </c>
      <c r="J81">
        <v>403.53</v>
      </c>
      <c r="K81">
        <v>70</v>
      </c>
      <c r="L81" s="13">
        <f>VLOOKUP($B81,'[3]חשבונות חברה 40'!$A:$I,7,0)</f>
        <v>0</v>
      </c>
      <c r="M81" s="13">
        <f>VLOOKUP($B81,'[3]חשבונות חברה 40'!$A:$I,5,0)</f>
        <v>0</v>
      </c>
      <c r="N81" s="4">
        <f>IF(VLOOKUP($B81,'[3]חשבונות חברה 40'!$A:$J,10,0)=0,"",VLOOKUP($B81,'[3]חשבונות חברה 40'!$A:$J,10,0))</f>
        <v>41258</v>
      </c>
      <c r="O81">
        <f t="shared" ref="O81:AD96" si="13">IF((O$2-$N81)/365&lt;10,1,IF((O$2-$N81)/365&gt;20,0,1-(ROUNDDOWN(((O$2-$N81)/365),0)-10)/10))*$J81</f>
        <v>242.11799999999997</v>
      </c>
      <c r="P81">
        <f t="shared" si="13"/>
        <v>201.76499999999999</v>
      </c>
      <c r="Q81">
        <f t="shared" si="13"/>
        <v>161.41200000000001</v>
      </c>
      <c r="R81">
        <f t="shared" si="13"/>
        <v>121.05900000000001</v>
      </c>
      <c r="S81">
        <f t="shared" si="13"/>
        <v>80.705999999999975</v>
      </c>
      <c r="T81">
        <f t="shared" si="13"/>
        <v>40.352999999999987</v>
      </c>
      <c r="U81">
        <f t="shared" si="13"/>
        <v>0</v>
      </c>
      <c r="V81">
        <f t="shared" si="13"/>
        <v>0</v>
      </c>
      <c r="W81">
        <f t="shared" si="13"/>
        <v>0</v>
      </c>
      <c r="X81">
        <f t="shared" si="13"/>
        <v>0</v>
      </c>
      <c r="Y81">
        <f t="shared" si="13"/>
        <v>0</v>
      </c>
      <c r="Z81">
        <f t="shared" si="13"/>
        <v>0</v>
      </c>
      <c r="AA81">
        <f t="shared" si="13"/>
        <v>0</v>
      </c>
      <c r="AB81">
        <f t="shared" si="13"/>
        <v>0</v>
      </c>
      <c r="AC81">
        <f t="shared" si="13"/>
        <v>0</v>
      </c>
      <c r="AD81">
        <f t="shared" si="13"/>
        <v>0</v>
      </c>
      <c r="AE81">
        <f t="shared" si="12"/>
        <v>0</v>
      </c>
      <c r="AF81">
        <f t="shared" si="12"/>
        <v>0</v>
      </c>
      <c r="AG81">
        <f t="shared" si="12"/>
        <v>0</v>
      </c>
      <c r="AH81">
        <f t="shared" si="12"/>
        <v>0</v>
      </c>
    </row>
    <row r="82" spans="1:34">
      <c r="A82">
        <v>367</v>
      </c>
      <c r="B82">
        <v>899151</v>
      </c>
      <c r="C82" t="s">
        <v>4018</v>
      </c>
      <c r="D82">
        <v>622022</v>
      </c>
      <c r="E82" t="s">
        <v>3939</v>
      </c>
      <c r="F82" t="s">
        <v>3940</v>
      </c>
      <c r="G82" s="217">
        <v>4945.59</v>
      </c>
      <c r="H82" t="s">
        <v>3941</v>
      </c>
      <c r="I82">
        <v>38.39</v>
      </c>
      <c r="J82">
        <v>496.04</v>
      </c>
      <c r="K82">
        <v>70</v>
      </c>
      <c r="L82" s="13">
        <f>VLOOKUP($B82,'[3]חשבונות חברה 40'!$A:$I,7,0)</f>
        <v>0</v>
      </c>
      <c r="M82" s="13">
        <f>VLOOKUP($B82,'[3]חשבונות חברה 40'!$A:$I,5,0)</f>
        <v>0</v>
      </c>
      <c r="N82" s="4">
        <f>IF(VLOOKUP($B82,'[3]חשבונות חברה 40'!$A:$J,10,0)=0,"",VLOOKUP($B82,'[3]חשבונות חברה 40'!$A:$J,10,0))</f>
        <v>41258</v>
      </c>
      <c r="O82">
        <f t="shared" si="13"/>
        <v>297.62400000000002</v>
      </c>
      <c r="P82">
        <f t="shared" si="13"/>
        <v>248.02</v>
      </c>
      <c r="Q82">
        <f t="shared" si="13"/>
        <v>198.41600000000003</v>
      </c>
      <c r="R82">
        <f t="shared" si="13"/>
        <v>148.81200000000004</v>
      </c>
      <c r="S82">
        <f t="shared" si="13"/>
        <v>99.207999999999984</v>
      </c>
      <c r="T82">
        <f t="shared" si="13"/>
        <v>49.603999999999992</v>
      </c>
      <c r="U82">
        <f t="shared" si="13"/>
        <v>0</v>
      </c>
      <c r="V82">
        <f t="shared" si="13"/>
        <v>0</v>
      </c>
      <c r="W82">
        <f t="shared" si="13"/>
        <v>0</v>
      </c>
      <c r="X82">
        <f t="shared" si="13"/>
        <v>0</v>
      </c>
      <c r="Y82">
        <f t="shared" si="13"/>
        <v>0</v>
      </c>
      <c r="Z82">
        <f t="shared" si="13"/>
        <v>0</v>
      </c>
      <c r="AA82">
        <f t="shared" si="13"/>
        <v>0</v>
      </c>
      <c r="AB82">
        <f t="shared" si="13"/>
        <v>0</v>
      </c>
      <c r="AC82">
        <f t="shared" si="13"/>
        <v>0</v>
      </c>
      <c r="AD82">
        <f t="shared" si="13"/>
        <v>0</v>
      </c>
      <c r="AE82">
        <f t="shared" si="12"/>
        <v>0</v>
      </c>
      <c r="AF82">
        <f t="shared" si="12"/>
        <v>0</v>
      </c>
      <c r="AG82">
        <f t="shared" si="12"/>
        <v>0</v>
      </c>
      <c r="AH82">
        <f t="shared" si="12"/>
        <v>0</v>
      </c>
    </row>
    <row r="83" spans="1:34">
      <c r="A83">
        <v>368</v>
      </c>
      <c r="B83">
        <v>899161</v>
      </c>
      <c r="C83" t="s">
        <v>4019</v>
      </c>
      <c r="D83">
        <v>622022</v>
      </c>
      <c r="E83" t="s">
        <v>3939</v>
      </c>
      <c r="F83" t="s">
        <v>3940</v>
      </c>
      <c r="G83" s="217">
        <v>5088.5600000000004</v>
      </c>
      <c r="H83" t="s">
        <v>3941</v>
      </c>
      <c r="I83">
        <v>40.090000000000003</v>
      </c>
      <c r="J83">
        <v>510.38</v>
      </c>
      <c r="K83">
        <v>70</v>
      </c>
      <c r="L83" s="13">
        <f>VLOOKUP($B83,'[3]חשבונות חברה 40'!$A:$I,7,0)</f>
        <v>0</v>
      </c>
      <c r="M83" s="13">
        <f>VLOOKUP($B83,'[3]חשבונות חברה 40'!$A:$I,5,0)</f>
        <v>0</v>
      </c>
      <c r="N83" s="4">
        <f>IF(VLOOKUP($B83,'[3]חשבונות חברה 40'!$A:$J,10,0)=0,"",VLOOKUP($B83,'[3]חשבונות חברה 40'!$A:$J,10,0))</f>
        <v>41258</v>
      </c>
      <c r="O83">
        <f t="shared" si="13"/>
        <v>306.22800000000001</v>
      </c>
      <c r="P83">
        <f t="shared" si="13"/>
        <v>255.19</v>
      </c>
      <c r="Q83">
        <f t="shared" si="13"/>
        <v>204.15200000000002</v>
      </c>
      <c r="R83">
        <f t="shared" si="13"/>
        <v>153.11400000000003</v>
      </c>
      <c r="S83">
        <f t="shared" si="13"/>
        <v>102.07599999999998</v>
      </c>
      <c r="T83">
        <f t="shared" si="13"/>
        <v>51.03799999999999</v>
      </c>
      <c r="U83">
        <f t="shared" si="13"/>
        <v>0</v>
      </c>
      <c r="V83">
        <f t="shared" si="13"/>
        <v>0</v>
      </c>
      <c r="W83">
        <f t="shared" si="13"/>
        <v>0</v>
      </c>
      <c r="X83">
        <f t="shared" si="13"/>
        <v>0</v>
      </c>
      <c r="Y83">
        <f t="shared" si="13"/>
        <v>0</v>
      </c>
      <c r="Z83">
        <f t="shared" si="13"/>
        <v>0</v>
      </c>
      <c r="AA83">
        <f t="shared" si="13"/>
        <v>0</v>
      </c>
      <c r="AB83">
        <f t="shared" si="13"/>
        <v>0</v>
      </c>
      <c r="AC83">
        <f t="shared" si="13"/>
        <v>0</v>
      </c>
      <c r="AD83">
        <f t="shared" si="13"/>
        <v>0</v>
      </c>
      <c r="AE83">
        <f t="shared" si="12"/>
        <v>0</v>
      </c>
      <c r="AF83">
        <f t="shared" si="12"/>
        <v>0</v>
      </c>
      <c r="AG83">
        <f t="shared" si="12"/>
        <v>0</v>
      </c>
      <c r="AH83">
        <f t="shared" si="12"/>
        <v>0</v>
      </c>
    </row>
    <row r="84" spans="1:34">
      <c r="A84">
        <v>369</v>
      </c>
      <c r="B84">
        <v>899162</v>
      </c>
      <c r="C84" t="s">
        <v>4020</v>
      </c>
      <c r="D84">
        <v>622022</v>
      </c>
      <c r="E84" t="s">
        <v>3939</v>
      </c>
      <c r="F84" t="s">
        <v>3940</v>
      </c>
      <c r="G84" s="217">
        <v>7720.78</v>
      </c>
      <c r="H84" t="s">
        <v>3941</v>
      </c>
      <c r="I84">
        <v>43.87</v>
      </c>
      <c r="J84">
        <v>774.39</v>
      </c>
      <c r="K84">
        <v>100</v>
      </c>
      <c r="L84" s="13">
        <f>VLOOKUP($B84,'[3]חשבונות חברה 40'!$A:$I,7,0)</f>
        <v>0</v>
      </c>
      <c r="M84" s="13">
        <f>VLOOKUP($B84,'[3]חשבונות חברה 40'!$A:$I,5,0)</f>
        <v>0</v>
      </c>
      <c r="N84" s="4">
        <f>IF(VLOOKUP($B84,'[3]חשבונות חברה 40'!$A:$J,10,0)=0,"",VLOOKUP($B84,'[3]חשבונות חברה 40'!$A:$J,10,0))</f>
        <v>42911</v>
      </c>
      <c r="O84">
        <f t="shared" si="13"/>
        <v>774.39</v>
      </c>
      <c r="P84">
        <f t="shared" si="13"/>
        <v>774.39</v>
      </c>
      <c r="Q84">
        <f t="shared" si="13"/>
        <v>696.95100000000002</v>
      </c>
      <c r="R84">
        <f t="shared" si="13"/>
        <v>619.51200000000006</v>
      </c>
      <c r="S84">
        <f t="shared" si="13"/>
        <v>542.07299999999998</v>
      </c>
      <c r="T84">
        <f t="shared" si="13"/>
        <v>464.63399999999996</v>
      </c>
      <c r="U84">
        <f t="shared" si="13"/>
        <v>387.19499999999999</v>
      </c>
      <c r="V84">
        <f t="shared" si="13"/>
        <v>309.75600000000003</v>
      </c>
      <c r="W84">
        <f t="shared" si="13"/>
        <v>232.31700000000004</v>
      </c>
      <c r="X84">
        <f t="shared" si="13"/>
        <v>154.87799999999996</v>
      </c>
      <c r="Y84">
        <f t="shared" si="13"/>
        <v>77.438999999999979</v>
      </c>
      <c r="Z84">
        <f t="shared" si="13"/>
        <v>0</v>
      </c>
      <c r="AA84">
        <f t="shared" si="13"/>
        <v>0</v>
      </c>
      <c r="AB84">
        <f t="shared" si="13"/>
        <v>0</v>
      </c>
      <c r="AC84">
        <f t="shared" si="13"/>
        <v>0</v>
      </c>
      <c r="AD84">
        <f t="shared" si="13"/>
        <v>0</v>
      </c>
      <c r="AE84">
        <f t="shared" si="12"/>
        <v>0</v>
      </c>
      <c r="AF84">
        <f t="shared" si="12"/>
        <v>0</v>
      </c>
      <c r="AG84">
        <f t="shared" si="12"/>
        <v>0</v>
      </c>
      <c r="AH84">
        <f t="shared" si="12"/>
        <v>0</v>
      </c>
    </row>
    <row r="85" spans="1:34">
      <c r="A85">
        <v>370</v>
      </c>
      <c r="B85">
        <v>899171</v>
      </c>
      <c r="C85" t="s">
        <v>4021</v>
      </c>
      <c r="D85">
        <v>622022</v>
      </c>
      <c r="E85" t="s">
        <v>3939</v>
      </c>
      <c r="F85" t="s">
        <v>3940</v>
      </c>
      <c r="G85" s="217">
        <v>4110.1899999999996</v>
      </c>
      <c r="H85" t="s">
        <v>3941</v>
      </c>
      <c r="I85">
        <v>28.41</v>
      </c>
      <c r="J85">
        <v>412.25</v>
      </c>
      <c r="K85">
        <v>70</v>
      </c>
      <c r="L85" s="13">
        <f>VLOOKUP($B85,'[3]חשבונות חברה 40'!$A:$I,7,0)</f>
        <v>0</v>
      </c>
      <c r="M85" s="13">
        <f>VLOOKUP($B85,'[3]חשבונות חברה 40'!$A:$I,5,0)</f>
        <v>0</v>
      </c>
      <c r="N85" s="4">
        <f>IF(VLOOKUP($B85,'[3]חשבונות חברה 40'!$A:$J,10,0)=0,"",VLOOKUP($B85,'[3]חשבונות חברה 40'!$A:$J,10,0))</f>
        <v>41258</v>
      </c>
      <c r="O85">
        <f t="shared" si="13"/>
        <v>247.35</v>
      </c>
      <c r="P85">
        <f t="shared" si="13"/>
        <v>206.125</v>
      </c>
      <c r="Q85">
        <f t="shared" si="13"/>
        <v>164.9</v>
      </c>
      <c r="R85">
        <f t="shared" si="13"/>
        <v>123.67500000000001</v>
      </c>
      <c r="S85">
        <f t="shared" si="13"/>
        <v>82.449999999999989</v>
      </c>
      <c r="T85">
        <f t="shared" si="13"/>
        <v>41.224999999999994</v>
      </c>
      <c r="U85">
        <f t="shared" si="13"/>
        <v>0</v>
      </c>
      <c r="V85">
        <f t="shared" si="13"/>
        <v>0</v>
      </c>
      <c r="W85">
        <f t="shared" si="13"/>
        <v>0</v>
      </c>
      <c r="X85">
        <f t="shared" si="13"/>
        <v>0</v>
      </c>
      <c r="Y85">
        <f t="shared" si="13"/>
        <v>0</v>
      </c>
      <c r="Z85">
        <f t="shared" si="13"/>
        <v>0</v>
      </c>
      <c r="AA85">
        <f t="shared" si="13"/>
        <v>0</v>
      </c>
      <c r="AB85">
        <f t="shared" si="13"/>
        <v>0</v>
      </c>
      <c r="AC85">
        <f t="shared" si="13"/>
        <v>0</v>
      </c>
      <c r="AD85">
        <f t="shared" si="13"/>
        <v>0</v>
      </c>
      <c r="AE85">
        <f t="shared" si="12"/>
        <v>0</v>
      </c>
      <c r="AF85">
        <f t="shared" si="12"/>
        <v>0</v>
      </c>
      <c r="AG85">
        <f t="shared" si="12"/>
        <v>0</v>
      </c>
      <c r="AH85">
        <f t="shared" si="12"/>
        <v>0</v>
      </c>
    </row>
    <row r="86" spans="1:34">
      <c r="A86">
        <v>371</v>
      </c>
      <c r="B86">
        <v>899172</v>
      </c>
      <c r="C86" t="s">
        <v>4022</v>
      </c>
      <c r="D86">
        <v>622022</v>
      </c>
      <c r="E86" t="s">
        <v>3939</v>
      </c>
      <c r="F86" t="s">
        <v>3940</v>
      </c>
      <c r="G86" s="217">
        <v>4857.25</v>
      </c>
      <c r="H86" t="s">
        <v>3941</v>
      </c>
      <c r="I86">
        <v>37.33</v>
      </c>
      <c r="J86">
        <v>487.18</v>
      </c>
      <c r="K86">
        <v>70</v>
      </c>
      <c r="L86" s="13">
        <f>VLOOKUP($B86,'[3]חשבונות חברה 40'!$A:$I,7,0)</f>
        <v>0</v>
      </c>
      <c r="M86" s="13">
        <f>VLOOKUP($B86,'[3]חשבונות חברה 40'!$A:$I,5,0)</f>
        <v>0</v>
      </c>
      <c r="N86" s="4">
        <f>IF(VLOOKUP($B86,'[3]חשבונות חברה 40'!$A:$J,10,0)=0,"",VLOOKUP($B86,'[3]חשבונות חברה 40'!$A:$J,10,0))</f>
        <v>41258</v>
      </c>
      <c r="O86">
        <f t="shared" si="13"/>
        <v>292.30799999999999</v>
      </c>
      <c r="P86">
        <f t="shared" si="13"/>
        <v>243.59</v>
      </c>
      <c r="Q86">
        <f t="shared" si="13"/>
        <v>194.87200000000001</v>
      </c>
      <c r="R86">
        <f t="shared" si="13"/>
        <v>146.15400000000002</v>
      </c>
      <c r="S86">
        <f t="shared" si="13"/>
        <v>97.435999999999979</v>
      </c>
      <c r="T86">
        <f t="shared" si="13"/>
        <v>48.717999999999989</v>
      </c>
      <c r="U86">
        <f t="shared" si="13"/>
        <v>0</v>
      </c>
      <c r="V86">
        <f t="shared" si="13"/>
        <v>0</v>
      </c>
      <c r="W86">
        <f t="shared" si="13"/>
        <v>0</v>
      </c>
      <c r="X86">
        <f t="shared" si="13"/>
        <v>0</v>
      </c>
      <c r="Y86">
        <f t="shared" si="13"/>
        <v>0</v>
      </c>
      <c r="Z86">
        <f t="shared" si="13"/>
        <v>0</v>
      </c>
      <c r="AA86">
        <f t="shared" si="13"/>
        <v>0</v>
      </c>
      <c r="AB86">
        <f t="shared" si="13"/>
        <v>0</v>
      </c>
      <c r="AC86">
        <f t="shared" si="13"/>
        <v>0</v>
      </c>
      <c r="AD86">
        <f t="shared" si="13"/>
        <v>0</v>
      </c>
      <c r="AE86">
        <f t="shared" si="12"/>
        <v>0</v>
      </c>
      <c r="AF86">
        <f t="shared" si="12"/>
        <v>0</v>
      </c>
      <c r="AG86">
        <f t="shared" si="12"/>
        <v>0</v>
      </c>
      <c r="AH86">
        <f t="shared" si="12"/>
        <v>0</v>
      </c>
    </row>
    <row r="87" spans="1:34">
      <c r="A87">
        <v>372</v>
      </c>
      <c r="B87">
        <v>899173</v>
      </c>
      <c r="C87" t="s">
        <v>4023</v>
      </c>
      <c r="D87">
        <v>622022</v>
      </c>
      <c r="E87" t="s">
        <v>3939</v>
      </c>
      <c r="F87" t="s">
        <v>3940</v>
      </c>
      <c r="G87" s="217">
        <v>4229.04</v>
      </c>
      <c r="H87" t="s">
        <v>3941</v>
      </c>
      <c r="I87">
        <v>29.83</v>
      </c>
      <c r="J87">
        <v>424.17</v>
      </c>
      <c r="K87">
        <v>70</v>
      </c>
      <c r="L87" s="13">
        <f>VLOOKUP($B87,'[3]חשבונות חברה 40'!$A:$I,7,0)</f>
        <v>0</v>
      </c>
      <c r="M87" s="13">
        <f>VLOOKUP($B87,'[3]חשבונות חברה 40'!$A:$I,5,0)</f>
        <v>0</v>
      </c>
      <c r="N87" s="4">
        <f>IF(VLOOKUP($B87,'[3]חשבונות חברה 40'!$A:$J,10,0)=0,"",VLOOKUP($B87,'[3]חשבונות חברה 40'!$A:$J,10,0))</f>
        <v>41258</v>
      </c>
      <c r="O87">
        <f t="shared" si="13"/>
        <v>254.50200000000001</v>
      </c>
      <c r="P87">
        <f t="shared" si="13"/>
        <v>212.08500000000001</v>
      </c>
      <c r="Q87">
        <f t="shared" si="13"/>
        <v>169.66800000000001</v>
      </c>
      <c r="R87">
        <f t="shared" si="13"/>
        <v>127.25100000000002</v>
      </c>
      <c r="S87">
        <f t="shared" si="13"/>
        <v>84.833999999999989</v>
      </c>
      <c r="T87">
        <f t="shared" si="13"/>
        <v>42.416999999999994</v>
      </c>
      <c r="U87">
        <f t="shared" si="13"/>
        <v>0</v>
      </c>
      <c r="V87">
        <f t="shared" si="13"/>
        <v>0</v>
      </c>
      <c r="W87">
        <f t="shared" si="13"/>
        <v>0</v>
      </c>
      <c r="X87">
        <f t="shared" si="13"/>
        <v>0</v>
      </c>
      <c r="Y87">
        <f t="shared" si="13"/>
        <v>0</v>
      </c>
      <c r="Z87">
        <f t="shared" si="13"/>
        <v>0</v>
      </c>
      <c r="AA87">
        <f t="shared" si="13"/>
        <v>0</v>
      </c>
      <c r="AB87">
        <f t="shared" si="13"/>
        <v>0</v>
      </c>
      <c r="AC87">
        <f t="shared" si="13"/>
        <v>0</v>
      </c>
      <c r="AD87">
        <f t="shared" si="13"/>
        <v>0</v>
      </c>
      <c r="AE87">
        <f t="shared" si="12"/>
        <v>0</v>
      </c>
      <c r="AF87">
        <f t="shared" si="12"/>
        <v>0</v>
      </c>
      <c r="AG87">
        <f t="shared" si="12"/>
        <v>0</v>
      </c>
      <c r="AH87">
        <f t="shared" si="12"/>
        <v>0</v>
      </c>
    </row>
    <row r="88" spans="1:34">
      <c r="A88">
        <v>373</v>
      </c>
      <c r="B88">
        <v>899174</v>
      </c>
      <c r="C88" t="s">
        <v>4024</v>
      </c>
      <c r="D88">
        <v>622022</v>
      </c>
      <c r="E88" t="s">
        <v>3939</v>
      </c>
      <c r="F88" t="s">
        <v>3940</v>
      </c>
      <c r="G88" s="217">
        <v>4865.13</v>
      </c>
      <c r="H88" t="s">
        <v>3941</v>
      </c>
      <c r="I88">
        <v>37.42</v>
      </c>
      <c r="J88">
        <v>487.97</v>
      </c>
      <c r="K88">
        <v>70</v>
      </c>
      <c r="L88" s="13">
        <f>VLOOKUP($B88,'[3]חשבונות חברה 40'!$A:$I,7,0)</f>
        <v>0</v>
      </c>
      <c r="M88" s="13">
        <f>VLOOKUP($B88,'[3]חשבונות חברה 40'!$A:$I,5,0)</f>
        <v>0</v>
      </c>
      <c r="N88" s="4">
        <f>IF(VLOOKUP($B88,'[3]חשבונות חברה 40'!$A:$J,10,0)=0,"",VLOOKUP($B88,'[3]חשבונות חברה 40'!$A:$J,10,0))</f>
        <v>41258</v>
      </c>
      <c r="O88">
        <f t="shared" si="13"/>
        <v>292.78199999999998</v>
      </c>
      <c r="P88">
        <f t="shared" si="13"/>
        <v>243.98500000000001</v>
      </c>
      <c r="Q88">
        <f t="shared" si="13"/>
        <v>195.18800000000002</v>
      </c>
      <c r="R88">
        <f t="shared" si="13"/>
        <v>146.39100000000002</v>
      </c>
      <c r="S88">
        <f t="shared" si="13"/>
        <v>97.59399999999998</v>
      </c>
      <c r="T88">
        <f t="shared" si="13"/>
        <v>48.79699999999999</v>
      </c>
      <c r="U88">
        <f t="shared" si="13"/>
        <v>0</v>
      </c>
      <c r="V88">
        <f t="shared" si="13"/>
        <v>0</v>
      </c>
      <c r="W88">
        <f t="shared" si="13"/>
        <v>0</v>
      </c>
      <c r="X88">
        <f t="shared" si="13"/>
        <v>0</v>
      </c>
      <c r="Y88">
        <f t="shared" si="13"/>
        <v>0</v>
      </c>
      <c r="Z88">
        <f t="shared" si="13"/>
        <v>0</v>
      </c>
      <c r="AA88">
        <f t="shared" si="13"/>
        <v>0</v>
      </c>
      <c r="AB88">
        <f t="shared" si="13"/>
        <v>0</v>
      </c>
      <c r="AC88">
        <f t="shared" si="13"/>
        <v>0</v>
      </c>
      <c r="AD88">
        <f t="shared" si="13"/>
        <v>0</v>
      </c>
      <c r="AE88">
        <f t="shared" si="12"/>
        <v>0</v>
      </c>
      <c r="AF88">
        <f t="shared" si="12"/>
        <v>0</v>
      </c>
      <c r="AG88">
        <f t="shared" si="12"/>
        <v>0</v>
      </c>
      <c r="AH88">
        <f t="shared" si="12"/>
        <v>0</v>
      </c>
    </row>
    <row r="89" spans="1:34">
      <c r="A89">
        <v>374</v>
      </c>
      <c r="B89">
        <v>899175</v>
      </c>
      <c r="C89" t="s">
        <v>4025</v>
      </c>
      <c r="D89">
        <v>622022</v>
      </c>
      <c r="E89" t="s">
        <v>3939</v>
      </c>
      <c r="F89" t="s">
        <v>3940</v>
      </c>
      <c r="G89" s="217">
        <v>4749.28</v>
      </c>
      <c r="H89" t="s">
        <v>3941</v>
      </c>
      <c r="I89">
        <v>36.04</v>
      </c>
      <c r="J89">
        <v>476.35</v>
      </c>
      <c r="K89">
        <v>70</v>
      </c>
      <c r="L89" s="13">
        <f>VLOOKUP($B89,'[3]חשבונות חברה 40'!$A:$I,7,0)</f>
        <v>0</v>
      </c>
      <c r="M89" s="13">
        <f>VLOOKUP($B89,'[3]חשבונות חברה 40'!$A:$I,5,0)</f>
        <v>0</v>
      </c>
      <c r="N89" s="4">
        <f>IF(VLOOKUP($B89,'[3]חשבונות חברה 40'!$A:$J,10,0)=0,"",VLOOKUP($B89,'[3]חשבונות חברה 40'!$A:$J,10,0))</f>
        <v>41258</v>
      </c>
      <c r="O89">
        <f t="shared" si="13"/>
        <v>285.81</v>
      </c>
      <c r="P89">
        <f t="shared" si="13"/>
        <v>238.17500000000001</v>
      </c>
      <c r="Q89">
        <f t="shared" si="13"/>
        <v>190.54000000000002</v>
      </c>
      <c r="R89">
        <f t="shared" si="13"/>
        <v>142.90500000000003</v>
      </c>
      <c r="S89">
        <f t="shared" si="13"/>
        <v>95.269999999999982</v>
      </c>
      <c r="T89">
        <f t="shared" si="13"/>
        <v>47.634999999999991</v>
      </c>
      <c r="U89">
        <f t="shared" si="13"/>
        <v>0</v>
      </c>
      <c r="V89">
        <f t="shared" si="13"/>
        <v>0</v>
      </c>
      <c r="W89">
        <f t="shared" si="13"/>
        <v>0</v>
      </c>
      <c r="X89">
        <f t="shared" si="13"/>
        <v>0</v>
      </c>
      <c r="Y89">
        <f t="shared" si="13"/>
        <v>0</v>
      </c>
      <c r="Z89">
        <f t="shared" si="13"/>
        <v>0</v>
      </c>
      <c r="AA89">
        <f t="shared" si="13"/>
        <v>0</v>
      </c>
      <c r="AB89">
        <f t="shared" si="13"/>
        <v>0</v>
      </c>
      <c r="AC89">
        <f t="shared" si="13"/>
        <v>0</v>
      </c>
      <c r="AD89">
        <f t="shared" si="13"/>
        <v>0</v>
      </c>
      <c r="AE89">
        <f t="shared" si="12"/>
        <v>0</v>
      </c>
      <c r="AF89">
        <f t="shared" si="12"/>
        <v>0</v>
      </c>
      <c r="AG89">
        <f t="shared" si="12"/>
        <v>0</v>
      </c>
      <c r="AH89">
        <f t="shared" si="12"/>
        <v>0</v>
      </c>
    </row>
    <row r="90" spans="1:34">
      <c r="A90">
        <v>375</v>
      </c>
      <c r="B90">
        <v>899176</v>
      </c>
      <c r="C90" t="s">
        <v>4026</v>
      </c>
      <c r="D90">
        <v>622022</v>
      </c>
      <c r="E90" t="s">
        <v>3939</v>
      </c>
      <c r="F90" t="s">
        <v>3940</v>
      </c>
      <c r="G90" s="217">
        <v>7344.41</v>
      </c>
      <c r="H90" t="s">
        <v>3941</v>
      </c>
      <c r="I90">
        <v>40.72</v>
      </c>
      <c r="J90">
        <v>736.64</v>
      </c>
      <c r="K90">
        <v>100</v>
      </c>
      <c r="L90" s="13">
        <f>VLOOKUP($B90,'[3]חשבונות חברה 40'!$A:$I,7,0)</f>
        <v>0</v>
      </c>
      <c r="M90" s="13">
        <f>VLOOKUP($B90,'[3]חשבונות חברה 40'!$A:$I,5,0)</f>
        <v>0</v>
      </c>
      <c r="N90" s="4">
        <f>IF(VLOOKUP($B90,'[3]חשבונות חברה 40'!$A:$J,10,0)=0,"",VLOOKUP($B90,'[3]חשבונות חברה 40'!$A:$J,10,0))</f>
        <v>43600</v>
      </c>
      <c r="O90">
        <f t="shared" si="13"/>
        <v>736.64</v>
      </c>
      <c r="P90">
        <f t="shared" si="13"/>
        <v>736.64</v>
      </c>
      <c r="Q90">
        <f t="shared" si="13"/>
        <v>736.64</v>
      </c>
      <c r="R90">
        <f t="shared" si="13"/>
        <v>736.64</v>
      </c>
      <c r="S90">
        <f t="shared" si="13"/>
        <v>662.976</v>
      </c>
      <c r="T90">
        <f t="shared" si="13"/>
        <v>589.31200000000001</v>
      </c>
      <c r="U90">
        <f t="shared" si="13"/>
        <v>515.64799999999991</v>
      </c>
      <c r="V90">
        <f t="shared" si="13"/>
        <v>441.98399999999998</v>
      </c>
      <c r="W90">
        <f t="shared" si="13"/>
        <v>368.32</v>
      </c>
      <c r="X90">
        <f t="shared" si="13"/>
        <v>294.65600000000001</v>
      </c>
      <c r="Y90">
        <f t="shared" si="13"/>
        <v>220.99200000000002</v>
      </c>
      <c r="Z90">
        <f t="shared" si="13"/>
        <v>147.32799999999997</v>
      </c>
      <c r="AA90">
        <f t="shared" si="13"/>
        <v>73.663999999999987</v>
      </c>
      <c r="AB90">
        <f t="shared" si="13"/>
        <v>0</v>
      </c>
      <c r="AC90">
        <f t="shared" si="13"/>
        <v>0</v>
      </c>
      <c r="AD90">
        <f t="shared" si="13"/>
        <v>0</v>
      </c>
      <c r="AE90">
        <f t="shared" si="12"/>
        <v>0</v>
      </c>
      <c r="AF90">
        <f t="shared" si="12"/>
        <v>0</v>
      </c>
      <c r="AG90">
        <f t="shared" si="12"/>
        <v>0</v>
      </c>
      <c r="AH90">
        <f t="shared" si="12"/>
        <v>0</v>
      </c>
    </row>
    <row r="91" spans="1:34">
      <c r="A91">
        <v>376</v>
      </c>
      <c r="B91">
        <v>899191</v>
      </c>
      <c r="C91" t="s">
        <v>4027</v>
      </c>
      <c r="D91">
        <v>622022</v>
      </c>
      <c r="E91" t="s">
        <v>3939</v>
      </c>
      <c r="F91" t="s">
        <v>3940</v>
      </c>
      <c r="G91" s="217">
        <v>4314.38</v>
      </c>
      <c r="H91" t="s">
        <v>3941</v>
      </c>
      <c r="I91">
        <v>30.85</v>
      </c>
      <c r="J91">
        <v>432.73</v>
      </c>
      <c r="K91">
        <v>70</v>
      </c>
      <c r="L91" s="13">
        <f>VLOOKUP($B91,'[3]חשבונות חברה 40'!$A:$I,7,0)</f>
        <v>0</v>
      </c>
      <c r="M91" s="13">
        <f>VLOOKUP($B91,'[3]חשבונות חברה 40'!$A:$I,5,0)</f>
        <v>0</v>
      </c>
      <c r="N91" s="4">
        <f>IF(VLOOKUP($B91,'[3]חשבונות חברה 40'!$A:$J,10,0)=0,"",VLOOKUP($B91,'[3]חשבונות חברה 40'!$A:$J,10,0))</f>
        <v>41258</v>
      </c>
      <c r="O91">
        <f t="shared" si="13"/>
        <v>259.63799999999998</v>
      </c>
      <c r="P91">
        <f t="shared" si="13"/>
        <v>216.36500000000001</v>
      </c>
      <c r="Q91">
        <f t="shared" si="13"/>
        <v>173.09200000000001</v>
      </c>
      <c r="R91">
        <f t="shared" si="13"/>
        <v>129.81900000000002</v>
      </c>
      <c r="S91">
        <f t="shared" si="13"/>
        <v>86.545999999999978</v>
      </c>
      <c r="T91">
        <f t="shared" si="13"/>
        <v>43.272999999999989</v>
      </c>
      <c r="U91">
        <f t="shared" si="13"/>
        <v>0</v>
      </c>
      <c r="V91">
        <f t="shared" si="13"/>
        <v>0</v>
      </c>
      <c r="W91">
        <f t="shared" si="13"/>
        <v>0</v>
      </c>
      <c r="X91">
        <f t="shared" si="13"/>
        <v>0</v>
      </c>
      <c r="Y91">
        <f t="shared" si="13"/>
        <v>0</v>
      </c>
      <c r="Z91">
        <f t="shared" si="13"/>
        <v>0</v>
      </c>
      <c r="AA91">
        <f t="shared" si="13"/>
        <v>0</v>
      </c>
      <c r="AB91">
        <f t="shared" si="13"/>
        <v>0</v>
      </c>
      <c r="AC91">
        <f t="shared" si="13"/>
        <v>0</v>
      </c>
      <c r="AD91">
        <f t="shared" si="13"/>
        <v>0</v>
      </c>
      <c r="AE91">
        <f t="shared" si="12"/>
        <v>0</v>
      </c>
      <c r="AF91">
        <f t="shared" si="12"/>
        <v>0</v>
      </c>
      <c r="AG91">
        <f t="shared" si="12"/>
        <v>0</v>
      </c>
      <c r="AH91">
        <f t="shared" si="12"/>
        <v>0</v>
      </c>
    </row>
    <row r="92" spans="1:34">
      <c r="A92">
        <v>377</v>
      </c>
      <c r="B92">
        <v>899192</v>
      </c>
      <c r="C92" t="s">
        <v>4028</v>
      </c>
      <c r="D92">
        <v>622022</v>
      </c>
      <c r="E92" t="s">
        <v>3939</v>
      </c>
      <c r="F92" t="s">
        <v>3940</v>
      </c>
      <c r="G92" s="217">
        <v>4268.12</v>
      </c>
      <c r="H92" t="s">
        <v>3941</v>
      </c>
      <c r="I92">
        <v>30.3</v>
      </c>
      <c r="J92">
        <v>428.09</v>
      </c>
      <c r="K92">
        <v>70</v>
      </c>
      <c r="L92" s="13">
        <f>VLOOKUP($B92,'[3]חשבונות חברה 40'!$A:$I,7,0)</f>
        <v>0</v>
      </c>
      <c r="M92" s="13">
        <f>VLOOKUP($B92,'[3]חשבונות חברה 40'!$A:$I,5,0)</f>
        <v>0</v>
      </c>
      <c r="N92" s="4">
        <f>IF(VLOOKUP($B92,'[3]חשבונות חברה 40'!$A:$J,10,0)=0,"",VLOOKUP($B92,'[3]חשבונות חברה 40'!$A:$J,10,0))</f>
        <v>41258</v>
      </c>
      <c r="O92">
        <f t="shared" si="13"/>
        <v>256.85399999999998</v>
      </c>
      <c r="P92">
        <f t="shared" si="13"/>
        <v>214.04499999999999</v>
      </c>
      <c r="Q92">
        <f t="shared" si="13"/>
        <v>171.23599999999999</v>
      </c>
      <c r="R92">
        <f t="shared" si="13"/>
        <v>128.42700000000002</v>
      </c>
      <c r="S92">
        <f t="shared" si="13"/>
        <v>85.617999999999981</v>
      </c>
      <c r="T92">
        <f t="shared" si="13"/>
        <v>42.80899999999999</v>
      </c>
      <c r="U92">
        <f t="shared" si="13"/>
        <v>0</v>
      </c>
      <c r="V92">
        <f t="shared" si="13"/>
        <v>0</v>
      </c>
      <c r="W92">
        <f t="shared" si="13"/>
        <v>0</v>
      </c>
      <c r="X92">
        <f t="shared" si="13"/>
        <v>0</v>
      </c>
      <c r="Y92">
        <f t="shared" si="13"/>
        <v>0</v>
      </c>
      <c r="Z92">
        <f t="shared" si="13"/>
        <v>0</v>
      </c>
      <c r="AA92">
        <f t="shared" si="13"/>
        <v>0</v>
      </c>
      <c r="AB92">
        <f t="shared" si="13"/>
        <v>0</v>
      </c>
      <c r="AC92">
        <f t="shared" si="13"/>
        <v>0</v>
      </c>
      <c r="AD92">
        <f t="shared" si="13"/>
        <v>0</v>
      </c>
      <c r="AE92">
        <f t="shared" si="12"/>
        <v>0</v>
      </c>
      <c r="AF92">
        <f t="shared" si="12"/>
        <v>0</v>
      </c>
      <c r="AG92">
        <f t="shared" si="12"/>
        <v>0</v>
      </c>
      <c r="AH92">
        <f t="shared" si="12"/>
        <v>0</v>
      </c>
    </row>
    <row r="93" spans="1:34">
      <c r="A93">
        <v>378</v>
      </c>
      <c r="B93">
        <v>899193</v>
      </c>
      <c r="C93" t="s">
        <v>4029</v>
      </c>
      <c r="D93">
        <v>622022</v>
      </c>
      <c r="E93" t="s">
        <v>3939</v>
      </c>
      <c r="F93" t="s">
        <v>3940</v>
      </c>
      <c r="G93" s="217">
        <v>4555.3599999999997</v>
      </c>
      <c r="H93" t="s">
        <v>3941</v>
      </c>
      <c r="I93">
        <v>33.729999999999997</v>
      </c>
      <c r="J93">
        <v>456.9</v>
      </c>
      <c r="K93">
        <v>70</v>
      </c>
      <c r="L93" s="13">
        <f>VLOOKUP($B93,'[3]חשבונות חברה 40'!$A:$I,7,0)</f>
        <v>0</v>
      </c>
      <c r="M93" s="13">
        <f>VLOOKUP($B93,'[3]חשבונות חברה 40'!$A:$I,5,0)</f>
        <v>0</v>
      </c>
      <c r="N93" s="4">
        <f>IF(VLOOKUP($B93,'[3]חשבונות חברה 40'!$A:$J,10,0)=0,"",VLOOKUP($B93,'[3]חשבונות חברה 40'!$A:$J,10,0))</f>
        <v>41258</v>
      </c>
      <c r="O93">
        <f t="shared" si="13"/>
        <v>274.14</v>
      </c>
      <c r="P93">
        <f t="shared" si="13"/>
        <v>228.45</v>
      </c>
      <c r="Q93">
        <f t="shared" si="13"/>
        <v>182.76</v>
      </c>
      <c r="R93">
        <f t="shared" si="13"/>
        <v>137.07000000000002</v>
      </c>
      <c r="S93">
        <f t="shared" si="13"/>
        <v>91.379999999999981</v>
      </c>
      <c r="T93">
        <f t="shared" si="13"/>
        <v>45.689999999999991</v>
      </c>
      <c r="U93">
        <f t="shared" si="13"/>
        <v>0</v>
      </c>
      <c r="V93">
        <f t="shared" si="13"/>
        <v>0</v>
      </c>
      <c r="W93">
        <f t="shared" si="13"/>
        <v>0</v>
      </c>
      <c r="X93">
        <f t="shared" si="13"/>
        <v>0</v>
      </c>
      <c r="Y93">
        <f t="shared" si="13"/>
        <v>0</v>
      </c>
      <c r="Z93">
        <f t="shared" si="13"/>
        <v>0</v>
      </c>
      <c r="AA93">
        <f t="shared" si="13"/>
        <v>0</v>
      </c>
      <c r="AB93">
        <f t="shared" si="13"/>
        <v>0</v>
      </c>
      <c r="AC93">
        <f t="shared" si="13"/>
        <v>0</v>
      </c>
      <c r="AD93">
        <f t="shared" si="13"/>
        <v>0</v>
      </c>
      <c r="AE93">
        <f t="shared" si="12"/>
        <v>0</v>
      </c>
      <c r="AF93">
        <f t="shared" si="12"/>
        <v>0</v>
      </c>
      <c r="AG93">
        <f t="shared" si="12"/>
        <v>0</v>
      </c>
      <c r="AH93">
        <f t="shared" si="12"/>
        <v>0</v>
      </c>
    </row>
    <row r="94" spans="1:34">
      <c r="A94">
        <v>379</v>
      </c>
      <c r="B94">
        <v>899194</v>
      </c>
      <c r="C94" t="s">
        <v>4030</v>
      </c>
      <c r="D94">
        <v>622022</v>
      </c>
      <c r="E94" t="s">
        <v>3939</v>
      </c>
      <c r="F94" t="s">
        <v>3940</v>
      </c>
      <c r="G94" s="217">
        <v>4022.55</v>
      </c>
      <c r="H94" t="s">
        <v>3941</v>
      </c>
      <c r="I94">
        <v>27.36</v>
      </c>
      <c r="J94">
        <v>403.46</v>
      </c>
      <c r="K94">
        <v>70</v>
      </c>
      <c r="L94" s="13">
        <f>VLOOKUP($B94,'[3]חשבונות חברה 40'!$A:$I,7,0)</f>
        <v>0</v>
      </c>
      <c r="M94" s="13">
        <f>VLOOKUP($B94,'[3]חשבונות חברה 40'!$A:$I,5,0)</f>
        <v>0</v>
      </c>
      <c r="N94" s="4">
        <f>IF(VLOOKUP($B94,'[3]חשבונות חברה 40'!$A:$J,10,0)=0,"",VLOOKUP($B94,'[3]חשבונות חברה 40'!$A:$J,10,0))</f>
        <v>41258</v>
      </c>
      <c r="O94">
        <f t="shared" si="13"/>
        <v>242.07599999999996</v>
      </c>
      <c r="P94">
        <f t="shared" si="13"/>
        <v>201.73</v>
      </c>
      <c r="Q94">
        <f t="shared" si="13"/>
        <v>161.38400000000001</v>
      </c>
      <c r="R94">
        <f t="shared" si="13"/>
        <v>121.03800000000001</v>
      </c>
      <c r="S94">
        <f t="shared" si="13"/>
        <v>80.691999999999979</v>
      </c>
      <c r="T94">
        <f t="shared" si="13"/>
        <v>40.345999999999989</v>
      </c>
      <c r="U94">
        <f t="shared" si="13"/>
        <v>0</v>
      </c>
      <c r="V94">
        <f t="shared" si="13"/>
        <v>0</v>
      </c>
      <c r="W94">
        <f t="shared" si="13"/>
        <v>0</v>
      </c>
      <c r="X94">
        <f t="shared" si="13"/>
        <v>0</v>
      </c>
      <c r="Y94">
        <f t="shared" si="13"/>
        <v>0</v>
      </c>
      <c r="Z94">
        <f t="shared" si="13"/>
        <v>0</v>
      </c>
      <c r="AA94">
        <f t="shared" si="13"/>
        <v>0</v>
      </c>
      <c r="AB94">
        <f t="shared" si="13"/>
        <v>0</v>
      </c>
      <c r="AC94">
        <f t="shared" si="13"/>
        <v>0</v>
      </c>
      <c r="AD94">
        <f t="shared" si="13"/>
        <v>0</v>
      </c>
      <c r="AE94">
        <f t="shared" si="12"/>
        <v>0</v>
      </c>
      <c r="AF94">
        <f t="shared" si="12"/>
        <v>0</v>
      </c>
      <c r="AG94">
        <f t="shared" si="12"/>
        <v>0</v>
      </c>
      <c r="AH94">
        <f t="shared" si="12"/>
        <v>0</v>
      </c>
    </row>
    <row r="95" spans="1:34">
      <c r="A95">
        <v>380</v>
      </c>
      <c r="B95">
        <v>899195</v>
      </c>
      <c r="C95" t="s">
        <v>4031</v>
      </c>
      <c r="D95">
        <v>622022</v>
      </c>
      <c r="E95" t="s">
        <v>3939</v>
      </c>
      <c r="F95" t="s">
        <v>3940</v>
      </c>
      <c r="G95" s="217">
        <v>5397.64</v>
      </c>
      <c r="H95" t="s">
        <v>3941</v>
      </c>
      <c r="I95">
        <v>43.78</v>
      </c>
      <c r="J95">
        <v>541.38</v>
      </c>
      <c r="K95">
        <v>70</v>
      </c>
      <c r="L95" s="13">
        <f>VLOOKUP($B95,'[3]חשבונות חברה 40'!$A:$I,7,0)</f>
        <v>0</v>
      </c>
      <c r="M95" s="13">
        <f>VLOOKUP($B95,'[3]חשבונות חברה 40'!$A:$I,5,0)</f>
        <v>0</v>
      </c>
      <c r="N95" s="4">
        <f>IF(VLOOKUP($B95,'[3]חשבונות חברה 40'!$A:$J,10,0)=0,"",VLOOKUP($B95,'[3]חשבונות חברה 40'!$A:$J,10,0))</f>
        <v>41258</v>
      </c>
      <c r="O95">
        <f t="shared" si="13"/>
        <v>324.82799999999997</v>
      </c>
      <c r="P95">
        <f t="shared" si="13"/>
        <v>270.69</v>
      </c>
      <c r="Q95">
        <f t="shared" si="13"/>
        <v>216.55200000000002</v>
      </c>
      <c r="R95">
        <f t="shared" si="13"/>
        <v>162.41400000000002</v>
      </c>
      <c r="S95">
        <f t="shared" si="13"/>
        <v>108.27599999999998</v>
      </c>
      <c r="T95">
        <f t="shared" si="13"/>
        <v>54.137999999999991</v>
      </c>
      <c r="U95">
        <f t="shared" si="13"/>
        <v>0</v>
      </c>
      <c r="V95">
        <f t="shared" si="13"/>
        <v>0</v>
      </c>
      <c r="W95">
        <f t="shared" si="13"/>
        <v>0</v>
      </c>
      <c r="X95">
        <f t="shared" si="13"/>
        <v>0</v>
      </c>
      <c r="Y95">
        <f t="shared" si="13"/>
        <v>0</v>
      </c>
      <c r="Z95">
        <f t="shared" si="13"/>
        <v>0</v>
      </c>
      <c r="AA95">
        <f t="shared" si="13"/>
        <v>0</v>
      </c>
      <c r="AB95">
        <f t="shared" si="13"/>
        <v>0</v>
      </c>
      <c r="AC95">
        <f t="shared" si="13"/>
        <v>0</v>
      </c>
      <c r="AD95">
        <f t="shared" si="13"/>
        <v>0</v>
      </c>
      <c r="AE95">
        <f t="shared" si="12"/>
        <v>0</v>
      </c>
      <c r="AF95">
        <f t="shared" si="12"/>
        <v>0</v>
      </c>
      <c r="AG95">
        <f t="shared" si="12"/>
        <v>0</v>
      </c>
      <c r="AH95">
        <f t="shared" si="12"/>
        <v>0</v>
      </c>
    </row>
    <row r="96" spans="1:34">
      <c r="A96">
        <v>381</v>
      </c>
      <c r="B96">
        <v>899196</v>
      </c>
      <c r="C96" t="s">
        <v>4032</v>
      </c>
      <c r="D96">
        <v>622022</v>
      </c>
      <c r="E96" t="s">
        <v>3939</v>
      </c>
      <c r="F96" t="s">
        <v>3940</v>
      </c>
      <c r="G96" s="217">
        <v>3209.59</v>
      </c>
      <c r="H96" t="s">
        <v>3941</v>
      </c>
      <c r="I96">
        <v>17.66</v>
      </c>
      <c r="J96">
        <v>321.92</v>
      </c>
      <c r="K96">
        <v>70</v>
      </c>
      <c r="L96" s="13">
        <f>VLOOKUP($B96,'[3]חשבונות חברה 40'!$A:$I,7,0)</f>
        <v>0</v>
      </c>
      <c r="M96" s="13">
        <f>VLOOKUP($B96,'[3]חשבונות חברה 40'!$A:$I,5,0)</f>
        <v>0</v>
      </c>
      <c r="N96" s="4">
        <f>IF(VLOOKUP($B96,'[3]חשבונות חברה 40'!$A:$J,10,0)=0,"",VLOOKUP($B96,'[3]חשבונות חברה 40'!$A:$J,10,0))</f>
        <v>41258</v>
      </c>
      <c r="O96">
        <f t="shared" si="13"/>
        <v>193.15200000000002</v>
      </c>
      <c r="P96">
        <f t="shared" si="13"/>
        <v>160.96</v>
      </c>
      <c r="Q96">
        <f t="shared" si="13"/>
        <v>128.768</v>
      </c>
      <c r="R96">
        <f t="shared" si="13"/>
        <v>96.576000000000022</v>
      </c>
      <c r="S96">
        <f t="shared" si="13"/>
        <v>64.383999999999986</v>
      </c>
      <c r="T96">
        <f t="shared" si="13"/>
        <v>32.191999999999993</v>
      </c>
      <c r="U96">
        <f t="shared" si="13"/>
        <v>0</v>
      </c>
      <c r="V96">
        <f t="shared" si="13"/>
        <v>0</v>
      </c>
      <c r="W96">
        <f t="shared" si="13"/>
        <v>0</v>
      </c>
      <c r="X96">
        <f t="shared" si="13"/>
        <v>0</v>
      </c>
      <c r="Y96">
        <f t="shared" si="13"/>
        <v>0</v>
      </c>
      <c r="Z96">
        <f t="shared" si="13"/>
        <v>0</v>
      </c>
      <c r="AA96">
        <f t="shared" si="13"/>
        <v>0</v>
      </c>
      <c r="AB96">
        <f t="shared" si="13"/>
        <v>0</v>
      </c>
      <c r="AC96">
        <f t="shared" si="13"/>
        <v>0</v>
      </c>
      <c r="AD96">
        <f t="shared" ref="AD96:AH111" si="14">IF((AD$2-$N96)/365&lt;10,1,IF((AD$2-$N96)/365&gt;20,0,1-(ROUNDDOWN(((AD$2-$N96)/365),0)-10)/10))*$J96</f>
        <v>0</v>
      </c>
      <c r="AE96">
        <f t="shared" si="14"/>
        <v>0</v>
      </c>
      <c r="AF96">
        <f t="shared" si="14"/>
        <v>0</v>
      </c>
      <c r="AG96">
        <f t="shared" si="14"/>
        <v>0</v>
      </c>
      <c r="AH96">
        <f t="shared" si="14"/>
        <v>0</v>
      </c>
    </row>
    <row r="97" spans="1:34">
      <c r="A97">
        <v>382</v>
      </c>
      <c r="B97">
        <v>899197</v>
      </c>
      <c r="C97" t="s">
        <v>4033</v>
      </c>
      <c r="D97">
        <v>622022</v>
      </c>
      <c r="E97" t="s">
        <v>3939</v>
      </c>
      <c r="F97" t="s">
        <v>3940</v>
      </c>
      <c r="G97" s="217">
        <v>6662.25</v>
      </c>
      <c r="H97" t="s">
        <v>3941</v>
      </c>
      <c r="I97">
        <v>41.21</v>
      </c>
      <c r="J97">
        <v>668.22</v>
      </c>
      <c r="K97">
        <v>90</v>
      </c>
      <c r="L97" s="13">
        <f>VLOOKUP($B97,'[3]חשבונות חברה 40'!$A:$I,7,0)</f>
        <v>0</v>
      </c>
      <c r="M97" s="13">
        <f>VLOOKUP($B97,'[3]חשבונות חברה 40'!$A:$I,5,0)</f>
        <v>0</v>
      </c>
      <c r="N97" s="4">
        <f>IF(VLOOKUP($B97,'[3]חשבונות חברה 40'!$A:$J,10,0)=0,"",VLOOKUP($B97,'[3]חשבונות חברה 40'!$A:$J,10,0))</f>
        <v>42148</v>
      </c>
      <c r="O97">
        <f t="shared" ref="O97:AD112" si="15">IF((O$2-$N97)/365&lt;10,1,IF((O$2-$N97)/365&gt;20,0,1-(ROUNDDOWN(((O$2-$N97)/365),0)-10)/10))*$J97</f>
        <v>601.39800000000002</v>
      </c>
      <c r="P97">
        <f t="shared" si="15"/>
        <v>534.57600000000002</v>
      </c>
      <c r="Q97">
        <f t="shared" si="15"/>
        <v>467.75399999999996</v>
      </c>
      <c r="R97">
        <f t="shared" si="15"/>
        <v>400.93200000000002</v>
      </c>
      <c r="S97">
        <f t="shared" si="15"/>
        <v>334.11</v>
      </c>
      <c r="T97">
        <f t="shared" si="15"/>
        <v>267.28800000000001</v>
      </c>
      <c r="U97">
        <f t="shared" si="15"/>
        <v>200.46600000000004</v>
      </c>
      <c r="V97">
        <f t="shared" si="15"/>
        <v>133.64399999999998</v>
      </c>
      <c r="W97">
        <f t="shared" si="15"/>
        <v>66.821999999999989</v>
      </c>
      <c r="X97">
        <f t="shared" si="15"/>
        <v>0</v>
      </c>
      <c r="Y97">
        <f t="shared" si="15"/>
        <v>0</v>
      </c>
      <c r="Z97">
        <f t="shared" si="15"/>
        <v>0</v>
      </c>
      <c r="AA97">
        <f t="shared" si="15"/>
        <v>0</v>
      </c>
      <c r="AB97">
        <f t="shared" si="15"/>
        <v>0</v>
      </c>
      <c r="AC97">
        <f t="shared" si="15"/>
        <v>0</v>
      </c>
      <c r="AD97">
        <f t="shared" si="15"/>
        <v>0</v>
      </c>
      <c r="AE97">
        <f t="shared" si="14"/>
        <v>0</v>
      </c>
      <c r="AF97">
        <f t="shared" si="14"/>
        <v>0</v>
      </c>
      <c r="AG97">
        <f t="shared" si="14"/>
        <v>0</v>
      </c>
      <c r="AH97">
        <f t="shared" si="14"/>
        <v>0</v>
      </c>
    </row>
    <row r="98" spans="1:34">
      <c r="A98">
        <v>383</v>
      </c>
      <c r="B98">
        <v>899198</v>
      </c>
      <c r="C98" t="s">
        <v>4034</v>
      </c>
      <c r="D98">
        <v>622022</v>
      </c>
      <c r="E98" t="s">
        <v>3939</v>
      </c>
      <c r="F98" t="s">
        <v>3940</v>
      </c>
      <c r="G98" s="217">
        <v>7949.79</v>
      </c>
      <c r="H98" t="s">
        <v>3941</v>
      </c>
      <c r="I98">
        <v>45.78</v>
      </c>
      <c r="J98">
        <v>797.36</v>
      </c>
      <c r="K98">
        <v>100</v>
      </c>
      <c r="L98" s="13">
        <f>VLOOKUP($B98,'[3]חשבונות חברה 40'!$A:$I,7,0)</f>
        <v>0</v>
      </c>
      <c r="M98" s="13">
        <f>VLOOKUP($B98,'[3]חשבונות חברה 40'!$A:$I,5,0)</f>
        <v>0</v>
      </c>
      <c r="N98" s="4">
        <f>IF(VLOOKUP($B98,'[3]חשבונות חברה 40'!$A:$J,10,0)=0,"",VLOOKUP($B98,'[3]חשבונות חברה 40'!$A:$J,10,0))</f>
        <v>44939</v>
      </c>
      <c r="O98">
        <f t="shared" si="15"/>
        <v>797.36</v>
      </c>
      <c r="P98">
        <f t="shared" si="15"/>
        <v>797.36</v>
      </c>
      <c r="Q98">
        <f t="shared" si="15"/>
        <v>797.36</v>
      </c>
      <c r="R98">
        <f t="shared" si="15"/>
        <v>797.36</v>
      </c>
      <c r="S98">
        <f t="shared" si="15"/>
        <v>797.36</v>
      </c>
      <c r="T98">
        <f t="shared" si="15"/>
        <v>797.36</v>
      </c>
      <c r="U98">
        <f t="shared" si="15"/>
        <v>797.36</v>
      </c>
      <c r="V98">
        <f t="shared" si="15"/>
        <v>797.36</v>
      </c>
      <c r="W98">
        <f t="shared" si="15"/>
        <v>717.62400000000002</v>
      </c>
      <c r="X98">
        <f t="shared" si="15"/>
        <v>637.88800000000003</v>
      </c>
      <c r="Y98">
        <f t="shared" si="15"/>
        <v>558.15199999999993</v>
      </c>
      <c r="Z98">
        <f t="shared" si="15"/>
        <v>478.416</v>
      </c>
      <c r="AA98">
        <f t="shared" si="15"/>
        <v>398.68</v>
      </c>
      <c r="AB98">
        <f t="shared" si="15"/>
        <v>318.94400000000002</v>
      </c>
      <c r="AC98">
        <f t="shared" si="15"/>
        <v>239.20800000000003</v>
      </c>
      <c r="AD98">
        <f t="shared" si="15"/>
        <v>159.47199999999998</v>
      </c>
      <c r="AE98">
        <f t="shared" si="14"/>
        <v>79.73599999999999</v>
      </c>
      <c r="AF98">
        <f t="shared" si="14"/>
        <v>0</v>
      </c>
      <c r="AG98">
        <f t="shared" si="14"/>
        <v>0</v>
      </c>
      <c r="AH98">
        <f t="shared" si="14"/>
        <v>0</v>
      </c>
    </row>
    <row r="99" spans="1:34">
      <c r="A99">
        <v>384</v>
      </c>
      <c r="B99">
        <v>899199</v>
      </c>
      <c r="C99" t="s">
        <v>4035</v>
      </c>
      <c r="D99">
        <v>622022</v>
      </c>
      <c r="E99" t="s">
        <v>3939</v>
      </c>
      <c r="F99" t="s">
        <v>3940</v>
      </c>
      <c r="G99" s="217">
        <v>7947.4</v>
      </c>
      <c r="H99" t="s">
        <v>3941</v>
      </c>
      <c r="I99">
        <v>45.76</v>
      </c>
      <c r="J99">
        <v>797.12</v>
      </c>
      <c r="K99">
        <v>100</v>
      </c>
      <c r="L99" s="13">
        <f>VLOOKUP($B99,'[3]חשבונות חברה 40'!$A:$I,7,0)</f>
        <v>0</v>
      </c>
      <c r="M99" s="13">
        <f>VLOOKUP($B99,'[3]חשבונות חברה 40'!$A:$I,5,0)</f>
        <v>0</v>
      </c>
      <c r="N99" s="4">
        <f>IF(VLOOKUP($B99,'[3]חשבונות חברה 40'!$A:$J,10,0)=0,"",VLOOKUP($B99,'[3]חשבונות חברה 40'!$A:$J,10,0))</f>
        <v>45034</v>
      </c>
      <c r="O99">
        <f t="shared" si="15"/>
        <v>797.12</v>
      </c>
      <c r="P99">
        <f t="shared" si="15"/>
        <v>797.12</v>
      </c>
      <c r="Q99">
        <f t="shared" si="15"/>
        <v>797.12</v>
      </c>
      <c r="R99">
        <f t="shared" si="15"/>
        <v>797.12</v>
      </c>
      <c r="S99">
        <f t="shared" si="15"/>
        <v>797.12</v>
      </c>
      <c r="T99">
        <f t="shared" si="15"/>
        <v>797.12</v>
      </c>
      <c r="U99">
        <f t="shared" si="15"/>
        <v>797.12</v>
      </c>
      <c r="V99">
        <f t="shared" si="15"/>
        <v>797.12</v>
      </c>
      <c r="W99">
        <f t="shared" si="15"/>
        <v>717.40800000000002</v>
      </c>
      <c r="X99">
        <f t="shared" si="15"/>
        <v>637.69600000000003</v>
      </c>
      <c r="Y99">
        <f t="shared" si="15"/>
        <v>557.98399999999992</v>
      </c>
      <c r="Z99">
        <f t="shared" si="15"/>
        <v>478.27199999999999</v>
      </c>
      <c r="AA99">
        <f t="shared" si="15"/>
        <v>398.56</v>
      </c>
      <c r="AB99">
        <f t="shared" si="15"/>
        <v>318.84800000000001</v>
      </c>
      <c r="AC99">
        <f t="shared" si="15"/>
        <v>239.13600000000002</v>
      </c>
      <c r="AD99">
        <f t="shared" si="15"/>
        <v>159.42399999999998</v>
      </c>
      <c r="AE99">
        <f t="shared" si="14"/>
        <v>79.711999999999989</v>
      </c>
      <c r="AF99">
        <f t="shared" si="14"/>
        <v>0</v>
      </c>
      <c r="AG99">
        <f t="shared" si="14"/>
        <v>0</v>
      </c>
      <c r="AH99">
        <f t="shared" si="14"/>
        <v>0</v>
      </c>
    </row>
    <row r="100" spans="1:34">
      <c r="A100">
        <v>385</v>
      </c>
      <c r="B100">
        <v>899200</v>
      </c>
      <c r="C100" t="s">
        <v>4036</v>
      </c>
      <c r="D100">
        <v>622022</v>
      </c>
      <c r="E100" t="s">
        <v>3939</v>
      </c>
      <c r="F100" t="s">
        <v>3940</v>
      </c>
      <c r="G100" s="217">
        <v>7247.1</v>
      </c>
      <c r="H100" t="s">
        <v>3941</v>
      </c>
      <c r="I100">
        <v>39.909999999999997</v>
      </c>
      <c r="J100">
        <v>726.88</v>
      </c>
      <c r="K100">
        <v>100</v>
      </c>
      <c r="L100" s="13">
        <f>VLOOKUP($B100,'[3]חשבונות חברה 40'!$A:$I,7,0)</f>
        <v>0</v>
      </c>
      <c r="M100" s="13">
        <f>VLOOKUP($B100,'[3]חשבונות חברה 40'!$A:$I,5,0)</f>
        <v>0</v>
      </c>
      <c r="N100" s="4">
        <f>IF(VLOOKUP($B100,'[3]חשבונות חברה 40'!$A:$J,10,0)=0,"",VLOOKUP($B100,'[3]חשבונות חברה 40'!$A:$J,10,0))</f>
        <v>42448</v>
      </c>
      <c r="O100">
        <f t="shared" si="15"/>
        <v>726.88</v>
      </c>
      <c r="P100">
        <f t="shared" si="15"/>
        <v>654.19200000000001</v>
      </c>
      <c r="Q100">
        <f t="shared" si="15"/>
        <v>581.50400000000002</v>
      </c>
      <c r="R100">
        <f t="shared" si="15"/>
        <v>508.81599999999997</v>
      </c>
      <c r="S100">
        <f t="shared" si="15"/>
        <v>436.12799999999999</v>
      </c>
      <c r="T100">
        <f t="shared" si="15"/>
        <v>363.44</v>
      </c>
      <c r="U100">
        <f t="shared" si="15"/>
        <v>290.75200000000001</v>
      </c>
      <c r="V100">
        <f t="shared" si="15"/>
        <v>218.06400000000002</v>
      </c>
      <c r="W100">
        <f t="shared" si="15"/>
        <v>145.37599999999998</v>
      </c>
      <c r="X100">
        <f t="shared" si="15"/>
        <v>72.687999999999988</v>
      </c>
      <c r="Y100">
        <f t="shared" si="15"/>
        <v>0</v>
      </c>
      <c r="Z100">
        <f t="shared" si="15"/>
        <v>0</v>
      </c>
      <c r="AA100">
        <f t="shared" si="15"/>
        <v>0</v>
      </c>
      <c r="AB100">
        <f t="shared" si="15"/>
        <v>0</v>
      </c>
      <c r="AC100">
        <f t="shared" si="15"/>
        <v>0</v>
      </c>
      <c r="AD100">
        <f t="shared" si="15"/>
        <v>0</v>
      </c>
      <c r="AE100">
        <f t="shared" si="14"/>
        <v>0</v>
      </c>
      <c r="AF100">
        <f t="shared" si="14"/>
        <v>0</v>
      </c>
      <c r="AG100">
        <f t="shared" si="14"/>
        <v>0</v>
      </c>
      <c r="AH100">
        <f t="shared" si="14"/>
        <v>0</v>
      </c>
    </row>
    <row r="101" spans="1:34">
      <c r="A101">
        <v>386</v>
      </c>
      <c r="B101">
        <v>899201</v>
      </c>
      <c r="C101" t="s">
        <v>2563</v>
      </c>
      <c r="D101">
        <v>622022</v>
      </c>
      <c r="E101" t="s">
        <v>3939</v>
      </c>
      <c r="F101" t="s">
        <v>3940</v>
      </c>
      <c r="G101" s="217">
        <v>5750.78</v>
      </c>
      <c r="H101" t="s">
        <v>3941</v>
      </c>
      <c r="I101">
        <v>48</v>
      </c>
      <c r="J101">
        <v>576.79999999999995</v>
      </c>
      <c r="K101">
        <v>70</v>
      </c>
      <c r="L101" s="13">
        <f>VLOOKUP($B101,'[3]חשבונות חברה 40'!$A:$I,7,0)</f>
        <v>0</v>
      </c>
      <c r="M101" s="13">
        <f>VLOOKUP($B101,'[3]חשבונות חברה 40'!$A:$I,5,0)</f>
        <v>0</v>
      </c>
      <c r="N101" s="4">
        <f>IF(VLOOKUP($B101,'[3]חשבונות חברה 40'!$A:$J,10,0)=0,"",VLOOKUP($B101,'[3]חשבונות חברה 40'!$A:$J,10,0))</f>
        <v>41258</v>
      </c>
      <c r="O101">
        <f t="shared" si="15"/>
        <v>346.08</v>
      </c>
      <c r="P101">
        <f t="shared" si="15"/>
        <v>288.39999999999998</v>
      </c>
      <c r="Q101">
        <f t="shared" si="15"/>
        <v>230.72</v>
      </c>
      <c r="R101">
        <f t="shared" si="15"/>
        <v>173.04000000000002</v>
      </c>
      <c r="S101">
        <f t="shared" si="15"/>
        <v>115.35999999999997</v>
      </c>
      <c r="T101">
        <f t="shared" si="15"/>
        <v>57.679999999999986</v>
      </c>
      <c r="U101">
        <f t="shared" si="15"/>
        <v>0</v>
      </c>
      <c r="V101">
        <f t="shared" si="15"/>
        <v>0</v>
      </c>
      <c r="W101">
        <f t="shared" si="15"/>
        <v>0</v>
      </c>
      <c r="X101">
        <f t="shared" si="15"/>
        <v>0</v>
      </c>
      <c r="Y101">
        <f t="shared" si="15"/>
        <v>0</v>
      </c>
      <c r="Z101">
        <f t="shared" si="15"/>
        <v>0</v>
      </c>
      <c r="AA101">
        <f t="shared" si="15"/>
        <v>0</v>
      </c>
      <c r="AB101">
        <f t="shared" si="15"/>
        <v>0</v>
      </c>
      <c r="AC101">
        <f t="shared" si="15"/>
        <v>0</v>
      </c>
      <c r="AD101">
        <f t="shared" si="15"/>
        <v>0</v>
      </c>
      <c r="AE101">
        <f t="shared" si="14"/>
        <v>0</v>
      </c>
      <c r="AF101">
        <f t="shared" si="14"/>
        <v>0</v>
      </c>
      <c r="AG101">
        <f t="shared" si="14"/>
        <v>0</v>
      </c>
      <c r="AH101">
        <f t="shared" si="14"/>
        <v>0</v>
      </c>
    </row>
    <row r="102" spans="1:34">
      <c r="A102">
        <v>387</v>
      </c>
      <c r="B102">
        <v>899202</v>
      </c>
      <c r="C102" t="s">
        <v>4037</v>
      </c>
      <c r="D102">
        <v>622022</v>
      </c>
      <c r="E102" t="s">
        <v>3939</v>
      </c>
      <c r="F102" t="s">
        <v>3940</v>
      </c>
      <c r="G102" s="217">
        <v>4568.92</v>
      </c>
      <c r="H102" t="s">
        <v>3941</v>
      </c>
      <c r="I102">
        <v>33.89</v>
      </c>
      <c r="J102">
        <v>458.26</v>
      </c>
      <c r="K102">
        <v>70</v>
      </c>
      <c r="L102" s="13">
        <f>VLOOKUP($B102,'[3]חשבונות חברה 40'!$A:$I,7,0)</f>
        <v>0</v>
      </c>
      <c r="M102" s="13">
        <f>VLOOKUP($B102,'[3]חשבונות חברה 40'!$A:$I,5,0)</f>
        <v>0</v>
      </c>
      <c r="N102" s="4">
        <f>IF(VLOOKUP($B102,'[3]חשבונות חברה 40'!$A:$J,10,0)=0,"",VLOOKUP($B102,'[3]חשבונות חברה 40'!$A:$J,10,0))</f>
        <v>41258</v>
      </c>
      <c r="O102">
        <f t="shared" si="15"/>
        <v>274.95599999999996</v>
      </c>
      <c r="P102">
        <f t="shared" si="15"/>
        <v>229.13</v>
      </c>
      <c r="Q102">
        <f t="shared" si="15"/>
        <v>183.304</v>
      </c>
      <c r="R102">
        <f t="shared" si="15"/>
        <v>137.47800000000001</v>
      </c>
      <c r="S102">
        <f t="shared" si="15"/>
        <v>91.651999999999973</v>
      </c>
      <c r="T102">
        <f t="shared" si="15"/>
        <v>45.825999999999986</v>
      </c>
      <c r="U102">
        <f t="shared" si="15"/>
        <v>0</v>
      </c>
      <c r="V102">
        <f t="shared" si="15"/>
        <v>0</v>
      </c>
      <c r="W102">
        <f t="shared" si="15"/>
        <v>0</v>
      </c>
      <c r="X102">
        <f t="shared" si="15"/>
        <v>0</v>
      </c>
      <c r="Y102">
        <f t="shared" si="15"/>
        <v>0</v>
      </c>
      <c r="Z102">
        <f t="shared" si="15"/>
        <v>0</v>
      </c>
      <c r="AA102">
        <f t="shared" si="15"/>
        <v>0</v>
      </c>
      <c r="AB102">
        <f t="shared" si="15"/>
        <v>0</v>
      </c>
      <c r="AC102">
        <f t="shared" si="15"/>
        <v>0</v>
      </c>
      <c r="AD102">
        <f t="shared" si="15"/>
        <v>0</v>
      </c>
      <c r="AE102">
        <f t="shared" si="14"/>
        <v>0</v>
      </c>
      <c r="AF102">
        <f t="shared" si="14"/>
        <v>0</v>
      </c>
      <c r="AG102">
        <f t="shared" si="14"/>
        <v>0</v>
      </c>
      <c r="AH102">
        <f t="shared" si="14"/>
        <v>0</v>
      </c>
    </row>
    <row r="103" spans="1:34">
      <c r="A103">
        <v>388</v>
      </c>
      <c r="B103">
        <v>899203</v>
      </c>
      <c r="C103" t="s">
        <v>4038</v>
      </c>
      <c r="D103">
        <v>622022</v>
      </c>
      <c r="E103" t="s">
        <v>3939</v>
      </c>
      <c r="F103" t="s">
        <v>3940</v>
      </c>
      <c r="G103" s="217">
        <v>4961.74</v>
      </c>
      <c r="H103" t="s">
        <v>3941</v>
      </c>
      <c r="I103">
        <v>38.58</v>
      </c>
      <c r="J103">
        <v>497.66</v>
      </c>
      <c r="K103">
        <v>70</v>
      </c>
      <c r="L103" s="13">
        <f>VLOOKUP($B103,'[3]חשבונות חברה 40'!$A:$I,7,0)</f>
        <v>0</v>
      </c>
      <c r="M103" s="13">
        <f>VLOOKUP($B103,'[3]חשבונות חברה 40'!$A:$I,5,0)</f>
        <v>0</v>
      </c>
      <c r="N103" s="4">
        <f>IF(VLOOKUP($B103,'[3]חשבונות חברה 40'!$A:$J,10,0)=0,"",VLOOKUP($B103,'[3]חשבונות חברה 40'!$A:$J,10,0))</f>
        <v>41258</v>
      </c>
      <c r="O103">
        <f t="shared" si="15"/>
        <v>298.596</v>
      </c>
      <c r="P103">
        <f t="shared" si="15"/>
        <v>248.83</v>
      </c>
      <c r="Q103">
        <f t="shared" si="15"/>
        <v>199.06400000000002</v>
      </c>
      <c r="R103">
        <f t="shared" si="15"/>
        <v>149.29800000000003</v>
      </c>
      <c r="S103">
        <f t="shared" si="15"/>
        <v>99.531999999999982</v>
      </c>
      <c r="T103">
        <f t="shared" si="15"/>
        <v>49.765999999999991</v>
      </c>
      <c r="U103">
        <f t="shared" si="15"/>
        <v>0</v>
      </c>
      <c r="V103">
        <f t="shared" si="15"/>
        <v>0</v>
      </c>
      <c r="W103">
        <f t="shared" si="15"/>
        <v>0</v>
      </c>
      <c r="X103">
        <f t="shared" si="15"/>
        <v>0</v>
      </c>
      <c r="Y103">
        <f t="shared" si="15"/>
        <v>0</v>
      </c>
      <c r="Z103">
        <f t="shared" si="15"/>
        <v>0</v>
      </c>
      <c r="AA103">
        <f t="shared" si="15"/>
        <v>0</v>
      </c>
      <c r="AB103">
        <f t="shared" si="15"/>
        <v>0</v>
      </c>
      <c r="AC103">
        <f t="shared" si="15"/>
        <v>0</v>
      </c>
      <c r="AD103">
        <f t="shared" si="15"/>
        <v>0</v>
      </c>
      <c r="AE103">
        <f t="shared" si="14"/>
        <v>0</v>
      </c>
      <c r="AF103">
        <f t="shared" si="14"/>
        <v>0</v>
      </c>
      <c r="AG103">
        <f t="shared" si="14"/>
        <v>0</v>
      </c>
      <c r="AH103">
        <f t="shared" si="14"/>
        <v>0</v>
      </c>
    </row>
    <row r="104" spans="1:34">
      <c r="A104">
        <v>389</v>
      </c>
      <c r="B104">
        <v>899204</v>
      </c>
      <c r="C104" t="s">
        <v>4039</v>
      </c>
      <c r="D104">
        <v>622022</v>
      </c>
      <c r="E104" t="s">
        <v>3939</v>
      </c>
      <c r="F104" t="s">
        <v>3940</v>
      </c>
      <c r="G104" s="217">
        <v>5049.38</v>
      </c>
      <c r="H104" t="s">
        <v>3941</v>
      </c>
      <c r="I104">
        <v>39.619999999999997</v>
      </c>
      <c r="J104">
        <v>506.45</v>
      </c>
      <c r="K104">
        <v>70</v>
      </c>
      <c r="L104" s="13">
        <f>VLOOKUP($B104,'[3]חשבונות חברה 40'!$A:$I,7,0)</f>
        <v>0</v>
      </c>
      <c r="M104" s="13">
        <f>VLOOKUP($B104,'[3]חשבונות חברה 40'!$A:$I,5,0)</f>
        <v>0</v>
      </c>
      <c r="N104" s="4">
        <f>IF(VLOOKUP($B104,'[3]חשבונות חברה 40'!$A:$J,10,0)=0,"",VLOOKUP($B104,'[3]חשבונות חברה 40'!$A:$J,10,0))</f>
        <v>41258</v>
      </c>
      <c r="O104">
        <f t="shared" si="15"/>
        <v>303.87</v>
      </c>
      <c r="P104">
        <f t="shared" si="15"/>
        <v>253.22499999999999</v>
      </c>
      <c r="Q104">
        <f t="shared" si="15"/>
        <v>202.58</v>
      </c>
      <c r="R104">
        <f t="shared" si="15"/>
        <v>151.93500000000003</v>
      </c>
      <c r="S104">
        <f t="shared" si="15"/>
        <v>101.28999999999998</v>
      </c>
      <c r="T104">
        <f t="shared" si="15"/>
        <v>50.644999999999989</v>
      </c>
      <c r="U104">
        <f t="shared" si="15"/>
        <v>0</v>
      </c>
      <c r="V104">
        <f t="shared" si="15"/>
        <v>0</v>
      </c>
      <c r="W104">
        <f t="shared" si="15"/>
        <v>0</v>
      </c>
      <c r="X104">
        <f t="shared" si="15"/>
        <v>0</v>
      </c>
      <c r="Y104">
        <f t="shared" si="15"/>
        <v>0</v>
      </c>
      <c r="Z104">
        <f t="shared" si="15"/>
        <v>0</v>
      </c>
      <c r="AA104">
        <f t="shared" si="15"/>
        <v>0</v>
      </c>
      <c r="AB104">
        <f t="shared" si="15"/>
        <v>0</v>
      </c>
      <c r="AC104">
        <f t="shared" si="15"/>
        <v>0</v>
      </c>
      <c r="AD104">
        <f t="shared" si="15"/>
        <v>0</v>
      </c>
      <c r="AE104">
        <f t="shared" si="14"/>
        <v>0</v>
      </c>
      <c r="AF104">
        <f t="shared" si="14"/>
        <v>0</v>
      </c>
      <c r="AG104">
        <f t="shared" si="14"/>
        <v>0</v>
      </c>
      <c r="AH104">
        <f t="shared" si="14"/>
        <v>0</v>
      </c>
    </row>
    <row r="105" spans="1:34">
      <c r="A105">
        <v>390</v>
      </c>
      <c r="B105">
        <v>899205</v>
      </c>
      <c r="C105" t="s">
        <v>4040</v>
      </c>
      <c r="D105">
        <v>622022</v>
      </c>
      <c r="E105" t="s">
        <v>3939</v>
      </c>
      <c r="F105" t="s">
        <v>3940</v>
      </c>
      <c r="G105" s="217">
        <v>4726.74</v>
      </c>
      <c r="H105" t="s">
        <v>3941</v>
      </c>
      <c r="I105">
        <v>35.770000000000003</v>
      </c>
      <c r="J105">
        <v>474.09</v>
      </c>
      <c r="K105">
        <v>70</v>
      </c>
      <c r="L105" s="13">
        <f>VLOOKUP($B105,'[3]חשבונות חברה 40'!$A:$I,7,0)</f>
        <v>0</v>
      </c>
      <c r="M105" s="13">
        <f>VLOOKUP($B105,'[3]חשבונות חברה 40'!$A:$I,5,0)</f>
        <v>0</v>
      </c>
      <c r="N105" s="4">
        <f>IF(VLOOKUP($B105,'[3]חשבונות חברה 40'!$A:$J,10,0)=0,"",VLOOKUP($B105,'[3]חשבונות חברה 40'!$A:$J,10,0))</f>
        <v>41258</v>
      </c>
      <c r="O105">
        <f t="shared" si="15"/>
        <v>284.45399999999995</v>
      </c>
      <c r="P105">
        <f t="shared" si="15"/>
        <v>237.04499999999999</v>
      </c>
      <c r="Q105">
        <f t="shared" si="15"/>
        <v>189.636</v>
      </c>
      <c r="R105">
        <f t="shared" si="15"/>
        <v>142.227</v>
      </c>
      <c r="S105">
        <f t="shared" si="15"/>
        <v>94.817999999999969</v>
      </c>
      <c r="T105">
        <f t="shared" si="15"/>
        <v>47.408999999999985</v>
      </c>
      <c r="U105">
        <f t="shared" si="15"/>
        <v>0</v>
      </c>
      <c r="V105">
        <f t="shared" si="15"/>
        <v>0</v>
      </c>
      <c r="W105">
        <f t="shared" si="15"/>
        <v>0</v>
      </c>
      <c r="X105">
        <f t="shared" si="15"/>
        <v>0</v>
      </c>
      <c r="Y105">
        <f t="shared" si="15"/>
        <v>0</v>
      </c>
      <c r="Z105">
        <f t="shared" si="15"/>
        <v>0</v>
      </c>
      <c r="AA105">
        <f t="shared" si="15"/>
        <v>0</v>
      </c>
      <c r="AB105">
        <f t="shared" si="15"/>
        <v>0</v>
      </c>
      <c r="AC105">
        <f t="shared" si="15"/>
        <v>0</v>
      </c>
      <c r="AD105">
        <f t="shared" si="15"/>
        <v>0</v>
      </c>
      <c r="AE105">
        <f t="shared" si="14"/>
        <v>0</v>
      </c>
      <c r="AF105">
        <f t="shared" si="14"/>
        <v>0</v>
      </c>
      <c r="AG105">
        <f t="shared" si="14"/>
        <v>0</v>
      </c>
      <c r="AH105">
        <f t="shared" si="14"/>
        <v>0</v>
      </c>
    </row>
    <row r="106" spans="1:34">
      <c r="A106">
        <v>391</v>
      </c>
      <c r="B106">
        <v>899206</v>
      </c>
      <c r="C106" t="s">
        <v>4041</v>
      </c>
      <c r="D106">
        <v>622022</v>
      </c>
      <c r="E106" t="s">
        <v>3939</v>
      </c>
      <c r="F106" t="s">
        <v>3940</v>
      </c>
      <c r="G106" s="217">
        <v>8198.65</v>
      </c>
      <c r="H106" t="s">
        <v>3941</v>
      </c>
      <c r="I106">
        <v>47.86</v>
      </c>
      <c r="J106">
        <v>822.32</v>
      </c>
      <c r="K106">
        <v>100</v>
      </c>
      <c r="L106" s="13">
        <f>VLOOKUP($B106,'[3]חשבונות חברה 40'!$A:$I,7,0)</f>
        <v>0</v>
      </c>
      <c r="M106" s="13">
        <f>VLOOKUP($B106,'[3]חשבונות חברה 40'!$A:$I,5,0)</f>
        <v>0</v>
      </c>
      <c r="N106" s="4">
        <f>IF(VLOOKUP($B106,'[3]חשבונות חברה 40'!$A:$J,10,0)=0,"",VLOOKUP($B106,'[3]חשבונות חברה 40'!$A:$J,10,0))</f>
        <v>43630</v>
      </c>
      <c r="O106">
        <f t="shared" si="15"/>
        <v>822.32</v>
      </c>
      <c r="P106">
        <f t="shared" si="15"/>
        <v>822.32</v>
      </c>
      <c r="Q106">
        <f t="shared" si="15"/>
        <v>822.32</v>
      </c>
      <c r="R106">
        <f t="shared" si="15"/>
        <v>822.32</v>
      </c>
      <c r="S106">
        <f t="shared" si="15"/>
        <v>740.08800000000008</v>
      </c>
      <c r="T106">
        <f t="shared" si="15"/>
        <v>657.85600000000011</v>
      </c>
      <c r="U106">
        <f t="shared" si="15"/>
        <v>575.62400000000002</v>
      </c>
      <c r="V106">
        <f t="shared" si="15"/>
        <v>493.392</v>
      </c>
      <c r="W106">
        <f t="shared" si="15"/>
        <v>411.16</v>
      </c>
      <c r="X106">
        <f t="shared" si="15"/>
        <v>328.92800000000005</v>
      </c>
      <c r="Y106">
        <f t="shared" si="15"/>
        <v>246.69600000000005</v>
      </c>
      <c r="Z106">
        <f t="shared" si="15"/>
        <v>164.46399999999997</v>
      </c>
      <c r="AA106">
        <f t="shared" si="15"/>
        <v>82.231999999999985</v>
      </c>
      <c r="AB106">
        <f t="shared" si="15"/>
        <v>0</v>
      </c>
      <c r="AC106">
        <f t="shared" si="15"/>
        <v>0</v>
      </c>
      <c r="AD106">
        <f t="shared" si="15"/>
        <v>0</v>
      </c>
      <c r="AE106">
        <f t="shared" si="14"/>
        <v>0</v>
      </c>
      <c r="AF106">
        <f t="shared" si="14"/>
        <v>0</v>
      </c>
      <c r="AG106">
        <f t="shared" si="14"/>
        <v>0</v>
      </c>
      <c r="AH106">
        <f t="shared" si="14"/>
        <v>0</v>
      </c>
    </row>
    <row r="107" spans="1:34">
      <c r="A107">
        <v>392</v>
      </c>
      <c r="B107">
        <v>899210</v>
      </c>
      <c r="C107" t="s">
        <v>4042</v>
      </c>
      <c r="D107">
        <v>622022</v>
      </c>
      <c r="E107" t="s">
        <v>3939</v>
      </c>
      <c r="F107" t="s">
        <v>3940</v>
      </c>
      <c r="G107" s="217">
        <v>6750.98</v>
      </c>
      <c r="H107" t="s">
        <v>3941</v>
      </c>
      <c r="I107">
        <v>35.76</v>
      </c>
      <c r="J107">
        <v>677.12</v>
      </c>
      <c r="K107">
        <v>100</v>
      </c>
      <c r="L107" s="13">
        <f>VLOOKUP($B107,'[3]חשבונות חברה 40'!$A:$I,7,0)</f>
        <v>0</v>
      </c>
      <c r="M107" s="13">
        <f>VLOOKUP($B107,'[3]חשבונות חברה 40'!$A:$I,5,0)</f>
        <v>0</v>
      </c>
      <c r="N107" s="4">
        <f>IF(VLOOKUP($B107,'[3]חשבונות חברה 40'!$A:$J,10,0)=0,"",VLOOKUP($B107,'[3]חשבונות חברה 40'!$A:$J,10,0))</f>
        <v>43586</v>
      </c>
      <c r="O107">
        <f t="shared" si="15"/>
        <v>677.12</v>
      </c>
      <c r="P107">
        <f t="shared" si="15"/>
        <v>677.12</v>
      </c>
      <c r="Q107">
        <f t="shared" si="15"/>
        <v>677.12</v>
      </c>
      <c r="R107">
        <f t="shared" si="15"/>
        <v>677.12</v>
      </c>
      <c r="S107">
        <f t="shared" si="15"/>
        <v>609.40800000000002</v>
      </c>
      <c r="T107">
        <f t="shared" si="15"/>
        <v>541.69600000000003</v>
      </c>
      <c r="U107">
        <f t="shared" si="15"/>
        <v>473.98399999999998</v>
      </c>
      <c r="V107">
        <f t="shared" si="15"/>
        <v>406.27199999999999</v>
      </c>
      <c r="W107">
        <f t="shared" si="15"/>
        <v>338.56</v>
      </c>
      <c r="X107">
        <f t="shared" si="15"/>
        <v>270.84800000000001</v>
      </c>
      <c r="Y107">
        <f t="shared" si="15"/>
        <v>203.13600000000002</v>
      </c>
      <c r="Z107">
        <f t="shared" si="15"/>
        <v>135.42399999999998</v>
      </c>
      <c r="AA107">
        <f t="shared" si="15"/>
        <v>67.711999999999989</v>
      </c>
      <c r="AB107">
        <f t="shared" si="15"/>
        <v>0</v>
      </c>
      <c r="AC107">
        <f t="shared" si="15"/>
        <v>0</v>
      </c>
      <c r="AD107">
        <f t="shared" si="15"/>
        <v>0</v>
      </c>
      <c r="AE107">
        <f t="shared" si="14"/>
        <v>0</v>
      </c>
      <c r="AF107">
        <f t="shared" si="14"/>
        <v>0</v>
      </c>
      <c r="AG107">
        <f t="shared" si="14"/>
        <v>0</v>
      </c>
      <c r="AH107">
        <f t="shared" si="14"/>
        <v>0</v>
      </c>
    </row>
    <row r="108" spans="1:34">
      <c r="A108">
        <v>393</v>
      </c>
      <c r="B108">
        <v>89921073</v>
      </c>
      <c r="C108" t="s">
        <v>4043</v>
      </c>
      <c r="D108">
        <v>622022</v>
      </c>
      <c r="E108" t="s">
        <v>3939</v>
      </c>
      <c r="F108" t="s">
        <v>3940</v>
      </c>
      <c r="G108" s="217">
        <v>7601.64</v>
      </c>
      <c r="H108" t="s">
        <v>3941</v>
      </c>
      <c r="I108">
        <v>42.87</v>
      </c>
      <c r="J108">
        <v>762.44</v>
      </c>
      <c r="K108">
        <v>100</v>
      </c>
      <c r="L108" s="13">
        <f>VLOOKUP($B108,'[3]חשבונות חברה 40'!$A:$I,7,0)</f>
        <v>0</v>
      </c>
      <c r="M108" s="13">
        <f>VLOOKUP($B108,'[3]חשבונות חברה 40'!$A:$I,5,0)</f>
        <v>2107</v>
      </c>
      <c r="N108" s="4">
        <f>IF(VLOOKUP($B108,'[3]חשבונות חברה 40'!$A:$J,10,0)=0,"",VLOOKUP($B108,'[3]חשבונות חברה 40'!$A:$J,10,0))</f>
        <v>45770</v>
      </c>
      <c r="O108">
        <f t="shared" si="15"/>
        <v>762.44</v>
      </c>
      <c r="P108">
        <f t="shared" si="15"/>
        <v>762.44</v>
      </c>
      <c r="Q108">
        <f t="shared" si="15"/>
        <v>762.44</v>
      </c>
      <c r="R108">
        <f t="shared" si="15"/>
        <v>762.44</v>
      </c>
      <c r="S108">
        <f t="shared" si="15"/>
        <v>762.44</v>
      </c>
      <c r="T108">
        <f t="shared" si="15"/>
        <v>762.44</v>
      </c>
      <c r="U108">
        <f t="shared" si="15"/>
        <v>762.44</v>
      </c>
      <c r="V108">
        <f t="shared" si="15"/>
        <v>762.44</v>
      </c>
      <c r="W108">
        <f t="shared" si="15"/>
        <v>762.44</v>
      </c>
      <c r="X108">
        <f t="shared" si="15"/>
        <v>762.44</v>
      </c>
      <c r="Y108">
        <f t="shared" si="15"/>
        <v>686.19600000000003</v>
      </c>
      <c r="Z108">
        <f t="shared" si="15"/>
        <v>609.95200000000011</v>
      </c>
      <c r="AA108">
        <f t="shared" si="15"/>
        <v>533.70799999999997</v>
      </c>
      <c r="AB108">
        <f t="shared" si="15"/>
        <v>457.464</v>
      </c>
      <c r="AC108">
        <f t="shared" si="15"/>
        <v>381.22</v>
      </c>
      <c r="AD108">
        <f t="shared" si="15"/>
        <v>304.97600000000006</v>
      </c>
      <c r="AE108">
        <f t="shared" si="14"/>
        <v>228.73200000000006</v>
      </c>
      <c r="AF108">
        <f t="shared" si="14"/>
        <v>152.48799999999997</v>
      </c>
      <c r="AG108">
        <f t="shared" si="14"/>
        <v>76.243999999999986</v>
      </c>
      <c r="AH108">
        <f t="shared" si="14"/>
        <v>0</v>
      </c>
    </row>
    <row r="109" spans="1:34">
      <c r="A109">
        <v>394</v>
      </c>
      <c r="B109">
        <v>899211</v>
      </c>
      <c r="C109" t="s">
        <v>4044</v>
      </c>
      <c r="D109">
        <v>622022</v>
      </c>
      <c r="E109" t="s">
        <v>3939</v>
      </c>
      <c r="F109" t="s">
        <v>3940</v>
      </c>
      <c r="G109" s="217">
        <v>5430.74</v>
      </c>
      <c r="H109" t="s">
        <v>3941</v>
      </c>
      <c r="I109">
        <v>44.18</v>
      </c>
      <c r="J109">
        <v>544.70000000000005</v>
      </c>
      <c r="K109">
        <v>70</v>
      </c>
      <c r="L109" s="13">
        <f>VLOOKUP($B109,'[3]חשבונות חברה 40'!$A:$I,7,0)</f>
        <v>0</v>
      </c>
      <c r="M109" s="13">
        <f>VLOOKUP($B109,'[3]חשבונות חברה 40'!$A:$I,5,0)</f>
        <v>0</v>
      </c>
      <c r="N109" s="4">
        <f>IF(VLOOKUP($B109,'[3]חשבונות חברה 40'!$A:$J,10,0)=0,"",VLOOKUP($B109,'[3]חשבונות חברה 40'!$A:$J,10,0))</f>
        <v>41258</v>
      </c>
      <c r="O109">
        <f t="shared" si="15"/>
        <v>326.82</v>
      </c>
      <c r="P109">
        <f t="shared" si="15"/>
        <v>272.35000000000002</v>
      </c>
      <c r="Q109">
        <f t="shared" si="15"/>
        <v>217.88000000000002</v>
      </c>
      <c r="R109">
        <f t="shared" si="15"/>
        <v>163.41000000000003</v>
      </c>
      <c r="S109">
        <f t="shared" si="15"/>
        <v>108.93999999999998</v>
      </c>
      <c r="T109">
        <f t="shared" si="15"/>
        <v>54.469999999999992</v>
      </c>
      <c r="U109">
        <f t="shared" si="15"/>
        <v>0</v>
      </c>
      <c r="V109">
        <f t="shared" si="15"/>
        <v>0</v>
      </c>
      <c r="W109">
        <f t="shared" si="15"/>
        <v>0</v>
      </c>
      <c r="X109">
        <f t="shared" si="15"/>
        <v>0</v>
      </c>
      <c r="Y109">
        <f t="shared" si="15"/>
        <v>0</v>
      </c>
      <c r="Z109">
        <f t="shared" si="15"/>
        <v>0</v>
      </c>
      <c r="AA109">
        <f t="shared" si="15"/>
        <v>0</v>
      </c>
      <c r="AB109">
        <f t="shared" si="15"/>
        <v>0</v>
      </c>
      <c r="AC109">
        <f t="shared" si="15"/>
        <v>0</v>
      </c>
      <c r="AD109">
        <f t="shared" si="15"/>
        <v>0</v>
      </c>
      <c r="AE109">
        <f t="shared" si="14"/>
        <v>0</v>
      </c>
      <c r="AF109">
        <f t="shared" si="14"/>
        <v>0</v>
      </c>
      <c r="AG109">
        <f t="shared" si="14"/>
        <v>0</v>
      </c>
      <c r="AH109">
        <f t="shared" si="14"/>
        <v>0</v>
      </c>
    </row>
    <row r="110" spans="1:34">
      <c r="A110">
        <v>395</v>
      </c>
      <c r="B110">
        <v>899212</v>
      </c>
      <c r="C110" t="s">
        <v>4045</v>
      </c>
      <c r="D110">
        <v>622022</v>
      </c>
      <c r="E110" t="s">
        <v>3939</v>
      </c>
      <c r="F110" t="s">
        <v>3940</v>
      </c>
      <c r="G110" s="217">
        <v>5108.8</v>
      </c>
      <c r="H110" t="s">
        <v>3941</v>
      </c>
      <c r="I110">
        <v>40.33</v>
      </c>
      <c r="J110">
        <v>512.41</v>
      </c>
      <c r="K110">
        <v>70</v>
      </c>
      <c r="L110" s="13">
        <f>VLOOKUP($B110,'[3]חשבונות חברה 40'!$A:$I,7,0)</f>
        <v>0</v>
      </c>
      <c r="M110" s="13">
        <f>VLOOKUP($B110,'[3]חשבונות חברה 40'!$A:$I,5,0)</f>
        <v>0</v>
      </c>
      <c r="N110" s="4">
        <f>IF(VLOOKUP($B110,'[3]חשבונות חברה 40'!$A:$J,10,0)=0,"",VLOOKUP($B110,'[3]חשבונות חברה 40'!$A:$J,10,0))</f>
        <v>41258</v>
      </c>
      <c r="O110">
        <f t="shared" si="15"/>
        <v>307.44599999999997</v>
      </c>
      <c r="P110">
        <f t="shared" si="15"/>
        <v>256.20499999999998</v>
      </c>
      <c r="Q110">
        <f t="shared" si="15"/>
        <v>204.964</v>
      </c>
      <c r="R110">
        <f t="shared" si="15"/>
        <v>153.72300000000001</v>
      </c>
      <c r="S110">
        <f t="shared" si="15"/>
        <v>102.48199999999997</v>
      </c>
      <c r="T110">
        <f t="shared" si="15"/>
        <v>51.240999999999985</v>
      </c>
      <c r="U110">
        <f t="shared" si="15"/>
        <v>0</v>
      </c>
      <c r="V110">
        <f t="shared" si="15"/>
        <v>0</v>
      </c>
      <c r="W110">
        <f t="shared" si="15"/>
        <v>0</v>
      </c>
      <c r="X110">
        <f t="shared" si="15"/>
        <v>0</v>
      </c>
      <c r="Y110">
        <f t="shared" si="15"/>
        <v>0</v>
      </c>
      <c r="Z110">
        <f t="shared" si="15"/>
        <v>0</v>
      </c>
      <c r="AA110">
        <f t="shared" si="15"/>
        <v>0</v>
      </c>
      <c r="AB110">
        <f t="shared" si="15"/>
        <v>0</v>
      </c>
      <c r="AC110">
        <f t="shared" si="15"/>
        <v>0</v>
      </c>
      <c r="AD110">
        <f t="shared" si="15"/>
        <v>0</v>
      </c>
      <c r="AE110">
        <f t="shared" si="14"/>
        <v>0</v>
      </c>
      <c r="AF110">
        <f t="shared" si="14"/>
        <v>0</v>
      </c>
      <c r="AG110">
        <f t="shared" si="14"/>
        <v>0</v>
      </c>
      <c r="AH110">
        <f t="shared" si="14"/>
        <v>0</v>
      </c>
    </row>
    <row r="111" spans="1:34">
      <c r="A111">
        <v>396</v>
      </c>
      <c r="B111">
        <v>899213</v>
      </c>
      <c r="C111" t="s">
        <v>4046</v>
      </c>
      <c r="D111">
        <v>622022</v>
      </c>
      <c r="E111" t="s">
        <v>3939</v>
      </c>
      <c r="F111" t="s">
        <v>3940</v>
      </c>
      <c r="G111" s="217">
        <v>5714.49</v>
      </c>
      <c r="H111" t="s">
        <v>3941</v>
      </c>
      <c r="I111">
        <v>47.57</v>
      </c>
      <c r="J111">
        <v>573.16</v>
      </c>
      <c r="K111">
        <v>70</v>
      </c>
      <c r="L111" s="13">
        <f>VLOOKUP($B111,'[3]חשבונות חברה 40'!$A:$I,7,0)</f>
        <v>0</v>
      </c>
      <c r="M111" s="13">
        <f>VLOOKUP($B111,'[3]חשבונות חברה 40'!$A:$I,5,0)</f>
        <v>0</v>
      </c>
      <c r="N111" s="4">
        <f>IF(VLOOKUP($B111,'[3]חשבונות חברה 40'!$A:$J,10,0)=0,"",VLOOKUP($B111,'[3]חשבונות חברה 40'!$A:$J,10,0))</f>
        <v>41258</v>
      </c>
      <c r="O111">
        <f t="shared" si="15"/>
        <v>343.89599999999996</v>
      </c>
      <c r="P111">
        <f t="shared" si="15"/>
        <v>286.58</v>
      </c>
      <c r="Q111">
        <f t="shared" si="15"/>
        <v>229.26400000000001</v>
      </c>
      <c r="R111">
        <f t="shared" si="15"/>
        <v>171.94800000000001</v>
      </c>
      <c r="S111">
        <f t="shared" si="15"/>
        <v>114.63199999999996</v>
      </c>
      <c r="T111">
        <f t="shared" si="15"/>
        <v>57.315999999999981</v>
      </c>
      <c r="U111">
        <f t="shared" si="15"/>
        <v>0</v>
      </c>
      <c r="V111">
        <f t="shared" si="15"/>
        <v>0</v>
      </c>
      <c r="W111">
        <f t="shared" si="15"/>
        <v>0</v>
      </c>
      <c r="X111">
        <f t="shared" si="15"/>
        <v>0</v>
      </c>
      <c r="Y111">
        <f t="shared" si="15"/>
        <v>0</v>
      </c>
      <c r="Z111">
        <f t="shared" si="15"/>
        <v>0</v>
      </c>
      <c r="AA111">
        <f t="shared" si="15"/>
        <v>0</v>
      </c>
      <c r="AB111">
        <f t="shared" si="15"/>
        <v>0</v>
      </c>
      <c r="AC111">
        <f t="shared" si="15"/>
        <v>0</v>
      </c>
      <c r="AD111">
        <f t="shared" si="15"/>
        <v>0</v>
      </c>
      <c r="AE111">
        <f t="shared" si="14"/>
        <v>0</v>
      </c>
      <c r="AF111">
        <f t="shared" si="14"/>
        <v>0</v>
      </c>
      <c r="AG111">
        <f t="shared" si="14"/>
        <v>0</v>
      </c>
      <c r="AH111">
        <f t="shared" si="14"/>
        <v>0</v>
      </c>
    </row>
    <row r="112" spans="1:34">
      <c r="A112">
        <v>397</v>
      </c>
      <c r="B112">
        <v>899214</v>
      </c>
      <c r="C112" t="s">
        <v>4047</v>
      </c>
      <c r="D112">
        <v>622022</v>
      </c>
      <c r="E112" t="s">
        <v>3939</v>
      </c>
      <c r="F112" t="s">
        <v>3940</v>
      </c>
      <c r="G112" s="217">
        <v>5146.1899999999996</v>
      </c>
      <c r="H112" t="s">
        <v>3941</v>
      </c>
      <c r="I112">
        <v>40.78</v>
      </c>
      <c r="J112">
        <v>516.16</v>
      </c>
      <c r="K112">
        <v>70</v>
      </c>
      <c r="L112" s="13">
        <f>VLOOKUP($B112,'[3]חשבונות חברה 40'!$A:$I,7,0)</f>
        <v>0</v>
      </c>
      <c r="M112" s="13">
        <f>VLOOKUP($B112,'[3]חשבונות חברה 40'!$A:$I,5,0)</f>
        <v>0</v>
      </c>
      <c r="N112" s="4">
        <f>IF(VLOOKUP($B112,'[3]חשבונות חברה 40'!$A:$J,10,0)=0,"",VLOOKUP($B112,'[3]חשבונות חברה 40'!$A:$J,10,0))</f>
        <v>41258</v>
      </c>
      <c r="O112">
        <f t="shared" si="15"/>
        <v>309.69599999999997</v>
      </c>
      <c r="P112">
        <f t="shared" si="15"/>
        <v>258.08</v>
      </c>
      <c r="Q112">
        <f t="shared" si="15"/>
        <v>206.464</v>
      </c>
      <c r="R112">
        <f t="shared" si="15"/>
        <v>154.84800000000001</v>
      </c>
      <c r="S112">
        <f t="shared" si="15"/>
        <v>103.23199999999997</v>
      </c>
      <c r="T112">
        <f t="shared" si="15"/>
        <v>51.615999999999985</v>
      </c>
      <c r="U112">
        <f t="shared" si="15"/>
        <v>0</v>
      </c>
      <c r="V112">
        <f t="shared" si="15"/>
        <v>0</v>
      </c>
      <c r="W112">
        <f t="shared" si="15"/>
        <v>0</v>
      </c>
      <c r="X112">
        <f t="shared" si="15"/>
        <v>0</v>
      </c>
      <c r="Y112">
        <f t="shared" si="15"/>
        <v>0</v>
      </c>
      <c r="Z112">
        <f t="shared" si="15"/>
        <v>0</v>
      </c>
      <c r="AA112">
        <f t="shared" si="15"/>
        <v>0</v>
      </c>
      <c r="AB112">
        <f t="shared" si="15"/>
        <v>0</v>
      </c>
      <c r="AC112">
        <f t="shared" si="15"/>
        <v>0</v>
      </c>
      <c r="AD112">
        <f t="shared" ref="AD112:AH125" si="16">IF((AD$2-$N112)/365&lt;10,1,IF((AD$2-$N112)/365&gt;20,0,1-(ROUNDDOWN(((AD$2-$N112)/365),0)-10)/10))*$J112</f>
        <v>0</v>
      </c>
      <c r="AE112">
        <f t="shared" si="16"/>
        <v>0</v>
      </c>
      <c r="AF112">
        <f t="shared" si="16"/>
        <v>0</v>
      </c>
      <c r="AG112">
        <f t="shared" si="16"/>
        <v>0</v>
      </c>
      <c r="AH112">
        <f t="shared" si="16"/>
        <v>0</v>
      </c>
    </row>
    <row r="113" spans="1:34">
      <c r="A113">
        <v>398</v>
      </c>
      <c r="B113">
        <v>899215</v>
      </c>
      <c r="C113" t="s">
        <v>4048</v>
      </c>
      <c r="D113">
        <v>622022</v>
      </c>
      <c r="E113" t="s">
        <v>3939</v>
      </c>
      <c r="F113" t="s">
        <v>3940</v>
      </c>
      <c r="G113" s="217">
        <v>4873.41</v>
      </c>
      <c r="H113" t="s">
        <v>3941</v>
      </c>
      <c r="I113">
        <v>37.520000000000003</v>
      </c>
      <c r="J113">
        <v>488.8</v>
      </c>
      <c r="K113">
        <v>70</v>
      </c>
      <c r="L113" s="13">
        <f>VLOOKUP($B113,'[3]חשבונות חברה 40'!$A:$I,7,0)</f>
        <v>0</v>
      </c>
      <c r="M113" s="13">
        <f>VLOOKUP($B113,'[3]חשבונות חברה 40'!$A:$I,5,0)</f>
        <v>0</v>
      </c>
      <c r="N113" s="4">
        <f>IF(VLOOKUP($B113,'[3]חשבונות חברה 40'!$A:$J,10,0)=0,"",VLOOKUP($B113,'[3]חשבונות חברה 40'!$A:$J,10,0))</f>
        <v>41258</v>
      </c>
      <c r="O113">
        <f t="shared" ref="O113:AD125" si="17">IF((O$2-$N113)/365&lt;10,1,IF((O$2-$N113)/365&gt;20,0,1-(ROUNDDOWN(((O$2-$N113)/365),0)-10)/10))*$J113</f>
        <v>293.27999999999997</v>
      </c>
      <c r="P113">
        <f t="shared" si="17"/>
        <v>244.4</v>
      </c>
      <c r="Q113">
        <f t="shared" si="17"/>
        <v>195.52</v>
      </c>
      <c r="R113">
        <f t="shared" si="17"/>
        <v>146.64000000000001</v>
      </c>
      <c r="S113">
        <f t="shared" si="17"/>
        <v>97.759999999999977</v>
      </c>
      <c r="T113">
        <f t="shared" si="17"/>
        <v>48.879999999999988</v>
      </c>
      <c r="U113">
        <f t="shared" si="17"/>
        <v>0</v>
      </c>
      <c r="V113">
        <f t="shared" si="17"/>
        <v>0</v>
      </c>
      <c r="W113">
        <f t="shared" si="17"/>
        <v>0</v>
      </c>
      <c r="X113">
        <f t="shared" si="17"/>
        <v>0</v>
      </c>
      <c r="Y113">
        <f t="shared" si="17"/>
        <v>0</v>
      </c>
      <c r="Z113">
        <f t="shared" si="17"/>
        <v>0</v>
      </c>
      <c r="AA113">
        <f t="shared" si="17"/>
        <v>0</v>
      </c>
      <c r="AB113">
        <f t="shared" si="17"/>
        <v>0</v>
      </c>
      <c r="AC113">
        <f t="shared" si="17"/>
        <v>0</v>
      </c>
      <c r="AD113">
        <f t="shared" si="17"/>
        <v>0</v>
      </c>
      <c r="AE113">
        <f t="shared" si="16"/>
        <v>0</v>
      </c>
      <c r="AF113">
        <f t="shared" si="16"/>
        <v>0</v>
      </c>
      <c r="AG113">
        <f t="shared" si="16"/>
        <v>0</v>
      </c>
      <c r="AH113">
        <f t="shared" si="16"/>
        <v>0</v>
      </c>
    </row>
    <row r="114" spans="1:34">
      <c r="A114">
        <v>399</v>
      </c>
      <c r="B114">
        <v>899216</v>
      </c>
      <c r="C114" t="s">
        <v>4049</v>
      </c>
      <c r="D114">
        <v>622022</v>
      </c>
      <c r="E114" t="s">
        <v>3939</v>
      </c>
      <c r="F114" t="s">
        <v>3940</v>
      </c>
      <c r="G114" s="217">
        <v>4529.83</v>
      </c>
      <c r="H114" t="s">
        <v>3941</v>
      </c>
      <c r="I114">
        <v>33.42</v>
      </c>
      <c r="J114">
        <v>454.34</v>
      </c>
      <c r="K114">
        <v>70</v>
      </c>
      <c r="L114" s="13">
        <f>VLOOKUP($B114,'[3]חשבונות חברה 40'!$A:$I,7,0)</f>
        <v>0</v>
      </c>
      <c r="M114" s="13">
        <f>VLOOKUP($B114,'[3]חשבונות חברה 40'!$A:$I,5,0)</f>
        <v>0</v>
      </c>
      <c r="N114" s="4">
        <f>IF(VLOOKUP($B114,'[3]חשבונות חברה 40'!$A:$J,10,0)=0,"",VLOOKUP($B114,'[3]חשבונות חברה 40'!$A:$J,10,0))</f>
        <v>41258</v>
      </c>
      <c r="O114">
        <f t="shared" si="17"/>
        <v>272.60399999999998</v>
      </c>
      <c r="P114">
        <f t="shared" si="17"/>
        <v>227.17</v>
      </c>
      <c r="Q114">
        <f t="shared" si="17"/>
        <v>181.73599999999999</v>
      </c>
      <c r="R114">
        <f t="shared" si="17"/>
        <v>136.30200000000002</v>
      </c>
      <c r="S114">
        <f t="shared" si="17"/>
        <v>90.867999999999981</v>
      </c>
      <c r="T114">
        <f t="shared" si="17"/>
        <v>45.43399999999999</v>
      </c>
      <c r="U114">
        <f t="shared" si="17"/>
        <v>0</v>
      </c>
      <c r="V114">
        <f t="shared" si="17"/>
        <v>0</v>
      </c>
      <c r="W114">
        <f t="shared" si="17"/>
        <v>0</v>
      </c>
      <c r="X114">
        <f t="shared" si="17"/>
        <v>0</v>
      </c>
      <c r="Y114">
        <f t="shared" si="17"/>
        <v>0</v>
      </c>
      <c r="Z114">
        <f t="shared" si="17"/>
        <v>0</v>
      </c>
      <c r="AA114">
        <f t="shared" si="17"/>
        <v>0</v>
      </c>
      <c r="AB114">
        <f t="shared" si="17"/>
        <v>0</v>
      </c>
      <c r="AC114">
        <f t="shared" si="17"/>
        <v>0</v>
      </c>
      <c r="AD114">
        <f t="shared" si="17"/>
        <v>0</v>
      </c>
      <c r="AE114">
        <f t="shared" si="16"/>
        <v>0</v>
      </c>
      <c r="AF114">
        <f t="shared" si="16"/>
        <v>0</v>
      </c>
      <c r="AG114">
        <f t="shared" si="16"/>
        <v>0</v>
      </c>
      <c r="AH114">
        <f t="shared" si="16"/>
        <v>0</v>
      </c>
    </row>
    <row r="115" spans="1:34">
      <c r="A115">
        <v>400</v>
      </c>
      <c r="B115">
        <v>899217</v>
      </c>
      <c r="C115" t="s">
        <v>4050</v>
      </c>
      <c r="D115">
        <v>622022</v>
      </c>
      <c r="E115" t="s">
        <v>3939</v>
      </c>
      <c r="F115" t="s">
        <v>3940</v>
      </c>
      <c r="G115" s="217">
        <v>4191.6499999999996</v>
      </c>
      <c r="H115" t="s">
        <v>3941</v>
      </c>
      <c r="I115">
        <v>29.38</v>
      </c>
      <c r="J115">
        <v>420.42</v>
      </c>
      <c r="K115">
        <v>70</v>
      </c>
      <c r="L115" s="13">
        <f>VLOOKUP($B115,'[3]חשבונות חברה 40'!$A:$I,7,0)</f>
        <v>0</v>
      </c>
      <c r="M115" s="13">
        <f>VLOOKUP($B115,'[3]חשבונות חברה 40'!$A:$I,5,0)</f>
        <v>0</v>
      </c>
      <c r="N115" s="4">
        <f>IF(VLOOKUP($B115,'[3]חשבונות חברה 40'!$A:$J,10,0)=0,"",VLOOKUP($B115,'[3]חשבונות חברה 40'!$A:$J,10,0))</f>
        <v>41258</v>
      </c>
      <c r="O115">
        <f t="shared" si="17"/>
        <v>252.25200000000001</v>
      </c>
      <c r="P115">
        <f t="shared" si="17"/>
        <v>210.21</v>
      </c>
      <c r="Q115">
        <f t="shared" si="17"/>
        <v>168.16800000000001</v>
      </c>
      <c r="R115">
        <f t="shared" si="17"/>
        <v>126.12600000000002</v>
      </c>
      <c r="S115">
        <f t="shared" si="17"/>
        <v>84.083999999999989</v>
      </c>
      <c r="T115">
        <f t="shared" si="17"/>
        <v>42.041999999999994</v>
      </c>
      <c r="U115">
        <f t="shared" si="17"/>
        <v>0</v>
      </c>
      <c r="V115">
        <f t="shared" si="17"/>
        <v>0</v>
      </c>
      <c r="W115">
        <f t="shared" si="17"/>
        <v>0</v>
      </c>
      <c r="X115">
        <f t="shared" si="17"/>
        <v>0</v>
      </c>
      <c r="Y115">
        <f t="shared" si="17"/>
        <v>0</v>
      </c>
      <c r="Z115">
        <f t="shared" si="17"/>
        <v>0</v>
      </c>
      <c r="AA115">
        <f t="shared" si="17"/>
        <v>0</v>
      </c>
      <c r="AB115">
        <f t="shared" si="17"/>
        <v>0</v>
      </c>
      <c r="AC115">
        <f t="shared" si="17"/>
        <v>0</v>
      </c>
      <c r="AD115">
        <f t="shared" si="17"/>
        <v>0</v>
      </c>
      <c r="AE115">
        <f t="shared" si="16"/>
        <v>0</v>
      </c>
      <c r="AF115">
        <f t="shared" si="16"/>
        <v>0</v>
      </c>
      <c r="AG115">
        <f t="shared" si="16"/>
        <v>0</v>
      </c>
      <c r="AH115">
        <f t="shared" si="16"/>
        <v>0</v>
      </c>
    </row>
    <row r="116" spans="1:34">
      <c r="A116">
        <v>401</v>
      </c>
      <c r="B116">
        <v>899218</v>
      </c>
      <c r="C116" t="s">
        <v>4051</v>
      </c>
      <c r="D116">
        <v>622022</v>
      </c>
      <c r="E116" t="s">
        <v>3939</v>
      </c>
      <c r="F116" t="s">
        <v>3940</v>
      </c>
      <c r="G116" s="217">
        <v>6566.34</v>
      </c>
      <c r="H116" t="s">
        <v>3941</v>
      </c>
      <c r="I116">
        <v>40.32</v>
      </c>
      <c r="J116">
        <v>658.6</v>
      </c>
      <c r="K116">
        <v>90</v>
      </c>
      <c r="L116" s="13">
        <f>VLOOKUP($B116,'[3]חשבונות חברה 40'!$A:$I,7,0)</f>
        <v>0</v>
      </c>
      <c r="M116" s="13">
        <f>VLOOKUP($B116,'[3]חשבונות חברה 40'!$A:$I,5,0)</f>
        <v>0</v>
      </c>
      <c r="N116" s="4">
        <f>IF(VLOOKUP($B116,'[3]חשבונות חברה 40'!$A:$J,10,0)=0,"",VLOOKUP($B116,'[3]חשבונות חברה 40'!$A:$J,10,0))</f>
        <v>42034</v>
      </c>
      <c r="O116">
        <f t="shared" si="17"/>
        <v>592.74</v>
      </c>
      <c r="P116">
        <f t="shared" si="17"/>
        <v>526.88</v>
      </c>
      <c r="Q116">
        <f t="shared" si="17"/>
        <v>461.02</v>
      </c>
      <c r="R116">
        <f t="shared" si="17"/>
        <v>395.16</v>
      </c>
      <c r="S116">
        <f t="shared" si="17"/>
        <v>329.3</v>
      </c>
      <c r="T116">
        <f t="shared" si="17"/>
        <v>263.44</v>
      </c>
      <c r="U116">
        <f t="shared" si="17"/>
        <v>197.58000000000004</v>
      </c>
      <c r="V116">
        <f t="shared" si="17"/>
        <v>131.71999999999997</v>
      </c>
      <c r="W116">
        <f t="shared" si="17"/>
        <v>65.859999999999985</v>
      </c>
      <c r="X116">
        <f t="shared" si="17"/>
        <v>0</v>
      </c>
      <c r="Y116">
        <f t="shared" si="17"/>
        <v>0</v>
      </c>
      <c r="Z116">
        <f t="shared" si="17"/>
        <v>0</v>
      </c>
      <c r="AA116">
        <f t="shared" si="17"/>
        <v>0</v>
      </c>
      <c r="AB116">
        <f t="shared" si="17"/>
        <v>0</v>
      </c>
      <c r="AC116">
        <f t="shared" si="17"/>
        <v>0</v>
      </c>
      <c r="AD116">
        <f t="shared" si="17"/>
        <v>0</v>
      </c>
      <c r="AE116">
        <f t="shared" si="16"/>
        <v>0</v>
      </c>
      <c r="AF116">
        <f t="shared" si="16"/>
        <v>0</v>
      </c>
      <c r="AG116">
        <f t="shared" si="16"/>
        <v>0</v>
      </c>
      <c r="AH116">
        <f t="shared" si="16"/>
        <v>0</v>
      </c>
    </row>
    <row r="117" spans="1:34">
      <c r="A117">
        <v>402</v>
      </c>
      <c r="B117">
        <v>899219</v>
      </c>
      <c r="C117" t="s">
        <v>4052</v>
      </c>
      <c r="D117">
        <v>622022</v>
      </c>
      <c r="E117" t="s">
        <v>3939</v>
      </c>
      <c r="F117" t="s">
        <v>3940</v>
      </c>
      <c r="G117" s="217">
        <v>7978.11</v>
      </c>
      <c r="H117" t="s">
        <v>3941</v>
      </c>
      <c r="I117">
        <v>46.02</v>
      </c>
      <c r="J117">
        <v>800.2</v>
      </c>
      <c r="K117">
        <v>100</v>
      </c>
      <c r="L117" s="13">
        <f>VLOOKUP($B117,'[3]חשבונות חברה 40'!$A:$I,7,0)</f>
        <v>0</v>
      </c>
      <c r="M117" s="13">
        <f>VLOOKUP($B117,'[3]חשבונות חברה 40'!$A:$I,5,0)</f>
        <v>0</v>
      </c>
      <c r="N117" s="4">
        <f>IF(VLOOKUP($B117,'[3]חשבונות חברה 40'!$A:$J,10,0)=0,"",VLOOKUP($B117,'[3]חשבונות חברה 40'!$A:$J,10,0))</f>
        <v>43456</v>
      </c>
      <c r="O117">
        <f t="shared" si="17"/>
        <v>800.2</v>
      </c>
      <c r="P117">
        <f t="shared" si="17"/>
        <v>800.2</v>
      </c>
      <c r="Q117">
        <f t="shared" si="17"/>
        <v>800.2</v>
      </c>
      <c r="R117">
        <f t="shared" si="17"/>
        <v>720.18000000000006</v>
      </c>
      <c r="S117">
        <f t="shared" si="17"/>
        <v>640.16000000000008</v>
      </c>
      <c r="T117">
        <f t="shared" si="17"/>
        <v>560.14</v>
      </c>
      <c r="U117">
        <f t="shared" si="17"/>
        <v>480.12</v>
      </c>
      <c r="V117">
        <f t="shared" si="17"/>
        <v>400.1</v>
      </c>
      <c r="W117">
        <f t="shared" si="17"/>
        <v>320.08000000000004</v>
      </c>
      <c r="X117">
        <f t="shared" si="17"/>
        <v>240.06000000000006</v>
      </c>
      <c r="Y117">
        <f t="shared" si="17"/>
        <v>160.03999999999996</v>
      </c>
      <c r="Z117">
        <f t="shared" si="17"/>
        <v>80.019999999999982</v>
      </c>
      <c r="AA117">
        <f t="shared" si="17"/>
        <v>0</v>
      </c>
      <c r="AB117">
        <f t="shared" si="17"/>
        <v>0</v>
      </c>
      <c r="AC117">
        <f t="shared" si="17"/>
        <v>0</v>
      </c>
      <c r="AD117">
        <f t="shared" si="17"/>
        <v>0</v>
      </c>
      <c r="AE117">
        <f t="shared" si="16"/>
        <v>0</v>
      </c>
      <c r="AF117">
        <f t="shared" si="16"/>
        <v>0</v>
      </c>
      <c r="AG117">
        <f t="shared" si="16"/>
        <v>0</v>
      </c>
      <c r="AH117">
        <f t="shared" si="16"/>
        <v>0</v>
      </c>
    </row>
    <row r="118" spans="1:34">
      <c r="A118">
        <v>403</v>
      </c>
      <c r="B118">
        <v>899220</v>
      </c>
      <c r="C118" t="s">
        <v>4053</v>
      </c>
      <c r="D118">
        <v>622022</v>
      </c>
      <c r="E118" t="s">
        <v>3939</v>
      </c>
      <c r="F118" t="s">
        <v>3940</v>
      </c>
      <c r="G118" s="217">
        <v>8215.4</v>
      </c>
      <c r="H118" t="s">
        <v>3941</v>
      </c>
      <c r="I118">
        <v>48</v>
      </c>
      <c r="J118">
        <v>824</v>
      </c>
      <c r="K118">
        <v>100</v>
      </c>
      <c r="L118" s="13">
        <f>VLOOKUP($B118,'[3]חשבונות חברה 40'!$A:$I,7,0)</f>
        <v>0</v>
      </c>
      <c r="M118" s="13">
        <f>VLOOKUP($B118,'[3]חשבונות חברה 40'!$A:$I,5,0)</f>
        <v>0</v>
      </c>
      <c r="N118" s="4">
        <f>IF(VLOOKUP($B118,'[3]חשבונות חברה 40'!$A:$J,10,0)=0,"",VLOOKUP($B118,'[3]חשבונות חברה 40'!$A:$J,10,0))</f>
        <v>43827</v>
      </c>
      <c r="O118">
        <f t="shared" si="17"/>
        <v>824</v>
      </c>
      <c r="P118">
        <f t="shared" si="17"/>
        <v>824</v>
      </c>
      <c r="Q118">
        <f t="shared" si="17"/>
        <v>824</v>
      </c>
      <c r="R118">
        <f t="shared" si="17"/>
        <v>824</v>
      </c>
      <c r="S118">
        <f t="shared" si="17"/>
        <v>741.6</v>
      </c>
      <c r="T118">
        <f t="shared" si="17"/>
        <v>659.2</v>
      </c>
      <c r="U118">
        <f t="shared" si="17"/>
        <v>576.79999999999995</v>
      </c>
      <c r="V118">
        <f t="shared" si="17"/>
        <v>494.4</v>
      </c>
      <c r="W118">
        <f t="shared" si="17"/>
        <v>412</v>
      </c>
      <c r="X118">
        <f t="shared" si="17"/>
        <v>329.6</v>
      </c>
      <c r="Y118">
        <f t="shared" si="17"/>
        <v>247.20000000000005</v>
      </c>
      <c r="Z118">
        <f t="shared" si="17"/>
        <v>164.79999999999995</v>
      </c>
      <c r="AA118">
        <f t="shared" si="17"/>
        <v>82.399999999999977</v>
      </c>
      <c r="AB118">
        <f t="shared" si="17"/>
        <v>0</v>
      </c>
      <c r="AC118">
        <f t="shared" si="17"/>
        <v>0</v>
      </c>
      <c r="AD118">
        <f t="shared" si="17"/>
        <v>0</v>
      </c>
      <c r="AE118">
        <f t="shared" si="16"/>
        <v>0</v>
      </c>
      <c r="AF118">
        <f t="shared" si="16"/>
        <v>0</v>
      </c>
      <c r="AG118">
        <f t="shared" si="16"/>
        <v>0</v>
      </c>
      <c r="AH118">
        <f t="shared" si="16"/>
        <v>0</v>
      </c>
    </row>
    <row r="119" spans="1:34">
      <c r="A119">
        <v>404</v>
      </c>
      <c r="B119">
        <v>899221</v>
      </c>
      <c r="C119" t="s">
        <v>4054</v>
      </c>
      <c r="D119">
        <v>622022</v>
      </c>
      <c r="E119" t="s">
        <v>3939</v>
      </c>
      <c r="F119" t="s">
        <v>3940</v>
      </c>
      <c r="G119" s="217">
        <v>7478.4</v>
      </c>
      <c r="H119" t="s">
        <v>3941</v>
      </c>
      <c r="I119">
        <v>41.84</v>
      </c>
      <c r="J119">
        <v>750.08</v>
      </c>
      <c r="K119">
        <v>100</v>
      </c>
      <c r="L119" s="13">
        <f>VLOOKUP($B119,'[3]חשבונות חברה 40'!$A:$I,7,0)</f>
        <v>0</v>
      </c>
      <c r="M119" s="13">
        <f>VLOOKUP($B119,'[3]חשבונות חברה 40'!$A:$I,5,0)</f>
        <v>0</v>
      </c>
      <c r="N119" s="4">
        <f>IF(VLOOKUP($B119,'[3]חשבונות חברה 40'!$A:$J,10,0)=0,"",VLOOKUP($B119,'[3]חשבונות חברה 40'!$A:$J,10,0))</f>
        <v>43989</v>
      </c>
      <c r="O119">
        <f t="shared" si="17"/>
        <v>750.08</v>
      </c>
      <c r="P119">
        <f t="shared" si="17"/>
        <v>750.08</v>
      </c>
      <c r="Q119">
        <f t="shared" si="17"/>
        <v>750.08</v>
      </c>
      <c r="R119">
        <f t="shared" si="17"/>
        <v>750.08</v>
      </c>
      <c r="S119">
        <f t="shared" si="17"/>
        <v>750.08</v>
      </c>
      <c r="T119">
        <f t="shared" si="17"/>
        <v>675.072</v>
      </c>
      <c r="U119">
        <f t="shared" si="17"/>
        <v>600.06400000000008</v>
      </c>
      <c r="V119">
        <f t="shared" si="17"/>
        <v>525.05600000000004</v>
      </c>
      <c r="W119">
        <f t="shared" si="17"/>
        <v>450.048</v>
      </c>
      <c r="X119">
        <f t="shared" si="17"/>
        <v>375.04</v>
      </c>
      <c r="Y119">
        <f t="shared" si="17"/>
        <v>300.03200000000004</v>
      </c>
      <c r="Z119">
        <f t="shared" si="17"/>
        <v>225.02400000000006</v>
      </c>
      <c r="AA119">
        <f t="shared" si="17"/>
        <v>150.01599999999996</v>
      </c>
      <c r="AB119">
        <f t="shared" si="17"/>
        <v>75.007999999999981</v>
      </c>
      <c r="AC119">
        <f t="shared" si="17"/>
        <v>0</v>
      </c>
      <c r="AD119">
        <f t="shared" si="17"/>
        <v>0</v>
      </c>
      <c r="AE119">
        <f t="shared" si="16"/>
        <v>0</v>
      </c>
      <c r="AF119">
        <f t="shared" si="16"/>
        <v>0</v>
      </c>
      <c r="AG119">
        <f t="shared" si="16"/>
        <v>0</v>
      </c>
      <c r="AH119">
        <f t="shared" si="16"/>
        <v>0</v>
      </c>
    </row>
    <row r="120" spans="1:34">
      <c r="A120">
        <v>405</v>
      </c>
      <c r="B120">
        <v>899222</v>
      </c>
      <c r="C120" t="s">
        <v>4055</v>
      </c>
      <c r="D120">
        <v>622022</v>
      </c>
      <c r="E120" t="s">
        <v>3939</v>
      </c>
      <c r="F120" t="s">
        <v>3940</v>
      </c>
      <c r="G120" s="217">
        <v>8215.4</v>
      </c>
      <c r="H120" t="s">
        <v>3941</v>
      </c>
      <c r="I120">
        <v>48</v>
      </c>
      <c r="J120">
        <v>824</v>
      </c>
      <c r="K120">
        <v>100</v>
      </c>
      <c r="L120" s="13">
        <f>VLOOKUP($B120,'[3]חשבונות חברה 40'!$A:$I,7,0)</f>
        <v>0</v>
      </c>
      <c r="M120" s="13">
        <f>VLOOKUP($B120,'[3]חשבונות חברה 40'!$A:$I,5,0)</f>
        <v>0</v>
      </c>
      <c r="N120" s="4">
        <f>IF(VLOOKUP($B120,'[3]חשבונות חברה 40'!$A:$J,10,0)=0,"",VLOOKUP($B120,'[3]חשבונות חברה 40'!$A:$J,10,0))</f>
        <v>44197</v>
      </c>
      <c r="O120">
        <f t="shared" si="17"/>
        <v>824</v>
      </c>
      <c r="P120">
        <f t="shared" si="17"/>
        <v>824</v>
      </c>
      <c r="Q120">
        <f t="shared" si="17"/>
        <v>824</v>
      </c>
      <c r="R120">
        <f t="shared" si="17"/>
        <v>824</v>
      </c>
      <c r="S120">
        <f t="shared" si="17"/>
        <v>824</v>
      </c>
      <c r="T120">
        <f t="shared" si="17"/>
        <v>741.6</v>
      </c>
      <c r="U120">
        <f t="shared" si="17"/>
        <v>659.2</v>
      </c>
      <c r="V120">
        <f t="shared" si="17"/>
        <v>576.79999999999995</v>
      </c>
      <c r="W120">
        <f t="shared" si="17"/>
        <v>494.4</v>
      </c>
      <c r="X120">
        <f t="shared" si="17"/>
        <v>412</v>
      </c>
      <c r="Y120">
        <f t="shared" si="17"/>
        <v>329.6</v>
      </c>
      <c r="Z120">
        <f t="shared" si="17"/>
        <v>247.20000000000005</v>
      </c>
      <c r="AA120">
        <f t="shared" si="17"/>
        <v>164.79999999999995</v>
      </c>
      <c r="AB120">
        <f t="shared" si="17"/>
        <v>82.399999999999977</v>
      </c>
      <c r="AC120">
        <f t="shared" si="17"/>
        <v>0</v>
      </c>
      <c r="AD120">
        <f t="shared" si="17"/>
        <v>0</v>
      </c>
      <c r="AE120">
        <f t="shared" si="16"/>
        <v>0</v>
      </c>
      <c r="AF120">
        <f t="shared" si="16"/>
        <v>0</v>
      </c>
      <c r="AG120">
        <f t="shared" si="16"/>
        <v>0</v>
      </c>
      <c r="AH120">
        <f t="shared" si="16"/>
        <v>0</v>
      </c>
    </row>
    <row r="121" spans="1:34">
      <c r="A121">
        <v>406</v>
      </c>
      <c r="B121">
        <v>899223</v>
      </c>
      <c r="C121" t="s">
        <v>4056</v>
      </c>
      <c r="D121">
        <v>622022</v>
      </c>
      <c r="E121" t="s">
        <v>3939</v>
      </c>
      <c r="F121" t="s">
        <v>3940</v>
      </c>
      <c r="G121" s="217">
        <v>7771.53</v>
      </c>
      <c r="H121" t="s">
        <v>3941</v>
      </c>
      <c r="I121">
        <v>44.29</v>
      </c>
      <c r="J121">
        <v>779.48</v>
      </c>
      <c r="K121">
        <v>100</v>
      </c>
      <c r="L121" s="13">
        <f>VLOOKUP($B121,'[3]חשבונות חברה 40'!$A:$I,7,0)</f>
        <v>0</v>
      </c>
      <c r="M121" s="13">
        <f>VLOOKUP($B121,'[3]חשבונות חברה 40'!$A:$I,5,0)</f>
        <v>0</v>
      </c>
      <c r="N121" s="4">
        <f>IF(VLOOKUP($B121,'[3]חשבונות חברה 40'!$A:$J,10,0)=0,"",VLOOKUP($B121,'[3]חשבונות חברה 40'!$A:$J,10,0))</f>
        <v>44309</v>
      </c>
      <c r="O121">
        <f t="shared" si="17"/>
        <v>779.48</v>
      </c>
      <c r="P121">
        <f t="shared" si="17"/>
        <v>779.48</v>
      </c>
      <c r="Q121">
        <f t="shared" si="17"/>
        <v>779.48</v>
      </c>
      <c r="R121">
        <f t="shared" si="17"/>
        <v>779.48</v>
      </c>
      <c r="S121">
        <f t="shared" si="17"/>
        <v>779.48</v>
      </c>
      <c r="T121">
        <f t="shared" si="17"/>
        <v>779.48</v>
      </c>
      <c r="U121">
        <f t="shared" si="17"/>
        <v>701.53200000000004</v>
      </c>
      <c r="V121">
        <f t="shared" si="17"/>
        <v>623.58400000000006</v>
      </c>
      <c r="W121">
        <f t="shared" si="17"/>
        <v>545.63599999999997</v>
      </c>
      <c r="X121">
        <f t="shared" si="17"/>
        <v>467.68799999999999</v>
      </c>
      <c r="Y121">
        <f t="shared" si="17"/>
        <v>389.74</v>
      </c>
      <c r="Z121">
        <f t="shared" si="17"/>
        <v>311.79200000000003</v>
      </c>
      <c r="AA121">
        <f t="shared" si="17"/>
        <v>233.84400000000005</v>
      </c>
      <c r="AB121">
        <f t="shared" si="17"/>
        <v>155.89599999999996</v>
      </c>
      <c r="AC121">
        <f t="shared" si="17"/>
        <v>77.947999999999979</v>
      </c>
      <c r="AD121">
        <f t="shared" si="17"/>
        <v>0</v>
      </c>
      <c r="AE121">
        <f t="shared" si="16"/>
        <v>0</v>
      </c>
      <c r="AF121">
        <f t="shared" si="16"/>
        <v>0</v>
      </c>
      <c r="AG121">
        <f t="shared" si="16"/>
        <v>0</v>
      </c>
      <c r="AH121">
        <f t="shared" si="16"/>
        <v>0</v>
      </c>
    </row>
    <row r="122" spans="1:34">
      <c r="A122">
        <v>407</v>
      </c>
      <c r="B122">
        <v>899224</v>
      </c>
      <c r="C122" t="s">
        <v>4057</v>
      </c>
      <c r="D122">
        <v>622022</v>
      </c>
      <c r="E122" t="s">
        <v>3939</v>
      </c>
      <c r="F122" t="s">
        <v>3940</v>
      </c>
      <c r="G122" s="217">
        <v>6890.96</v>
      </c>
      <c r="H122" t="s">
        <v>3941</v>
      </c>
      <c r="I122">
        <v>36.93</v>
      </c>
      <c r="J122">
        <v>691.16</v>
      </c>
      <c r="K122">
        <v>100</v>
      </c>
      <c r="L122" s="13">
        <f>VLOOKUP($B122,'[3]חשבונות חברה 40'!$A:$I,7,0)</f>
        <v>0</v>
      </c>
      <c r="M122" s="13">
        <f>VLOOKUP($B122,'[3]חשבונות חברה 40'!$A:$I,5,0)</f>
        <v>0</v>
      </c>
      <c r="N122" s="4">
        <f>IF(VLOOKUP($B122,'[3]חשבונות חברה 40'!$A:$J,10,0)=0,"",VLOOKUP($B122,'[3]חשבונות חברה 40'!$A:$J,10,0))</f>
        <v>45341</v>
      </c>
      <c r="O122">
        <f t="shared" si="17"/>
        <v>691.16</v>
      </c>
      <c r="P122">
        <f t="shared" si="17"/>
        <v>691.16</v>
      </c>
      <c r="Q122">
        <f t="shared" si="17"/>
        <v>691.16</v>
      </c>
      <c r="R122">
        <f t="shared" si="17"/>
        <v>691.16</v>
      </c>
      <c r="S122">
        <f t="shared" si="17"/>
        <v>691.16</v>
      </c>
      <c r="T122">
        <f t="shared" si="17"/>
        <v>691.16</v>
      </c>
      <c r="U122">
        <f t="shared" si="17"/>
        <v>691.16</v>
      </c>
      <c r="V122">
        <f t="shared" si="17"/>
        <v>691.16</v>
      </c>
      <c r="W122">
        <f t="shared" si="17"/>
        <v>691.16</v>
      </c>
      <c r="X122">
        <f t="shared" si="17"/>
        <v>622.04399999999998</v>
      </c>
      <c r="Y122">
        <f t="shared" si="17"/>
        <v>552.928</v>
      </c>
      <c r="Z122">
        <f t="shared" si="17"/>
        <v>483.81199999999995</v>
      </c>
      <c r="AA122">
        <f t="shared" si="17"/>
        <v>414.69599999999997</v>
      </c>
      <c r="AB122">
        <f t="shared" si="17"/>
        <v>345.58</v>
      </c>
      <c r="AC122">
        <f t="shared" si="17"/>
        <v>276.464</v>
      </c>
      <c r="AD122">
        <f t="shared" si="17"/>
        <v>207.34800000000001</v>
      </c>
      <c r="AE122">
        <f t="shared" si="16"/>
        <v>138.23199999999997</v>
      </c>
      <c r="AF122">
        <f t="shared" si="16"/>
        <v>69.115999999999985</v>
      </c>
      <c r="AG122">
        <f t="shared" si="16"/>
        <v>0</v>
      </c>
      <c r="AH122">
        <f t="shared" si="16"/>
        <v>0</v>
      </c>
    </row>
    <row r="123" spans="1:34">
      <c r="A123">
        <v>408</v>
      </c>
      <c r="B123">
        <v>899321</v>
      </c>
      <c r="C123" t="s">
        <v>4058</v>
      </c>
      <c r="D123">
        <v>622022</v>
      </c>
      <c r="E123" t="s">
        <v>3939</v>
      </c>
      <c r="F123" t="s">
        <v>3940</v>
      </c>
      <c r="G123" s="217">
        <v>7857.67</v>
      </c>
      <c r="H123" t="s">
        <v>3941</v>
      </c>
      <c r="I123">
        <v>45.01</v>
      </c>
      <c r="J123">
        <v>788.12</v>
      </c>
      <c r="K123">
        <v>100</v>
      </c>
      <c r="L123" s="13">
        <f>VLOOKUP($B123,'[3]חשבונות חברה 40'!$A:$I,7,0)</f>
        <v>0</v>
      </c>
      <c r="M123" s="13">
        <f>VLOOKUP($B123,'[3]חשבונות חברה 40'!$A:$I,5,0)</f>
        <v>0</v>
      </c>
      <c r="N123" s="4">
        <f>IF(VLOOKUP($B123,'[3]חשבונות חברה 40'!$A:$J,10,0)=0,"",VLOOKUP($B123,'[3]חשבונות חברה 40'!$A:$J,10,0))</f>
        <v>44682</v>
      </c>
      <c r="O123">
        <f t="shared" si="17"/>
        <v>788.12</v>
      </c>
      <c r="P123">
        <f t="shared" si="17"/>
        <v>788.12</v>
      </c>
      <c r="Q123">
        <f t="shared" si="17"/>
        <v>788.12</v>
      </c>
      <c r="R123">
        <f t="shared" si="17"/>
        <v>788.12</v>
      </c>
      <c r="S123">
        <f t="shared" si="17"/>
        <v>788.12</v>
      </c>
      <c r="T123">
        <f t="shared" si="17"/>
        <v>788.12</v>
      </c>
      <c r="U123">
        <f t="shared" si="17"/>
        <v>788.12</v>
      </c>
      <c r="V123">
        <f t="shared" si="17"/>
        <v>709.30799999999999</v>
      </c>
      <c r="W123">
        <f t="shared" si="17"/>
        <v>630.49600000000009</v>
      </c>
      <c r="X123">
        <f t="shared" si="17"/>
        <v>551.68399999999997</v>
      </c>
      <c r="Y123">
        <f t="shared" si="17"/>
        <v>472.87199999999996</v>
      </c>
      <c r="Z123">
        <f t="shared" si="17"/>
        <v>394.06</v>
      </c>
      <c r="AA123">
        <f t="shared" si="17"/>
        <v>315.24800000000005</v>
      </c>
      <c r="AB123">
        <f t="shared" si="17"/>
        <v>236.43600000000004</v>
      </c>
      <c r="AC123">
        <f t="shared" si="17"/>
        <v>157.62399999999997</v>
      </c>
      <c r="AD123">
        <f t="shared" si="17"/>
        <v>78.811999999999983</v>
      </c>
      <c r="AE123">
        <f t="shared" si="16"/>
        <v>0</v>
      </c>
      <c r="AF123">
        <f t="shared" si="16"/>
        <v>0</v>
      </c>
      <c r="AG123">
        <f t="shared" si="16"/>
        <v>0</v>
      </c>
      <c r="AH123">
        <f t="shared" si="16"/>
        <v>0</v>
      </c>
    </row>
    <row r="124" spans="1:34">
      <c r="A124">
        <v>409</v>
      </c>
      <c r="B124">
        <v>899322</v>
      </c>
      <c r="C124" t="s">
        <v>4059</v>
      </c>
      <c r="D124">
        <v>622022</v>
      </c>
      <c r="E124" t="s">
        <v>3939</v>
      </c>
      <c r="F124" t="s">
        <v>3940</v>
      </c>
      <c r="G124" s="217">
        <v>7667.44</v>
      </c>
      <c r="H124" t="s">
        <v>3941</v>
      </c>
      <c r="I124">
        <v>43.42</v>
      </c>
      <c r="J124">
        <v>769.04</v>
      </c>
      <c r="K124">
        <v>100</v>
      </c>
      <c r="L124" s="13">
        <f>VLOOKUP($B124,'[3]חשבונות חברה 40'!$A:$I,7,0)</f>
        <v>0</v>
      </c>
      <c r="M124" s="13">
        <f>VLOOKUP($B124,'[3]חשבונות חברה 40'!$A:$I,5,0)</f>
        <v>0</v>
      </c>
      <c r="N124" s="4">
        <f>IF(VLOOKUP($B124,'[3]חשבונות חברה 40'!$A:$J,10,0)=0,"",VLOOKUP($B124,'[3]חשבונות חברה 40'!$A:$J,10,0))</f>
        <v>45335</v>
      </c>
      <c r="O124">
        <f t="shared" si="17"/>
        <v>769.04</v>
      </c>
      <c r="P124">
        <f t="shared" si="17"/>
        <v>769.04</v>
      </c>
      <c r="Q124">
        <f t="shared" si="17"/>
        <v>769.04</v>
      </c>
      <c r="R124">
        <f t="shared" si="17"/>
        <v>769.04</v>
      </c>
      <c r="S124">
        <f t="shared" si="17"/>
        <v>769.04</v>
      </c>
      <c r="T124">
        <f t="shared" si="17"/>
        <v>769.04</v>
      </c>
      <c r="U124">
        <f t="shared" si="17"/>
        <v>769.04</v>
      </c>
      <c r="V124">
        <f t="shared" si="17"/>
        <v>769.04</v>
      </c>
      <c r="W124">
        <f t="shared" si="17"/>
        <v>769.04</v>
      </c>
      <c r="X124">
        <f t="shared" si="17"/>
        <v>692.13599999999997</v>
      </c>
      <c r="Y124">
        <f t="shared" si="17"/>
        <v>615.23199999999997</v>
      </c>
      <c r="Z124">
        <f t="shared" si="17"/>
        <v>538.32799999999997</v>
      </c>
      <c r="AA124">
        <f t="shared" si="17"/>
        <v>461.42399999999998</v>
      </c>
      <c r="AB124">
        <f t="shared" si="17"/>
        <v>384.52</v>
      </c>
      <c r="AC124">
        <f t="shared" si="17"/>
        <v>307.61599999999999</v>
      </c>
      <c r="AD124">
        <f t="shared" si="17"/>
        <v>230.71200000000002</v>
      </c>
      <c r="AE124">
        <f t="shared" si="16"/>
        <v>153.80799999999996</v>
      </c>
      <c r="AF124">
        <f t="shared" si="16"/>
        <v>76.903999999999982</v>
      </c>
      <c r="AG124">
        <f t="shared" si="16"/>
        <v>0</v>
      </c>
      <c r="AH124">
        <f t="shared" si="16"/>
        <v>0</v>
      </c>
    </row>
    <row r="125" spans="1:34">
      <c r="A125">
        <v>410</v>
      </c>
      <c r="B125">
        <v>8994012</v>
      </c>
      <c r="C125" t="s">
        <v>4060</v>
      </c>
      <c r="D125">
        <v>622022</v>
      </c>
      <c r="E125" t="s">
        <v>3939</v>
      </c>
      <c r="F125" t="s">
        <v>3940</v>
      </c>
      <c r="G125" s="217">
        <v>8215.4</v>
      </c>
      <c r="H125" t="s">
        <v>3941</v>
      </c>
      <c r="I125">
        <v>48</v>
      </c>
      <c r="J125">
        <v>824</v>
      </c>
      <c r="K125">
        <v>100</v>
      </c>
      <c r="L125" s="13">
        <f>VLOOKUP($B125,'[3]חשבונות חברה 40'!$A:$I,7,0)</f>
        <v>0</v>
      </c>
      <c r="M125" s="13" t="str">
        <f>VLOOKUP($B125,'[3]חשבונות חברה 40'!$A:$I,5,0)</f>
        <v>0401</v>
      </c>
      <c r="N125" s="4">
        <f>IF(VLOOKUP($B125,'[3]חשבונות חברה 40'!$A:$J,10,0)=0,"",VLOOKUP($B125,'[3]חשבונות חברה 40'!$A:$J,10,0))</f>
        <v>45707</v>
      </c>
      <c r="O125">
        <f t="shared" si="17"/>
        <v>824</v>
      </c>
      <c r="P125">
        <f t="shared" si="17"/>
        <v>824</v>
      </c>
      <c r="Q125">
        <f t="shared" si="17"/>
        <v>824</v>
      </c>
      <c r="R125">
        <f t="shared" si="17"/>
        <v>824</v>
      </c>
      <c r="S125">
        <f t="shared" si="17"/>
        <v>824</v>
      </c>
      <c r="T125">
        <f t="shared" si="17"/>
        <v>824</v>
      </c>
      <c r="U125">
        <f t="shared" si="17"/>
        <v>824</v>
      </c>
      <c r="V125">
        <f t="shared" si="17"/>
        <v>824</v>
      </c>
      <c r="W125">
        <f t="shared" si="17"/>
        <v>824</v>
      </c>
      <c r="X125">
        <f t="shared" si="17"/>
        <v>824</v>
      </c>
      <c r="Y125">
        <f t="shared" si="17"/>
        <v>741.6</v>
      </c>
      <c r="Z125">
        <f t="shared" si="17"/>
        <v>659.2</v>
      </c>
      <c r="AA125">
        <f t="shared" si="17"/>
        <v>576.79999999999995</v>
      </c>
      <c r="AB125">
        <f t="shared" si="17"/>
        <v>494.4</v>
      </c>
      <c r="AC125">
        <f t="shared" si="17"/>
        <v>412</v>
      </c>
      <c r="AD125">
        <f t="shared" si="17"/>
        <v>329.6</v>
      </c>
      <c r="AE125">
        <f t="shared" si="16"/>
        <v>247.20000000000005</v>
      </c>
      <c r="AF125">
        <f t="shared" si="16"/>
        <v>164.79999999999995</v>
      </c>
      <c r="AG125">
        <f t="shared" si="16"/>
        <v>82.399999999999977</v>
      </c>
      <c r="AH125">
        <f t="shared" si="16"/>
        <v>0</v>
      </c>
    </row>
    <row r="126" spans="1:34">
      <c r="J126" s="221">
        <f>SUM(J3:J125)</f>
        <v>73288.790000000008</v>
      </c>
      <c r="L126" s="38"/>
      <c r="M126" s="38"/>
      <c r="O126" s="221">
        <f>SUM(O3:O125)</f>
        <v>59981.07400000003</v>
      </c>
      <c r="P126" s="221">
        <f t="shared" ref="P126:AH126" si="18">SUM(P3:P125)</f>
        <v>55872.623000000021</v>
      </c>
      <c r="Q126" s="221">
        <f t="shared" si="18"/>
        <v>51467.254000000001</v>
      </c>
      <c r="R126" s="221">
        <f t="shared" si="18"/>
        <v>46899.623000000021</v>
      </c>
      <c r="S126" s="221">
        <f t="shared" si="18"/>
        <v>41870.388000000028</v>
      </c>
      <c r="T126" s="221">
        <f t="shared" si="18"/>
        <v>36302.033000000018</v>
      </c>
      <c r="U126" s="221">
        <f t="shared" si="18"/>
        <v>30141.682000000001</v>
      </c>
      <c r="V126" s="221">
        <f t="shared" si="18"/>
        <v>26786.924000000003</v>
      </c>
      <c r="W126" s="221">
        <f t="shared" si="18"/>
        <v>23068.264000000003</v>
      </c>
      <c r="X126" s="221">
        <f t="shared" si="18"/>
        <v>19305.136000000002</v>
      </c>
      <c r="Y126" s="221">
        <f t="shared" si="18"/>
        <v>15929.620000000004</v>
      </c>
      <c r="Z126" s="221">
        <f t="shared" si="18"/>
        <v>12781.21</v>
      </c>
      <c r="AA126" s="221">
        <f t="shared" si="18"/>
        <v>9857.7000000000007</v>
      </c>
      <c r="AB126" s="221">
        <f t="shared" si="18"/>
        <v>7096.4519999999993</v>
      </c>
      <c r="AC126" s="221">
        <f t="shared" si="18"/>
        <v>4640.0119999999988</v>
      </c>
      <c r="AD126" s="221">
        <f t="shared" si="18"/>
        <v>2879.4879999999998</v>
      </c>
      <c r="AE126" s="221">
        <f t="shared" si="18"/>
        <v>1586.52</v>
      </c>
      <c r="AF126" s="221">
        <f t="shared" si="18"/>
        <v>672.53999999999985</v>
      </c>
      <c r="AG126" s="221">
        <f t="shared" si="18"/>
        <v>232.79999999999995</v>
      </c>
      <c r="AH126" s="216">
        <f t="shared" si="18"/>
        <v>0</v>
      </c>
    </row>
    <row r="127" spans="1:34">
      <c r="A127" t="s">
        <v>4061</v>
      </c>
      <c r="B127" s="223">
        <f>'מניות חבר'!P288</f>
        <v>175122.35999999993</v>
      </c>
      <c r="O127" s="79">
        <f>O126/$B$128</f>
        <v>0.2551263202731443</v>
      </c>
      <c r="P127" s="79">
        <f t="shared" ref="P127:AG127" si="19">P126/$B$128</f>
        <v>0.23765124162329349</v>
      </c>
      <c r="Q127" s="79">
        <f t="shared" si="19"/>
        <v>0.21891323799209164</v>
      </c>
      <c r="R127" s="79">
        <f t="shared" si="19"/>
        <v>0.19948506154104084</v>
      </c>
      <c r="S127" s="79">
        <f t="shared" si="19"/>
        <v>0.17809347693322097</v>
      </c>
      <c r="T127" s="79">
        <f t="shared" si="19"/>
        <v>0.1544087739696734</v>
      </c>
      <c r="U127" s="79">
        <f t="shared" si="19"/>
        <v>0.12820604738593486</v>
      </c>
      <c r="V127" s="79">
        <f t="shared" si="19"/>
        <v>0.11393676197855965</v>
      </c>
      <c r="W127" s="79">
        <f t="shared" si="19"/>
        <v>9.8119638694856362E-2</v>
      </c>
      <c r="X127" s="79">
        <f t="shared" si="19"/>
        <v>8.2113373129207495E-2</v>
      </c>
      <c r="Y127" s="79">
        <f t="shared" si="19"/>
        <v>6.7755794668656388E-2</v>
      </c>
      <c r="Z127" s="79">
        <f t="shared" si="19"/>
        <v>5.4364199546315439E-2</v>
      </c>
      <c r="AA127" s="79">
        <f t="shared" si="19"/>
        <v>4.1929204658065537E-2</v>
      </c>
      <c r="AB127" s="79">
        <f t="shared" si="19"/>
        <v>3.0184382589664771E-2</v>
      </c>
      <c r="AC127" s="79">
        <f t="shared" si="19"/>
        <v>1.9736045199577987E-2</v>
      </c>
      <c r="AD127" s="79">
        <f t="shared" si="19"/>
        <v>1.2247749643673858E-2</v>
      </c>
      <c r="AE127" s="79">
        <f t="shared" si="19"/>
        <v>6.7481787611830477E-3</v>
      </c>
      <c r="AF127" s="79">
        <f t="shared" si="19"/>
        <v>2.860613256716616E-3</v>
      </c>
      <c r="AG127" s="79">
        <f t="shared" si="19"/>
        <v>9.9020246552417447E-4</v>
      </c>
      <c r="AH127" s="79">
        <f>AH126/$B$128</f>
        <v>0</v>
      </c>
    </row>
    <row r="128" spans="1:34">
      <c r="A128" t="s">
        <v>4062</v>
      </c>
      <c r="B128" s="223">
        <f>B127+O126</f>
        <v>235103.43399999995</v>
      </c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</row>
    <row r="129" spans="1:34" ht="15" thickBot="1">
      <c r="B129" s="223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</row>
    <row r="130" spans="1:34">
      <c r="A130">
        <v>1</v>
      </c>
      <c r="B130" s="30">
        <v>2027</v>
      </c>
      <c r="C130" s="224">
        <f t="shared" ref="C130:H130" si="20">O127</f>
        <v>0.2551263202731443</v>
      </c>
      <c r="D130" s="79">
        <f t="shared" si="20"/>
        <v>0.23765124162329349</v>
      </c>
      <c r="E130" s="79">
        <f t="shared" si="20"/>
        <v>0.21891323799209164</v>
      </c>
      <c r="F130" s="79">
        <f t="shared" si="20"/>
        <v>0.19948506154104084</v>
      </c>
      <c r="G130" s="79">
        <f t="shared" si="20"/>
        <v>0.17809347693322097</v>
      </c>
      <c r="H130" s="79">
        <f t="shared" si="20"/>
        <v>0.1544087739696734</v>
      </c>
      <c r="L130" s="79">
        <f>X127</f>
        <v>8.2113373129207495E-2</v>
      </c>
      <c r="M130" s="79">
        <f>Y127</f>
        <v>6.7755794668656388E-2</v>
      </c>
      <c r="T130" s="79"/>
      <c r="U130" s="79"/>
      <c r="V130" s="79">
        <f>AH127</f>
        <v>0</v>
      </c>
    </row>
    <row r="131" spans="1:34">
      <c r="A131">
        <v>2</v>
      </c>
      <c r="B131" s="16">
        <v>2028</v>
      </c>
      <c r="C131" s="225">
        <f>P127</f>
        <v>0.23765124162329349</v>
      </c>
    </row>
    <row r="132" spans="1:34">
      <c r="A132">
        <v>3</v>
      </c>
      <c r="B132" s="16">
        <v>2029</v>
      </c>
      <c r="C132" s="225">
        <f>Q127</f>
        <v>0.21891323799209164</v>
      </c>
    </row>
    <row r="133" spans="1:34">
      <c r="A133">
        <v>4</v>
      </c>
      <c r="B133" s="16">
        <v>2030</v>
      </c>
      <c r="C133" s="225">
        <f>R127</f>
        <v>0.19948506154104084</v>
      </c>
    </row>
    <row r="134" spans="1:34">
      <c r="A134">
        <v>5</v>
      </c>
      <c r="B134" s="16">
        <v>2031</v>
      </c>
      <c r="C134" s="225">
        <f>S127</f>
        <v>0.17809347693322097</v>
      </c>
    </row>
    <row r="135" spans="1:34">
      <c r="A135">
        <v>6</v>
      </c>
      <c r="B135" s="16">
        <v>2032</v>
      </c>
      <c r="C135" s="225">
        <f>T127</f>
        <v>0.1544087739696734</v>
      </c>
    </row>
    <row r="136" spans="1:34">
      <c r="A136">
        <v>7</v>
      </c>
      <c r="B136" s="16">
        <v>2033</v>
      </c>
      <c r="C136" s="225">
        <f>U127</f>
        <v>0.12820604738593486</v>
      </c>
    </row>
    <row r="137" spans="1:34">
      <c r="A137">
        <v>8</v>
      </c>
      <c r="B137" s="16">
        <v>2034</v>
      </c>
      <c r="C137" s="225">
        <f>V127</f>
        <v>0.11393676197855965</v>
      </c>
    </row>
    <row r="138" spans="1:34">
      <c r="A138">
        <v>9</v>
      </c>
      <c r="B138" s="16">
        <v>2035</v>
      </c>
      <c r="C138" s="225">
        <f>W127</f>
        <v>9.8119638694856362E-2</v>
      </c>
    </row>
    <row r="139" spans="1:34">
      <c r="A139">
        <v>10</v>
      </c>
      <c r="B139" s="16">
        <v>2036</v>
      </c>
      <c r="C139" s="225">
        <f>X127</f>
        <v>8.2113373129207495E-2</v>
      </c>
    </row>
    <row r="140" spans="1:34">
      <c r="A140">
        <v>11</v>
      </c>
      <c r="B140" s="16">
        <v>2037</v>
      </c>
      <c r="C140" s="225">
        <f>Y127</f>
        <v>6.7755794668656388E-2</v>
      </c>
    </row>
    <row r="141" spans="1:34">
      <c r="A141">
        <v>12</v>
      </c>
      <c r="B141" s="16">
        <v>2038</v>
      </c>
      <c r="C141" s="225">
        <f>Z127</f>
        <v>5.4364199546315439E-2</v>
      </c>
    </row>
    <row r="142" spans="1:34">
      <c r="A142">
        <v>13</v>
      </c>
      <c r="B142" s="16">
        <v>2039</v>
      </c>
      <c r="C142" s="225">
        <f>AA127</f>
        <v>4.1929204658065537E-2</v>
      </c>
    </row>
    <row r="143" spans="1:34">
      <c r="A143">
        <v>14</v>
      </c>
      <c r="B143" s="16">
        <v>2040</v>
      </c>
      <c r="C143" s="225">
        <f>AB127</f>
        <v>3.0184382589664771E-2</v>
      </c>
    </row>
    <row r="144" spans="1:34">
      <c r="A144">
        <v>15</v>
      </c>
      <c r="B144" s="16">
        <v>2041</v>
      </c>
      <c r="C144" s="225">
        <f>AC127</f>
        <v>1.9736045199577987E-2</v>
      </c>
    </row>
    <row r="145" spans="1:3">
      <c r="A145">
        <v>16</v>
      </c>
      <c r="B145" s="16">
        <v>2042</v>
      </c>
      <c r="C145" s="225">
        <f>AD127</f>
        <v>1.2247749643673858E-2</v>
      </c>
    </row>
    <row r="146" spans="1:3">
      <c r="A146">
        <v>17</v>
      </c>
      <c r="B146" s="16">
        <v>2043</v>
      </c>
      <c r="C146" s="225">
        <f>AE127</f>
        <v>6.7481787611830477E-3</v>
      </c>
    </row>
    <row r="147" spans="1:3">
      <c r="A147">
        <v>18</v>
      </c>
      <c r="B147" s="16">
        <v>2044</v>
      </c>
      <c r="C147" s="225">
        <f>AF127</f>
        <v>2.860613256716616E-3</v>
      </c>
    </row>
    <row r="148" spans="1:3">
      <c r="A148">
        <v>19</v>
      </c>
      <c r="B148" s="16">
        <v>2045</v>
      </c>
      <c r="C148" s="225">
        <f>AG127</f>
        <v>9.9020246552417447E-4</v>
      </c>
    </row>
    <row r="149" spans="1:3" ht="15" thickBot="1">
      <c r="A149">
        <v>20</v>
      </c>
      <c r="B149" s="21">
        <v>2046</v>
      </c>
      <c r="C149" s="222">
        <f>AH127</f>
        <v>0</v>
      </c>
    </row>
  </sheetData>
  <autoFilter ref="A2:N2" xr:uid="{A61C895B-ADBF-444B-BA42-BA7F6DA9C79F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F725-8426-41D9-98FC-11367D447594}">
  <sheetPr>
    <pageSetUpPr fitToPage="1"/>
  </sheetPr>
  <dimension ref="A1:I135"/>
  <sheetViews>
    <sheetView rightToLeft="1" workbookViewId="0">
      <selection activeCell="F12" sqref="F12"/>
    </sheetView>
  </sheetViews>
  <sheetFormatPr defaultRowHeight="14.4"/>
  <cols>
    <col min="1" max="1" width="13.88671875" style="284" customWidth="1"/>
    <col min="2" max="2" width="20.88671875" customWidth="1"/>
    <col min="3" max="3" width="12.109375" customWidth="1"/>
    <col min="4" max="4" width="11.5546875" customWidth="1"/>
    <col min="5" max="5" width="5.33203125" customWidth="1"/>
    <col min="6" max="6" width="13.109375" customWidth="1"/>
    <col min="7" max="7" width="5.6640625" customWidth="1"/>
    <col min="8" max="8" width="17.6640625" customWidth="1"/>
  </cols>
  <sheetData>
    <row r="1" spans="1:9" ht="15" thickBot="1">
      <c r="B1" s="83" t="s">
        <v>4110</v>
      </c>
      <c r="H1" s="318" t="s">
        <v>4111</v>
      </c>
      <c r="I1" s="319"/>
    </row>
    <row r="2" spans="1:9" s="286" customFormat="1">
      <c r="A2" s="285"/>
      <c r="B2" s="286" t="s">
        <v>4112</v>
      </c>
      <c r="F2" s="1"/>
      <c r="H2" s="16" t="s">
        <v>4113</v>
      </c>
      <c r="I2" s="287">
        <v>7500</v>
      </c>
    </row>
    <row r="3" spans="1:9">
      <c r="H3" s="16" t="s">
        <v>4114</v>
      </c>
      <c r="I3" s="17">
        <v>8</v>
      </c>
    </row>
    <row r="4" spans="1:9" ht="15.6">
      <c r="A4" s="288"/>
      <c r="B4" s="289"/>
      <c r="C4" s="289"/>
      <c r="H4" s="16" t="s">
        <v>4115</v>
      </c>
      <c r="I4" s="17">
        <v>2027</v>
      </c>
    </row>
    <row r="5" spans="1:9" ht="15" thickBot="1">
      <c r="H5" s="290" t="s">
        <v>4116</v>
      </c>
      <c r="I5" s="22">
        <f>COUNTA(B7:B133)</f>
        <v>127</v>
      </c>
    </row>
    <row r="6" spans="1:9" s="98" customFormat="1" ht="28.8">
      <c r="A6" s="291" t="s">
        <v>43</v>
      </c>
      <c r="B6" s="292" t="s">
        <v>4117</v>
      </c>
      <c r="C6" s="292" t="s">
        <v>4118</v>
      </c>
      <c r="D6" s="292" t="s">
        <v>3937</v>
      </c>
      <c r="E6" s="292"/>
      <c r="F6" s="293">
        <f>SUM(F7:F133)</f>
        <v>508125</v>
      </c>
    </row>
    <row r="7" spans="1:9">
      <c r="A7" s="294" t="s">
        <v>178</v>
      </c>
      <c r="B7" s="295" t="s">
        <v>179</v>
      </c>
      <c r="C7" s="295">
        <v>2021</v>
      </c>
      <c r="D7" s="295">
        <f>C7+$I$3</f>
        <v>2029</v>
      </c>
      <c r="E7" s="295">
        <f t="shared" ref="E7:E38" si="0">D7-$I$4</f>
        <v>2</v>
      </c>
      <c r="F7" s="296">
        <f t="shared" ref="F7:F38" si="1">($I$3-E7)/$I$3*$I$2</f>
        <v>5625</v>
      </c>
    </row>
    <row r="8" spans="1:9">
      <c r="A8" s="294" t="s">
        <v>258</v>
      </c>
      <c r="B8" s="295" t="s">
        <v>256</v>
      </c>
      <c r="C8" s="295">
        <v>2024</v>
      </c>
      <c r="D8" s="295">
        <v>2032</v>
      </c>
      <c r="E8" s="295">
        <f t="shared" si="0"/>
        <v>5</v>
      </c>
      <c r="F8" s="296">
        <f t="shared" si="1"/>
        <v>2812.5</v>
      </c>
    </row>
    <row r="9" spans="1:9">
      <c r="A9" s="294" t="s">
        <v>143</v>
      </c>
      <c r="B9" s="295" t="s">
        <v>140</v>
      </c>
      <c r="C9" s="295">
        <v>2024</v>
      </c>
      <c r="D9" s="295">
        <f t="shared" ref="D9:D34" si="2">C9+$I$3</f>
        <v>2032</v>
      </c>
      <c r="E9" s="295">
        <f t="shared" si="0"/>
        <v>5</v>
      </c>
      <c r="F9" s="296">
        <f t="shared" si="1"/>
        <v>2812.5</v>
      </c>
    </row>
    <row r="10" spans="1:9">
      <c r="A10" s="294" t="s">
        <v>115</v>
      </c>
      <c r="B10" s="295" t="s">
        <v>116</v>
      </c>
      <c r="C10" s="295">
        <v>2019</v>
      </c>
      <c r="D10" s="295">
        <f t="shared" si="2"/>
        <v>2027</v>
      </c>
      <c r="E10" s="295">
        <f t="shared" si="0"/>
        <v>0</v>
      </c>
      <c r="F10" s="296">
        <f t="shared" si="1"/>
        <v>7500</v>
      </c>
    </row>
    <row r="11" spans="1:9">
      <c r="A11" s="294" t="s">
        <v>215</v>
      </c>
      <c r="B11" s="295" t="s">
        <v>69</v>
      </c>
      <c r="C11" s="295">
        <v>2020</v>
      </c>
      <c r="D11" s="295">
        <f t="shared" si="2"/>
        <v>2028</v>
      </c>
      <c r="E11" s="295">
        <f t="shared" si="0"/>
        <v>1</v>
      </c>
      <c r="F11" s="296">
        <f t="shared" si="1"/>
        <v>6562.5</v>
      </c>
    </row>
    <row r="12" spans="1:9">
      <c r="A12" s="294" t="s">
        <v>68</v>
      </c>
      <c r="B12" s="295" t="s">
        <v>162</v>
      </c>
      <c r="C12" s="295">
        <v>2020</v>
      </c>
      <c r="D12" s="295">
        <f t="shared" si="2"/>
        <v>2028</v>
      </c>
      <c r="E12" s="295">
        <f t="shared" si="0"/>
        <v>1</v>
      </c>
      <c r="F12" s="296">
        <f t="shared" si="1"/>
        <v>6562.5</v>
      </c>
    </row>
    <row r="13" spans="1:9">
      <c r="A13" s="294" t="s">
        <v>161</v>
      </c>
      <c r="B13" s="295" t="s">
        <v>151</v>
      </c>
      <c r="C13" s="295">
        <v>2021</v>
      </c>
      <c r="D13" s="295">
        <f t="shared" si="2"/>
        <v>2029</v>
      </c>
      <c r="E13" s="295">
        <f t="shared" si="0"/>
        <v>2</v>
      </c>
      <c r="F13" s="296">
        <f t="shared" si="1"/>
        <v>5625</v>
      </c>
    </row>
    <row r="14" spans="1:9">
      <c r="A14" s="294" t="s">
        <v>150</v>
      </c>
      <c r="B14" s="295" t="s">
        <v>135</v>
      </c>
      <c r="C14" s="295">
        <v>2021</v>
      </c>
      <c r="D14" s="295">
        <f t="shared" si="2"/>
        <v>2029</v>
      </c>
      <c r="E14" s="295">
        <f t="shared" si="0"/>
        <v>2</v>
      </c>
      <c r="F14" s="296">
        <f t="shared" si="1"/>
        <v>5625</v>
      </c>
    </row>
    <row r="15" spans="1:9">
      <c r="A15" s="294" t="s">
        <v>134</v>
      </c>
      <c r="B15" s="295" t="s">
        <v>102</v>
      </c>
      <c r="C15" s="295">
        <v>2026</v>
      </c>
      <c r="D15" s="295">
        <f t="shared" si="2"/>
        <v>2034</v>
      </c>
      <c r="E15" s="295">
        <f t="shared" si="0"/>
        <v>7</v>
      </c>
      <c r="F15" s="296">
        <f t="shared" si="1"/>
        <v>937.5</v>
      </c>
    </row>
    <row r="16" spans="1:9">
      <c r="A16" s="294" t="s">
        <v>101</v>
      </c>
      <c r="B16" s="295" t="s">
        <v>291</v>
      </c>
      <c r="C16" s="295">
        <v>2024</v>
      </c>
      <c r="D16" s="295">
        <f t="shared" si="2"/>
        <v>2032</v>
      </c>
      <c r="E16" s="295">
        <f t="shared" si="0"/>
        <v>5</v>
      </c>
      <c r="F16" s="296">
        <f t="shared" si="1"/>
        <v>2812.5</v>
      </c>
    </row>
    <row r="17" spans="1:6">
      <c r="A17" s="294" t="s">
        <v>290</v>
      </c>
      <c r="B17" s="295" t="s">
        <v>469</v>
      </c>
      <c r="C17" s="295">
        <v>2026</v>
      </c>
      <c r="D17" s="295">
        <f t="shared" si="2"/>
        <v>2034</v>
      </c>
      <c r="E17" s="295">
        <f t="shared" si="0"/>
        <v>7</v>
      </c>
      <c r="F17" s="296">
        <f t="shared" si="1"/>
        <v>937.5</v>
      </c>
    </row>
    <row r="18" spans="1:6">
      <c r="A18" s="294" t="s">
        <v>468</v>
      </c>
      <c r="B18" s="295" t="s">
        <v>647</v>
      </c>
      <c r="C18" s="295">
        <v>2025</v>
      </c>
      <c r="D18" s="295">
        <f t="shared" si="2"/>
        <v>2033</v>
      </c>
      <c r="E18" s="295">
        <f t="shared" si="0"/>
        <v>6</v>
      </c>
      <c r="F18" s="296">
        <f t="shared" si="1"/>
        <v>1875</v>
      </c>
    </row>
    <row r="19" spans="1:6">
      <c r="A19" s="294" t="s">
        <v>646</v>
      </c>
      <c r="B19" s="295" t="s">
        <v>478</v>
      </c>
      <c r="C19" s="295">
        <v>2020</v>
      </c>
      <c r="D19" s="295">
        <f t="shared" si="2"/>
        <v>2028</v>
      </c>
      <c r="E19" s="295">
        <f t="shared" si="0"/>
        <v>1</v>
      </c>
      <c r="F19" s="296">
        <f t="shared" si="1"/>
        <v>6562.5</v>
      </c>
    </row>
    <row r="20" spans="1:6">
      <c r="A20" s="294" t="s">
        <v>477</v>
      </c>
      <c r="B20" s="295" t="s">
        <v>510</v>
      </c>
      <c r="C20" s="295">
        <v>2019</v>
      </c>
      <c r="D20" s="295">
        <f t="shared" si="2"/>
        <v>2027</v>
      </c>
      <c r="E20" s="295">
        <f t="shared" si="0"/>
        <v>0</v>
      </c>
      <c r="F20" s="296">
        <f t="shared" si="1"/>
        <v>7500</v>
      </c>
    </row>
    <row r="21" spans="1:6">
      <c r="A21" s="294" t="s">
        <v>509</v>
      </c>
      <c r="B21" s="295" t="s">
        <v>445</v>
      </c>
      <c r="C21" s="295">
        <v>2024</v>
      </c>
      <c r="D21" s="295">
        <f t="shared" si="2"/>
        <v>2032</v>
      </c>
      <c r="E21" s="295">
        <f t="shared" si="0"/>
        <v>5</v>
      </c>
      <c r="F21" s="296">
        <f t="shared" si="1"/>
        <v>2812.5</v>
      </c>
    </row>
    <row r="22" spans="1:6">
      <c r="A22" s="294" t="s">
        <v>444</v>
      </c>
      <c r="B22" s="295" t="s">
        <v>530</v>
      </c>
      <c r="C22" s="295">
        <v>2024</v>
      </c>
      <c r="D22" s="295">
        <f t="shared" si="2"/>
        <v>2032</v>
      </c>
      <c r="E22" s="295">
        <f t="shared" si="0"/>
        <v>5</v>
      </c>
      <c r="F22" s="296">
        <f t="shared" si="1"/>
        <v>2812.5</v>
      </c>
    </row>
    <row r="23" spans="1:6">
      <c r="A23" s="294" t="s">
        <v>529</v>
      </c>
      <c r="B23" s="295" t="s">
        <v>541</v>
      </c>
      <c r="C23" s="295">
        <v>2024</v>
      </c>
      <c r="D23" s="295">
        <f t="shared" si="2"/>
        <v>2032</v>
      </c>
      <c r="E23" s="295">
        <f t="shared" si="0"/>
        <v>5</v>
      </c>
      <c r="F23" s="296">
        <f t="shared" si="1"/>
        <v>2812.5</v>
      </c>
    </row>
    <row r="24" spans="1:6">
      <c r="A24" s="294" t="s">
        <v>540</v>
      </c>
      <c r="B24" s="295" t="s">
        <v>490</v>
      </c>
      <c r="C24" s="295">
        <v>2020</v>
      </c>
      <c r="D24" s="295">
        <f t="shared" si="2"/>
        <v>2028</v>
      </c>
      <c r="E24" s="295">
        <f t="shared" si="0"/>
        <v>1</v>
      </c>
      <c r="F24" s="296">
        <f t="shared" si="1"/>
        <v>6562.5</v>
      </c>
    </row>
    <row r="25" spans="1:6">
      <c r="A25" s="294" t="s">
        <v>489</v>
      </c>
      <c r="B25" s="295" t="s">
        <v>550</v>
      </c>
      <c r="C25" s="295">
        <v>2026</v>
      </c>
      <c r="D25" s="295">
        <f t="shared" si="2"/>
        <v>2034</v>
      </c>
      <c r="E25" s="295">
        <f t="shared" si="0"/>
        <v>7</v>
      </c>
      <c r="F25" s="296">
        <f t="shared" si="1"/>
        <v>937.5</v>
      </c>
    </row>
    <row r="26" spans="1:6">
      <c r="A26" s="294" t="s">
        <v>549</v>
      </c>
      <c r="B26" s="295" t="s">
        <v>499</v>
      </c>
      <c r="C26" s="295">
        <v>2020</v>
      </c>
      <c r="D26" s="295">
        <f t="shared" si="2"/>
        <v>2028</v>
      </c>
      <c r="E26" s="295">
        <f t="shared" si="0"/>
        <v>1</v>
      </c>
      <c r="F26" s="296">
        <f t="shared" si="1"/>
        <v>6562.5</v>
      </c>
    </row>
    <row r="27" spans="1:6">
      <c r="A27" s="294" t="s">
        <v>498</v>
      </c>
      <c r="B27" s="295" t="s">
        <v>434</v>
      </c>
      <c r="C27" s="295">
        <v>2021</v>
      </c>
      <c r="D27" s="295">
        <f t="shared" si="2"/>
        <v>2029</v>
      </c>
      <c r="E27" s="295">
        <f t="shared" si="0"/>
        <v>2</v>
      </c>
      <c r="F27" s="296">
        <f t="shared" si="1"/>
        <v>5625</v>
      </c>
    </row>
    <row r="28" spans="1:6">
      <c r="A28" s="294" t="s">
        <v>433</v>
      </c>
      <c r="B28" s="295" t="s">
        <v>453</v>
      </c>
      <c r="C28" s="295">
        <v>2025</v>
      </c>
      <c r="D28" s="295">
        <f t="shared" si="2"/>
        <v>2033</v>
      </c>
      <c r="E28" s="295">
        <f t="shared" si="0"/>
        <v>6</v>
      </c>
      <c r="F28" s="296">
        <f t="shared" si="1"/>
        <v>1875</v>
      </c>
    </row>
    <row r="29" spans="1:6">
      <c r="A29" s="294" t="s">
        <v>452</v>
      </c>
      <c r="B29" s="295" t="s">
        <v>576</v>
      </c>
      <c r="C29" s="295">
        <v>2024</v>
      </c>
      <c r="D29" s="295">
        <f t="shared" si="2"/>
        <v>2032</v>
      </c>
      <c r="E29" s="295">
        <f t="shared" si="0"/>
        <v>5</v>
      </c>
      <c r="F29" s="296">
        <f t="shared" si="1"/>
        <v>2812.5</v>
      </c>
    </row>
    <row r="30" spans="1:6">
      <c r="A30" s="294" t="s">
        <v>575</v>
      </c>
      <c r="B30" s="295" t="s">
        <v>521</v>
      </c>
      <c r="C30" s="295">
        <v>2024</v>
      </c>
      <c r="D30" s="295">
        <f t="shared" si="2"/>
        <v>2032</v>
      </c>
      <c r="E30" s="295">
        <f t="shared" si="0"/>
        <v>5</v>
      </c>
      <c r="F30" s="296">
        <f t="shared" si="1"/>
        <v>2812.5</v>
      </c>
    </row>
    <row r="31" spans="1:6">
      <c r="A31" s="294" t="s">
        <v>520</v>
      </c>
      <c r="B31" s="295" t="s">
        <v>711</v>
      </c>
      <c r="C31" s="295">
        <v>2020</v>
      </c>
      <c r="D31" s="295">
        <f t="shared" si="2"/>
        <v>2028</v>
      </c>
      <c r="E31" s="295">
        <f t="shared" si="0"/>
        <v>1</v>
      </c>
      <c r="F31" s="296">
        <f t="shared" si="1"/>
        <v>6562.5</v>
      </c>
    </row>
    <row r="32" spans="1:6">
      <c r="A32" s="294" t="s">
        <v>710</v>
      </c>
      <c r="B32" s="295" t="s">
        <v>2269</v>
      </c>
      <c r="C32" s="295">
        <v>2024</v>
      </c>
      <c r="D32" s="295">
        <f t="shared" si="2"/>
        <v>2032</v>
      </c>
      <c r="E32" s="295">
        <f t="shared" si="0"/>
        <v>5</v>
      </c>
      <c r="F32" s="296">
        <f t="shared" si="1"/>
        <v>2812.5</v>
      </c>
    </row>
    <row r="33" spans="1:6">
      <c r="A33" s="294" t="s">
        <v>2268</v>
      </c>
      <c r="B33" s="295" t="s">
        <v>730</v>
      </c>
      <c r="C33" s="295">
        <v>2026</v>
      </c>
      <c r="D33" s="295">
        <f t="shared" si="2"/>
        <v>2034</v>
      </c>
      <c r="E33" s="295">
        <f t="shared" si="0"/>
        <v>7</v>
      </c>
      <c r="F33" s="296">
        <f t="shared" si="1"/>
        <v>937.5</v>
      </c>
    </row>
    <row r="34" spans="1:6">
      <c r="A34" s="294" t="s">
        <v>729</v>
      </c>
      <c r="B34" s="295" t="s">
        <v>682</v>
      </c>
      <c r="C34" s="295">
        <v>2022</v>
      </c>
      <c r="D34" s="295">
        <f t="shared" si="2"/>
        <v>2030</v>
      </c>
      <c r="E34" s="295">
        <f t="shared" si="0"/>
        <v>3</v>
      </c>
      <c r="F34" s="296">
        <f t="shared" si="1"/>
        <v>4687.5</v>
      </c>
    </row>
    <row r="35" spans="1:6">
      <c r="A35" s="294" t="s">
        <v>681</v>
      </c>
      <c r="B35" s="295" t="s">
        <v>756</v>
      </c>
      <c r="C35" s="295">
        <v>2023</v>
      </c>
      <c r="D35" s="295">
        <v>2031</v>
      </c>
      <c r="E35" s="295">
        <f t="shared" si="0"/>
        <v>4</v>
      </c>
      <c r="F35" s="296">
        <f t="shared" si="1"/>
        <v>3750</v>
      </c>
    </row>
    <row r="36" spans="1:6">
      <c r="A36" s="294" t="s">
        <v>755</v>
      </c>
      <c r="B36" s="295" t="s">
        <v>692</v>
      </c>
      <c r="C36" s="295">
        <v>2024</v>
      </c>
      <c r="D36" s="295">
        <f t="shared" ref="D36:D76" si="3">C36+$I$3</f>
        <v>2032</v>
      </c>
      <c r="E36" s="295">
        <f t="shared" si="0"/>
        <v>5</v>
      </c>
      <c r="F36" s="296">
        <f t="shared" si="1"/>
        <v>2812.5</v>
      </c>
    </row>
    <row r="37" spans="1:6">
      <c r="A37" s="294" t="s">
        <v>691</v>
      </c>
      <c r="B37" s="295" t="s">
        <v>791</v>
      </c>
      <c r="C37" s="295">
        <v>2024</v>
      </c>
      <c r="D37" s="295">
        <f t="shared" si="3"/>
        <v>2032</v>
      </c>
      <c r="E37" s="295">
        <f t="shared" si="0"/>
        <v>5</v>
      </c>
      <c r="F37" s="296">
        <f t="shared" si="1"/>
        <v>2812.5</v>
      </c>
    </row>
    <row r="38" spans="1:6">
      <c r="A38" s="294" t="s">
        <v>790</v>
      </c>
      <c r="B38" s="295" t="s">
        <v>720</v>
      </c>
      <c r="C38" s="295">
        <v>2024</v>
      </c>
      <c r="D38" s="295">
        <f t="shared" si="3"/>
        <v>2032</v>
      </c>
      <c r="E38" s="295">
        <f t="shared" si="0"/>
        <v>5</v>
      </c>
      <c r="F38" s="296">
        <f t="shared" si="1"/>
        <v>2812.5</v>
      </c>
    </row>
    <row r="39" spans="1:6">
      <c r="A39" s="294" t="s">
        <v>719</v>
      </c>
      <c r="B39" s="295" t="s">
        <v>701</v>
      </c>
      <c r="C39" s="295">
        <v>2026</v>
      </c>
      <c r="D39" s="295">
        <f t="shared" si="3"/>
        <v>2034</v>
      </c>
      <c r="E39" s="295">
        <f t="shared" ref="E39:E70" si="4">D39-$I$4</f>
        <v>7</v>
      </c>
      <c r="F39" s="296">
        <f t="shared" ref="F39:F70" si="5">($I$3-E39)/$I$3*$I$2</f>
        <v>937.5</v>
      </c>
    </row>
    <row r="40" spans="1:6">
      <c r="A40" s="294" t="s">
        <v>700</v>
      </c>
      <c r="B40" s="295" t="s">
        <v>950</v>
      </c>
      <c r="C40" s="295">
        <v>2019</v>
      </c>
      <c r="D40" s="295">
        <f t="shared" si="3"/>
        <v>2027</v>
      </c>
      <c r="E40" s="295">
        <f t="shared" si="4"/>
        <v>0</v>
      </c>
      <c r="F40" s="296">
        <f t="shared" si="5"/>
        <v>7500</v>
      </c>
    </row>
    <row r="41" spans="1:6">
      <c r="A41" s="294" t="s">
        <v>949</v>
      </c>
      <c r="B41" s="295" t="s">
        <v>983</v>
      </c>
      <c r="C41" s="295">
        <v>2025</v>
      </c>
      <c r="D41" s="295">
        <f t="shared" si="3"/>
        <v>2033</v>
      </c>
      <c r="E41" s="295">
        <f t="shared" si="4"/>
        <v>6</v>
      </c>
      <c r="F41" s="296">
        <f t="shared" si="5"/>
        <v>1875</v>
      </c>
    </row>
    <row r="42" spans="1:6">
      <c r="A42" s="294" t="s">
        <v>984</v>
      </c>
      <c r="B42" s="295" t="s">
        <v>905</v>
      </c>
      <c r="C42" s="295">
        <v>2023</v>
      </c>
      <c r="D42" s="295">
        <f t="shared" si="3"/>
        <v>2031</v>
      </c>
      <c r="E42" s="295">
        <f t="shared" si="4"/>
        <v>4</v>
      </c>
      <c r="F42" s="296">
        <f t="shared" si="5"/>
        <v>3750</v>
      </c>
    </row>
    <row r="43" spans="1:6" s="297" customFormat="1">
      <c r="A43" s="294" t="s">
        <v>904</v>
      </c>
      <c r="B43" s="295" t="s">
        <v>940</v>
      </c>
      <c r="C43" s="295">
        <v>2025</v>
      </c>
      <c r="D43" s="295">
        <f t="shared" si="3"/>
        <v>2033</v>
      </c>
      <c r="E43" s="295">
        <f t="shared" si="4"/>
        <v>6</v>
      </c>
      <c r="F43" s="296">
        <f t="shared" si="5"/>
        <v>1875</v>
      </c>
    </row>
    <row r="44" spans="1:6">
      <c r="A44" s="294" t="s">
        <v>939</v>
      </c>
      <c r="B44" s="295" t="s">
        <v>956</v>
      </c>
      <c r="C44" s="295">
        <v>2019</v>
      </c>
      <c r="D44" s="295">
        <f t="shared" si="3"/>
        <v>2027</v>
      </c>
      <c r="E44" s="295">
        <f t="shared" si="4"/>
        <v>0</v>
      </c>
      <c r="F44" s="296">
        <f t="shared" si="5"/>
        <v>7500</v>
      </c>
    </row>
    <row r="45" spans="1:6">
      <c r="A45" s="294" t="s">
        <v>958</v>
      </c>
      <c r="B45" s="295" t="s">
        <v>1045</v>
      </c>
      <c r="C45" s="295">
        <v>2025</v>
      </c>
      <c r="D45" s="295">
        <f t="shared" si="3"/>
        <v>2033</v>
      </c>
      <c r="E45" s="295">
        <f t="shared" si="4"/>
        <v>6</v>
      </c>
      <c r="F45" s="296">
        <f t="shared" si="5"/>
        <v>1875</v>
      </c>
    </row>
    <row r="46" spans="1:6">
      <c r="A46" s="294" t="s">
        <v>1044</v>
      </c>
      <c r="B46" s="295" t="s">
        <v>1030</v>
      </c>
      <c r="C46" s="295">
        <v>2019</v>
      </c>
      <c r="D46" s="295">
        <f t="shared" si="3"/>
        <v>2027</v>
      </c>
      <c r="E46" s="295">
        <f t="shared" si="4"/>
        <v>0</v>
      </c>
      <c r="F46" s="296">
        <f t="shared" si="5"/>
        <v>7500</v>
      </c>
    </row>
    <row r="47" spans="1:6">
      <c r="A47" s="294" t="s">
        <v>1029</v>
      </c>
      <c r="B47" s="295" t="s">
        <v>1067</v>
      </c>
      <c r="C47" s="295">
        <v>2025</v>
      </c>
      <c r="D47" s="295">
        <f t="shared" si="3"/>
        <v>2033</v>
      </c>
      <c r="E47" s="295">
        <f t="shared" si="4"/>
        <v>6</v>
      </c>
      <c r="F47" s="296">
        <f t="shared" si="5"/>
        <v>1875</v>
      </c>
    </row>
    <row r="48" spans="1:6">
      <c r="A48" s="294" t="s">
        <v>1066</v>
      </c>
      <c r="B48" s="295" t="s">
        <v>997</v>
      </c>
      <c r="C48" s="295">
        <v>2026</v>
      </c>
      <c r="D48" s="295">
        <f t="shared" si="3"/>
        <v>2034</v>
      </c>
      <c r="E48" s="295">
        <f t="shared" si="4"/>
        <v>7</v>
      </c>
      <c r="F48" s="296">
        <f t="shared" si="5"/>
        <v>937.5</v>
      </c>
    </row>
    <row r="49" spans="1:6">
      <c r="A49" s="294" t="s">
        <v>996</v>
      </c>
      <c r="B49" s="295" t="s">
        <v>1012</v>
      </c>
      <c r="C49" s="295">
        <v>2020</v>
      </c>
      <c r="D49" s="295">
        <f t="shared" si="3"/>
        <v>2028</v>
      </c>
      <c r="E49" s="295">
        <f t="shared" si="4"/>
        <v>1</v>
      </c>
      <c r="F49" s="296">
        <f t="shared" si="5"/>
        <v>6562.5</v>
      </c>
    </row>
    <row r="50" spans="1:6">
      <c r="A50" s="294" t="s">
        <v>1011</v>
      </c>
      <c r="B50" s="295" t="s">
        <v>1020</v>
      </c>
      <c r="C50" s="295">
        <v>2019</v>
      </c>
      <c r="D50" s="295">
        <f t="shared" si="3"/>
        <v>2027</v>
      </c>
      <c r="E50" s="295">
        <f t="shared" si="4"/>
        <v>0</v>
      </c>
      <c r="F50" s="296">
        <f t="shared" si="5"/>
        <v>7500</v>
      </c>
    </row>
    <row r="51" spans="1:6">
      <c r="A51" s="294" t="s">
        <v>1019</v>
      </c>
      <c r="B51" s="295" t="s">
        <v>1158</v>
      </c>
      <c r="C51" s="295">
        <v>2020</v>
      </c>
      <c r="D51" s="295">
        <f t="shared" si="3"/>
        <v>2028</v>
      </c>
      <c r="E51" s="295">
        <f t="shared" si="4"/>
        <v>1</v>
      </c>
      <c r="F51" s="296">
        <f t="shared" si="5"/>
        <v>6562.5</v>
      </c>
    </row>
    <row r="52" spans="1:6">
      <c r="A52" s="294" t="s">
        <v>1157</v>
      </c>
      <c r="B52" s="295" t="s">
        <v>1181</v>
      </c>
      <c r="C52" s="295">
        <v>2021</v>
      </c>
      <c r="D52" s="295">
        <f t="shared" si="3"/>
        <v>2029</v>
      </c>
      <c r="E52" s="295">
        <f t="shared" si="4"/>
        <v>2</v>
      </c>
      <c r="F52" s="296">
        <f t="shared" si="5"/>
        <v>5625</v>
      </c>
    </row>
    <row r="53" spans="1:6">
      <c r="A53" s="294" t="s">
        <v>1180</v>
      </c>
      <c r="B53" s="295" t="s">
        <v>1173</v>
      </c>
      <c r="C53" s="295">
        <v>2019</v>
      </c>
      <c r="D53" s="295">
        <f t="shared" si="3"/>
        <v>2027</v>
      </c>
      <c r="E53" s="295">
        <f t="shared" si="4"/>
        <v>0</v>
      </c>
      <c r="F53" s="296">
        <f t="shared" si="5"/>
        <v>7500</v>
      </c>
    </row>
    <row r="54" spans="1:6">
      <c r="A54" s="294" t="s">
        <v>1172</v>
      </c>
      <c r="B54" s="295" t="s">
        <v>1192</v>
      </c>
      <c r="C54" s="295">
        <v>2026</v>
      </c>
      <c r="D54" s="295">
        <f t="shared" si="3"/>
        <v>2034</v>
      </c>
      <c r="E54" s="295">
        <f t="shared" si="4"/>
        <v>7</v>
      </c>
      <c r="F54" s="296">
        <f t="shared" si="5"/>
        <v>937.5</v>
      </c>
    </row>
    <row r="55" spans="1:6">
      <c r="A55" s="294" t="s">
        <v>1191</v>
      </c>
      <c r="B55" s="295" t="s">
        <v>1205</v>
      </c>
      <c r="C55" s="295">
        <v>2025</v>
      </c>
      <c r="D55" s="295">
        <f t="shared" si="3"/>
        <v>2033</v>
      </c>
      <c r="E55" s="295">
        <f t="shared" si="4"/>
        <v>6</v>
      </c>
      <c r="F55" s="296">
        <f t="shared" si="5"/>
        <v>1875</v>
      </c>
    </row>
    <row r="56" spans="1:6">
      <c r="A56" s="294" t="s">
        <v>1204</v>
      </c>
      <c r="B56" s="295" t="s">
        <v>1262</v>
      </c>
      <c r="C56" s="295">
        <v>2024</v>
      </c>
      <c r="D56" s="295">
        <f t="shared" si="3"/>
        <v>2032</v>
      </c>
      <c r="E56" s="295">
        <f t="shared" si="4"/>
        <v>5</v>
      </c>
      <c r="F56" s="296">
        <f t="shared" si="5"/>
        <v>2812.5</v>
      </c>
    </row>
    <row r="57" spans="1:6">
      <c r="A57" s="294" t="s">
        <v>1261</v>
      </c>
      <c r="B57" s="295" t="s">
        <v>1348</v>
      </c>
      <c r="C57" s="295">
        <v>2022</v>
      </c>
      <c r="D57" s="295">
        <f t="shared" si="3"/>
        <v>2030</v>
      </c>
      <c r="E57" s="295">
        <f t="shared" si="4"/>
        <v>3</v>
      </c>
      <c r="F57" s="296">
        <f t="shared" si="5"/>
        <v>4687.5</v>
      </c>
    </row>
    <row r="58" spans="1:6">
      <c r="A58" s="294" t="s">
        <v>1347</v>
      </c>
      <c r="B58" s="295" t="s">
        <v>1358</v>
      </c>
      <c r="C58" s="295">
        <v>2020</v>
      </c>
      <c r="D58" s="295">
        <f t="shared" si="3"/>
        <v>2028</v>
      </c>
      <c r="E58" s="295">
        <f t="shared" si="4"/>
        <v>1</v>
      </c>
      <c r="F58" s="296">
        <f t="shared" si="5"/>
        <v>6562.5</v>
      </c>
    </row>
    <row r="59" spans="1:6">
      <c r="A59" s="294" t="s">
        <v>1357</v>
      </c>
      <c r="B59" s="295" t="s">
        <v>1368</v>
      </c>
      <c r="C59" s="295">
        <v>2025</v>
      </c>
      <c r="D59" s="295">
        <f t="shared" si="3"/>
        <v>2033</v>
      </c>
      <c r="E59" s="295">
        <f t="shared" si="4"/>
        <v>6</v>
      </c>
      <c r="F59" s="296">
        <f t="shared" si="5"/>
        <v>1875</v>
      </c>
    </row>
    <row r="60" spans="1:6">
      <c r="A60" s="294" t="s">
        <v>1367</v>
      </c>
      <c r="B60" s="295" t="s">
        <v>1427</v>
      </c>
      <c r="C60" s="295">
        <v>2024</v>
      </c>
      <c r="D60" s="295">
        <f t="shared" si="3"/>
        <v>2032</v>
      </c>
      <c r="E60" s="295">
        <f t="shared" si="4"/>
        <v>5</v>
      </c>
      <c r="F60" s="296">
        <f t="shared" si="5"/>
        <v>2812.5</v>
      </c>
    </row>
    <row r="61" spans="1:6">
      <c r="A61" s="294" t="s">
        <v>1426</v>
      </c>
      <c r="B61" s="295" t="s">
        <v>1543</v>
      </c>
      <c r="C61" s="295">
        <v>2022</v>
      </c>
      <c r="D61" s="295">
        <f t="shared" si="3"/>
        <v>2030</v>
      </c>
      <c r="E61" s="295">
        <f t="shared" si="4"/>
        <v>3</v>
      </c>
      <c r="F61" s="296">
        <f t="shared" si="5"/>
        <v>4687.5</v>
      </c>
    </row>
    <row r="62" spans="1:6">
      <c r="A62" s="294" t="s">
        <v>1545</v>
      </c>
      <c r="B62" s="295" t="s">
        <v>1505</v>
      </c>
      <c r="C62" s="295">
        <v>2020</v>
      </c>
      <c r="D62" s="295">
        <f t="shared" si="3"/>
        <v>2028</v>
      </c>
      <c r="E62" s="295">
        <f t="shared" si="4"/>
        <v>1</v>
      </c>
      <c r="F62" s="296">
        <f t="shared" si="5"/>
        <v>6562.5</v>
      </c>
    </row>
    <row r="63" spans="1:6">
      <c r="A63" s="294" t="s">
        <v>1507</v>
      </c>
      <c r="B63" s="295" t="s">
        <v>1488</v>
      </c>
      <c r="C63" s="295">
        <v>2022</v>
      </c>
      <c r="D63" s="295">
        <f t="shared" si="3"/>
        <v>2030</v>
      </c>
      <c r="E63" s="295">
        <f t="shared" si="4"/>
        <v>3</v>
      </c>
      <c r="F63" s="296">
        <f t="shared" si="5"/>
        <v>4687.5</v>
      </c>
    </row>
    <row r="64" spans="1:6">
      <c r="A64" s="294" t="s">
        <v>1487</v>
      </c>
      <c r="B64" s="295" t="s">
        <v>1518</v>
      </c>
      <c r="C64" s="295">
        <v>2026</v>
      </c>
      <c r="D64" s="295">
        <f t="shared" si="3"/>
        <v>2034</v>
      </c>
      <c r="E64" s="295">
        <f t="shared" si="4"/>
        <v>7</v>
      </c>
      <c r="F64" s="296">
        <f t="shared" si="5"/>
        <v>937.5</v>
      </c>
    </row>
    <row r="65" spans="1:6">
      <c r="A65" s="294" t="s">
        <v>1517</v>
      </c>
      <c r="B65" s="295" t="s">
        <v>1498</v>
      </c>
      <c r="C65" s="295">
        <v>2025</v>
      </c>
      <c r="D65" s="295">
        <f t="shared" si="3"/>
        <v>2033</v>
      </c>
      <c r="E65" s="295">
        <f t="shared" si="4"/>
        <v>6</v>
      </c>
      <c r="F65" s="296">
        <f t="shared" si="5"/>
        <v>1875</v>
      </c>
    </row>
    <row r="66" spans="1:6">
      <c r="A66" s="294" t="s">
        <v>1497</v>
      </c>
      <c r="B66" s="295" t="s">
        <v>1643</v>
      </c>
      <c r="C66" s="295">
        <v>2025</v>
      </c>
      <c r="D66" s="295">
        <f t="shared" si="3"/>
        <v>2033</v>
      </c>
      <c r="E66" s="295">
        <f t="shared" si="4"/>
        <v>6</v>
      </c>
      <c r="F66" s="296">
        <f t="shared" si="5"/>
        <v>1875</v>
      </c>
    </row>
    <row r="67" spans="1:6">
      <c r="A67" s="294" t="s">
        <v>1642</v>
      </c>
      <c r="B67" s="295" t="s">
        <v>1579</v>
      </c>
      <c r="C67" s="295">
        <v>2024</v>
      </c>
      <c r="D67" s="295">
        <f t="shared" si="3"/>
        <v>2032</v>
      </c>
      <c r="E67" s="295">
        <f t="shared" si="4"/>
        <v>5</v>
      </c>
      <c r="F67" s="296">
        <f t="shared" si="5"/>
        <v>2812.5</v>
      </c>
    </row>
    <row r="68" spans="1:6">
      <c r="A68" s="294" t="s">
        <v>1578</v>
      </c>
      <c r="B68" s="295" t="s">
        <v>1597</v>
      </c>
      <c r="C68" s="295">
        <v>2020</v>
      </c>
      <c r="D68" s="295">
        <f t="shared" si="3"/>
        <v>2028</v>
      </c>
      <c r="E68" s="295">
        <f t="shared" si="4"/>
        <v>1</v>
      </c>
      <c r="F68" s="296">
        <f t="shared" si="5"/>
        <v>6562.5</v>
      </c>
    </row>
    <row r="69" spans="1:6">
      <c r="A69" s="294" t="s">
        <v>1596</v>
      </c>
      <c r="B69" s="295" t="s">
        <v>1670</v>
      </c>
      <c r="C69" s="295">
        <v>2026</v>
      </c>
      <c r="D69" s="295">
        <f t="shared" si="3"/>
        <v>2034</v>
      </c>
      <c r="E69" s="295">
        <f t="shared" si="4"/>
        <v>7</v>
      </c>
      <c r="F69" s="296">
        <f t="shared" si="5"/>
        <v>937.5</v>
      </c>
    </row>
    <row r="70" spans="1:6">
      <c r="A70" s="294" t="s">
        <v>1669</v>
      </c>
      <c r="B70" s="295" t="s">
        <v>1570</v>
      </c>
      <c r="C70" s="295">
        <v>2023</v>
      </c>
      <c r="D70" s="295">
        <f t="shared" si="3"/>
        <v>2031</v>
      </c>
      <c r="E70" s="295">
        <f t="shared" si="4"/>
        <v>4</v>
      </c>
      <c r="F70" s="296">
        <f t="shared" si="5"/>
        <v>3750</v>
      </c>
    </row>
    <row r="71" spans="1:6">
      <c r="A71" s="294" t="s">
        <v>1572</v>
      </c>
      <c r="B71" s="295" t="s">
        <v>1563</v>
      </c>
      <c r="C71" s="295">
        <v>2020</v>
      </c>
      <c r="D71" s="295">
        <f t="shared" si="3"/>
        <v>2028</v>
      </c>
      <c r="E71" s="295">
        <f t="shared" ref="E71:E102" si="6">D71-$I$4</f>
        <v>1</v>
      </c>
      <c r="F71" s="296">
        <f t="shared" ref="F71:F102" si="7">($I$3-E71)/$I$3*$I$2</f>
        <v>6562.5</v>
      </c>
    </row>
    <row r="72" spans="1:6">
      <c r="A72" s="294" t="s">
        <v>1562</v>
      </c>
      <c r="B72" s="295" t="s">
        <v>828</v>
      </c>
      <c r="C72" s="295">
        <v>2024</v>
      </c>
      <c r="D72" s="295">
        <f t="shared" si="3"/>
        <v>2032</v>
      </c>
      <c r="E72" s="295">
        <f t="shared" si="6"/>
        <v>5</v>
      </c>
      <c r="F72" s="296">
        <f t="shared" si="7"/>
        <v>2812.5</v>
      </c>
    </row>
    <row r="73" spans="1:6">
      <c r="A73" s="294" t="s">
        <v>827</v>
      </c>
      <c r="B73" s="295" t="s">
        <v>1813</v>
      </c>
      <c r="C73" s="295">
        <v>2020</v>
      </c>
      <c r="D73" s="295">
        <f t="shared" si="3"/>
        <v>2028</v>
      </c>
      <c r="E73" s="295">
        <f t="shared" si="6"/>
        <v>1</v>
      </c>
      <c r="F73" s="296">
        <f t="shared" si="7"/>
        <v>6562.5</v>
      </c>
    </row>
    <row r="74" spans="1:6">
      <c r="A74" s="294" t="s">
        <v>1812</v>
      </c>
      <c r="B74" s="295" t="s">
        <v>1891</v>
      </c>
      <c r="C74" s="295">
        <v>2024</v>
      </c>
      <c r="D74" s="295">
        <f t="shared" si="3"/>
        <v>2032</v>
      </c>
      <c r="E74" s="295">
        <f t="shared" si="6"/>
        <v>5</v>
      </c>
      <c r="F74" s="296">
        <f t="shared" si="7"/>
        <v>2812.5</v>
      </c>
    </row>
    <row r="75" spans="1:6">
      <c r="A75" s="294" t="s">
        <v>1890</v>
      </c>
      <c r="B75" s="295" t="s">
        <v>1725</v>
      </c>
      <c r="C75" s="295">
        <v>2020</v>
      </c>
      <c r="D75" s="295">
        <f t="shared" si="3"/>
        <v>2028</v>
      </c>
      <c r="E75" s="295">
        <f t="shared" si="6"/>
        <v>1</v>
      </c>
      <c r="F75" s="296">
        <f t="shared" si="7"/>
        <v>6562.5</v>
      </c>
    </row>
    <row r="76" spans="1:6">
      <c r="A76" s="294" t="s">
        <v>1724</v>
      </c>
      <c r="B76" s="295" t="s">
        <v>1708</v>
      </c>
      <c r="C76" s="295">
        <v>2021</v>
      </c>
      <c r="D76" s="295">
        <f t="shared" si="3"/>
        <v>2029</v>
      </c>
      <c r="E76" s="295">
        <f t="shared" si="6"/>
        <v>2</v>
      </c>
      <c r="F76" s="296">
        <f t="shared" si="7"/>
        <v>5625</v>
      </c>
    </row>
    <row r="77" spans="1:6">
      <c r="A77" s="294" t="s">
        <v>1707</v>
      </c>
      <c r="B77" s="295" t="s">
        <v>1879</v>
      </c>
      <c r="C77" s="295">
        <v>2023</v>
      </c>
      <c r="D77" s="295">
        <v>2031</v>
      </c>
      <c r="E77" s="295">
        <f t="shared" si="6"/>
        <v>4</v>
      </c>
      <c r="F77" s="296">
        <f t="shared" si="7"/>
        <v>3750</v>
      </c>
    </row>
    <row r="78" spans="1:6">
      <c r="A78" s="294" t="s">
        <v>1878</v>
      </c>
      <c r="B78" s="295" t="s">
        <v>1850</v>
      </c>
      <c r="C78" s="295">
        <v>2026</v>
      </c>
      <c r="D78" s="295">
        <f t="shared" ref="D78:D117" si="8">C78+$I$3</f>
        <v>2034</v>
      </c>
      <c r="E78" s="295">
        <f t="shared" si="6"/>
        <v>7</v>
      </c>
      <c r="F78" s="296">
        <f t="shared" si="7"/>
        <v>937.5</v>
      </c>
    </row>
    <row r="79" spans="1:6">
      <c r="A79" s="294" t="s">
        <v>1849</v>
      </c>
      <c r="B79" s="295" t="s">
        <v>1716</v>
      </c>
      <c r="C79" s="295">
        <v>2020</v>
      </c>
      <c r="D79" s="295">
        <f t="shared" si="8"/>
        <v>2028</v>
      </c>
      <c r="E79" s="295">
        <f t="shared" si="6"/>
        <v>1</v>
      </c>
      <c r="F79" s="296">
        <f t="shared" si="7"/>
        <v>6562.5</v>
      </c>
    </row>
    <row r="80" spans="1:6">
      <c r="A80" s="294" t="s">
        <v>1715</v>
      </c>
      <c r="B80" s="295" t="s">
        <v>1695</v>
      </c>
      <c r="C80" s="295">
        <v>2024</v>
      </c>
      <c r="D80" s="295">
        <f t="shared" si="8"/>
        <v>2032</v>
      </c>
      <c r="E80" s="295">
        <f t="shared" si="6"/>
        <v>5</v>
      </c>
      <c r="F80" s="296">
        <f t="shared" si="7"/>
        <v>2812.5</v>
      </c>
    </row>
    <row r="81" spans="1:6">
      <c r="A81" s="294" t="s">
        <v>1981</v>
      </c>
      <c r="B81" s="295" t="s">
        <v>1982</v>
      </c>
      <c r="C81" s="295">
        <v>2024</v>
      </c>
      <c r="D81" s="295">
        <f t="shared" si="8"/>
        <v>2032</v>
      </c>
      <c r="E81" s="295">
        <f t="shared" si="6"/>
        <v>5</v>
      </c>
      <c r="F81" s="296">
        <f t="shared" si="7"/>
        <v>2812.5</v>
      </c>
    </row>
    <row r="82" spans="1:6">
      <c r="A82" s="294" t="s">
        <v>1868</v>
      </c>
      <c r="B82" s="295" t="s">
        <v>1869</v>
      </c>
      <c r="C82" s="295">
        <v>2020</v>
      </c>
      <c r="D82" s="295">
        <f t="shared" si="8"/>
        <v>2028</v>
      </c>
      <c r="E82" s="295">
        <f t="shared" si="6"/>
        <v>1</v>
      </c>
      <c r="F82" s="296">
        <f t="shared" si="7"/>
        <v>6562.5</v>
      </c>
    </row>
    <row r="83" spans="1:6">
      <c r="A83" s="294" t="s">
        <v>1829</v>
      </c>
      <c r="B83" s="295" t="s">
        <v>1830</v>
      </c>
      <c r="C83" s="295">
        <v>2026</v>
      </c>
      <c r="D83" s="295">
        <f t="shared" si="8"/>
        <v>2034</v>
      </c>
      <c r="E83" s="295">
        <f t="shared" si="6"/>
        <v>7</v>
      </c>
      <c r="F83" s="296">
        <f t="shared" si="7"/>
        <v>937.5</v>
      </c>
    </row>
    <row r="84" spans="1:6">
      <c r="A84" s="294" t="s">
        <v>1754</v>
      </c>
      <c r="B84" s="295" t="s">
        <v>1752</v>
      </c>
      <c r="C84" s="295">
        <v>2026</v>
      </c>
      <c r="D84" s="295">
        <f t="shared" si="8"/>
        <v>2034</v>
      </c>
      <c r="E84" s="295">
        <f t="shared" si="6"/>
        <v>7</v>
      </c>
      <c r="F84" s="296">
        <f t="shared" si="7"/>
        <v>937.5</v>
      </c>
    </row>
    <row r="85" spans="1:6">
      <c r="A85" s="294" t="s">
        <v>1733</v>
      </c>
      <c r="B85" s="295" t="s">
        <v>1734</v>
      </c>
      <c r="C85" s="295">
        <v>2023</v>
      </c>
      <c r="D85" s="295">
        <f t="shared" si="8"/>
        <v>2031</v>
      </c>
      <c r="E85" s="295">
        <f t="shared" si="6"/>
        <v>4</v>
      </c>
      <c r="F85" s="296">
        <f t="shared" si="7"/>
        <v>3750</v>
      </c>
    </row>
    <row r="86" spans="1:6">
      <c r="A86" s="294" t="s">
        <v>1697</v>
      </c>
      <c r="B86" s="295" t="s">
        <v>1922</v>
      </c>
      <c r="C86" s="295">
        <v>2019</v>
      </c>
      <c r="D86" s="295">
        <f t="shared" si="8"/>
        <v>2027</v>
      </c>
      <c r="E86" s="295">
        <f t="shared" si="6"/>
        <v>0</v>
      </c>
      <c r="F86" s="296">
        <f t="shared" si="7"/>
        <v>7500</v>
      </c>
    </row>
    <row r="87" spans="1:6">
      <c r="A87" s="294" t="s">
        <v>1925</v>
      </c>
      <c r="B87" s="295" t="s">
        <v>1745</v>
      </c>
      <c r="C87" s="295">
        <v>2024</v>
      </c>
      <c r="D87" s="295">
        <f t="shared" si="8"/>
        <v>2032</v>
      </c>
      <c r="E87" s="295">
        <f t="shared" si="6"/>
        <v>5</v>
      </c>
      <c r="F87" s="296">
        <f t="shared" si="7"/>
        <v>2812.5</v>
      </c>
    </row>
    <row r="88" spans="1:6">
      <c r="A88" s="294" t="s">
        <v>1744</v>
      </c>
      <c r="B88" s="295" t="s">
        <v>1793</v>
      </c>
      <c r="C88" s="295">
        <v>2024</v>
      </c>
      <c r="D88" s="295">
        <f t="shared" si="8"/>
        <v>2032</v>
      </c>
      <c r="E88" s="295">
        <f t="shared" si="6"/>
        <v>5</v>
      </c>
      <c r="F88" s="296">
        <f t="shared" si="7"/>
        <v>2812.5</v>
      </c>
    </row>
    <row r="89" spans="1:6">
      <c r="A89" s="294" t="s">
        <v>1792</v>
      </c>
      <c r="B89" s="295" t="s">
        <v>1822</v>
      </c>
      <c r="C89" s="295">
        <v>2021</v>
      </c>
      <c r="D89" s="295">
        <f t="shared" si="8"/>
        <v>2029</v>
      </c>
      <c r="E89" s="295">
        <f t="shared" si="6"/>
        <v>2</v>
      </c>
      <c r="F89" s="296">
        <f t="shared" si="7"/>
        <v>5625</v>
      </c>
    </row>
    <row r="90" spans="1:6">
      <c r="A90" s="294" t="s">
        <v>1821</v>
      </c>
      <c r="B90" s="295" t="s">
        <v>2007</v>
      </c>
      <c r="C90" s="295">
        <v>2025</v>
      </c>
      <c r="D90" s="295">
        <f t="shared" si="8"/>
        <v>2033</v>
      </c>
      <c r="E90" s="295">
        <f t="shared" si="6"/>
        <v>6</v>
      </c>
      <c r="F90" s="296">
        <f t="shared" si="7"/>
        <v>1875</v>
      </c>
    </row>
    <row r="91" spans="1:6">
      <c r="A91" s="294" t="s">
        <v>2006</v>
      </c>
      <c r="B91" s="295" t="s">
        <v>2086</v>
      </c>
      <c r="C91" s="295">
        <v>2026</v>
      </c>
      <c r="D91" s="295">
        <f t="shared" si="8"/>
        <v>2034</v>
      </c>
      <c r="E91" s="295">
        <f t="shared" si="6"/>
        <v>7</v>
      </c>
      <c r="F91" s="296">
        <f t="shared" si="7"/>
        <v>937.5</v>
      </c>
    </row>
    <row r="92" spans="1:6">
      <c r="A92" s="294" t="s">
        <v>2088</v>
      </c>
      <c r="B92" s="295" t="s">
        <v>2111</v>
      </c>
      <c r="C92" s="295">
        <v>2024</v>
      </c>
      <c r="D92" s="295">
        <f t="shared" si="8"/>
        <v>2032</v>
      </c>
      <c r="E92" s="295">
        <f t="shared" si="6"/>
        <v>5</v>
      </c>
      <c r="F92" s="296">
        <f t="shared" si="7"/>
        <v>2812.5</v>
      </c>
    </row>
    <row r="93" spans="1:6">
      <c r="A93" s="294" t="s">
        <v>2110</v>
      </c>
      <c r="B93" s="295" t="s">
        <v>2100</v>
      </c>
      <c r="C93" s="295">
        <v>2020</v>
      </c>
      <c r="D93" s="295">
        <f t="shared" si="8"/>
        <v>2028</v>
      </c>
      <c r="E93" s="295">
        <f t="shared" si="6"/>
        <v>1</v>
      </c>
      <c r="F93" s="296">
        <f t="shared" si="7"/>
        <v>6562.5</v>
      </c>
    </row>
    <row r="94" spans="1:6">
      <c r="A94" s="294" t="s">
        <v>2093</v>
      </c>
      <c r="B94" s="295" t="s">
        <v>2091</v>
      </c>
      <c r="C94" s="295">
        <v>2019</v>
      </c>
      <c r="D94" s="295">
        <f t="shared" si="8"/>
        <v>2027</v>
      </c>
      <c r="E94" s="295">
        <f t="shared" si="6"/>
        <v>0</v>
      </c>
      <c r="F94" s="296">
        <f t="shared" si="7"/>
        <v>7500</v>
      </c>
    </row>
    <row r="95" spans="1:6">
      <c r="A95" s="294" t="s">
        <v>2099</v>
      </c>
      <c r="B95" s="295" t="s">
        <v>2182</v>
      </c>
      <c r="C95" s="295">
        <v>2021</v>
      </c>
      <c r="D95" s="295">
        <f t="shared" si="8"/>
        <v>2029</v>
      </c>
      <c r="E95" s="295">
        <f t="shared" si="6"/>
        <v>2</v>
      </c>
      <c r="F95" s="296">
        <f t="shared" si="7"/>
        <v>5625</v>
      </c>
    </row>
    <row r="96" spans="1:6">
      <c r="A96" s="294" t="s">
        <v>2181</v>
      </c>
      <c r="B96" s="295" t="s">
        <v>612</v>
      </c>
      <c r="C96" s="295">
        <v>2025</v>
      </c>
      <c r="D96" s="295">
        <f t="shared" si="8"/>
        <v>2033</v>
      </c>
      <c r="E96" s="295">
        <f t="shared" si="6"/>
        <v>6</v>
      </c>
      <c r="F96" s="296">
        <f t="shared" si="7"/>
        <v>1875</v>
      </c>
    </row>
    <row r="97" spans="1:6">
      <c r="A97" s="294" t="s">
        <v>611</v>
      </c>
      <c r="B97" s="295" t="s">
        <v>2211</v>
      </c>
      <c r="C97" s="295">
        <v>2024</v>
      </c>
      <c r="D97" s="295">
        <f t="shared" si="8"/>
        <v>2032</v>
      </c>
      <c r="E97" s="295">
        <f t="shared" si="6"/>
        <v>5</v>
      </c>
      <c r="F97" s="296">
        <f t="shared" si="7"/>
        <v>2812.5</v>
      </c>
    </row>
    <row r="98" spans="1:6">
      <c r="A98" s="294" t="s">
        <v>2213</v>
      </c>
      <c r="B98" s="295" t="s">
        <v>2236</v>
      </c>
      <c r="C98" s="295">
        <v>2024</v>
      </c>
      <c r="D98" s="295">
        <f t="shared" si="8"/>
        <v>2032</v>
      </c>
      <c r="E98" s="295">
        <f t="shared" si="6"/>
        <v>5</v>
      </c>
      <c r="F98" s="296">
        <f t="shared" si="7"/>
        <v>2812.5</v>
      </c>
    </row>
    <row r="99" spans="1:6">
      <c r="A99" s="294" t="s">
        <v>2235</v>
      </c>
      <c r="B99" s="295" t="s">
        <v>2219</v>
      </c>
      <c r="C99" s="295">
        <v>2019</v>
      </c>
      <c r="D99" s="295">
        <f t="shared" si="8"/>
        <v>2027</v>
      </c>
      <c r="E99" s="295">
        <f t="shared" si="6"/>
        <v>0</v>
      </c>
      <c r="F99" s="296">
        <f t="shared" si="7"/>
        <v>7500</v>
      </c>
    </row>
    <row r="100" spans="1:6">
      <c r="A100" s="294" t="s">
        <v>2218</v>
      </c>
      <c r="B100" s="295" t="s">
        <v>2226</v>
      </c>
      <c r="C100" s="295">
        <v>2019</v>
      </c>
      <c r="D100" s="295">
        <f t="shared" si="8"/>
        <v>2027</v>
      </c>
      <c r="E100" s="295">
        <f t="shared" si="6"/>
        <v>0</v>
      </c>
      <c r="F100" s="296">
        <f t="shared" si="7"/>
        <v>7500</v>
      </c>
    </row>
    <row r="101" spans="1:6">
      <c r="A101" s="294" t="s">
        <v>2225</v>
      </c>
      <c r="B101" s="295" t="s">
        <v>2242</v>
      </c>
      <c r="C101" s="295">
        <v>2021</v>
      </c>
      <c r="D101" s="295">
        <f t="shared" si="8"/>
        <v>2029</v>
      </c>
      <c r="E101" s="295">
        <f t="shared" si="6"/>
        <v>2</v>
      </c>
      <c r="F101" s="296">
        <f t="shared" si="7"/>
        <v>5625</v>
      </c>
    </row>
    <row r="102" spans="1:6">
      <c r="A102" s="294" t="s">
        <v>2241</v>
      </c>
      <c r="B102" s="295" t="s">
        <v>2331</v>
      </c>
      <c r="C102" s="295">
        <v>2020</v>
      </c>
      <c r="D102" s="295">
        <f t="shared" si="8"/>
        <v>2028</v>
      </c>
      <c r="E102" s="295">
        <f t="shared" si="6"/>
        <v>1</v>
      </c>
      <c r="F102" s="296">
        <f t="shared" si="7"/>
        <v>6562.5</v>
      </c>
    </row>
    <row r="103" spans="1:6">
      <c r="A103" s="294" t="s">
        <v>2330</v>
      </c>
      <c r="B103" s="295" t="s">
        <v>2458</v>
      </c>
      <c r="C103" s="295">
        <v>2022</v>
      </c>
      <c r="D103" s="295">
        <f t="shared" si="8"/>
        <v>2030</v>
      </c>
      <c r="E103" s="295">
        <f t="shared" ref="E103:E133" si="9">D103-$I$4</f>
        <v>3</v>
      </c>
      <c r="F103" s="296">
        <f t="shared" ref="F103:F133" si="10">($I$3-E103)/$I$3*$I$2</f>
        <v>4687.5</v>
      </c>
    </row>
    <row r="104" spans="1:6">
      <c r="A104" s="294" t="s">
        <v>2457</v>
      </c>
      <c r="B104" s="295" t="s">
        <v>2340</v>
      </c>
      <c r="C104" s="295">
        <v>2024</v>
      </c>
      <c r="D104" s="295">
        <f t="shared" si="8"/>
        <v>2032</v>
      </c>
      <c r="E104" s="295">
        <f t="shared" si="9"/>
        <v>5</v>
      </c>
      <c r="F104" s="296">
        <f t="shared" si="10"/>
        <v>2812.5</v>
      </c>
    </row>
    <row r="105" spans="1:6">
      <c r="A105" s="294" t="s">
        <v>2339</v>
      </c>
      <c r="B105" s="295" t="s">
        <v>4120</v>
      </c>
      <c r="C105" s="295">
        <v>2025</v>
      </c>
      <c r="D105" s="295">
        <f t="shared" si="8"/>
        <v>2033</v>
      </c>
      <c r="E105" s="295">
        <f t="shared" si="9"/>
        <v>6</v>
      </c>
      <c r="F105" s="296">
        <f t="shared" si="10"/>
        <v>1875</v>
      </c>
    </row>
    <row r="106" spans="1:6">
      <c r="A106" s="294" t="s">
        <v>2350</v>
      </c>
      <c r="B106" s="295" t="s">
        <v>2351</v>
      </c>
      <c r="C106" s="295">
        <v>2022</v>
      </c>
      <c r="D106" s="295">
        <f t="shared" si="8"/>
        <v>2030</v>
      </c>
      <c r="E106" s="295">
        <f t="shared" si="9"/>
        <v>3</v>
      </c>
      <c r="F106" s="296">
        <f t="shared" si="10"/>
        <v>4687.5</v>
      </c>
    </row>
    <row r="107" spans="1:6">
      <c r="A107" s="294" t="s">
        <v>2374</v>
      </c>
      <c r="B107" s="295" t="s">
        <v>2375</v>
      </c>
      <c r="C107" s="295">
        <v>2021</v>
      </c>
      <c r="D107" s="295">
        <f t="shared" si="8"/>
        <v>2029</v>
      </c>
      <c r="E107" s="295">
        <f t="shared" si="9"/>
        <v>2</v>
      </c>
      <c r="F107" s="296">
        <f t="shared" si="10"/>
        <v>5625</v>
      </c>
    </row>
    <row r="108" spans="1:6">
      <c r="A108" s="294" t="s">
        <v>2399</v>
      </c>
      <c r="B108" s="295" t="s">
        <v>2400</v>
      </c>
      <c r="C108" s="295">
        <v>2019</v>
      </c>
      <c r="D108" s="295">
        <f t="shared" si="8"/>
        <v>2027</v>
      </c>
      <c r="E108" s="295">
        <f t="shared" si="9"/>
        <v>0</v>
      </c>
      <c r="F108" s="296">
        <f t="shared" si="10"/>
        <v>7500</v>
      </c>
    </row>
    <row r="109" spans="1:6">
      <c r="A109" s="294" t="s">
        <v>2428</v>
      </c>
      <c r="B109" s="295" t="s">
        <v>2429</v>
      </c>
      <c r="C109" s="295">
        <v>2025</v>
      </c>
      <c r="D109" s="295">
        <f t="shared" si="8"/>
        <v>2033</v>
      </c>
      <c r="E109" s="295">
        <f t="shared" si="9"/>
        <v>6</v>
      </c>
      <c r="F109" s="296">
        <f t="shared" si="10"/>
        <v>1875</v>
      </c>
    </row>
    <row r="110" spans="1:6">
      <c r="A110" s="294" t="s">
        <v>2387</v>
      </c>
      <c r="B110" s="295" t="s">
        <v>2388</v>
      </c>
      <c r="C110" s="295">
        <v>2026</v>
      </c>
      <c r="D110" s="295">
        <f t="shared" si="8"/>
        <v>2034</v>
      </c>
      <c r="E110" s="295">
        <f t="shared" si="9"/>
        <v>7</v>
      </c>
      <c r="F110" s="296">
        <f t="shared" si="10"/>
        <v>937.5</v>
      </c>
    </row>
    <row r="111" spans="1:6">
      <c r="A111" s="294" t="s">
        <v>2728</v>
      </c>
      <c r="B111" s="295" t="s">
        <v>2729</v>
      </c>
      <c r="C111" s="295">
        <v>2025</v>
      </c>
      <c r="D111" s="295">
        <f t="shared" si="8"/>
        <v>2033</v>
      </c>
      <c r="E111" s="295">
        <f t="shared" si="9"/>
        <v>6</v>
      </c>
      <c r="F111" s="296">
        <f t="shared" si="10"/>
        <v>1875</v>
      </c>
    </row>
    <row r="112" spans="1:6">
      <c r="A112" s="294" t="s">
        <v>2560</v>
      </c>
      <c r="B112" s="295" t="s">
        <v>2558</v>
      </c>
      <c r="C112" s="295">
        <v>2024</v>
      </c>
      <c r="D112" s="295">
        <f t="shared" si="8"/>
        <v>2032</v>
      </c>
      <c r="E112" s="295">
        <f t="shared" si="9"/>
        <v>5</v>
      </c>
      <c r="F112" s="296">
        <f t="shared" si="10"/>
        <v>2812.5</v>
      </c>
    </row>
    <row r="113" spans="1:6">
      <c r="A113" s="294" t="s">
        <v>2643</v>
      </c>
      <c r="B113" s="295" t="s">
        <v>2644</v>
      </c>
      <c r="C113" s="295">
        <v>2026</v>
      </c>
      <c r="D113" s="295">
        <f t="shared" si="8"/>
        <v>2034</v>
      </c>
      <c r="E113" s="295">
        <f t="shared" si="9"/>
        <v>7</v>
      </c>
      <c r="F113" s="296">
        <f t="shared" si="10"/>
        <v>937.5</v>
      </c>
    </row>
    <row r="114" spans="1:6">
      <c r="A114" s="294" t="s">
        <v>2613</v>
      </c>
      <c r="B114" s="295" t="s">
        <v>2614</v>
      </c>
      <c r="C114" s="295">
        <v>2024</v>
      </c>
      <c r="D114" s="295">
        <f t="shared" si="8"/>
        <v>2032</v>
      </c>
      <c r="E114" s="295">
        <f t="shared" si="9"/>
        <v>5</v>
      </c>
      <c r="F114" s="296">
        <f t="shared" si="10"/>
        <v>2812.5</v>
      </c>
    </row>
    <row r="115" spans="1:6">
      <c r="A115" s="294" t="s">
        <v>2719</v>
      </c>
      <c r="B115" s="295" t="s">
        <v>2720</v>
      </c>
      <c r="C115" s="295">
        <v>2025</v>
      </c>
      <c r="D115" s="295">
        <f t="shared" si="8"/>
        <v>2033</v>
      </c>
      <c r="E115" s="295">
        <f t="shared" si="9"/>
        <v>6</v>
      </c>
      <c r="F115" s="296">
        <f t="shared" si="10"/>
        <v>1875</v>
      </c>
    </row>
    <row r="116" spans="1:6">
      <c r="A116" s="294" t="s">
        <v>2622</v>
      </c>
      <c r="B116" s="295" t="s">
        <v>2623</v>
      </c>
      <c r="C116" s="295">
        <v>2023</v>
      </c>
      <c r="D116" s="295">
        <f t="shared" si="8"/>
        <v>2031</v>
      </c>
      <c r="E116" s="295">
        <f t="shared" si="9"/>
        <v>4</v>
      </c>
      <c r="F116" s="296">
        <f t="shared" si="10"/>
        <v>3750</v>
      </c>
    </row>
    <row r="117" spans="1:6">
      <c r="A117" s="294" t="s">
        <v>2567</v>
      </c>
      <c r="B117" s="295" t="s">
        <v>2568</v>
      </c>
      <c r="C117" s="295">
        <v>2024</v>
      </c>
      <c r="D117" s="295">
        <f t="shared" si="8"/>
        <v>2032</v>
      </c>
      <c r="E117" s="295">
        <f t="shared" si="9"/>
        <v>5</v>
      </c>
      <c r="F117" s="296">
        <f t="shared" si="10"/>
        <v>2812.5</v>
      </c>
    </row>
    <row r="118" spans="1:6">
      <c r="A118" s="294" t="s">
        <v>2651</v>
      </c>
      <c r="B118" s="295" t="s">
        <v>2652</v>
      </c>
      <c r="C118" s="295">
        <v>2023</v>
      </c>
      <c r="D118" s="295">
        <v>2031</v>
      </c>
      <c r="E118" s="295">
        <f t="shared" si="9"/>
        <v>4</v>
      </c>
      <c r="F118" s="296">
        <f t="shared" si="10"/>
        <v>3750</v>
      </c>
    </row>
    <row r="119" spans="1:6">
      <c r="A119" s="294" t="s">
        <v>2596</v>
      </c>
      <c r="B119" s="295" t="s">
        <v>2597</v>
      </c>
      <c r="C119" s="295">
        <v>2020</v>
      </c>
      <c r="D119" s="295">
        <f>C119+$I$3</f>
        <v>2028</v>
      </c>
      <c r="E119" s="295">
        <f t="shared" si="9"/>
        <v>1</v>
      </c>
      <c r="F119" s="296">
        <f t="shared" si="10"/>
        <v>6562.5</v>
      </c>
    </row>
    <row r="120" spans="1:6">
      <c r="A120" s="294" t="s">
        <v>2633</v>
      </c>
      <c r="B120" s="295" t="s">
        <v>4119</v>
      </c>
      <c r="C120" s="295">
        <v>2023</v>
      </c>
      <c r="D120" s="295">
        <v>2031</v>
      </c>
      <c r="E120" s="295">
        <f t="shared" si="9"/>
        <v>4</v>
      </c>
      <c r="F120" s="296">
        <f t="shared" si="10"/>
        <v>3750</v>
      </c>
    </row>
    <row r="121" spans="1:6">
      <c r="A121" s="294" t="s">
        <v>2577</v>
      </c>
      <c r="B121" s="295" t="s">
        <v>2578</v>
      </c>
      <c r="C121" s="295">
        <v>2019</v>
      </c>
      <c r="D121" s="295">
        <f>C121+$I$3</f>
        <v>2027</v>
      </c>
      <c r="E121" s="295">
        <f t="shared" si="9"/>
        <v>0</v>
      </c>
      <c r="F121" s="296">
        <f t="shared" si="10"/>
        <v>7500</v>
      </c>
    </row>
    <row r="122" spans="1:6">
      <c r="A122" s="294" t="s">
        <v>2604</v>
      </c>
      <c r="B122" s="295" t="s">
        <v>2605</v>
      </c>
      <c r="C122" s="295">
        <v>2024</v>
      </c>
      <c r="D122" s="295">
        <f>C122+$I$3</f>
        <v>2032</v>
      </c>
      <c r="E122" s="295">
        <f t="shared" si="9"/>
        <v>5</v>
      </c>
      <c r="F122" s="296">
        <f t="shared" si="10"/>
        <v>2812.5</v>
      </c>
    </row>
    <row r="123" spans="1:6">
      <c r="A123" s="294" t="s">
        <v>2681</v>
      </c>
      <c r="B123" s="295" t="s">
        <v>2680</v>
      </c>
      <c r="C123" s="295">
        <v>2019</v>
      </c>
      <c r="D123" s="295">
        <f>C123+$I$3</f>
        <v>2027</v>
      </c>
      <c r="E123" s="295">
        <f t="shared" si="9"/>
        <v>0</v>
      </c>
      <c r="F123" s="296">
        <f t="shared" si="10"/>
        <v>7500</v>
      </c>
    </row>
    <row r="124" spans="1:6">
      <c r="A124" s="294" t="s">
        <v>919</v>
      </c>
      <c r="B124" s="295" t="s">
        <v>920</v>
      </c>
      <c r="C124" s="295">
        <v>2023</v>
      </c>
      <c r="D124" s="295">
        <f>C124+$I$3</f>
        <v>2031</v>
      </c>
      <c r="E124" s="295">
        <f t="shared" si="9"/>
        <v>4</v>
      </c>
      <c r="F124" s="296">
        <f t="shared" si="10"/>
        <v>3750</v>
      </c>
    </row>
    <row r="125" spans="1:6">
      <c r="A125" s="294" t="s">
        <v>2665</v>
      </c>
      <c r="B125" s="295" t="s">
        <v>2666</v>
      </c>
      <c r="C125" s="295">
        <v>2023</v>
      </c>
      <c r="D125" s="295">
        <v>2031</v>
      </c>
      <c r="E125" s="295">
        <f t="shared" si="9"/>
        <v>4</v>
      </c>
      <c r="F125" s="296">
        <f t="shared" si="10"/>
        <v>3750</v>
      </c>
    </row>
    <row r="126" spans="1:6">
      <c r="A126" s="294" t="s">
        <v>2587</v>
      </c>
      <c r="B126" s="295" t="s">
        <v>2588</v>
      </c>
      <c r="C126" s="295">
        <v>2019</v>
      </c>
      <c r="D126" s="295">
        <f t="shared" ref="D126:D132" si="11">C126+$I$3</f>
        <v>2027</v>
      </c>
      <c r="E126" s="295">
        <f t="shared" si="9"/>
        <v>0</v>
      </c>
      <c r="F126" s="296">
        <f t="shared" si="10"/>
        <v>7500</v>
      </c>
    </row>
    <row r="127" spans="1:6">
      <c r="A127" s="294" t="s">
        <v>2941</v>
      </c>
      <c r="B127" s="295" t="s">
        <v>2942</v>
      </c>
      <c r="C127" s="295">
        <v>2019</v>
      </c>
      <c r="D127" s="295">
        <f t="shared" si="11"/>
        <v>2027</v>
      </c>
      <c r="E127" s="295">
        <f t="shared" si="9"/>
        <v>0</v>
      </c>
      <c r="F127" s="296">
        <f t="shared" si="10"/>
        <v>7500</v>
      </c>
    </row>
    <row r="128" spans="1:6">
      <c r="A128" s="294" t="s">
        <v>2950</v>
      </c>
      <c r="B128" s="295" t="s">
        <v>2951</v>
      </c>
      <c r="C128" s="295">
        <v>2021</v>
      </c>
      <c r="D128" s="295">
        <f t="shared" si="11"/>
        <v>2029</v>
      </c>
      <c r="E128" s="295">
        <f t="shared" si="9"/>
        <v>2</v>
      </c>
      <c r="F128" s="296">
        <f t="shared" si="10"/>
        <v>5625</v>
      </c>
    </row>
    <row r="129" spans="1:6">
      <c r="A129" s="294" t="s">
        <v>2935</v>
      </c>
      <c r="B129" s="295" t="s">
        <v>2936</v>
      </c>
      <c r="C129" s="295">
        <v>2024</v>
      </c>
      <c r="D129" s="295">
        <f t="shared" si="11"/>
        <v>2032</v>
      </c>
      <c r="E129" s="295">
        <f t="shared" si="9"/>
        <v>5</v>
      </c>
      <c r="F129" s="296">
        <f t="shared" si="10"/>
        <v>2812.5</v>
      </c>
    </row>
    <row r="130" spans="1:6">
      <c r="A130" s="294" t="s">
        <v>2927</v>
      </c>
      <c r="B130" s="295" t="s">
        <v>2928</v>
      </c>
      <c r="C130" s="295">
        <v>2026</v>
      </c>
      <c r="D130" s="295">
        <f t="shared" si="11"/>
        <v>2034</v>
      </c>
      <c r="E130" s="295">
        <f t="shared" si="9"/>
        <v>7</v>
      </c>
      <c r="F130" s="296">
        <f t="shared" si="10"/>
        <v>937.5</v>
      </c>
    </row>
    <row r="131" spans="1:6">
      <c r="A131" s="294" t="s">
        <v>3133</v>
      </c>
      <c r="B131" s="295" t="s">
        <v>3134</v>
      </c>
      <c r="C131" s="295">
        <v>2025</v>
      </c>
      <c r="D131" s="295">
        <f t="shared" si="11"/>
        <v>2033</v>
      </c>
      <c r="E131" s="295">
        <f t="shared" si="9"/>
        <v>6</v>
      </c>
      <c r="F131" s="296">
        <f t="shared" si="10"/>
        <v>1875</v>
      </c>
    </row>
    <row r="132" spans="1:6">
      <c r="A132" s="294" t="s">
        <v>3103</v>
      </c>
      <c r="B132" s="295" t="s">
        <v>3104</v>
      </c>
      <c r="C132" s="295">
        <v>2024</v>
      </c>
      <c r="D132" s="295">
        <f t="shared" si="11"/>
        <v>2032</v>
      </c>
      <c r="E132" s="295">
        <f t="shared" si="9"/>
        <v>5</v>
      </c>
      <c r="F132" s="296">
        <f t="shared" si="10"/>
        <v>2812.5</v>
      </c>
    </row>
    <row r="133" spans="1:6">
      <c r="A133" s="294" t="s">
        <v>3169</v>
      </c>
      <c r="B133" s="295" t="s">
        <v>3170</v>
      </c>
      <c r="C133" s="295">
        <v>2025</v>
      </c>
      <c r="D133" s="295">
        <v>2033</v>
      </c>
      <c r="E133" s="295">
        <f t="shared" si="9"/>
        <v>6</v>
      </c>
      <c r="F133" s="296">
        <f t="shared" si="10"/>
        <v>1875</v>
      </c>
    </row>
    <row r="135" spans="1:6" s="298" customFormat="1">
      <c r="A135" s="284"/>
      <c r="B135"/>
      <c r="C135"/>
      <c r="D135"/>
      <c r="E135"/>
      <c r="F135" s="92"/>
    </row>
  </sheetData>
  <autoFilter ref="B6:F133" xr:uid="{00000000-0009-0000-0000-000001000000}">
    <sortState xmlns:xlrd2="http://schemas.microsoft.com/office/spreadsheetml/2017/richdata2" ref="B7:F133">
      <sortCondition ref="B6:B133"/>
    </sortState>
  </autoFilter>
  <mergeCells count="1">
    <mergeCell ref="H1:I1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8F85-97F2-407E-BF46-9BAB50C21400}">
  <sheetPr codeName="Sheet10">
    <tabColor theme="3" tint="-0.249977111117893"/>
  </sheetPr>
  <dimension ref="B1:L31"/>
  <sheetViews>
    <sheetView rightToLeft="1" zoomScale="160" zoomScaleNormal="1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26" sqref="G26"/>
    </sheetView>
  </sheetViews>
  <sheetFormatPr defaultRowHeight="14.4" outlineLevelRow="1"/>
  <cols>
    <col min="1" max="1" width="2.33203125" customWidth="1"/>
    <col min="2" max="2" width="19.6640625" customWidth="1"/>
    <col min="3" max="3" width="6.88671875" bestFit="1" customWidth="1"/>
    <col min="4" max="10" width="8.88671875" customWidth="1"/>
    <col min="12" max="12" width="11.109375" bestFit="1" customWidth="1"/>
  </cols>
  <sheetData>
    <row r="1" spans="2:12" ht="9" customHeight="1"/>
    <row r="2" spans="2:12">
      <c r="B2" s="112"/>
      <c r="C2" s="112"/>
      <c r="D2" s="112"/>
      <c r="E2" s="112"/>
      <c r="F2" s="113"/>
      <c r="G2" s="113" t="s">
        <v>3875</v>
      </c>
      <c r="H2" s="113"/>
      <c r="I2" s="113"/>
      <c r="J2" s="113"/>
    </row>
    <row r="3" spans="2:12" ht="7.5" customHeight="1">
      <c r="B3" s="114"/>
      <c r="C3" s="114"/>
      <c r="D3" s="114"/>
      <c r="E3" s="114"/>
      <c r="F3" s="115"/>
      <c r="G3" s="115"/>
      <c r="H3" s="115"/>
      <c r="I3" s="115"/>
      <c r="J3" s="115"/>
    </row>
    <row r="4" spans="2:12">
      <c r="B4" s="112" t="s">
        <v>3866</v>
      </c>
      <c r="C4" s="112"/>
      <c r="D4" s="127">
        <v>40000</v>
      </c>
      <c r="E4" s="127">
        <v>35000</v>
      </c>
      <c r="F4" s="127">
        <v>30000</v>
      </c>
      <c r="G4" s="177">
        <v>28500</v>
      </c>
      <c r="H4" s="127">
        <v>25000</v>
      </c>
      <c r="I4" s="127">
        <v>20000</v>
      </c>
      <c r="J4" s="127">
        <v>15000</v>
      </c>
    </row>
    <row r="5" spans="2:12">
      <c r="B5" s="128" t="s">
        <v>3865</v>
      </c>
      <c r="C5" s="128"/>
      <c r="D5" s="137">
        <v>-9500</v>
      </c>
      <c r="E5" s="137">
        <v>-9500</v>
      </c>
      <c r="F5" s="137">
        <v>-9500</v>
      </c>
      <c r="G5" s="178">
        <v>-9500</v>
      </c>
      <c r="H5" s="137">
        <v>-9500</v>
      </c>
      <c r="I5" s="137">
        <v>-9500</v>
      </c>
      <c r="J5" s="137">
        <v>-9500</v>
      </c>
    </row>
    <row r="6" spans="2:12">
      <c r="B6" s="112" t="s">
        <v>3867</v>
      </c>
      <c r="C6" s="112"/>
      <c r="D6" s="127">
        <f>D4+D5</f>
        <v>30500</v>
      </c>
      <c r="E6" s="127">
        <f>E4+E5</f>
        <v>25500</v>
      </c>
      <c r="F6" s="127">
        <f t="shared" ref="F6:J6" si="0">F4+F5</f>
        <v>20500</v>
      </c>
      <c r="G6" s="179">
        <f t="shared" si="0"/>
        <v>19000</v>
      </c>
      <c r="H6" s="127">
        <f t="shared" si="0"/>
        <v>15500</v>
      </c>
      <c r="I6" s="127">
        <f t="shared" si="0"/>
        <v>10500</v>
      </c>
      <c r="J6" s="127">
        <f t="shared" si="0"/>
        <v>5500</v>
      </c>
    </row>
    <row r="7" spans="2:12" ht="7.5" customHeight="1">
      <c r="B7" s="114"/>
      <c r="C7" s="114"/>
      <c r="D7" s="114"/>
      <c r="E7" s="114"/>
      <c r="F7" s="115"/>
      <c r="G7" s="180"/>
      <c r="H7" s="115"/>
      <c r="I7" s="115"/>
      <c r="J7" s="115"/>
    </row>
    <row r="8" spans="2:12" outlineLevel="1">
      <c r="B8" s="116" t="s">
        <v>3868</v>
      </c>
      <c r="C8" s="117">
        <v>0.3</v>
      </c>
      <c r="D8" s="118">
        <f t="shared" ref="D8:E8" si="1">D6*$C$8</f>
        <v>9150</v>
      </c>
      <c r="E8" s="118">
        <f t="shared" si="1"/>
        <v>7650</v>
      </c>
      <c r="F8" s="118">
        <f>F6*$C$8</f>
        <v>6150</v>
      </c>
      <c r="G8" s="181">
        <f>G6*$C$8</f>
        <v>5700</v>
      </c>
      <c r="H8" s="118">
        <f t="shared" ref="H8:J8" si="2">H6*$C$8</f>
        <v>4650</v>
      </c>
      <c r="I8" s="118">
        <f t="shared" si="2"/>
        <v>3150</v>
      </c>
      <c r="J8" s="118">
        <f t="shared" si="2"/>
        <v>1650</v>
      </c>
    </row>
    <row r="9" spans="2:12" outlineLevel="1">
      <c r="B9" s="114" t="s">
        <v>3869</v>
      </c>
      <c r="C9" s="119">
        <v>0.33</v>
      </c>
      <c r="D9" s="120">
        <f t="shared" ref="D9:E9" si="3">D6*$C$9</f>
        <v>10065</v>
      </c>
      <c r="E9" s="120">
        <f t="shared" si="3"/>
        <v>8415</v>
      </c>
      <c r="F9" s="120">
        <f>F6*$C$9</f>
        <v>6765</v>
      </c>
      <c r="G9" s="182">
        <f>G6*$C$9</f>
        <v>6270</v>
      </c>
      <c r="H9" s="120">
        <f t="shared" ref="H9:J9" si="4">H6*$C$9</f>
        <v>5115</v>
      </c>
      <c r="I9" s="120">
        <f t="shared" si="4"/>
        <v>3465</v>
      </c>
      <c r="J9" s="120">
        <f t="shared" si="4"/>
        <v>1815</v>
      </c>
    </row>
    <row r="10" spans="2:12" outlineLevel="1">
      <c r="B10" s="116" t="s">
        <v>3870</v>
      </c>
      <c r="C10" s="117">
        <v>0.17499999999999999</v>
      </c>
      <c r="D10" s="118">
        <f t="shared" ref="D10:E10" si="5">D6*$C$10</f>
        <v>5337.5</v>
      </c>
      <c r="E10" s="118">
        <f t="shared" si="5"/>
        <v>4462.5</v>
      </c>
      <c r="F10" s="118">
        <f>F6*$C$10</f>
        <v>3587.4999999999995</v>
      </c>
      <c r="G10" s="181">
        <f>G6*$C$10</f>
        <v>3325</v>
      </c>
      <c r="H10" s="118">
        <f t="shared" ref="H10:J10" si="6">H6*$C$10</f>
        <v>2712.5</v>
      </c>
      <c r="I10" s="118">
        <f t="shared" si="6"/>
        <v>1837.4999999999998</v>
      </c>
      <c r="J10" s="118">
        <f t="shared" si="6"/>
        <v>962.49999999999989</v>
      </c>
      <c r="L10" s="122"/>
    </row>
    <row r="11" spans="2:12" outlineLevel="1">
      <c r="B11" s="114" t="s">
        <v>3871</v>
      </c>
      <c r="C11" s="121">
        <v>0.05</v>
      </c>
      <c r="D11" s="120">
        <f t="shared" ref="D11:E11" si="7">D6*$C$11</f>
        <v>1525</v>
      </c>
      <c r="E11" s="120">
        <f t="shared" si="7"/>
        <v>1275</v>
      </c>
      <c r="F11" s="120">
        <f>F6*$C$11</f>
        <v>1025</v>
      </c>
      <c r="G11" s="182">
        <f>G6*$C$11</f>
        <v>950</v>
      </c>
      <c r="H11" s="120">
        <f t="shared" ref="H11:J11" si="8">H6*$C$11</f>
        <v>775</v>
      </c>
      <c r="I11" s="120">
        <f t="shared" si="8"/>
        <v>525</v>
      </c>
      <c r="J11" s="120">
        <f t="shared" si="8"/>
        <v>275</v>
      </c>
    </row>
    <row r="12" spans="2:12" outlineLevel="1">
      <c r="B12" s="116" t="s">
        <v>56</v>
      </c>
      <c r="C12" s="117">
        <v>0.05</v>
      </c>
      <c r="D12" s="118">
        <f t="shared" ref="D12:E12" si="9">D6*$C$12</f>
        <v>1525</v>
      </c>
      <c r="E12" s="118">
        <f t="shared" si="9"/>
        <v>1275</v>
      </c>
      <c r="F12" s="118">
        <f>F6*$C$12</f>
        <v>1025</v>
      </c>
      <c r="G12" s="181">
        <f>G6*$C$12</f>
        <v>950</v>
      </c>
      <c r="H12" s="118">
        <f t="shared" ref="H12:J12" si="10">H6*$C$12</f>
        <v>775</v>
      </c>
      <c r="I12" s="118">
        <f t="shared" si="10"/>
        <v>525</v>
      </c>
      <c r="J12" s="118">
        <f t="shared" si="10"/>
        <v>275</v>
      </c>
    </row>
    <row r="13" spans="2:12" outlineLevel="1">
      <c r="B13" s="123" t="s">
        <v>3872</v>
      </c>
      <c r="C13" s="121">
        <f>1-C12-C11-C8-C10-C9</f>
        <v>9.4999999999999862E-2</v>
      </c>
      <c r="D13" s="120">
        <f t="shared" ref="D13:E13" si="11">D6*$C$13</f>
        <v>2897.4999999999959</v>
      </c>
      <c r="E13" s="120">
        <f t="shared" si="11"/>
        <v>2422.4999999999964</v>
      </c>
      <c r="F13" s="120">
        <f>F6*$C$13</f>
        <v>1947.4999999999973</v>
      </c>
      <c r="G13" s="182">
        <f>G6*$C$13</f>
        <v>1804.9999999999973</v>
      </c>
      <c r="H13" s="120">
        <f t="shared" ref="H13:J13" si="12">H6*$C$13</f>
        <v>1472.499999999998</v>
      </c>
      <c r="I13" s="120">
        <f t="shared" si="12"/>
        <v>997.49999999999852</v>
      </c>
      <c r="J13" s="120">
        <f t="shared" si="12"/>
        <v>522.4999999999992</v>
      </c>
    </row>
    <row r="14" spans="2:12" outlineLevel="1">
      <c r="B14" s="124" t="s">
        <v>3864</v>
      </c>
      <c r="C14" s="125">
        <f>SUM(C8:C13)</f>
        <v>0.99999999999999989</v>
      </c>
      <c r="D14" s="126">
        <f t="shared" ref="D14:E14" si="13">SUM(D8:D13)</f>
        <v>30499.999999999996</v>
      </c>
      <c r="E14" s="126">
        <f t="shared" si="13"/>
        <v>25499.999999999996</v>
      </c>
      <c r="F14" s="126">
        <f>SUM(F8:F13)</f>
        <v>20499.999999999996</v>
      </c>
      <c r="G14" s="183">
        <f>SUM(G8:G13)</f>
        <v>18999.999999999996</v>
      </c>
      <c r="H14" s="126">
        <f>SUM(H8:H13)</f>
        <v>15499.999999999998</v>
      </c>
      <c r="I14" s="126">
        <f>SUM(I8:I13)</f>
        <v>10499.999999999998</v>
      </c>
      <c r="J14" s="126">
        <f>SUM(J8:J13)</f>
        <v>5499.9999999999991</v>
      </c>
    </row>
    <row r="15" spans="2:12" ht="7.5" customHeight="1">
      <c r="B15" s="114"/>
      <c r="C15" s="114"/>
      <c r="D15" s="114"/>
      <c r="E15" s="114"/>
      <c r="F15" s="115"/>
      <c r="G15" s="180"/>
      <c r="H15" s="115"/>
      <c r="I15" s="115"/>
      <c r="J15" s="115"/>
    </row>
    <row r="16" spans="2:12">
      <c r="B16" s="116" t="s">
        <v>3868</v>
      </c>
      <c r="C16" s="117">
        <v>0.3</v>
      </c>
      <c r="D16" s="131">
        <f>D14*$C$16</f>
        <v>9149.9999999999982</v>
      </c>
      <c r="E16" s="131">
        <f t="shared" ref="E16:J16" si="14">E14*$C$16</f>
        <v>7649.9999999999982</v>
      </c>
      <c r="F16" s="131">
        <f t="shared" si="14"/>
        <v>6149.9999999999991</v>
      </c>
      <c r="G16" s="184">
        <f t="shared" ref="G16" si="15">G14*$C$16</f>
        <v>5699.9999999999991</v>
      </c>
      <c r="H16" s="131">
        <f t="shared" si="14"/>
        <v>4649.9999999999991</v>
      </c>
      <c r="I16" s="131">
        <f t="shared" si="14"/>
        <v>3149.9999999999995</v>
      </c>
      <c r="J16" s="131">
        <f t="shared" si="14"/>
        <v>1649.9999999999998</v>
      </c>
    </row>
    <row r="17" spans="2:12">
      <c r="B17" s="114" t="s">
        <v>3869</v>
      </c>
      <c r="C17" s="119">
        <v>0.33</v>
      </c>
      <c r="D17" s="132">
        <f>D14*$C$17</f>
        <v>10065</v>
      </c>
      <c r="E17" s="132">
        <f t="shared" ref="E17:J17" si="16">E14*$C$17</f>
        <v>8415</v>
      </c>
      <c r="F17" s="132">
        <f t="shared" si="16"/>
        <v>6764.9999999999991</v>
      </c>
      <c r="G17" s="185">
        <f t="shared" ref="G17" si="17">G14*$C$17</f>
        <v>6269.9999999999991</v>
      </c>
      <c r="H17" s="132">
        <f t="shared" si="16"/>
        <v>5115</v>
      </c>
      <c r="I17" s="132">
        <f t="shared" si="16"/>
        <v>3464.9999999999995</v>
      </c>
      <c r="J17" s="132">
        <f t="shared" si="16"/>
        <v>1814.9999999999998</v>
      </c>
    </row>
    <row r="18" spans="2:12">
      <c r="B18" s="97" t="s">
        <v>3873</v>
      </c>
      <c r="C18" s="130">
        <v>0.15</v>
      </c>
      <c r="D18" s="131">
        <f>D14*$C$18</f>
        <v>4574.9999999999991</v>
      </c>
      <c r="E18" s="131">
        <f t="shared" ref="E18:J18" si="18">E14*$C$18</f>
        <v>3824.9999999999991</v>
      </c>
      <c r="F18" s="131">
        <f t="shared" si="18"/>
        <v>3074.9999999999995</v>
      </c>
      <c r="G18" s="184">
        <f t="shared" ref="G18" si="19">G14*$C$18</f>
        <v>2849.9999999999995</v>
      </c>
      <c r="H18" s="131">
        <f t="shared" si="18"/>
        <v>2324.9999999999995</v>
      </c>
      <c r="I18" s="131">
        <f t="shared" si="18"/>
        <v>1574.9999999999998</v>
      </c>
      <c r="J18" s="131">
        <f t="shared" si="18"/>
        <v>824.99999999999989</v>
      </c>
    </row>
    <row r="19" spans="2:12">
      <c r="B19" t="s">
        <v>3874</v>
      </c>
      <c r="C19" s="129">
        <v>0.17</v>
      </c>
      <c r="D19" s="6">
        <f>D14*$C$19</f>
        <v>5185</v>
      </c>
      <c r="E19" s="6">
        <f t="shared" ref="E19:J19" si="20">E14*$C$19</f>
        <v>4335</v>
      </c>
      <c r="F19" s="6">
        <f t="shared" si="20"/>
        <v>3484.9999999999995</v>
      </c>
      <c r="G19" s="186">
        <f t="shared" ref="G19" si="21">G14*$C$19</f>
        <v>3229.9999999999995</v>
      </c>
      <c r="H19" s="6">
        <f t="shared" si="20"/>
        <v>2635</v>
      </c>
      <c r="I19" s="6">
        <f t="shared" si="20"/>
        <v>1784.9999999999998</v>
      </c>
      <c r="J19" s="6">
        <f t="shared" si="20"/>
        <v>934.99999999999989</v>
      </c>
    </row>
    <row r="20" spans="2:12">
      <c r="B20" s="134" t="s">
        <v>3877</v>
      </c>
      <c r="C20" s="135">
        <v>0.05</v>
      </c>
      <c r="D20" s="136">
        <f>D6*$C$20</f>
        <v>1525</v>
      </c>
      <c r="E20" s="136">
        <f t="shared" ref="E20:I20" si="22">E6*$C$20</f>
        <v>1275</v>
      </c>
      <c r="F20" s="136">
        <f t="shared" si="22"/>
        <v>1025</v>
      </c>
      <c r="G20" s="187">
        <f t="shared" si="22"/>
        <v>950</v>
      </c>
      <c r="H20" s="136">
        <f t="shared" si="22"/>
        <v>775</v>
      </c>
      <c r="I20" s="136">
        <f t="shared" si="22"/>
        <v>525</v>
      </c>
      <c r="J20" s="136">
        <f>J6*$C$20</f>
        <v>275</v>
      </c>
    </row>
    <row r="21" spans="2:12" ht="15" thickBot="1">
      <c r="B21" s="139" t="s">
        <v>3876</v>
      </c>
      <c r="C21" s="140">
        <f>SUM(C16:C20)</f>
        <v>1</v>
      </c>
      <c r="D21" s="141">
        <f>SUM(D16:D20)</f>
        <v>30500</v>
      </c>
      <c r="E21" s="141">
        <f t="shared" ref="E21:J21" si="23">SUM(E16:E20)</f>
        <v>25499.999999999996</v>
      </c>
      <c r="F21" s="141">
        <f t="shared" si="23"/>
        <v>20499.999999999996</v>
      </c>
      <c r="G21" s="188">
        <f t="shared" si="23"/>
        <v>18999.999999999996</v>
      </c>
      <c r="H21" s="141">
        <f t="shared" si="23"/>
        <v>15500</v>
      </c>
      <c r="I21" s="141">
        <f t="shared" si="23"/>
        <v>10499.999999999998</v>
      </c>
      <c r="J21" s="141">
        <f t="shared" si="23"/>
        <v>5499.9999999999991</v>
      </c>
    </row>
    <row r="22" spans="2:12" ht="15" thickBot="1">
      <c r="G22" s="189"/>
    </row>
    <row r="23" spans="2:12">
      <c r="B23" s="112" t="str">
        <f>B6</f>
        <v>רר"ל</v>
      </c>
      <c r="C23" s="112"/>
      <c r="D23" s="127">
        <f>D6</f>
        <v>30500</v>
      </c>
      <c r="E23" s="127">
        <f t="shared" ref="E23:J23" si="24">E6</f>
        <v>25500</v>
      </c>
      <c r="F23" s="127">
        <f t="shared" si="24"/>
        <v>20500</v>
      </c>
      <c r="G23" s="190">
        <f t="shared" si="24"/>
        <v>19000</v>
      </c>
      <c r="H23" s="127">
        <f t="shared" si="24"/>
        <v>15500</v>
      </c>
      <c r="I23" s="127">
        <f t="shared" si="24"/>
        <v>10500</v>
      </c>
      <c r="J23" s="127">
        <f t="shared" si="24"/>
        <v>5500</v>
      </c>
    </row>
    <row r="24" spans="2:12">
      <c r="B24" s="128" t="str">
        <f>B19</f>
        <v>תקציבים מיוחדים</v>
      </c>
      <c r="C24" s="128"/>
      <c r="D24" s="137">
        <f ca="1">-'פריסת שנים'!N2/1000</f>
        <v>-2855.769876382743</v>
      </c>
      <c r="E24" s="137">
        <f ca="1">D24</f>
        <v>-2855.769876382743</v>
      </c>
      <c r="F24" s="137">
        <f t="shared" ref="F24:J24" ca="1" si="25">E24</f>
        <v>-2855.769876382743</v>
      </c>
      <c r="G24" s="178">
        <f t="shared" ca="1" si="25"/>
        <v>-2855.769876382743</v>
      </c>
      <c r="H24" s="137">
        <f t="shared" ca="1" si="25"/>
        <v>-2855.769876382743</v>
      </c>
      <c r="I24" s="137">
        <f t="shared" ca="1" si="25"/>
        <v>-2855.769876382743</v>
      </c>
      <c r="J24" s="137">
        <f t="shared" ca="1" si="25"/>
        <v>-2855.769876382743</v>
      </c>
    </row>
    <row r="25" spans="2:12">
      <c r="B25" s="112" t="s">
        <v>3878</v>
      </c>
      <c r="C25" s="112"/>
      <c r="D25" s="127">
        <f ca="1">D23+D24</f>
        <v>27644.230123617257</v>
      </c>
      <c r="E25" s="127">
        <f t="shared" ref="E25:J25" ca="1" si="26">E23+E24</f>
        <v>22644.230123617257</v>
      </c>
      <c r="F25" s="127">
        <f t="shared" ca="1" si="26"/>
        <v>17644.230123617257</v>
      </c>
      <c r="G25" s="179">
        <f t="shared" ca="1" si="26"/>
        <v>16144.230123617257</v>
      </c>
      <c r="H25" s="127">
        <f t="shared" ca="1" si="26"/>
        <v>12644.230123617257</v>
      </c>
      <c r="I25" s="127">
        <f t="shared" ca="1" si="26"/>
        <v>7644.230123617257</v>
      </c>
      <c r="J25" s="127">
        <f t="shared" ca="1" si="26"/>
        <v>2644.230123617257</v>
      </c>
    </row>
    <row r="26" spans="2:12">
      <c r="G26" s="189"/>
    </row>
    <row r="27" spans="2:12">
      <c r="B27" s="116" t="s">
        <v>3868</v>
      </c>
      <c r="C27" s="117">
        <v>0.35</v>
      </c>
      <c r="D27" s="131">
        <f ca="1">D$25*$C27</f>
        <v>9675.4805432660396</v>
      </c>
      <c r="E27" s="131">
        <f t="shared" ref="E27:J31" ca="1" si="27">E$25*$C27</f>
        <v>7925.4805432660396</v>
      </c>
      <c r="F27" s="131">
        <f t="shared" ca="1" si="27"/>
        <v>6175.4805432660396</v>
      </c>
      <c r="G27" s="184">
        <f t="shared" ca="1" si="27"/>
        <v>5650.4805432660396</v>
      </c>
      <c r="H27" s="131">
        <f t="shared" ca="1" si="27"/>
        <v>4425.4805432660396</v>
      </c>
      <c r="I27" s="131">
        <f t="shared" ca="1" si="27"/>
        <v>2675.4805432660396</v>
      </c>
      <c r="J27" s="131">
        <f t="shared" ca="1" si="27"/>
        <v>925.48054326603994</v>
      </c>
    </row>
    <row r="28" spans="2:12">
      <c r="B28" s="114" t="s">
        <v>3879</v>
      </c>
      <c r="C28" s="119">
        <v>0.45</v>
      </c>
      <c r="D28" s="132">
        <f t="shared" ref="D28:D31" ca="1" si="28">D$25*C28</f>
        <v>12439.903555627767</v>
      </c>
      <c r="E28" s="132">
        <f t="shared" ca="1" si="27"/>
        <v>10189.903555627767</v>
      </c>
      <c r="F28" s="132">
        <f t="shared" ca="1" si="27"/>
        <v>7939.9035556277659</v>
      </c>
      <c r="G28" s="185">
        <f t="shared" ca="1" si="27"/>
        <v>7264.9035556277659</v>
      </c>
      <c r="H28" s="132">
        <f t="shared" ca="1" si="27"/>
        <v>5689.9035556277659</v>
      </c>
      <c r="I28" s="132">
        <f t="shared" ca="1" si="27"/>
        <v>3439.9035556277659</v>
      </c>
      <c r="J28" s="132">
        <f t="shared" ca="1" si="27"/>
        <v>1189.9035556277656</v>
      </c>
      <c r="L28" s="79"/>
    </row>
    <row r="29" spans="2:12">
      <c r="B29" s="97" t="s">
        <v>3873</v>
      </c>
      <c r="C29" s="130">
        <v>0.15</v>
      </c>
      <c r="D29" s="131">
        <f t="shared" ca="1" si="28"/>
        <v>4146.634518542588</v>
      </c>
      <c r="E29" s="131">
        <f t="shared" ca="1" si="27"/>
        <v>3396.6345185425885</v>
      </c>
      <c r="F29" s="131">
        <f t="shared" ca="1" si="27"/>
        <v>2646.6345185425885</v>
      </c>
      <c r="G29" s="184">
        <f t="shared" ca="1" si="27"/>
        <v>2421.6345185425885</v>
      </c>
      <c r="H29" s="131">
        <f t="shared" ca="1" si="27"/>
        <v>1896.6345185425885</v>
      </c>
      <c r="I29" s="131">
        <f t="shared" ca="1" si="27"/>
        <v>1146.6345185425885</v>
      </c>
      <c r="J29" s="131">
        <f t="shared" ca="1" si="27"/>
        <v>396.63451854258852</v>
      </c>
    </row>
    <row r="30" spans="2:12">
      <c r="B30" s="13" t="s">
        <v>3880</v>
      </c>
      <c r="C30" s="129">
        <v>0.05</v>
      </c>
      <c r="D30" s="6">
        <f t="shared" ca="1" si="28"/>
        <v>1382.2115061808629</v>
      </c>
      <c r="E30" s="6">
        <f t="shared" ca="1" si="27"/>
        <v>1132.2115061808629</v>
      </c>
      <c r="F30" s="6">
        <f t="shared" ca="1" si="27"/>
        <v>882.2115061808629</v>
      </c>
      <c r="G30" s="186">
        <f t="shared" ca="1" si="27"/>
        <v>807.2115061808629</v>
      </c>
      <c r="H30" s="6">
        <f t="shared" ca="1" si="27"/>
        <v>632.2115061808629</v>
      </c>
      <c r="I30" s="6">
        <f t="shared" ca="1" si="27"/>
        <v>382.2115061808629</v>
      </c>
      <c r="J30" s="6">
        <f t="shared" ca="1" si="27"/>
        <v>132.21150618086287</v>
      </c>
    </row>
    <row r="31" spans="2:12">
      <c r="B31" s="112" t="s">
        <v>3876</v>
      </c>
      <c r="C31" s="138">
        <f>SUM(C27:C30)</f>
        <v>1</v>
      </c>
      <c r="D31" s="127">
        <f t="shared" ca="1" si="28"/>
        <v>27644.230123617257</v>
      </c>
      <c r="E31" s="127">
        <f t="shared" ca="1" si="27"/>
        <v>22644.230123617257</v>
      </c>
      <c r="F31" s="127">
        <f t="shared" ca="1" si="27"/>
        <v>17644.230123617257</v>
      </c>
      <c r="G31" s="191">
        <f t="shared" ca="1" si="27"/>
        <v>16144.230123617257</v>
      </c>
      <c r="H31" s="127">
        <f t="shared" ca="1" si="27"/>
        <v>12644.230123617257</v>
      </c>
      <c r="I31" s="127">
        <f t="shared" ca="1" si="27"/>
        <v>7644.230123617257</v>
      </c>
      <c r="J31" s="127">
        <f t="shared" ca="1" si="27"/>
        <v>2644.230123617257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16</vt:i4>
      </vt:variant>
      <vt:variant>
        <vt:lpstr>טווחים בעלי שם</vt:lpstr>
      </vt:variant>
      <vt:variant>
        <vt:i4>4</vt:i4>
      </vt:variant>
    </vt:vector>
  </HeadingPairs>
  <TitlesOfParts>
    <vt:vector size="20" baseType="lpstr">
      <vt:lpstr>חברים</vt:lpstr>
      <vt:lpstr>תקציבים מיוחדים</vt:lpstr>
      <vt:lpstr>תקציבים כיום</vt:lpstr>
      <vt:lpstr>פריסת שנים</vt:lpstr>
      <vt:lpstr>בנייה</vt:lpstr>
      <vt:lpstr>מודל רוחב</vt:lpstr>
      <vt:lpstr>ותק חברה 40</vt:lpstr>
      <vt:lpstr>ררל ומדרג</vt:lpstr>
      <vt:lpstr>הנחות עבודה לררל ומדרג</vt:lpstr>
      <vt:lpstr>הנחות</vt:lpstr>
      <vt:lpstr>חישוב דמי עזיבה - 25 שנת 2024</vt:lpstr>
      <vt:lpstr>מדרג שימושים </vt:lpstr>
      <vt:lpstr>מניות חבר</vt:lpstr>
      <vt:lpstr>מורישים</vt:lpstr>
      <vt:lpstr>תקציב צביעה - לקראת השינוי</vt:lpstr>
      <vt:lpstr>סימולציות מדרג</vt:lpstr>
      <vt:lpstr>הנחות!GIL</vt:lpstr>
      <vt:lpstr>GIL</vt:lpstr>
      <vt:lpstr>'חישוב דמי עזיבה - 25 שנת 2024'!WPrint_Area_W</vt:lpstr>
      <vt:lpstr>'תקציב צביעה - לקראת השינוי'!WPrint_Area_W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</dc:creator>
  <cp:lastModifiedBy>אודי אריכא</cp:lastModifiedBy>
  <dcterms:created xsi:type="dcterms:W3CDTF">2025-09-18T11:00:23Z</dcterms:created>
  <dcterms:modified xsi:type="dcterms:W3CDTF">2026-04-13T09:21:33Z</dcterms:modified>
</cp:coreProperties>
</file>